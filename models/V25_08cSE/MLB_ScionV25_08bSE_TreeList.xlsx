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t/tepper/src/mlb/MLBScionV25_08bSE/"/>
    </mc:Choice>
  </mc:AlternateContent>
  <xr:revisionPtr revIDLastSave="0" documentId="13_ncr:1_{4EC6FB61-1240-9D41-AAC9-434A162DBFE5}" xr6:coauthVersionLast="47" xr6:coauthVersionMax="47" xr10:uidLastSave="{00000000-0000-0000-0000-000000000000}"/>
  <bookViews>
    <workbookView xWindow="-67380" yWindow="5480" windowWidth="25040" windowHeight="15300" xr2:uid="{ED38B123-6A24-C24A-821A-CF86EFCFF4EE}"/>
  </bookViews>
  <sheets>
    <sheet name="pm150" sheetId="2" r:id="rId1"/>
    <sheet name="pm210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9" i="2" l="1"/>
  <c r="C118" i="2"/>
  <c r="C117" i="2"/>
  <c r="C116" i="2"/>
  <c r="C115" i="2"/>
  <c r="C67" i="2"/>
  <c r="C114" i="2" s="1"/>
  <c r="E54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54" i="3"/>
  <c r="C71" i="3" s="1"/>
  <c r="C76" i="2" l="1"/>
  <c r="C86" i="2"/>
  <c r="C106" i="2"/>
  <c r="C75" i="2"/>
  <c r="C85" i="2"/>
  <c r="C95" i="2"/>
  <c r="C105" i="2"/>
  <c r="C96" i="2"/>
  <c r="C77" i="2"/>
  <c r="C87" i="2"/>
  <c r="C97" i="2"/>
  <c r="C107" i="2"/>
  <c r="C68" i="2"/>
  <c r="C78" i="2"/>
  <c r="C88" i="2"/>
  <c r="C98" i="2"/>
  <c r="C108" i="2"/>
  <c r="C69" i="2"/>
  <c r="C79" i="2"/>
  <c r="C89" i="2"/>
  <c r="C99" i="2"/>
  <c r="C109" i="2"/>
  <c r="C70" i="2"/>
  <c r="C80" i="2"/>
  <c r="C90" i="2"/>
  <c r="C100" i="2"/>
  <c r="C110" i="2"/>
  <c r="C71" i="2"/>
  <c r="C81" i="2"/>
  <c r="C91" i="2"/>
  <c r="C101" i="2"/>
  <c r="C111" i="2"/>
  <c r="C72" i="2"/>
  <c r="C82" i="2"/>
  <c r="C92" i="2"/>
  <c r="C102" i="2"/>
  <c r="C112" i="2"/>
  <c r="C73" i="2"/>
  <c r="C83" i="2"/>
  <c r="C93" i="2"/>
  <c r="C103" i="2"/>
  <c r="C113" i="2"/>
  <c r="C74" i="2"/>
  <c r="C84" i="2"/>
  <c r="C94" i="2"/>
  <c r="C104" i="2"/>
  <c r="C77" i="3"/>
  <c r="C78" i="3"/>
  <c r="C79" i="3"/>
  <c r="C80" i="3"/>
  <c r="C81" i="3"/>
  <c r="C59" i="3"/>
  <c r="C72" i="3"/>
  <c r="C60" i="3"/>
  <c r="C73" i="3"/>
  <c r="C61" i="3"/>
  <c r="C62" i="3"/>
  <c r="C63" i="3"/>
  <c r="C66" i="3"/>
  <c r="C76" i="3"/>
  <c r="C67" i="3"/>
  <c r="C56" i="3"/>
  <c r="C68" i="3"/>
  <c r="C57" i="3"/>
  <c r="C69" i="3"/>
  <c r="C58" i="3"/>
  <c r="C70" i="3"/>
  <c r="C64" i="3"/>
  <c r="C74" i="3"/>
  <c r="C55" i="3"/>
  <c r="C65" i="3"/>
  <c r="C75" i="3"/>
</calcChain>
</file>

<file path=xl/sharedStrings.xml><?xml version="1.0" encoding="utf-8"?>
<sst xmlns="http://schemas.openxmlformats.org/spreadsheetml/2006/main" count="104" uniqueCount="104">
  <si>
    <t>SCI1_M1_MLB_V113_B1_pm150_stdInsample2004_2023_CLL_NoisyBAL_SPITZER17Jun_Batch1_M18.pkl</t>
  </si>
  <si>
    <t>SCI2_M3_MLB_V113_B1_pm150_stdInsample2004_2023_CLL_NoisyBAL_SPITZER17Jun_Batch1_M53.pkl</t>
  </si>
  <si>
    <t>SCI3_M4_MLB_V113_B1_pm150_stdInsample2004_2023_CLL_NoisyBAL_SPITZER17Jun_Batch1_M73.pkl</t>
  </si>
  <si>
    <t>SCI4_M1_MLB_V113_B1_pm150_stdInsample2004_2023_CLL_NoisyBAL_WEBB17Jun_Batch1_M55.pkl</t>
  </si>
  <si>
    <t>SCI5_M2_MLB_V113_B1_pm150_stdInsample2004_2023_CLL_NoisyBAL_WEBB17Jun_Batch1_M46.pkl</t>
  </si>
  <si>
    <t>SCI6_M3_MLB_V113_B1_pm150_stdInsample2004_2023_CLL_NoisyBAL_WEBB17Jun_Batch1_M84.pkl</t>
  </si>
  <si>
    <t>SCI7_M5_MLB_V113_B1_pm150_stdInsample2004_2023_CLL_NoisyBAL_WEBB17Jun_Batch1_M23.pkl</t>
  </si>
  <si>
    <t>SCI8_M1_MLB_V113_B1_pm150_stdInsample2004_2023_CLL_NoisyBAL_KEPLER17Jun_Batch1_M19.pkl</t>
  </si>
  <si>
    <t>SCI9_M2_MLB_V113_B1_pm150_stdInsample2004_2023_CLL_NoisyBAL_KEPLER17Jun_Batch1_M10.pkl</t>
  </si>
  <si>
    <t>SCI10_M3_MLB_V113_B1_pm150_stdInsample2004_2023_CLL_NoisyBAL_KEPLER17Jun_Batch1_M3.pkl</t>
  </si>
  <si>
    <t>SCI11_M4_MLB_V113_B1_pm150_stdInsample2004_2023_CLL_NoisyBAL_KEPLER17Jun_Batch1_M40.pkl</t>
  </si>
  <si>
    <t>SCI12_M5_MLB_V113_B1_pm150_stdInsample2004_2023_CLL_NoisyBAL_KEPLER17Jun_Batch1_M88.pkl</t>
  </si>
  <si>
    <t>SCI13_M7_MLB_V113_B1_pm150_stdInsample2004_2023_CLL_NoisyBAL_KEPLER17Jun_Batch1_M98.pkl</t>
  </si>
  <si>
    <t>SCI14_M8_MLB_V113_B1_pm150_stdInsample2004_2023_CLL_NoisyBAL_KEPLER17Jun_Batch1_M77.pkl</t>
  </si>
  <si>
    <t>SCI15_M9_MLB_V113_B1_pm150_stdInsample2004_2023_CLL_NoisyBAL_KEPLER17Jun_Batch1_M49.pkl</t>
  </si>
  <si>
    <t>SCI1_M1_MLB_V113_B1_pm210_stdInsample2004_2023_CLL_NoisyBAL_HERSCHEL17Jun_Batch1_M28.pkl</t>
  </si>
  <si>
    <t>SCI2_M2_MLB_V113_B1_pm210_stdInsample2004_2023_CLL_NoisyBAL_HERSCHEL17Jun_Batch1_M44.pkl</t>
  </si>
  <si>
    <t>SCI3_M3_MLB_V113_B1_pm210_stdInsample2004_2023_CLL_NoisyBAL_HERSCHEL17Jun_Batch1_M21.pkl</t>
  </si>
  <si>
    <t>SCI4_M5_MLB_V113_B1_pm210_stdInsample2004_2023_CLL_NoisyBAL_HERSCHEL17Jun_Batch1_M61.pkl</t>
  </si>
  <si>
    <t>SCI5_M1_MLB_V113_B1_pm210_stdInsample2004_2023_CLL_NoisyBAL_GALILEO17Jun_Batch1_M66.pkl</t>
  </si>
  <si>
    <t>SCI6_M2_MLB_V113_B1_pm210_stdInsample2004_2023_CLL_NoisyBAL_GALILEO17Jun_Batch1_M43.pkl</t>
  </si>
  <si>
    <t>SCI7_M3_MLB_V113_B1_pm210_stdInsample2004_2023_CLL_NoisyBAL_GALILEO17Jun_Batch1_M58.pkl</t>
  </si>
  <si>
    <t>SCI8_M4_MLB_V113_B1_pm210_stdInsample2004_2023_CLL_NoisyBAL_GALILEO17Jun_Batch1_M28.pkl</t>
  </si>
  <si>
    <t>SCI9_M5_MLB_V113_B1_pm210_stdInsample2004_2023_CLL_NoisyBAL_GALILEO17Jun_Batch1_M40.pkl</t>
  </si>
  <si>
    <t>SCI10_M6_MLB_V113_B1_pm210_stdInsample2004_2023_CLL_NoisyBAL_GALILEO17Jun_Batch1_M37.pkl</t>
  </si>
  <si>
    <t>SCI11_M1_MLB_V113_B1_pm210_stdInsample2004_2023_CLL_NoisyBAL_EINSTEIN17Jun_Batch1_M24.pkl</t>
  </si>
  <si>
    <t>SCI12_M2_MLB_V113_B1_pm210_stdInsample2004_2023_CLL_NoisyBAL_EINSTEIN17Jun_Batch1_M43.pkl</t>
  </si>
  <si>
    <t>SCI13_M5_MLB_V113_B1_pm210_stdInsample2004_2023_CLL_NoisyBAL_EINSTEIN17Jun_Batch1_M29.pkl</t>
  </si>
  <si>
    <t>SCI14_MLB_V113_B1_pm210_stdInsample2004_2023_CLL_NoisyBAL_EINSTEIN17Jun_Batch1_M19.pkl</t>
  </si>
  <si>
    <t>SCI15_M7_MLB_V113_B1_pm210_stdInsample2004_2023_CLL_NoisyBAL_EINSTEIN17Jun_Batch1_M13.pkl</t>
  </si>
  <si>
    <t>New</t>
  </si>
  <si>
    <t>M13_MLB_V113_B1_pm210_stdInsample2004_2023_CLL_NoisyBAL_HERSCHEL17Jun_Batch1_M109.pkl</t>
  </si>
  <si>
    <t>M10_MLB_V113_B1_pm210_stdInsample2004_2023_CLL_NoisyBAL_HERSCHEL17Jun_Batch1_M71.pkl</t>
  </si>
  <si>
    <t>M9_MLB_V113_B1_pm210_stdInsample2004_2023_CLL_NoisyBAL_HERSCHEL17Jun_Batch1_M74.pkl</t>
  </si>
  <si>
    <t>M8_MLB_V113_B1_pm210_stdInsample2004_2023_CLL_NoisyBAL_HERSCHEL17Jun_Batch1_M105.pkl</t>
  </si>
  <si>
    <t>M17_MLB_V113_B1_pm210_stdInsample2004_2023_CLL_NoisyBAL_GALILEO17Jun_Batch1_M112.pkl</t>
  </si>
  <si>
    <t>M16_MLB_V113_B1_pm210_stdInsample2004_2023_CLL_NoisyBAL_GALILEO17Jun_Batch1_M84.pkl</t>
  </si>
  <si>
    <t>M11_MLB_V113_B1_pm210_stdInsample2004_2023_CLL_NoisyBAL_GALILEO17Jun_Batch1_M14.pkl</t>
  </si>
  <si>
    <t>M12_MLB_V113_B1_pm210_stdInsample2004_2023_CLL_NoisyBAL_GALILEO17Jun_Batch1_M15.pkl</t>
  </si>
  <si>
    <t>M14_MLB_V113_B1_pm210_stdInsample2004_2023_CLL_NoisyBAL_GALILEO17Jun_Batch1_M106.pkl</t>
  </si>
  <si>
    <t>M7_MLB_V113_B1_pm210_stdInsample2004_2023_CLL_NoisyBAL_EINSTEIN17Jun_Batch1_M13.pkl</t>
  </si>
  <si>
    <t>M11_MLB_V113_B1_pm210_stdInsample2004_2023_CLL_NoisyBAL_EINSTEIN17Jun_Batch1_M6.pkl</t>
  </si>
  <si>
    <t>M15_MLB_V113_B1_pm210_stdInsample2004_2023_CLL_NoisyBAL_EINSTEIN17Jun_Batch1_M66.pkl</t>
  </si>
  <si>
    <t>New Trees</t>
  </si>
  <si>
    <t>M8_MLB_V113_B1_pm150_stdInsample2004_2023_CLL_NoisyBAL_SPITZER17Jun_Batch1_M124.pkl</t>
  </si>
  <si>
    <t>M9_MLB_V113_B1_pm150_stdInsample2004_2023_CLL_NoisyBAL_SPITZER17Jun_Batch1_M160.pkl</t>
  </si>
  <si>
    <t>M10_MLB_V113_B1_pm150_stdInsample2004_2023_CLL_NoisyBAL_SPITZER17Jun_Batch1_M120.pkl</t>
  </si>
  <si>
    <t>M11_MLB_V113_B1_pm150_stdInsample2004_2023_CLL_NoisyBAL_SPITZER17Jun_Batch1_M154.pkl</t>
  </si>
  <si>
    <t>M6_MLB_V113_B1_pm150_stdInsample2004_2023_CLL_NoisyBAL_WEBB17Jun_Batch1_M95.pkl</t>
  </si>
  <si>
    <t>M7_MLB_V113_B1_pm150_stdInsample2004_2023_CLL_NoisyBAL_WEBB17Jun_Batch1_M101.pkl</t>
  </si>
  <si>
    <t>M8_MLB_V113_B1_pm150_stdInsample2004_2023_CLL_NoisyBAL_WEBB17Jun_Batch1_M104.pkl</t>
  </si>
  <si>
    <t>M12_MLB_V113_B1_pm150_stdInsample2004_2023_CLL_NoisyBAL_WEBB17Jun_Batch1_M150.pkl</t>
  </si>
  <si>
    <t>M13_MLB_V113_B1_pm150_stdInsample2004_2023_CLL_NoisyBAL_WEBB17Jun_Batch1_M183.pkl</t>
  </si>
  <si>
    <t>M12_MLB_V113_B1_pm150_stdInsample2004_2023_CLL_NoisyBAL_KEPLER17Jun_Batch1_M172.pkl</t>
  </si>
  <si>
    <t>M15_MLB_V113_B1_pm150_stdInsample2004_2023_CLL_NoisyBAL_KEPLER17Jun_Batch1_M166.pkl</t>
  </si>
  <si>
    <t>M14_MLB_V113_B1_pm150_stdInsample2004_2023_CLL_NoisyBAL_KEPLER17Jun_Batch1_M170.pkl</t>
  </si>
  <si>
    <t>M14_MLB_V113_B1_pm210_stdInsample2004_2023_CLL_NoisyBAL_HERSCHEL17Jun_Batch1_M451.pkl</t>
  </si>
  <si>
    <t>M15_MLB_V113_B1_pm210_stdInsample2004_2023_CLL_NoisyBAL_HERSCHEL17Jun_Batch1_M807.pkl</t>
  </si>
  <si>
    <t>M16_MLB_V113_B1_pm210_stdInsample2004_2023_CLL_NoisyBAL_HERSCHEL17Jun_Batch1_M439.pkl</t>
  </si>
  <si>
    <t>M17_MLB_V113_B1_pm210_stdInsample2004_2023_CLL_NoisyBAL_HERSCHEL17Jun_Batch1_M325.pkl</t>
  </si>
  <si>
    <t>M18_MLB_V113_B1_pm210_stdInsample2004_2023_CLL_NoisyBAL_HERSCHEL17Jun_Batch1_M215.pkl</t>
  </si>
  <si>
    <t>M19_MLB_V113_B1_pm210_stdInsample2004_2023_CLL_NoisyBAL_HERSCHEL17Jun_Batch1_M211.pkl</t>
  </si>
  <si>
    <t>M20_MLB_V113_B1_pm210_stdInsample2004_2023_CLL_NoisyBAL_HERSCHEL17Jun_Batch1_M751.pkl</t>
  </si>
  <si>
    <t>M21_MLB_V113_B1_pm210_stdInsample2004_2023_CLL_NoisyBAL_HERSCHEL17Jun_Batch1_M524.pkl</t>
  </si>
  <si>
    <t>M22_MLB_V113_B1_pm210_stdInsample2004_2023_CLL_NoisyBAL_HERSCHEL17Jun_Batch1_M811.pkl</t>
  </si>
  <si>
    <t>M23_MLB_V113_B1_pm210_stdInsample2004_2023_CLL_NoisyBAL_HERSCHEL17Jun_Batch1_M592.pkl</t>
  </si>
  <si>
    <t>M24_MLB_V113_B1_pm210_stdInsample2004_2023_CLL_NoisyBAL_HERSCHEL17Jun_Batch1_M600.pkl</t>
  </si>
  <si>
    <t>M25_MLB_V113_B1_pm210_stdInsample2004_2023_CLL_NoisyBAL_HERSCHEL17Jun_Batch1_M319.pkl</t>
  </si>
  <si>
    <t>M26_MLB_V113_B1_pm210_stdInsample2004_2023_CLL_NoisyBAL_HERSCHEL17Jun_Batch1_M745.pkl</t>
  </si>
  <si>
    <t>M27_MLB_V113_B1_pm210_stdInsample2004_2023_CLL_NoisyBAL_HERSCHEL17Jun_Batch1_M788.pkl</t>
  </si>
  <si>
    <t>M28_MLB_V113_B1_pm210_stdInsample2004_2023_CLL_NoisyBAL_HERSCHEL17Jun_Batch1_M953.pkl</t>
  </si>
  <si>
    <t>M29_MLB_V113_B1_pm210_stdInsample2004_2023_CLL_NoisyBAL_HERSCHEL17Jun_Batch1_M231.pkl</t>
  </si>
  <si>
    <t>M30_MLB_V113_B1_pm210_stdInsample2004_2023_CLL_NoisyBAL_HERSCHEL17Jun_Batch1_M340.pkl</t>
  </si>
  <si>
    <t>M31_MLB_V113_B1_pm210_stdInsample2004_2023_CLL_NoisyBAL_HERSCHEL17Jun_Batch1_M726.pkl</t>
  </si>
  <si>
    <t>M32_MLB_V113_B1_pm210_stdInsample2004_2023_CLL_NoisyBAL_HERSCHEL17Jun_Batch1_M687.pkl</t>
  </si>
  <si>
    <t>M33_MLB_V113_B1_pm210_stdInsample2004_2023_CLL_NoisyBAL_HERSCHEL17Jun_Batch1_M368.pkl</t>
  </si>
  <si>
    <t>=47 models</t>
  </si>
  <si>
    <t>x</t>
  </si>
  <si>
    <t>SCI32_M18_MLB_V113_B1_pm150_stdInsample2004_2023_CLL_NoisyBAL_WEBB17Jun_Batch1_M770.pkl</t>
  </si>
  <si>
    <t>SCI28_M14_MLB_V113_B1_pm150_stdInsample2004_2023_CLL_NoisyBAL_WEBB17Jun_Batch1_M561.pkl</t>
  </si>
  <si>
    <t>SCI29_M15_MLB_V113_B1_pm150_stdInsample2004_2023_CLL_NoisyBAL_WEBB17Jun_Batch1_M221.pkl</t>
  </si>
  <si>
    <t>SCI30_M16_MLB_V113_B1_pm150_stdInsample2004_2023_CLL_NoisyBAL_WEBB17Jun_Batch1_M387.pkl</t>
  </si>
  <si>
    <t>SCI31_M17_MLB_V113_B1_pm150_stdInsample2004_2023_CLL_NoisyBAL_WEBB17Jun_Batch1_M390.pkl</t>
  </si>
  <si>
    <t>SCI33_M19_MLB_V113_B1_pm150_stdInsample2004_2023_CLL_NoisyBAL_WEBB17Jun_Batch1_M843.pkl</t>
  </si>
  <si>
    <t>SCI34_M20_MLB_V113_B1_pm150_stdInsample2004_2023_CLL_NoisyBAL_WEBB17Jun_Batch1_M498.pkl</t>
  </si>
  <si>
    <t>SCI35_M21_MLB_V113_B1_pm150_stdInsample2004_2023_CLL_NoisyBAL_WEBB17Jun_Batch1_M785.pkl</t>
  </si>
  <si>
    <t>SCI36_M22_MLB_V113_B1_pm150_stdInsample2004_2023_CLL_NoisyBAL_WEBB17Jun_Batch1_M257.pkl</t>
  </si>
  <si>
    <t>SCI37_M23_MLB_V113_B1_pm150_stdInsample2004_2023_CLL_NoisyBAL_WEBB17Jun_Batch1_M279.pkl</t>
  </si>
  <si>
    <t>SCI38_M24_MLB_V113_B1_pm150_stdInsample2004_2023_CLL_NoisyBAL_WEBB17Jun_Batch1_M623.pkl</t>
  </si>
  <si>
    <t>SCI39_M25_MLB_V113_B1_pm150_stdInsample2004_2023_CLL_NoisyBAL_WEBB17Jun_Batch1_M280.pkl</t>
  </si>
  <si>
    <t>SCI40_M26_MLB_V113_B1_pm150_stdInsample2004_2023_CLL_NoisyBAL_WEBB17Jun_Batch1_M325.pkl</t>
  </si>
  <si>
    <t>SCI41_M27_MLB_V113_B1_pm150_stdInsample2004_2023_CLL_NoisyBAL_WEBB17Jun_Batch1_M737.pkl</t>
  </si>
  <si>
    <t>SCI42_M28_MLB_V113_B1_pm150_stdInsample2004_2023_CLL_NoisyBAL_WEBB17Jun_Batch1_M841.pkl</t>
  </si>
  <si>
    <t>SCI43_M29_MLB_V113_B1_pm150_stdInsample2004_2023_CLL_NoisyBAL_WEBB17Jun_Batch1_M231.pkl</t>
  </si>
  <si>
    <t>SCI44_M30_MLB_V113_B1_pm150_stdInsample2004_2023_CLL_NoisyBAL_WEBB17Jun_Batch1_M217.pkl</t>
  </si>
  <si>
    <t>SCI45_M31_MLB_V113_B1_pm150_stdInsample2004_2023_CLL_NoisyBAL_WEBB17Jun_Batch1_M565.pkl</t>
  </si>
  <si>
    <t>SCI46_M32_MLB_V113_B1_pm150_stdInsample2004_2023_CLL_NoisyBAL_WEBB17Jun_Batch1_M920.pkl</t>
  </si>
  <si>
    <t>SCI47_M33_MLB_V113_B1_pm150_stdInsample2004_2023_CLL_NoisyBAL_WEBB17Jun_Batch1_M574.pkl</t>
  </si>
  <si>
    <t>SCI48_M14_MLB_V113_B1_pm150_stdInsample2004_2023_CLL_NoisyBAL_SPITZER17Jun_Batch1_M493.pkl</t>
  </si>
  <si>
    <t>SCI49_M15_MLB_V113_B1_pm150_stdInsample2004_2023_CLL_NoisyBAL_SPITZER17Jun_Batch1_M506.pkl</t>
  </si>
  <si>
    <t>SCI50_M16_MLB_V113_B1_pm150_stdInsample2004_2023_CLL_NoisyBAL_SPITZER17Jun_Batch1_M834.pkl</t>
  </si>
  <si>
    <t>SCI51_M17_MLB_V113_B1_pm150_stdInsample2004_2023_CLL_NoisyBAL_SPITZER17Jun_Batch1_M900.pkl</t>
  </si>
  <si>
    <t>SCI52_M18_MLB_V113_B1_pm150_stdInsample2004_2023_CLL_NoisyBAL_SPITZER17Jun_Batch1_M911.pkl</t>
  </si>
  <si>
    <t>=52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</si>
</sst>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3DE99-C827-0A4D-98C4-2AF2C0C27963}">
  <dimension ref="A1:E119"/>
  <sheetViews>
    <sheetView tabSelected="1" topLeftCell="A90" workbookViewId="0">
      <selection activeCell="C104" sqref="C10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7" spans="1:1" x14ac:dyDescent="0.2">
      <c r="A17" t="s">
        <v>43</v>
      </c>
    </row>
    <row r="19" spans="1:1" x14ac:dyDescent="0.2">
      <c r="A19" t="s">
        <v>44</v>
      </c>
    </row>
    <row r="20" spans="1:1" x14ac:dyDescent="0.2">
      <c r="A20" t="s">
        <v>45</v>
      </c>
    </row>
    <row r="21" spans="1:1" x14ac:dyDescent="0.2">
      <c r="A21" t="s">
        <v>46</v>
      </c>
    </row>
    <row r="22" spans="1:1" x14ac:dyDescent="0.2">
      <c r="A22" t="s">
        <v>47</v>
      </c>
    </row>
    <row r="24" spans="1:1" x14ac:dyDescent="0.2">
      <c r="A24" t="s">
        <v>48</v>
      </c>
    </row>
    <row r="25" spans="1:1" x14ac:dyDescent="0.2">
      <c r="A25" t="s">
        <v>49</v>
      </c>
    </row>
    <row r="26" spans="1:1" x14ac:dyDescent="0.2">
      <c r="A26" t="s">
        <v>50</v>
      </c>
    </row>
    <row r="27" spans="1:1" x14ac:dyDescent="0.2">
      <c r="A27" t="s">
        <v>51</v>
      </c>
    </row>
    <row r="28" spans="1:1" x14ac:dyDescent="0.2">
      <c r="A28" t="s">
        <v>52</v>
      </c>
    </row>
    <row r="30" spans="1:1" x14ac:dyDescent="0.2">
      <c r="A30" t="s">
        <v>53</v>
      </c>
    </row>
    <row r="31" spans="1:1" x14ac:dyDescent="0.2">
      <c r="A31" t="s">
        <v>55</v>
      </c>
    </row>
    <row r="32" spans="1:1" x14ac:dyDescent="0.2">
      <c r="A32" t="s">
        <v>54</v>
      </c>
    </row>
    <row r="34" spans="1:1" x14ac:dyDescent="0.2">
      <c r="A34" t="s">
        <v>78</v>
      </c>
    </row>
    <row r="35" spans="1:1" x14ac:dyDescent="0.2">
      <c r="A35" t="s">
        <v>79</v>
      </c>
    </row>
    <row r="36" spans="1:1" x14ac:dyDescent="0.2">
      <c r="A36" t="s">
        <v>80</v>
      </c>
    </row>
    <row r="37" spans="1:1" x14ac:dyDescent="0.2">
      <c r="A37" t="s">
        <v>81</v>
      </c>
    </row>
    <row r="38" spans="1:1" x14ac:dyDescent="0.2">
      <c r="A38" t="s">
        <v>82</v>
      </c>
    </row>
    <row r="39" spans="1:1" x14ac:dyDescent="0.2">
      <c r="A39" t="s">
        <v>83</v>
      </c>
    </row>
    <row r="40" spans="1:1" x14ac:dyDescent="0.2">
      <c r="A40" t="s">
        <v>84</v>
      </c>
    </row>
    <row r="41" spans="1:1" x14ac:dyDescent="0.2">
      <c r="A41" t="s">
        <v>85</v>
      </c>
    </row>
    <row r="42" spans="1:1" x14ac:dyDescent="0.2">
      <c r="A42" t="s">
        <v>86</v>
      </c>
    </row>
    <row r="43" spans="1:1" x14ac:dyDescent="0.2">
      <c r="A43" t="s">
        <v>87</v>
      </c>
    </row>
    <row r="44" spans="1:1" x14ac:dyDescent="0.2">
      <c r="A44" t="s">
        <v>88</v>
      </c>
    </row>
    <row r="45" spans="1:1" x14ac:dyDescent="0.2">
      <c r="A45" t="s">
        <v>89</v>
      </c>
    </row>
    <row r="46" spans="1:1" x14ac:dyDescent="0.2">
      <c r="A46" t="s">
        <v>90</v>
      </c>
    </row>
    <row r="47" spans="1:1" x14ac:dyDescent="0.2">
      <c r="A47" t="s">
        <v>91</v>
      </c>
    </row>
    <row r="48" spans="1:1" x14ac:dyDescent="0.2">
      <c r="A48" t="s">
        <v>92</v>
      </c>
    </row>
    <row r="49" spans="1:1" x14ac:dyDescent="0.2">
      <c r="A49" t="s">
        <v>93</v>
      </c>
    </row>
    <row r="50" spans="1:1" x14ac:dyDescent="0.2">
      <c r="A50" t="s">
        <v>94</v>
      </c>
    </row>
    <row r="51" spans="1:1" x14ac:dyDescent="0.2">
      <c r="A51" t="s">
        <v>95</v>
      </c>
    </row>
    <row r="52" spans="1:1" x14ac:dyDescent="0.2">
      <c r="A52" t="s">
        <v>96</v>
      </c>
    </row>
    <row r="53" spans="1:1" x14ac:dyDescent="0.2">
      <c r="A53" t="s">
        <v>97</v>
      </c>
    </row>
    <row r="54" spans="1:1" x14ac:dyDescent="0.2">
      <c r="A54" t="s">
        <v>98</v>
      </c>
    </row>
    <row r="55" spans="1:1" x14ac:dyDescent="0.2">
      <c r="A55" t="s">
        <v>99</v>
      </c>
    </row>
    <row r="56" spans="1:1" x14ac:dyDescent="0.2">
      <c r="A56" t="s">
        <v>100</v>
      </c>
    </row>
    <row r="57" spans="1:1" x14ac:dyDescent="0.2">
      <c r="A57" t="s">
        <v>101</v>
      </c>
    </row>
    <row r="58" spans="1:1" x14ac:dyDescent="0.2">
      <c r="A58" t="s">
        <v>102</v>
      </c>
    </row>
    <row r="67" spans="1:5" x14ac:dyDescent="0.2">
      <c r="A67" s="1" t="s">
        <v>103</v>
      </c>
      <c r="C67">
        <f>1/52</f>
        <v>1.9230769230769232E-2</v>
      </c>
      <c r="E67">
        <v>99</v>
      </c>
    </row>
    <row r="68" spans="1:5" x14ac:dyDescent="0.2">
      <c r="B68">
        <v>1</v>
      </c>
      <c r="C68">
        <f t="shared" ref="C68:C119" si="0">B68*$C$67</f>
        <v>1.9230769230769232E-2</v>
      </c>
    </row>
    <row r="69" spans="1:5" x14ac:dyDescent="0.2">
      <c r="B69">
        <v>2</v>
      </c>
      <c r="C69">
        <f t="shared" si="0"/>
        <v>3.8461538461538464E-2</v>
      </c>
    </row>
    <row r="70" spans="1:5" x14ac:dyDescent="0.2">
      <c r="B70">
        <v>3</v>
      </c>
      <c r="C70">
        <f t="shared" si="0"/>
        <v>5.7692307692307696E-2</v>
      </c>
    </row>
    <row r="71" spans="1:5" x14ac:dyDescent="0.2">
      <c r="B71">
        <v>4</v>
      </c>
      <c r="C71">
        <f t="shared" si="0"/>
        <v>7.6923076923076927E-2</v>
      </c>
    </row>
    <row r="72" spans="1:5" x14ac:dyDescent="0.2">
      <c r="B72">
        <v>5</v>
      </c>
      <c r="C72">
        <f t="shared" si="0"/>
        <v>9.6153846153846159E-2</v>
      </c>
    </row>
    <row r="73" spans="1:5" x14ac:dyDescent="0.2">
      <c r="B73">
        <v>6</v>
      </c>
      <c r="C73">
        <f t="shared" si="0"/>
        <v>0.11538461538461539</v>
      </c>
    </row>
    <row r="74" spans="1:5" x14ac:dyDescent="0.2">
      <c r="B74">
        <v>7</v>
      </c>
      <c r="C74">
        <f t="shared" si="0"/>
        <v>0.13461538461538464</v>
      </c>
    </row>
    <row r="75" spans="1:5" x14ac:dyDescent="0.2">
      <c r="B75">
        <v>8</v>
      </c>
      <c r="C75">
        <f t="shared" si="0"/>
        <v>0.15384615384615385</v>
      </c>
    </row>
    <row r="76" spans="1:5" x14ac:dyDescent="0.2">
      <c r="B76">
        <v>9</v>
      </c>
      <c r="C76">
        <f t="shared" si="0"/>
        <v>0.17307692307692307</v>
      </c>
    </row>
    <row r="77" spans="1:5" x14ac:dyDescent="0.2">
      <c r="B77">
        <v>10</v>
      </c>
      <c r="C77">
        <f t="shared" si="0"/>
        <v>0.19230769230769232</v>
      </c>
    </row>
    <row r="78" spans="1:5" x14ac:dyDescent="0.2">
      <c r="B78">
        <v>11</v>
      </c>
      <c r="C78">
        <f t="shared" si="0"/>
        <v>0.21153846153846156</v>
      </c>
    </row>
    <row r="79" spans="1:5" x14ac:dyDescent="0.2">
      <c r="B79">
        <v>12</v>
      </c>
      <c r="C79">
        <f t="shared" si="0"/>
        <v>0.23076923076923078</v>
      </c>
    </row>
    <row r="80" spans="1:5" x14ac:dyDescent="0.2">
      <c r="B80">
        <v>13</v>
      </c>
      <c r="C80">
        <f t="shared" si="0"/>
        <v>0.25</v>
      </c>
    </row>
    <row r="81" spans="2:3" x14ac:dyDescent="0.2">
      <c r="B81">
        <v>14</v>
      </c>
      <c r="C81">
        <f t="shared" si="0"/>
        <v>0.26923076923076927</v>
      </c>
    </row>
    <row r="82" spans="2:3" x14ac:dyDescent="0.2">
      <c r="B82">
        <v>15</v>
      </c>
      <c r="C82">
        <f t="shared" si="0"/>
        <v>0.28846153846153849</v>
      </c>
    </row>
    <row r="83" spans="2:3" x14ac:dyDescent="0.2">
      <c r="B83">
        <v>16</v>
      </c>
      <c r="C83">
        <f t="shared" si="0"/>
        <v>0.30769230769230771</v>
      </c>
    </row>
    <row r="84" spans="2:3" x14ac:dyDescent="0.2">
      <c r="B84">
        <v>17</v>
      </c>
      <c r="C84">
        <f t="shared" si="0"/>
        <v>0.32692307692307693</v>
      </c>
    </row>
    <row r="85" spans="2:3" x14ac:dyDescent="0.2">
      <c r="B85">
        <v>18</v>
      </c>
      <c r="C85">
        <f t="shared" si="0"/>
        <v>0.34615384615384615</v>
      </c>
    </row>
    <row r="86" spans="2:3" x14ac:dyDescent="0.2">
      <c r="B86">
        <v>19</v>
      </c>
      <c r="C86">
        <f t="shared" si="0"/>
        <v>0.36538461538461542</v>
      </c>
    </row>
    <row r="87" spans="2:3" x14ac:dyDescent="0.2">
      <c r="B87">
        <v>20</v>
      </c>
      <c r="C87">
        <f t="shared" si="0"/>
        <v>0.38461538461538464</v>
      </c>
    </row>
    <row r="88" spans="2:3" x14ac:dyDescent="0.2">
      <c r="B88">
        <v>21</v>
      </c>
      <c r="C88">
        <f t="shared" si="0"/>
        <v>0.40384615384615385</v>
      </c>
    </row>
    <row r="89" spans="2:3" x14ac:dyDescent="0.2">
      <c r="B89">
        <v>22</v>
      </c>
      <c r="C89">
        <f t="shared" si="0"/>
        <v>0.42307692307692313</v>
      </c>
    </row>
    <row r="90" spans="2:3" x14ac:dyDescent="0.2">
      <c r="B90">
        <v>23</v>
      </c>
      <c r="C90">
        <f t="shared" si="0"/>
        <v>0.44230769230769235</v>
      </c>
    </row>
    <row r="91" spans="2:3" x14ac:dyDescent="0.2">
      <c r="B91">
        <v>24</v>
      </c>
      <c r="C91">
        <f t="shared" si="0"/>
        <v>0.46153846153846156</v>
      </c>
    </row>
    <row r="92" spans="2:3" x14ac:dyDescent="0.2">
      <c r="B92">
        <v>25</v>
      </c>
      <c r="C92">
        <f t="shared" si="0"/>
        <v>0.48076923076923078</v>
      </c>
    </row>
    <row r="93" spans="2:3" x14ac:dyDescent="0.2">
      <c r="B93">
        <v>26</v>
      </c>
      <c r="C93">
        <f t="shared" si="0"/>
        <v>0.5</v>
      </c>
    </row>
    <row r="94" spans="2:3" x14ac:dyDescent="0.2">
      <c r="B94">
        <v>27</v>
      </c>
      <c r="C94">
        <f t="shared" si="0"/>
        <v>0.51923076923076927</v>
      </c>
    </row>
    <row r="95" spans="2:3" x14ac:dyDescent="0.2">
      <c r="B95">
        <v>28</v>
      </c>
      <c r="C95">
        <f t="shared" si="0"/>
        <v>0.53846153846153855</v>
      </c>
    </row>
    <row r="96" spans="2:3" x14ac:dyDescent="0.2">
      <c r="B96">
        <v>29</v>
      </c>
      <c r="C96">
        <f t="shared" si="0"/>
        <v>0.55769230769230771</v>
      </c>
    </row>
    <row r="97" spans="2:3" x14ac:dyDescent="0.2">
      <c r="B97">
        <v>30</v>
      </c>
      <c r="C97">
        <f t="shared" si="0"/>
        <v>0.57692307692307698</v>
      </c>
    </row>
    <row r="98" spans="2:3" x14ac:dyDescent="0.2">
      <c r="B98">
        <v>31</v>
      </c>
      <c r="C98">
        <f t="shared" si="0"/>
        <v>0.59615384615384615</v>
      </c>
    </row>
    <row r="99" spans="2:3" x14ac:dyDescent="0.2">
      <c r="B99">
        <v>32</v>
      </c>
      <c r="C99">
        <f t="shared" si="0"/>
        <v>0.61538461538461542</v>
      </c>
    </row>
    <row r="100" spans="2:3" x14ac:dyDescent="0.2">
      <c r="B100">
        <v>33</v>
      </c>
      <c r="C100">
        <f t="shared" si="0"/>
        <v>0.63461538461538469</v>
      </c>
    </row>
    <row r="101" spans="2:3" x14ac:dyDescent="0.2">
      <c r="B101">
        <v>34</v>
      </c>
      <c r="C101">
        <f t="shared" si="0"/>
        <v>0.65384615384615385</v>
      </c>
    </row>
    <row r="102" spans="2:3" x14ac:dyDescent="0.2">
      <c r="B102">
        <v>35</v>
      </c>
      <c r="C102">
        <f t="shared" si="0"/>
        <v>0.67307692307692313</v>
      </c>
    </row>
    <row r="103" spans="2:3" x14ac:dyDescent="0.2">
      <c r="B103">
        <v>36</v>
      </c>
      <c r="C103">
        <f t="shared" si="0"/>
        <v>0.69230769230769229</v>
      </c>
    </row>
    <row r="104" spans="2:3" x14ac:dyDescent="0.2">
      <c r="B104">
        <v>37</v>
      </c>
      <c r="C104">
        <f t="shared" si="0"/>
        <v>0.71153846153846156</v>
      </c>
    </row>
    <row r="105" spans="2:3" x14ac:dyDescent="0.2">
      <c r="B105">
        <v>38</v>
      </c>
      <c r="C105">
        <f t="shared" si="0"/>
        <v>0.73076923076923084</v>
      </c>
    </row>
    <row r="106" spans="2:3" x14ac:dyDescent="0.2">
      <c r="B106">
        <v>39</v>
      </c>
      <c r="C106">
        <f t="shared" si="0"/>
        <v>0.75</v>
      </c>
    </row>
    <row r="107" spans="2:3" x14ac:dyDescent="0.2">
      <c r="B107">
        <v>40</v>
      </c>
      <c r="C107">
        <f t="shared" si="0"/>
        <v>0.76923076923076927</v>
      </c>
    </row>
    <row r="108" spans="2:3" x14ac:dyDescent="0.2">
      <c r="B108">
        <v>41</v>
      </c>
      <c r="C108">
        <f t="shared" si="0"/>
        <v>0.78846153846153855</v>
      </c>
    </row>
    <row r="109" spans="2:3" x14ac:dyDescent="0.2">
      <c r="B109">
        <v>42</v>
      </c>
      <c r="C109">
        <f t="shared" si="0"/>
        <v>0.80769230769230771</v>
      </c>
    </row>
    <row r="110" spans="2:3" x14ac:dyDescent="0.2">
      <c r="B110">
        <v>43</v>
      </c>
      <c r="C110">
        <f t="shared" si="0"/>
        <v>0.82692307692307698</v>
      </c>
    </row>
    <row r="111" spans="2:3" x14ac:dyDescent="0.2">
      <c r="B111">
        <v>44</v>
      </c>
      <c r="C111">
        <f t="shared" si="0"/>
        <v>0.84615384615384626</v>
      </c>
    </row>
    <row r="112" spans="2:3" x14ac:dyDescent="0.2">
      <c r="B112">
        <v>45</v>
      </c>
      <c r="C112">
        <f t="shared" si="0"/>
        <v>0.86538461538461542</v>
      </c>
    </row>
    <row r="113" spans="2:3" x14ac:dyDescent="0.2">
      <c r="B113">
        <v>46</v>
      </c>
      <c r="C113">
        <f t="shared" si="0"/>
        <v>0.88461538461538469</v>
      </c>
    </row>
    <row r="114" spans="2:3" x14ac:dyDescent="0.2">
      <c r="B114">
        <v>47</v>
      </c>
      <c r="C114">
        <f t="shared" si="0"/>
        <v>0.90384615384615385</v>
      </c>
    </row>
    <row r="115" spans="2:3" x14ac:dyDescent="0.2">
      <c r="B115">
        <v>48</v>
      </c>
      <c r="C115">
        <f t="shared" si="0"/>
        <v>0.92307692307692313</v>
      </c>
    </row>
    <row r="116" spans="2:3" x14ac:dyDescent="0.2">
      <c r="B116">
        <v>49</v>
      </c>
      <c r="C116">
        <f t="shared" si="0"/>
        <v>0.9423076923076924</v>
      </c>
    </row>
    <row r="117" spans="2:3" x14ac:dyDescent="0.2">
      <c r="B117">
        <v>50</v>
      </c>
      <c r="C117">
        <f t="shared" si="0"/>
        <v>0.96153846153846156</v>
      </c>
    </row>
    <row r="118" spans="2:3" x14ac:dyDescent="0.2">
      <c r="B118">
        <v>51</v>
      </c>
      <c r="C118">
        <f t="shared" si="0"/>
        <v>0.98076923076923084</v>
      </c>
    </row>
    <row r="119" spans="2:3" x14ac:dyDescent="0.2">
      <c r="B119">
        <v>52</v>
      </c>
      <c r="C119">
        <f t="shared" si="0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5860-CCC8-4949-9718-90DE285686EC}">
  <dimension ref="A1:E102"/>
  <sheetViews>
    <sheetView topLeftCell="A38" workbookViewId="0">
      <selection activeCell="A54" sqref="A54:XFD103"/>
    </sheetView>
  </sheetViews>
  <sheetFormatPr baseColWidth="10" defaultRowHeight="16" x14ac:dyDescent="0.2"/>
  <sheetData>
    <row r="1" spans="1:1" x14ac:dyDescent="0.2">
      <c r="A1" t="s">
        <v>15</v>
      </c>
    </row>
    <row r="2" spans="1:1" x14ac:dyDescent="0.2">
      <c r="A2" t="s">
        <v>16</v>
      </c>
    </row>
    <row r="3" spans="1:1" x14ac:dyDescent="0.2">
      <c r="A3" t="s">
        <v>17</v>
      </c>
    </row>
    <row r="4" spans="1:1" x14ac:dyDescent="0.2">
      <c r="A4" t="s">
        <v>18</v>
      </c>
    </row>
    <row r="5" spans="1:1" x14ac:dyDescent="0.2">
      <c r="A5" t="s">
        <v>19</v>
      </c>
    </row>
    <row r="6" spans="1:1" x14ac:dyDescent="0.2">
      <c r="A6" t="s">
        <v>20</v>
      </c>
    </row>
    <row r="7" spans="1:1" x14ac:dyDescent="0.2">
      <c r="A7" t="s">
        <v>21</v>
      </c>
    </row>
    <row r="8" spans="1:1" x14ac:dyDescent="0.2">
      <c r="A8" t="s">
        <v>22</v>
      </c>
    </row>
    <row r="9" spans="1:1" x14ac:dyDescent="0.2">
      <c r="A9" t="s">
        <v>23</v>
      </c>
    </row>
    <row r="10" spans="1:1" x14ac:dyDescent="0.2">
      <c r="A10" t="s">
        <v>24</v>
      </c>
    </row>
    <row r="11" spans="1:1" x14ac:dyDescent="0.2">
      <c r="A11" t="s">
        <v>25</v>
      </c>
    </row>
    <row r="12" spans="1:1" x14ac:dyDescent="0.2">
      <c r="A12" t="s">
        <v>26</v>
      </c>
    </row>
    <row r="13" spans="1:1" x14ac:dyDescent="0.2">
      <c r="A13" t="s">
        <v>27</v>
      </c>
    </row>
    <row r="14" spans="1:1" x14ac:dyDescent="0.2">
      <c r="A14" t="s">
        <v>28</v>
      </c>
    </row>
    <row r="15" spans="1:1" x14ac:dyDescent="0.2">
      <c r="A15" t="s">
        <v>29</v>
      </c>
    </row>
    <row r="17" spans="1:1" x14ac:dyDescent="0.2">
      <c r="A17" t="s">
        <v>30</v>
      </c>
    </row>
    <row r="18" spans="1:1" x14ac:dyDescent="0.2">
      <c r="A18" t="s">
        <v>33</v>
      </c>
    </row>
    <row r="19" spans="1:1" x14ac:dyDescent="0.2">
      <c r="A19" t="s">
        <v>34</v>
      </c>
    </row>
    <row r="20" spans="1:1" x14ac:dyDescent="0.2">
      <c r="A20" t="s">
        <v>31</v>
      </c>
    </row>
    <row r="21" spans="1:1" x14ac:dyDescent="0.2">
      <c r="A21" t="s">
        <v>32</v>
      </c>
    </row>
    <row r="23" spans="1:1" x14ac:dyDescent="0.2">
      <c r="A23" t="s">
        <v>37</v>
      </c>
    </row>
    <row r="24" spans="1:1" x14ac:dyDescent="0.2">
      <c r="A24" t="s">
        <v>38</v>
      </c>
    </row>
    <row r="25" spans="1:1" x14ac:dyDescent="0.2">
      <c r="A25" t="s">
        <v>39</v>
      </c>
    </row>
    <row r="26" spans="1:1" x14ac:dyDescent="0.2">
      <c r="A26" t="s">
        <v>36</v>
      </c>
    </row>
    <row r="27" spans="1:1" x14ac:dyDescent="0.2">
      <c r="A27" t="s">
        <v>35</v>
      </c>
    </row>
    <row r="29" spans="1:1" x14ac:dyDescent="0.2">
      <c r="A29" t="s">
        <v>40</v>
      </c>
    </row>
    <row r="30" spans="1:1" x14ac:dyDescent="0.2">
      <c r="A30" t="s">
        <v>41</v>
      </c>
    </row>
    <row r="31" spans="1:1" x14ac:dyDescent="0.2">
      <c r="A31" t="s">
        <v>42</v>
      </c>
    </row>
    <row r="33" spans="1:1" x14ac:dyDescent="0.2">
      <c r="A33" t="s">
        <v>56</v>
      </c>
    </row>
    <row r="34" spans="1:1" x14ac:dyDescent="0.2">
      <c r="A34" t="s">
        <v>57</v>
      </c>
    </row>
    <row r="35" spans="1:1" x14ac:dyDescent="0.2">
      <c r="A35" t="s">
        <v>58</v>
      </c>
    </row>
    <row r="36" spans="1:1" x14ac:dyDescent="0.2">
      <c r="A36" t="s">
        <v>59</v>
      </c>
    </row>
    <row r="37" spans="1:1" x14ac:dyDescent="0.2">
      <c r="A37" t="s">
        <v>60</v>
      </c>
    </row>
    <row r="38" spans="1:1" x14ac:dyDescent="0.2">
      <c r="A38" t="s">
        <v>61</v>
      </c>
    </row>
    <row r="39" spans="1:1" x14ac:dyDescent="0.2">
      <c r="A39" t="s">
        <v>62</v>
      </c>
    </row>
    <row r="40" spans="1:1" x14ac:dyDescent="0.2">
      <c r="A40" t="s">
        <v>63</v>
      </c>
    </row>
    <row r="41" spans="1:1" x14ac:dyDescent="0.2">
      <c r="A41" t="s">
        <v>64</v>
      </c>
    </row>
    <row r="42" spans="1:1" x14ac:dyDescent="0.2">
      <c r="A42" t="s">
        <v>65</v>
      </c>
    </row>
    <row r="43" spans="1:1" x14ac:dyDescent="0.2">
      <c r="A43" t="s">
        <v>66</v>
      </c>
    </row>
    <row r="44" spans="1:1" x14ac:dyDescent="0.2">
      <c r="A44" t="s">
        <v>67</v>
      </c>
    </row>
    <row r="45" spans="1:1" x14ac:dyDescent="0.2">
      <c r="A45" t="s">
        <v>68</v>
      </c>
    </row>
    <row r="46" spans="1:1" x14ac:dyDescent="0.2">
      <c r="A46" t="s">
        <v>69</v>
      </c>
    </row>
    <row r="47" spans="1:1" x14ac:dyDescent="0.2">
      <c r="A47" t="s">
        <v>70</v>
      </c>
    </row>
    <row r="48" spans="1:1" x14ac:dyDescent="0.2">
      <c r="A48" t="s">
        <v>71</v>
      </c>
    </row>
    <row r="49" spans="1:5" x14ac:dyDescent="0.2">
      <c r="A49" t="s">
        <v>72</v>
      </c>
    </row>
    <row r="50" spans="1:5" x14ac:dyDescent="0.2">
      <c r="A50" t="s">
        <v>73</v>
      </c>
    </row>
    <row r="51" spans="1:5" x14ac:dyDescent="0.2">
      <c r="A51" t="s">
        <v>74</v>
      </c>
    </row>
    <row r="52" spans="1:5" x14ac:dyDescent="0.2">
      <c r="A52" t="s">
        <v>75</v>
      </c>
    </row>
    <row r="54" spans="1:5" x14ac:dyDescent="0.2">
      <c r="A54" s="1" t="s">
        <v>76</v>
      </c>
      <c r="C54">
        <f>1/47</f>
        <v>2.1276595744680851E-2</v>
      </c>
      <c r="E54">
        <f>47*2</f>
        <v>94</v>
      </c>
    </row>
    <row r="55" spans="1:5" x14ac:dyDescent="0.2">
      <c r="B55">
        <v>1</v>
      </c>
      <c r="C55">
        <f>B55*$C$54</f>
        <v>2.1276595744680851E-2</v>
      </c>
    </row>
    <row r="56" spans="1:5" x14ac:dyDescent="0.2">
      <c r="B56">
        <v>2</v>
      </c>
      <c r="C56">
        <f t="shared" ref="C56:C101" si="0">B56*$C$54</f>
        <v>4.2553191489361701E-2</v>
      </c>
    </row>
    <row r="57" spans="1:5" x14ac:dyDescent="0.2">
      <c r="B57">
        <v>3</v>
      </c>
      <c r="C57">
        <f t="shared" si="0"/>
        <v>6.3829787234042548E-2</v>
      </c>
    </row>
    <row r="58" spans="1:5" x14ac:dyDescent="0.2">
      <c r="B58">
        <v>4</v>
      </c>
      <c r="C58">
        <f t="shared" si="0"/>
        <v>8.5106382978723402E-2</v>
      </c>
    </row>
    <row r="59" spans="1:5" x14ac:dyDescent="0.2">
      <c r="B59">
        <v>5</v>
      </c>
      <c r="C59">
        <f t="shared" si="0"/>
        <v>0.10638297872340426</v>
      </c>
    </row>
    <row r="60" spans="1:5" x14ac:dyDescent="0.2">
      <c r="B60">
        <v>6</v>
      </c>
      <c r="C60">
        <f t="shared" si="0"/>
        <v>0.1276595744680851</v>
      </c>
    </row>
    <row r="61" spans="1:5" x14ac:dyDescent="0.2">
      <c r="B61">
        <v>7</v>
      </c>
      <c r="C61">
        <f t="shared" si="0"/>
        <v>0.14893617021276595</v>
      </c>
    </row>
    <row r="62" spans="1:5" x14ac:dyDescent="0.2">
      <c r="B62">
        <v>8</v>
      </c>
      <c r="C62">
        <f t="shared" si="0"/>
        <v>0.1702127659574468</v>
      </c>
    </row>
    <row r="63" spans="1:5" x14ac:dyDescent="0.2">
      <c r="B63">
        <v>9</v>
      </c>
      <c r="C63">
        <f t="shared" si="0"/>
        <v>0.19148936170212766</v>
      </c>
    </row>
    <row r="64" spans="1:5" x14ac:dyDescent="0.2">
      <c r="B64">
        <v>10</v>
      </c>
      <c r="C64">
        <f t="shared" si="0"/>
        <v>0.21276595744680851</v>
      </c>
    </row>
    <row r="65" spans="2:3" x14ac:dyDescent="0.2">
      <c r="B65">
        <v>11</v>
      </c>
      <c r="C65">
        <f t="shared" si="0"/>
        <v>0.23404255319148937</v>
      </c>
    </row>
    <row r="66" spans="2:3" x14ac:dyDescent="0.2">
      <c r="B66">
        <v>12</v>
      </c>
      <c r="C66">
        <f t="shared" si="0"/>
        <v>0.25531914893617019</v>
      </c>
    </row>
    <row r="67" spans="2:3" x14ac:dyDescent="0.2">
      <c r="B67">
        <v>13</v>
      </c>
      <c r="C67">
        <f t="shared" si="0"/>
        <v>0.27659574468085107</v>
      </c>
    </row>
    <row r="68" spans="2:3" x14ac:dyDescent="0.2">
      <c r="B68">
        <v>14</v>
      </c>
      <c r="C68">
        <f t="shared" si="0"/>
        <v>0.2978723404255319</v>
      </c>
    </row>
    <row r="69" spans="2:3" x14ac:dyDescent="0.2">
      <c r="B69">
        <v>15</v>
      </c>
      <c r="C69">
        <f t="shared" si="0"/>
        <v>0.31914893617021278</v>
      </c>
    </row>
    <row r="70" spans="2:3" x14ac:dyDescent="0.2">
      <c r="B70">
        <v>16</v>
      </c>
      <c r="C70">
        <f t="shared" si="0"/>
        <v>0.34042553191489361</v>
      </c>
    </row>
    <row r="71" spans="2:3" x14ac:dyDescent="0.2">
      <c r="B71">
        <v>17</v>
      </c>
      <c r="C71">
        <f t="shared" si="0"/>
        <v>0.36170212765957444</v>
      </c>
    </row>
    <row r="72" spans="2:3" x14ac:dyDescent="0.2">
      <c r="B72">
        <v>18</v>
      </c>
      <c r="C72">
        <f t="shared" si="0"/>
        <v>0.38297872340425532</v>
      </c>
    </row>
    <row r="73" spans="2:3" x14ac:dyDescent="0.2">
      <c r="B73">
        <v>19</v>
      </c>
      <c r="C73">
        <f t="shared" si="0"/>
        <v>0.40425531914893614</v>
      </c>
    </row>
    <row r="74" spans="2:3" x14ac:dyDescent="0.2">
      <c r="B74">
        <v>20</v>
      </c>
      <c r="C74">
        <f t="shared" si="0"/>
        <v>0.42553191489361702</v>
      </c>
    </row>
    <row r="75" spans="2:3" x14ac:dyDescent="0.2">
      <c r="B75">
        <v>21</v>
      </c>
      <c r="C75">
        <f t="shared" si="0"/>
        <v>0.44680851063829785</v>
      </c>
    </row>
    <row r="76" spans="2:3" x14ac:dyDescent="0.2">
      <c r="B76">
        <v>22</v>
      </c>
      <c r="C76">
        <f t="shared" si="0"/>
        <v>0.46808510638297873</v>
      </c>
    </row>
    <row r="77" spans="2:3" x14ac:dyDescent="0.2">
      <c r="B77">
        <v>23</v>
      </c>
      <c r="C77">
        <f t="shared" si="0"/>
        <v>0.48936170212765956</v>
      </c>
    </row>
    <row r="78" spans="2:3" x14ac:dyDescent="0.2">
      <c r="B78">
        <v>24</v>
      </c>
      <c r="C78">
        <f t="shared" si="0"/>
        <v>0.51063829787234039</v>
      </c>
    </row>
    <row r="79" spans="2:3" x14ac:dyDescent="0.2">
      <c r="B79">
        <v>25</v>
      </c>
      <c r="C79">
        <f t="shared" si="0"/>
        <v>0.53191489361702127</v>
      </c>
    </row>
    <row r="80" spans="2:3" x14ac:dyDescent="0.2">
      <c r="B80">
        <v>26</v>
      </c>
      <c r="C80">
        <f t="shared" si="0"/>
        <v>0.55319148936170215</v>
      </c>
    </row>
    <row r="81" spans="2:3" x14ac:dyDescent="0.2">
      <c r="B81">
        <v>27</v>
      </c>
      <c r="C81">
        <f t="shared" si="0"/>
        <v>0.57446808510638292</v>
      </c>
    </row>
    <row r="82" spans="2:3" x14ac:dyDescent="0.2">
      <c r="B82">
        <v>28</v>
      </c>
      <c r="C82">
        <f t="shared" si="0"/>
        <v>0.5957446808510638</v>
      </c>
    </row>
    <row r="83" spans="2:3" x14ac:dyDescent="0.2">
      <c r="B83">
        <v>29</v>
      </c>
      <c r="C83">
        <f t="shared" si="0"/>
        <v>0.61702127659574468</v>
      </c>
    </row>
    <row r="84" spans="2:3" x14ac:dyDescent="0.2">
      <c r="B84">
        <v>30</v>
      </c>
      <c r="C84">
        <f t="shared" si="0"/>
        <v>0.63829787234042556</v>
      </c>
    </row>
    <row r="85" spans="2:3" x14ac:dyDescent="0.2">
      <c r="B85">
        <v>31</v>
      </c>
      <c r="C85">
        <f t="shared" si="0"/>
        <v>0.65957446808510634</v>
      </c>
    </row>
    <row r="86" spans="2:3" x14ac:dyDescent="0.2">
      <c r="B86">
        <v>32</v>
      </c>
      <c r="C86">
        <f t="shared" si="0"/>
        <v>0.68085106382978722</v>
      </c>
    </row>
    <row r="87" spans="2:3" x14ac:dyDescent="0.2">
      <c r="B87">
        <v>33</v>
      </c>
      <c r="C87">
        <f t="shared" si="0"/>
        <v>0.7021276595744681</v>
      </c>
    </row>
    <row r="88" spans="2:3" x14ac:dyDescent="0.2">
      <c r="B88">
        <v>34</v>
      </c>
      <c r="C88">
        <f t="shared" si="0"/>
        <v>0.72340425531914887</v>
      </c>
    </row>
    <row r="89" spans="2:3" x14ac:dyDescent="0.2">
      <c r="B89">
        <v>35</v>
      </c>
      <c r="C89">
        <f t="shared" si="0"/>
        <v>0.74468085106382975</v>
      </c>
    </row>
    <row r="90" spans="2:3" x14ac:dyDescent="0.2">
      <c r="B90">
        <v>36</v>
      </c>
      <c r="C90">
        <f t="shared" si="0"/>
        <v>0.76595744680851063</v>
      </c>
    </row>
    <row r="91" spans="2:3" x14ac:dyDescent="0.2">
      <c r="B91">
        <v>37</v>
      </c>
      <c r="C91">
        <f t="shared" si="0"/>
        <v>0.78723404255319152</v>
      </c>
    </row>
    <row r="92" spans="2:3" x14ac:dyDescent="0.2">
      <c r="B92">
        <v>38</v>
      </c>
      <c r="C92">
        <f t="shared" si="0"/>
        <v>0.80851063829787229</v>
      </c>
    </row>
    <row r="93" spans="2:3" x14ac:dyDescent="0.2">
      <c r="B93">
        <v>39</v>
      </c>
      <c r="C93">
        <f t="shared" si="0"/>
        <v>0.82978723404255317</v>
      </c>
    </row>
    <row r="94" spans="2:3" x14ac:dyDescent="0.2">
      <c r="B94">
        <v>40</v>
      </c>
      <c r="C94">
        <f t="shared" si="0"/>
        <v>0.85106382978723405</v>
      </c>
    </row>
    <row r="95" spans="2:3" x14ac:dyDescent="0.2">
      <c r="B95">
        <v>41</v>
      </c>
      <c r="C95">
        <f t="shared" si="0"/>
        <v>0.87234042553191482</v>
      </c>
    </row>
    <row r="96" spans="2:3" x14ac:dyDescent="0.2">
      <c r="B96">
        <v>42</v>
      </c>
      <c r="C96">
        <f t="shared" si="0"/>
        <v>0.8936170212765957</v>
      </c>
    </row>
    <row r="97" spans="2:3" x14ac:dyDescent="0.2">
      <c r="B97">
        <v>43</v>
      </c>
      <c r="C97">
        <f t="shared" si="0"/>
        <v>0.91489361702127658</v>
      </c>
    </row>
    <row r="98" spans="2:3" x14ac:dyDescent="0.2">
      <c r="B98">
        <v>44</v>
      </c>
      <c r="C98">
        <f t="shared" si="0"/>
        <v>0.93617021276595747</v>
      </c>
    </row>
    <row r="99" spans="2:3" x14ac:dyDescent="0.2">
      <c r="B99">
        <v>45</v>
      </c>
      <c r="C99">
        <f t="shared" si="0"/>
        <v>0.95744680851063824</v>
      </c>
    </row>
    <row r="100" spans="2:3" x14ac:dyDescent="0.2">
      <c r="B100">
        <v>46</v>
      </c>
      <c r="C100">
        <f t="shared" si="0"/>
        <v>0.97872340425531912</v>
      </c>
    </row>
    <row r="101" spans="2:3" x14ac:dyDescent="0.2">
      <c r="B101">
        <v>47</v>
      </c>
      <c r="C101">
        <f t="shared" si="0"/>
        <v>1</v>
      </c>
    </row>
    <row r="102" spans="2:3" x14ac:dyDescent="0.2">
      <c r="C102" t="s">
        <v>77</v>
      </c>
    </row>
  </sheetData>
  <sortState xmlns:xlrd2="http://schemas.microsoft.com/office/spreadsheetml/2017/richdata2" ref="A18:A21">
    <sortCondition descending="1" ref="A18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pm150</vt:lpstr>
      <vt:lpstr>pm210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Tepper</dc:creator>
  <cp:lastModifiedBy>Jon Tepper</cp:lastModifiedBy>
  <dcterms:created xsi:type="dcterms:W3CDTF">2025-06-26T16:16:49Z</dcterms:created>
  <dcterms:modified xsi:type="dcterms:W3CDTF">2025-08-26T18:33:16Z</dcterms:modified>
</cp:coreProperties>
</file>