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/github/MLB_Scion_Development_Pipeline/tests/V26_06DevCleanModels_TestResults/Outsample05Jun2025_05Jun2026_V119_V123_Ensemble_Evaluation_14Jun2026/Strategy2_Consensus_and_V119orV123whenDisagree/"/>
    </mc:Choice>
  </mc:AlternateContent>
  <xr:revisionPtr revIDLastSave="0" documentId="13_ncr:1_{C5D35AB6-0E88-8947-AE06-C09BD29D2D99}" xr6:coauthVersionLast="47" xr6:coauthVersionMax="47" xr10:uidLastSave="{00000000-0000-0000-0000-000000000000}"/>
  <bookViews>
    <workbookView xWindow="35600" yWindow="820" windowWidth="48260" windowHeight="27140" activeTab="1" xr2:uid="{E5AF0DAE-B1CD-1943-9180-FB84E476FFBF}"/>
  </bookViews>
  <sheets>
    <sheet name="LineStatsOnly" sheetId="9" r:id="rId1"/>
    <sheet name="StatsOnly" sheetId="8" r:id="rId2"/>
    <sheet name="AgreeOnly" sheetId="7" r:id="rId3"/>
    <sheet name="1Star" sheetId="6" r:id="rId4"/>
    <sheet name="3Star" sheetId="5" r:id="rId5"/>
    <sheet name="5Star" sheetId="4" r:id="rId6"/>
    <sheet name="All" sheetId="1" r:id="rId7"/>
    <sheet name="ScionOutput" sheetId="2" r:id="rId8"/>
    <sheet name="Outcomes" sheetId="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9" i="9" l="1"/>
  <c r="I209" i="9"/>
  <c r="J208" i="9"/>
  <c r="I208" i="9"/>
  <c r="J207" i="9"/>
  <c r="I207" i="9"/>
  <c r="J206" i="9"/>
  <c r="I206" i="9"/>
  <c r="J205" i="9"/>
  <c r="I205" i="9"/>
  <c r="J204" i="9"/>
  <c r="I204" i="9"/>
  <c r="J203" i="9"/>
  <c r="I203" i="9"/>
  <c r="J202" i="9"/>
  <c r="I202" i="9"/>
  <c r="J201" i="9"/>
  <c r="I201" i="9"/>
  <c r="J200" i="9"/>
  <c r="I200" i="9"/>
  <c r="J199" i="9"/>
  <c r="I199" i="9"/>
  <c r="J198" i="9"/>
  <c r="I198" i="9"/>
  <c r="J197" i="9"/>
  <c r="I197" i="9"/>
  <c r="J196" i="9"/>
  <c r="I196" i="9"/>
  <c r="J195" i="9"/>
  <c r="I195" i="9"/>
  <c r="J194" i="9"/>
  <c r="I194" i="9"/>
  <c r="J193" i="9"/>
  <c r="I193" i="9"/>
  <c r="J192" i="9"/>
  <c r="I192" i="9"/>
  <c r="J191" i="9"/>
  <c r="I191" i="9"/>
  <c r="J190" i="9"/>
  <c r="I190" i="9"/>
  <c r="J189" i="9"/>
  <c r="I189" i="9"/>
  <c r="J188" i="9"/>
  <c r="I188" i="9"/>
  <c r="J187" i="9"/>
  <c r="I187" i="9"/>
  <c r="J186" i="9"/>
  <c r="I186" i="9"/>
  <c r="J185" i="9"/>
  <c r="I185" i="9"/>
  <c r="J184" i="9"/>
  <c r="I184" i="9"/>
  <c r="J183" i="9"/>
  <c r="I183" i="9"/>
  <c r="J182" i="9"/>
  <c r="I182" i="9"/>
  <c r="J181" i="9"/>
  <c r="I181" i="9"/>
  <c r="J180" i="9"/>
  <c r="I180" i="9"/>
  <c r="J179" i="9"/>
  <c r="I179" i="9"/>
  <c r="J178" i="9"/>
  <c r="I178" i="9"/>
  <c r="J177" i="9"/>
  <c r="I177" i="9"/>
  <c r="J176" i="9"/>
  <c r="I176" i="9"/>
  <c r="J175" i="9"/>
  <c r="I175" i="9"/>
  <c r="J174" i="9"/>
  <c r="I174" i="9"/>
  <c r="J173" i="9"/>
  <c r="I173" i="9"/>
  <c r="J172" i="9"/>
  <c r="I172" i="9"/>
  <c r="J171" i="9"/>
  <c r="I171" i="9"/>
  <c r="J170" i="9"/>
  <c r="I170" i="9"/>
  <c r="J169" i="9"/>
  <c r="I169" i="9"/>
  <c r="J168" i="9"/>
  <c r="I168" i="9"/>
  <c r="J167" i="9"/>
  <c r="I167" i="9"/>
  <c r="J166" i="9"/>
  <c r="I166" i="9"/>
  <c r="J165" i="9"/>
  <c r="I165" i="9"/>
  <c r="J164" i="9"/>
  <c r="I164" i="9"/>
  <c r="J163" i="9"/>
  <c r="I163" i="9"/>
  <c r="J162" i="9"/>
  <c r="I162" i="9"/>
  <c r="J161" i="9"/>
  <c r="I161" i="9"/>
  <c r="J160" i="9"/>
  <c r="I160" i="9"/>
  <c r="J159" i="9"/>
  <c r="I159" i="9"/>
  <c r="J158" i="9"/>
  <c r="I158" i="9"/>
  <c r="J157" i="9"/>
  <c r="I157" i="9"/>
  <c r="J156" i="9"/>
  <c r="I156" i="9"/>
  <c r="J155" i="9"/>
  <c r="I155" i="9"/>
  <c r="J154" i="9"/>
  <c r="I154" i="9"/>
  <c r="J153" i="9"/>
  <c r="I153" i="9"/>
  <c r="J152" i="9"/>
  <c r="I152" i="9"/>
  <c r="J151" i="9"/>
  <c r="I151" i="9"/>
  <c r="J150" i="9"/>
  <c r="I150" i="9"/>
  <c r="J149" i="9"/>
  <c r="I149" i="9"/>
  <c r="J148" i="9"/>
  <c r="I148" i="9"/>
  <c r="J147" i="9"/>
  <c r="I147" i="9"/>
  <c r="J146" i="9"/>
  <c r="I146" i="9"/>
  <c r="J145" i="9"/>
  <c r="I145" i="9"/>
  <c r="J144" i="9"/>
  <c r="I144" i="9"/>
  <c r="J143" i="9"/>
  <c r="I143" i="9"/>
  <c r="J142" i="9"/>
  <c r="I142" i="9"/>
  <c r="J141" i="9"/>
  <c r="I141" i="9"/>
  <c r="J140" i="9"/>
  <c r="V140" i="9" s="1"/>
  <c r="I140" i="9"/>
  <c r="J139" i="9"/>
  <c r="I139" i="9"/>
  <c r="J138" i="9"/>
  <c r="I138" i="9"/>
  <c r="V138" i="9" s="1"/>
  <c r="J137" i="9"/>
  <c r="I137" i="9"/>
  <c r="J136" i="9"/>
  <c r="I136" i="9"/>
  <c r="J135" i="9"/>
  <c r="V135" i="9" s="1"/>
  <c r="I135" i="9"/>
  <c r="J134" i="9"/>
  <c r="I134" i="9"/>
  <c r="J133" i="9"/>
  <c r="I133" i="9"/>
  <c r="J132" i="9"/>
  <c r="I132" i="9"/>
  <c r="J131" i="9"/>
  <c r="I131" i="9"/>
  <c r="J130" i="9"/>
  <c r="V130" i="9" s="1"/>
  <c r="I130" i="9"/>
  <c r="J129" i="9"/>
  <c r="I129" i="9"/>
  <c r="J128" i="9"/>
  <c r="I128" i="9"/>
  <c r="V128" i="9" s="1"/>
  <c r="J127" i="9"/>
  <c r="I127" i="9"/>
  <c r="J126" i="9"/>
  <c r="I126" i="9"/>
  <c r="J125" i="9"/>
  <c r="I125" i="9"/>
  <c r="J124" i="9"/>
  <c r="I124" i="9"/>
  <c r="J123" i="9"/>
  <c r="I123" i="9"/>
  <c r="J122" i="9"/>
  <c r="I122" i="9"/>
  <c r="J121" i="9"/>
  <c r="I121" i="9"/>
  <c r="J120" i="9"/>
  <c r="I120" i="9"/>
  <c r="J119" i="9"/>
  <c r="I119" i="9"/>
  <c r="J118" i="9"/>
  <c r="I118" i="9"/>
  <c r="J117" i="9"/>
  <c r="I117" i="9"/>
  <c r="J116" i="9"/>
  <c r="I116" i="9"/>
  <c r="J115" i="9"/>
  <c r="I115" i="9"/>
  <c r="J114" i="9"/>
  <c r="I114" i="9"/>
  <c r="J113" i="9"/>
  <c r="I113" i="9"/>
  <c r="J112" i="9"/>
  <c r="I112" i="9"/>
  <c r="J111" i="9"/>
  <c r="I111" i="9"/>
  <c r="J110" i="9"/>
  <c r="I110" i="9"/>
  <c r="J109" i="9"/>
  <c r="I109" i="9"/>
  <c r="J108" i="9"/>
  <c r="I108" i="9"/>
  <c r="V108" i="9" s="1"/>
  <c r="J107" i="9"/>
  <c r="I107" i="9"/>
  <c r="J106" i="9"/>
  <c r="I106" i="9"/>
  <c r="J105" i="9"/>
  <c r="I105" i="9"/>
  <c r="J104" i="9"/>
  <c r="I104" i="9"/>
  <c r="J103" i="9"/>
  <c r="I103" i="9"/>
  <c r="V103" i="9" s="1"/>
  <c r="J102" i="9"/>
  <c r="I102" i="9"/>
  <c r="J101" i="9"/>
  <c r="I101" i="9"/>
  <c r="J100" i="9"/>
  <c r="I100" i="9"/>
  <c r="J99" i="9"/>
  <c r="I99" i="9"/>
  <c r="J98" i="9"/>
  <c r="I98" i="9"/>
  <c r="J97" i="9"/>
  <c r="I97" i="9"/>
  <c r="J96" i="9"/>
  <c r="I96" i="9"/>
  <c r="J95" i="9"/>
  <c r="I95" i="9"/>
  <c r="J94" i="9"/>
  <c r="I94" i="9"/>
  <c r="J93" i="9"/>
  <c r="I93" i="9"/>
  <c r="J92" i="9"/>
  <c r="I92" i="9"/>
  <c r="J91" i="9"/>
  <c r="I91" i="9"/>
  <c r="J90" i="9"/>
  <c r="I90" i="9"/>
  <c r="J89" i="9"/>
  <c r="I89" i="9"/>
  <c r="J88" i="9"/>
  <c r="I88" i="9"/>
  <c r="V88" i="9" s="1"/>
  <c r="J87" i="9"/>
  <c r="I87" i="9"/>
  <c r="J86" i="9"/>
  <c r="I86" i="9"/>
  <c r="J85" i="9"/>
  <c r="I85" i="9"/>
  <c r="J84" i="9"/>
  <c r="I84" i="9"/>
  <c r="J83" i="9"/>
  <c r="I83" i="9"/>
  <c r="V83" i="9" s="1"/>
  <c r="J82" i="9"/>
  <c r="I82" i="9"/>
  <c r="J81" i="9"/>
  <c r="I81" i="9"/>
  <c r="J80" i="9"/>
  <c r="I80" i="9"/>
  <c r="J79" i="9"/>
  <c r="I79" i="9"/>
  <c r="J78" i="9"/>
  <c r="I78" i="9"/>
  <c r="V78" i="9" s="1"/>
  <c r="W78" i="9" s="1"/>
  <c r="J77" i="9"/>
  <c r="I77" i="9"/>
  <c r="J76" i="9"/>
  <c r="I76" i="9"/>
  <c r="J75" i="9"/>
  <c r="I75" i="9"/>
  <c r="J74" i="9"/>
  <c r="I74" i="9"/>
  <c r="J73" i="9"/>
  <c r="I73" i="9"/>
  <c r="V73" i="9" s="1"/>
  <c r="J72" i="9"/>
  <c r="V72" i="9" s="1"/>
  <c r="W72" i="9" s="1"/>
  <c r="I72" i="9"/>
  <c r="J71" i="9"/>
  <c r="I71" i="9"/>
  <c r="J70" i="9"/>
  <c r="I70" i="9"/>
  <c r="J69" i="9"/>
  <c r="I69" i="9"/>
  <c r="J68" i="9"/>
  <c r="I68" i="9"/>
  <c r="V68" i="9" s="1"/>
  <c r="J67" i="9"/>
  <c r="I67" i="9"/>
  <c r="J66" i="9"/>
  <c r="I66" i="9"/>
  <c r="J65" i="9"/>
  <c r="I65" i="9"/>
  <c r="J64" i="9"/>
  <c r="I64" i="9"/>
  <c r="J63" i="9"/>
  <c r="I63" i="9"/>
  <c r="J62" i="9"/>
  <c r="I62" i="9"/>
  <c r="J61" i="9"/>
  <c r="I61" i="9"/>
  <c r="J60" i="9"/>
  <c r="I60" i="9"/>
  <c r="J59" i="9"/>
  <c r="I59" i="9"/>
  <c r="J58" i="9"/>
  <c r="I58" i="9"/>
  <c r="J57" i="9"/>
  <c r="I57" i="9"/>
  <c r="J56" i="9"/>
  <c r="I56" i="9"/>
  <c r="J55" i="9"/>
  <c r="I55" i="9"/>
  <c r="V55" i="9" s="1"/>
  <c r="W55" i="9" s="1"/>
  <c r="J54" i="9"/>
  <c r="I54" i="9"/>
  <c r="J53" i="9"/>
  <c r="I53" i="9"/>
  <c r="J52" i="9"/>
  <c r="I52" i="9"/>
  <c r="J51" i="9"/>
  <c r="I51" i="9"/>
  <c r="J50" i="9"/>
  <c r="V50" i="9" s="1"/>
  <c r="W50" i="9" s="1"/>
  <c r="I50" i="9"/>
  <c r="J49" i="9"/>
  <c r="I49" i="9"/>
  <c r="J48" i="9"/>
  <c r="I48" i="9"/>
  <c r="J47" i="9"/>
  <c r="I47" i="9"/>
  <c r="J46" i="9"/>
  <c r="I46" i="9"/>
  <c r="J45" i="9"/>
  <c r="V45" i="9" s="1"/>
  <c r="W45" i="9" s="1"/>
  <c r="I45" i="9"/>
  <c r="J44" i="9"/>
  <c r="I44" i="9"/>
  <c r="J43" i="9"/>
  <c r="I43" i="9"/>
  <c r="J42" i="9"/>
  <c r="I42" i="9"/>
  <c r="J41" i="9"/>
  <c r="I41" i="9"/>
  <c r="J40" i="9"/>
  <c r="V40" i="9" s="1"/>
  <c r="W40" i="9" s="1"/>
  <c r="I40" i="9"/>
  <c r="J39" i="9"/>
  <c r="I39" i="9"/>
  <c r="J38" i="9"/>
  <c r="I38" i="9"/>
  <c r="J37" i="9"/>
  <c r="I37" i="9"/>
  <c r="J36" i="9"/>
  <c r="I36" i="9"/>
  <c r="J35" i="9"/>
  <c r="V35" i="9" s="1"/>
  <c r="W35" i="9" s="1"/>
  <c r="I35" i="9"/>
  <c r="J34" i="9"/>
  <c r="I34" i="9"/>
  <c r="J33" i="9"/>
  <c r="I33" i="9"/>
  <c r="J32" i="9"/>
  <c r="I32" i="9"/>
  <c r="J31" i="9"/>
  <c r="I31" i="9"/>
  <c r="J30" i="9"/>
  <c r="V30" i="9" s="1"/>
  <c r="W30" i="9" s="1"/>
  <c r="I30" i="9"/>
  <c r="J29" i="9"/>
  <c r="I29" i="9"/>
  <c r="J28" i="9"/>
  <c r="I28" i="9"/>
  <c r="J27" i="9"/>
  <c r="I27" i="9"/>
  <c r="J26" i="9"/>
  <c r="I26" i="9"/>
  <c r="J25" i="9"/>
  <c r="I25" i="9"/>
  <c r="V25" i="9" s="1"/>
  <c r="J24" i="9"/>
  <c r="I24" i="9"/>
  <c r="J23" i="9"/>
  <c r="I23" i="9"/>
  <c r="J22" i="9"/>
  <c r="I22" i="9"/>
  <c r="J21" i="9"/>
  <c r="I21" i="9"/>
  <c r="J20" i="9"/>
  <c r="I20" i="9"/>
  <c r="J19" i="9"/>
  <c r="I19" i="9"/>
  <c r="J18" i="9"/>
  <c r="I18" i="9"/>
  <c r="J17" i="9"/>
  <c r="I17" i="9"/>
  <c r="J16" i="9"/>
  <c r="I16" i="9"/>
  <c r="J15" i="9"/>
  <c r="V15" i="9" s="1"/>
  <c r="Y15" i="9" s="1"/>
  <c r="I15" i="9"/>
  <c r="J14" i="9"/>
  <c r="I14" i="9"/>
  <c r="J13" i="9"/>
  <c r="I13" i="9"/>
  <c r="J12" i="9"/>
  <c r="I12" i="9"/>
  <c r="J11" i="9"/>
  <c r="I11" i="9"/>
  <c r="J10" i="9"/>
  <c r="V10" i="9" s="1"/>
  <c r="I10" i="9"/>
  <c r="J9" i="9"/>
  <c r="I9" i="9"/>
  <c r="J8" i="9"/>
  <c r="I8" i="9"/>
  <c r="J7" i="9"/>
  <c r="I7" i="9"/>
  <c r="J6" i="9"/>
  <c r="I6" i="9"/>
  <c r="J5" i="9"/>
  <c r="V5" i="9" s="1"/>
  <c r="I5" i="9"/>
  <c r="J4" i="9"/>
  <c r="I4" i="9"/>
  <c r="J3" i="9"/>
  <c r="I3" i="9"/>
  <c r="J2" i="9"/>
  <c r="I2" i="9"/>
  <c r="AA209" i="9"/>
  <c r="V209" i="9"/>
  <c r="U209" i="9"/>
  <c r="T209" i="9"/>
  <c r="S209" i="9"/>
  <c r="Q209" i="9" s="1"/>
  <c r="R209" i="9"/>
  <c r="P209" i="9"/>
  <c r="O209" i="9"/>
  <c r="N209" i="9"/>
  <c r="M209" i="9"/>
  <c r="L209" i="9"/>
  <c r="K209" i="9"/>
  <c r="H209" i="9"/>
  <c r="G209" i="9"/>
  <c r="F209" i="9"/>
  <c r="E209" i="9"/>
  <c r="D209" i="9"/>
  <c r="C209" i="9"/>
  <c r="B209" i="9"/>
  <c r="AA208" i="9"/>
  <c r="O208" i="9" s="1"/>
  <c r="T208" i="9"/>
  <c r="S208" i="9"/>
  <c r="R208" i="9"/>
  <c r="Q208" i="9" s="1"/>
  <c r="P208" i="9"/>
  <c r="N208" i="9"/>
  <c r="M208" i="9"/>
  <c r="L208" i="9"/>
  <c r="K208" i="9"/>
  <c r="H208" i="9"/>
  <c r="U208" i="9" s="1"/>
  <c r="G208" i="9"/>
  <c r="F208" i="9"/>
  <c r="E208" i="9"/>
  <c r="D208" i="9"/>
  <c r="C208" i="9"/>
  <c r="B208" i="9"/>
  <c r="AA207" i="9"/>
  <c r="O207" i="9" s="1"/>
  <c r="T207" i="9"/>
  <c r="V207" i="9" s="1"/>
  <c r="S207" i="9"/>
  <c r="R207" i="9"/>
  <c r="Q207" i="9"/>
  <c r="P207" i="9"/>
  <c r="N207" i="9"/>
  <c r="M207" i="9"/>
  <c r="L207" i="9"/>
  <c r="K207" i="9"/>
  <c r="H207" i="9"/>
  <c r="G207" i="9"/>
  <c r="U207" i="9" s="1"/>
  <c r="F207" i="9"/>
  <c r="E207" i="9"/>
  <c r="D207" i="9"/>
  <c r="C207" i="9"/>
  <c r="B207" i="9"/>
  <c r="AA206" i="9"/>
  <c r="O206" i="9" s="1"/>
  <c r="T206" i="9"/>
  <c r="S206" i="9"/>
  <c r="Q206" i="9" s="1"/>
  <c r="R206" i="9"/>
  <c r="P206" i="9"/>
  <c r="N206" i="9"/>
  <c r="M206" i="9"/>
  <c r="L206" i="9"/>
  <c r="K206" i="9"/>
  <c r="H206" i="9"/>
  <c r="G206" i="9"/>
  <c r="F206" i="9"/>
  <c r="E206" i="9"/>
  <c r="D206" i="9"/>
  <c r="C206" i="9"/>
  <c r="B206" i="9"/>
  <c r="AA205" i="9"/>
  <c r="T205" i="9"/>
  <c r="S205" i="9"/>
  <c r="R205" i="9"/>
  <c r="Q205" i="9" s="1"/>
  <c r="P205" i="9"/>
  <c r="O205" i="9"/>
  <c r="N205" i="9"/>
  <c r="M205" i="9"/>
  <c r="L205" i="9"/>
  <c r="K205" i="9"/>
  <c r="H205" i="9"/>
  <c r="G205" i="9"/>
  <c r="F205" i="9"/>
  <c r="E205" i="9"/>
  <c r="D205" i="9"/>
  <c r="C205" i="9"/>
  <c r="B205" i="9"/>
  <c r="AA204" i="9"/>
  <c r="V204" i="9"/>
  <c r="U204" i="9"/>
  <c r="T204" i="9"/>
  <c r="S204" i="9"/>
  <c r="R204" i="9"/>
  <c r="Q204" i="9" s="1"/>
  <c r="P204" i="9"/>
  <c r="O204" i="9"/>
  <c r="N204" i="9"/>
  <c r="M204" i="9"/>
  <c r="L204" i="9"/>
  <c r="K204" i="9"/>
  <c r="H204" i="9"/>
  <c r="G204" i="9"/>
  <c r="F204" i="9"/>
  <c r="E204" i="9"/>
  <c r="D204" i="9"/>
  <c r="C204" i="9"/>
  <c r="B204" i="9"/>
  <c r="AA203" i="9"/>
  <c r="O203" i="9" s="1"/>
  <c r="T203" i="9"/>
  <c r="S203" i="9"/>
  <c r="R203" i="9"/>
  <c r="Q203" i="9" s="1"/>
  <c r="P203" i="9"/>
  <c r="N203" i="9"/>
  <c r="M203" i="9"/>
  <c r="L203" i="9"/>
  <c r="K203" i="9"/>
  <c r="H203" i="9"/>
  <c r="U203" i="9" s="1"/>
  <c r="G203" i="9"/>
  <c r="F203" i="9"/>
  <c r="E203" i="9"/>
  <c r="D203" i="9"/>
  <c r="C203" i="9"/>
  <c r="B203" i="9"/>
  <c r="AA202" i="9"/>
  <c r="O202" i="9" s="1"/>
  <c r="T202" i="9"/>
  <c r="V202" i="9" s="1"/>
  <c r="S202" i="9"/>
  <c r="R202" i="9"/>
  <c r="Q202" i="9"/>
  <c r="P202" i="9"/>
  <c r="N202" i="9"/>
  <c r="M202" i="9"/>
  <c r="L202" i="9"/>
  <c r="K202" i="9"/>
  <c r="H202" i="9"/>
  <c r="G202" i="9"/>
  <c r="U202" i="9" s="1"/>
  <c r="F202" i="9"/>
  <c r="E202" i="9"/>
  <c r="D202" i="9"/>
  <c r="C202" i="9"/>
  <c r="B202" i="9"/>
  <c r="AA201" i="9"/>
  <c r="O201" i="9" s="1"/>
  <c r="T201" i="9"/>
  <c r="S201" i="9"/>
  <c r="Q201" i="9" s="1"/>
  <c r="R201" i="9"/>
  <c r="P201" i="9"/>
  <c r="N201" i="9"/>
  <c r="M201" i="9"/>
  <c r="L201" i="9"/>
  <c r="K201" i="9"/>
  <c r="H201" i="9"/>
  <c r="G201" i="9"/>
  <c r="F201" i="9"/>
  <c r="E201" i="9"/>
  <c r="D201" i="9"/>
  <c r="C201" i="9"/>
  <c r="B201" i="9"/>
  <c r="AA200" i="9"/>
  <c r="T200" i="9"/>
  <c r="S200" i="9"/>
  <c r="R200" i="9"/>
  <c r="Q200" i="9" s="1"/>
  <c r="P200" i="9"/>
  <c r="O200" i="9"/>
  <c r="N200" i="9"/>
  <c r="M200" i="9"/>
  <c r="L200" i="9"/>
  <c r="K200" i="9"/>
  <c r="H200" i="9"/>
  <c r="G200" i="9"/>
  <c r="F200" i="9"/>
  <c r="E200" i="9"/>
  <c r="D200" i="9"/>
  <c r="C200" i="9"/>
  <c r="B200" i="9"/>
  <c r="AA199" i="9"/>
  <c r="V199" i="9"/>
  <c r="U199" i="9"/>
  <c r="T199" i="9"/>
  <c r="S199" i="9"/>
  <c r="R199" i="9"/>
  <c r="Q199" i="9" s="1"/>
  <c r="P199" i="9"/>
  <c r="O199" i="9"/>
  <c r="N199" i="9"/>
  <c r="M199" i="9"/>
  <c r="L199" i="9"/>
  <c r="K199" i="9"/>
  <c r="H199" i="9"/>
  <c r="G199" i="9"/>
  <c r="F199" i="9"/>
  <c r="E199" i="9"/>
  <c r="D199" i="9"/>
  <c r="C199" i="9"/>
  <c r="B199" i="9"/>
  <c r="AA198" i="9"/>
  <c r="O198" i="9" s="1"/>
  <c r="T198" i="9"/>
  <c r="S198" i="9"/>
  <c r="R198" i="9"/>
  <c r="Q198" i="9" s="1"/>
  <c r="P198" i="9"/>
  <c r="N198" i="9"/>
  <c r="M198" i="9"/>
  <c r="L198" i="9"/>
  <c r="K198" i="9"/>
  <c r="H198" i="9"/>
  <c r="U198" i="9" s="1"/>
  <c r="G198" i="9"/>
  <c r="F198" i="9"/>
  <c r="E198" i="9"/>
  <c r="D198" i="9"/>
  <c r="C198" i="9"/>
  <c r="B198" i="9"/>
  <c r="AA197" i="9"/>
  <c r="O197" i="9" s="1"/>
  <c r="T197" i="9"/>
  <c r="V197" i="9" s="1"/>
  <c r="X197" i="9" s="1"/>
  <c r="S197" i="9"/>
  <c r="R197" i="9"/>
  <c r="Q197" i="9"/>
  <c r="P197" i="9"/>
  <c r="N197" i="9"/>
  <c r="M197" i="9"/>
  <c r="L197" i="9"/>
  <c r="K197" i="9"/>
  <c r="H197" i="9"/>
  <c r="G197" i="9"/>
  <c r="U197" i="9" s="1"/>
  <c r="F197" i="9"/>
  <c r="E197" i="9"/>
  <c r="D197" i="9"/>
  <c r="C197" i="9"/>
  <c r="B197" i="9"/>
  <c r="AA196" i="9"/>
  <c r="O196" i="9" s="1"/>
  <c r="T196" i="9"/>
  <c r="S196" i="9"/>
  <c r="Q196" i="9" s="1"/>
  <c r="R196" i="9"/>
  <c r="P196" i="9"/>
  <c r="N196" i="9"/>
  <c r="M196" i="9"/>
  <c r="L196" i="9"/>
  <c r="K196" i="9"/>
  <c r="H196" i="9"/>
  <c r="G196" i="9"/>
  <c r="F196" i="9"/>
  <c r="E196" i="9"/>
  <c r="D196" i="9"/>
  <c r="C196" i="9"/>
  <c r="B196" i="9"/>
  <c r="AA195" i="9"/>
  <c r="T195" i="9"/>
  <c r="S195" i="9"/>
  <c r="R195" i="9"/>
  <c r="Q195" i="9" s="1"/>
  <c r="P195" i="9"/>
  <c r="O195" i="9"/>
  <c r="N195" i="9"/>
  <c r="M195" i="9"/>
  <c r="L195" i="9"/>
  <c r="K195" i="9"/>
  <c r="H195" i="9"/>
  <c r="G195" i="9"/>
  <c r="F195" i="9"/>
  <c r="E195" i="9"/>
  <c r="D195" i="9"/>
  <c r="C195" i="9"/>
  <c r="B195" i="9"/>
  <c r="AA194" i="9"/>
  <c r="V194" i="9"/>
  <c r="U194" i="9"/>
  <c r="T194" i="9"/>
  <c r="S194" i="9"/>
  <c r="R194" i="9"/>
  <c r="Q194" i="9" s="1"/>
  <c r="P194" i="9"/>
  <c r="O194" i="9"/>
  <c r="N194" i="9"/>
  <c r="M194" i="9"/>
  <c r="L194" i="9"/>
  <c r="K194" i="9"/>
  <c r="H194" i="9"/>
  <c r="G194" i="9"/>
  <c r="F194" i="9"/>
  <c r="E194" i="9"/>
  <c r="D194" i="9"/>
  <c r="C194" i="9"/>
  <c r="B194" i="9"/>
  <c r="AA193" i="9"/>
  <c r="O193" i="9" s="1"/>
  <c r="T193" i="9"/>
  <c r="S193" i="9"/>
  <c r="R193" i="9"/>
  <c r="Q193" i="9" s="1"/>
  <c r="P193" i="9"/>
  <c r="N193" i="9"/>
  <c r="M193" i="9"/>
  <c r="L193" i="9"/>
  <c r="K193" i="9"/>
  <c r="H193" i="9"/>
  <c r="U193" i="9" s="1"/>
  <c r="G193" i="9"/>
  <c r="F193" i="9"/>
  <c r="E193" i="9"/>
  <c r="D193" i="9"/>
  <c r="C193" i="9"/>
  <c r="B193" i="9"/>
  <c r="AA192" i="9"/>
  <c r="O192" i="9" s="1"/>
  <c r="X192" i="9"/>
  <c r="T192" i="9"/>
  <c r="V192" i="9" s="1"/>
  <c r="S192" i="9"/>
  <c r="R192" i="9"/>
  <c r="Q192" i="9"/>
  <c r="P192" i="9"/>
  <c r="N192" i="9"/>
  <c r="M192" i="9"/>
  <c r="L192" i="9"/>
  <c r="K192" i="9"/>
  <c r="H192" i="9"/>
  <c r="G192" i="9"/>
  <c r="U192" i="9" s="1"/>
  <c r="F192" i="9"/>
  <c r="E192" i="9"/>
  <c r="D192" i="9"/>
  <c r="C192" i="9"/>
  <c r="B192" i="9"/>
  <c r="AA191" i="9"/>
  <c r="O191" i="9" s="1"/>
  <c r="T191" i="9"/>
  <c r="S191" i="9"/>
  <c r="Q191" i="9" s="1"/>
  <c r="R191" i="9"/>
  <c r="P191" i="9"/>
  <c r="N191" i="9"/>
  <c r="M191" i="9"/>
  <c r="L191" i="9"/>
  <c r="K191" i="9"/>
  <c r="H191" i="9"/>
  <c r="G191" i="9"/>
  <c r="F191" i="9"/>
  <c r="E191" i="9"/>
  <c r="D191" i="9"/>
  <c r="C191" i="9"/>
  <c r="B191" i="9"/>
  <c r="AA190" i="9"/>
  <c r="T190" i="9"/>
  <c r="S190" i="9"/>
  <c r="R190" i="9"/>
  <c r="Q190" i="9" s="1"/>
  <c r="P190" i="9"/>
  <c r="O190" i="9"/>
  <c r="N190" i="9"/>
  <c r="M190" i="9"/>
  <c r="L190" i="9"/>
  <c r="K190" i="9"/>
  <c r="H190" i="9"/>
  <c r="G190" i="9"/>
  <c r="F190" i="9"/>
  <c r="E190" i="9"/>
  <c r="D190" i="9"/>
  <c r="C190" i="9"/>
  <c r="B190" i="9"/>
  <c r="AA189" i="9"/>
  <c r="V189" i="9"/>
  <c r="U189" i="9"/>
  <c r="T189" i="9"/>
  <c r="S189" i="9"/>
  <c r="R189" i="9"/>
  <c r="Q189" i="9" s="1"/>
  <c r="P189" i="9"/>
  <c r="O189" i="9"/>
  <c r="N189" i="9"/>
  <c r="M189" i="9"/>
  <c r="L189" i="9"/>
  <c r="K189" i="9"/>
  <c r="H189" i="9"/>
  <c r="G189" i="9"/>
  <c r="F189" i="9"/>
  <c r="E189" i="9"/>
  <c r="D189" i="9"/>
  <c r="C189" i="9"/>
  <c r="B189" i="9"/>
  <c r="AA188" i="9"/>
  <c r="O188" i="9" s="1"/>
  <c r="T188" i="9"/>
  <c r="V188" i="9" s="1"/>
  <c r="S188" i="9"/>
  <c r="R188" i="9"/>
  <c r="Q188" i="9" s="1"/>
  <c r="P188" i="9"/>
  <c r="N188" i="9"/>
  <c r="M188" i="9"/>
  <c r="L188" i="9"/>
  <c r="K188" i="9"/>
  <c r="H188" i="9"/>
  <c r="U188" i="9" s="1"/>
  <c r="G188" i="9"/>
  <c r="F188" i="9"/>
  <c r="E188" i="9"/>
  <c r="D188" i="9"/>
  <c r="C188" i="9"/>
  <c r="B188" i="9"/>
  <c r="AA187" i="9"/>
  <c r="O187" i="9" s="1"/>
  <c r="X187" i="9"/>
  <c r="T187" i="9"/>
  <c r="V187" i="9" s="1"/>
  <c r="S187" i="9"/>
  <c r="R187" i="9"/>
  <c r="Q187" i="9"/>
  <c r="P187" i="9"/>
  <c r="N187" i="9"/>
  <c r="M187" i="9"/>
  <c r="L187" i="9"/>
  <c r="K187" i="9"/>
  <c r="H187" i="9"/>
  <c r="G187" i="9"/>
  <c r="U187" i="9" s="1"/>
  <c r="F187" i="9"/>
  <c r="E187" i="9"/>
  <c r="D187" i="9"/>
  <c r="C187" i="9"/>
  <c r="B187" i="9"/>
  <c r="AA186" i="9"/>
  <c r="O186" i="9" s="1"/>
  <c r="T186" i="9"/>
  <c r="S186" i="9"/>
  <c r="Q186" i="9" s="1"/>
  <c r="R186" i="9"/>
  <c r="P186" i="9"/>
  <c r="N186" i="9"/>
  <c r="M186" i="9"/>
  <c r="L186" i="9"/>
  <c r="K186" i="9"/>
  <c r="H186" i="9"/>
  <c r="G186" i="9"/>
  <c r="F186" i="9"/>
  <c r="E186" i="9"/>
  <c r="D186" i="9"/>
  <c r="C186" i="9"/>
  <c r="B186" i="9"/>
  <c r="AA185" i="9"/>
  <c r="T185" i="9"/>
  <c r="S185" i="9"/>
  <c r="R185" i="9"/>
  <c r="Q185" i="9" s="1"/>
  <c r="P185" i="9"/>
  <c r="O185" i="9"/>
  <c r="N185" i="9"/>
  <c r="M185" i="9"/>
  <c r="L185" i="9"/>
  <c r="K185" i="9"/>
  <c r="H185" i="9"/>
  <c r="G185" i="9"/>
  <c r="F185" i="9"/>
  <c r="E185" i="9"/>
  <c r="D185" i="9"/>
  <c r="C185" i="9"/>
  <c r="B185" i="9"/>
  <c r="AA184" i="9"/>
  <c r="V184" i="9"/>
  <c r="U184" i="9"/>
  <c r="T184" i="9"/>
  <c r="S184" i="9"/>
  <c r="R184" i="9"/>
  <c r="Q184" i="9" s="1"/>
  <c r="P184" i="9"/>
  <c r="O184" i="9"/>
  <c r="N184" i="9"/>
  <c r="M184" i="9"/>
  <c r="L184" i="9"/>
  <c r="K184" i="9"/>
  <c r="H184" i="9"/>
  <c r="G184" i="9"/>
  <c r="F184" i="9"/>
  <c r="E184" i="9"/>
  <c r="D184" i="9"/>
  <c r="C184" i="9"/>
  <c r="B184" i="9"/>
  <c r="AA183" i="9"/>
  <c r="O183" i="9" s="1"/>
  <c r="T183" i="9"/>
  <c r="S183" i="9"/>
  <c r="R183" i="9"/>
  <c r="Q183" i="9"/>
  <c r="P183" i="9"/>
  <c r="N183" i="9"/>
  <c r="M183" i="9"/>
  <c r="L183" i="9"/>
  <c r="K183" i="9"/>
  <c r="H183" i="9"/>
  <c r="G183" i="9"/>
  <c r="U183" i="9" s="1"/>
  <c r="F183" i="9"/>
  <c r="E183" i="9"/>
  <c r="D183" i="9"/>
  <c r="C183" i="9"/>
  <c r="B183" i="9"/>
  <c r="AA182" i="9"/>
  <c r="O182" i="9" s="1"/>
  <c r="T182" i="9"/>
  <c r="V182" i="9" s="1"/>
  <c r="S182" i="9"/>
  <c r="R182" i="9"/>
  <c r="Q182" i="9"/>
  <c r="P182" i="9"/>
  <c r="N182" i="9"/>
  <c r="M182" i="9"/>
  <c r="L182" i="9"/>
  <c r="K182" i="9"/>
  <c r="H182" i="9"/>
  <c r="G182" i="9"/>
  <c r="U182" i="9" s="1"/>
  <c r="F182" i="9"/>
  <c r="E182" i="9"/>
  <c r="D182" i="9"/>
  <c r="C182" i="9"/>
  <c r="B182" i="9"/>
  <c r="AA181" i="9"/>
  <c r="O181" i="9" s="1"/>
  <c r="T181" i="9"/>
  <c r="S181" i="9"/>
  <c r="Q181" i="9" s="1"/>
  <c r="R181" i="9"/>
  <c r="P181" i="9"/>
  <c r="N181" i="9"/>
  <c r="M181" i="9"/>
  <c r="L181" i="9"/>
  <c r="K181" i="9"/>
  <c r="H181" i="9"/>
  <c r="G181" i="9"/>
  <c r="F181" i="9"/>
  <c r="E181" i="9"/>
  <c r="D181" i="9"/>
  <c r="C181" i="9"/>
  <c r="B181" i="9"/>
  <c r="AA180" i="9"/>
  <c r="T180" i="9"/>
  <c r="S180" i="9"/>
  <c r="R180" i="9"/>
  <c r="Q180" i="9" s="1"/>
  <c r="P180" i="9"/>
  <c r="O180" i="9"/>
  <c r="N180" i="9"/>
  <c r="M180" i="9"/>
  <c r="L180" i="9"/>
  <c r="K180" i="9"/>
  <c r="H180" i="9"/>
  <c r="G180" i="9"/>
  <c r="F180" i="9"/>
  <c r="E180" i="9"/>
  <c r="D180" i="9"/>
  <c r="C180" i="9"/>
  <c r="B180" i="9"/>
  <c r="AA179" i="9"/>
  <c r="V179" i="9"/>
  <c r="U179" i="9"/>
  <c r="T179" i="9"/>
  <c r="S179" i="9"/>
  <c r="R179" i="9"/>
  <c r="Q179" i="9" s="1"/>
  <c r="P179" i="9"/>
  <c r="O179" i="9"/>
  <c r="N179" i="9"/>
  <c r="M179" i="9"/>
  <c r="L179" i="9"/>
  <c r="K179" i="9"/>
  <c r="H179" i="9"/>
  <c r="G179" i="9"/>
  <c r="F179" i="9"/>
  <c r="E179" i="9"/>
  <c r="D179" i="9"/>
  <c r="C179" i="9"/>
  <c r="B179" i="9"/>
  <c r="AA178" i="9"/>
  <c r="O178" i="9" s="1"/>
  <c r="T178" i="9"/>
  <c r="S178" i="9"/>
  <c r="R178" i="9"/>
  <c r="Q178" i="9"/>
  <c r="P178" i="9"/>
  <c r="N178" i="9"/>
  <c r="M178" i="9"/>
  <c r="L178" i="9"/>
  <c r="K178" i="9"/>
  <c r="H178" i="9"/>
  <c r="G178" i="9"/>
  <c r="U178" i="9" s="1"/>
  <c r="F178" i="9"/>
  <c r="E178" i="9"/>
  <c r="D178" i="9"/>
  <c r="C178" i="9"/>
  <c r="B178" i="9"/>
  <c r="AA177" i="9"/>
  <c r="O177" i="9" s="1"/>
  <c r="T177" i="9"/>
  <c r="V177" i="9" s="1"/>
  <c r="S177" i="9"/>
  <c r="R177" i="9"/>
  <c r="Q177" i="9"/>
  <c r="P177" i="9"/>
  <c r="N177" i="9"/>
  <c r="M177" i="9"/>
  <c r="L177" i="9"/>
  <c r="K177" i="9"/>
  <c r="H177" i="9"/>
  <c r="G177" i="9"/>
  <c r="U177" i="9" s="1"/>
  <c r="F177" i="9"/>
  <c r="E177" i="9"/>
  <c r="D177" i="9"/>
  <c r="C177" i="9"/>
  <c r="B177" i="9"/>
  <c r="AA176" i="9"/>
  <c r="O176" i="9" s="1"/>
  <c r="T176" i="9"/>
  <c r="S176" i="9"/>
  <c r="Q176" i="9" s="1"/>
  <c r="R176" i="9"/>
  <c r="P176" i="9"/>
  <c r="N176" i="9"/>
  <c r="M176" i="9"/>
  <c r="L176" i="9"/>
  <c r="K176" i="9"/>
  <c r="H176" i="9"/>
  <c r="G176" i="9"/>
  <c r="F176" i="9"/>
  <c r="E176" i="9"/>
  <c r="D176" i="9"/>
  <c r="C176" i="9"/>
  <c r="B176" i="9"/>
  <c r="AA175" i="9"/>
  <c r="T175" i="9"/>
  <c r="S175" i="9"/>
  <c r="R175" i="9"/>
  <c r="Q175" i="9" s="1"/>
  <c r="P175" i="9"/>
  <c r="O175" i="9"/>
  <c r="N175" i="9"/>
  <c r="M175" i="9"/>
  <c r="L175" i="9"/>
  <c r="K175" i="9"/>
  <c r="H175" i="9"/>
  <c r="G175" i="9"/>
  <c r="F175" i="9"/>
  <c r="E175" i="9"/>
  <c r="D175" i="9"/>
  <c r="C175" i="9"/>
  <c r="B175" i="9"/>
  <c r="AA174" i="9"/>
  <c r="V174" i="9"/>
  <c r="U174" i="9"/>
  <c r="T174" i="9"/>
  <c r="S174" i="9"/>
  <c r="R174" i="9"/>
  <c r="Q174" i="9" s="1"/>
  <c r="P174" i="9"/>
  <c r="O174" i="9"/>
  <c r="N174" i="9"/>
  <c r="M174" i="9"/>
  <c r="L174" i="9"/>
  <c r="K174" i="9"/>
  <c r="H174" i="9"/>
  <c r="G174" i="9"/>
  <c r="F174" i="9"/>
  <c r="E174" i="9"/>
  <c r="D174" i="9"/>
  <c r="C174" i="9"/>
  <c r="B174" i="9"/>
  <c r="AA173" i="9"/>
  <c r="O173" i="9" s="1"/>
  <c r="T173" i="9"/>
  <c r="S173" i="9"/>
  <c r="R173" i="9"/>
  <c r="Q173" i="9" s="1"/>
  <c r="P173" i="9"/>
  <c r="N173" i="9"/>
  <c r="M173" i="9"/>
  <c r="L173" i="9"/>
  <c r="K173" i="9"/>
  <c r="H173" i="9"/>
  <c r="G173" i="9"/>
  <c r="U173" i="9" s="1"/>
  <c r="F173" i="9"/>
  <c r="E173" i="9"/>
  <c r="D173" i="9"/>
  <c r="C173" i="9"/>
  <c r="B173" i="9"/>
  <c r="AA172" i="9"/>
  <c r="O172" i="9" s="1"/>
  <c r="T172" i="9"/>
  <c r="V172" i="9" s="1"/>
  <c r="W172" i="9" s="1"/>
  <c r="S172" i="9"/>
  <c r="R172" i="9"/>
  <c r="Q172" i="9"/>
  <c r="P172" i="9"/>
  <c r="N172" i="9"/>
  <c r="M172" i="9"/>
  <c r="L172" i="9"/>
  <c r="K172" i="9"/>
  <c r="H172" i="9"/>
  <c r="G172" i="9"/>
  <c r="U172" i="9" s="1"/>
  <c r="F172" i="9"/>
  <c r="E172" i="9"/>
  <c r="D172" i="9"/>
  <c r="C172" i="9"/>
  <c r="B172" i="9"/>
  <c r="AA171" i="9"/>
  <c r="O171" i="9" s="1"/>
  <c r="T171" i="9"/>
  <c r="S171" i="9"/>
  <c r="Q171" i="9" s="1"/>
  <c r="R171" i="9"/>
  <c r="P171" i="9"/>
  <c r="N171" i="9"/>
  <c r="M171" i="9"/>
  <c r="L171" i="9"/>
  <c r="K171" i="9"/>
  <c r="H171" i="9"/>
  <c r="G171" i="9"/>
  <c r="F171" i="9"/>
  <c r="E171" i="9"/>
  <c r="D171" i="9"/>
  <c r="C171" i="9"/>
  <c r="B171" i="9"/>
  <c r="AA170" i="9"/>
  <c r="T170" i="9"/>
  <c r="S170" i="9"/>
  <c r="R170" i="9"/>
  <c r="P170" i="9"/>
  <c r="O170" i="9"/>
  <c r="N170" i="9"/>
  <c r="M170" i="9"/>
  <c r="L170" i="9"/>
  <c r="K170" i="9"/>
  <c r="H170" i="9"/>
  <c r="G170" i="9"/>
  <c r="F170" i="9"/>
  <c r="E170" i="9"/>
  <c r="D170" i="9"/>
  <c r="C170" i="9"/>
  <c r="B170" i="9"/>
  <c r="AA169" i="9"/>
  <c r="Y169" i="9"/>
  <c r="V169" i="9"/>
  <c r="U169" i="9"/>
  <c r="T169" i="9"/>
  <c r="S169" i="9"/>
  <c r="R169" i="9"/>
  <c r="Q169" i="9" s="1"/>
  <c r="P169" i="9"/>
  <c r="O169" i="9"/>
  <c r="N169" i="9"/>
  <c r="M169" i="9"/>
  <c r="L169" i="9"/>
  <c r="K169" i="9"/>
  <c r="H169" i="9"/>
  <c r="G169" i="9"/>
  <c r="F169" i="9"/>
  <c r="E169" i="9"/>
  <c r="D169" i="9"/>
  <c r="C169" i="9"/>
  <c r="B169" i="9"/>
  <c r="AA168" i="9"/>
  <c r="O168" i="9" s="1"/>
  <c r="U168" i="9"/>
  <c r="T168" i="9"/>
  <c r="S168" i="9"/>
  <c r="R168" i="9"/>
  <c r="Q168" i="9" s="1"/>
  <c r="P168" i="9"/>
  <c r="N168" i="9"/>
  <c r="M168" i="9"/>
  <c r="L168" i="9"/>
  <c r="K168" i="9"/>
  <c r="H168" i="9"/>
  <c r="G168" i="9"/>
  <c r="F168" i="9"/>
  <c r="E168" i="9"/>
  <c r="D168" i="9"/>
  <c r="C168" i="9"/>
  <c r="B168" i="9"/>
  <c r="AA167" i="9"/>
  <c r="O167" i="9" s="1"/>
  <c r="T167" i="9"/>
  <c r="S167" i="9"/>
  <c r="R167" i="9"/>
  <c r="Q167" i="9"/>
  <c r="P167" i="9"/>
  <c r="N167" i="9"/>
  <c r="M167" i="9"/>
  <c r="L167" i="9"/>
  <c r="K167" i="9"/>
  <c r="H167" i="9"/>
  <c r="G167" i="9"/>
  <c r="U167" i="9" s="1"/>
  <c r="F167" i="9"/>
  <c r="E167" i="9"/>
  <c r="D167" i="9"/>
  <c r="C167" i="9"/>
  <c r="B167" i="9"/>
  <c r="AA166" i="9"/>
  <c r="O166" i="9" s="1"/>
  <c r="T166" i="9"/>
  <c r="S166" i="9"/>
  <c r="Q166" i="9" s="1"/>
  <c r="R166" i="9"/>
  <c r="P166" i="9"/>
  <c r="N166" i="9"/>
  <c r="M166" i="9"/>
  <c r="L166" i="9"/>
  <c r="K166" i="9"/>
  <c r="H166" i="9"/>
  <c r="G166" i="9"/>
  <c r="F166" i="9"/>
  <c r="E166" i="9"/>
  <c r="D166" i="9"/>
  <c r="C166" i="9"/>
  <c r="B166" i="9"/>
  <c r="AA165" i="9"/>
  <c r="T165" i="9"/>
  <c r="S165" i="9"/>
  <c r="R165" i="9"/>
  <c r="P165" i="9"/>
  <c r="O165" i="9"/>
  <c r="N165" i="9"/>
  <c r="M165" i="9"/>
  <c r="L165" i="9"/>
  <c r="K165" i="9"/>
  <c r="H165" i="9"/>
  <c r="G165" i="9"/>
  <c r="F165" i="9"/>
  <c r="E165" i="9"/>
  <c r="D165" i="9"/>
  <c r="C165" i="9"/>
  <c r="B165" i="9"/>
  <c r="AA164" i="9"/>
  <c r="U164" i="9"/>
  <c r="V164" i="9" s="1"/>
  <c r="T164" i="9"/>
  <c r="S164" i="9"/>
  <c r="R164" i="9"/>
  <c r="Q164" i="9" s="1"/>
  <c r="P164" i="9"/>
  <c r="O164" i="9"/>
  <c r="N164" i="9"/>
  <c r="M164" i="9"/>
  <c r="L164" i="9"/>
  <c r="K164" i="9"/>
  <c r="H164" i="9"/>
  <c r="G164" i="9"/>
  <c r="F164" i="9"/>
  <c r="E164" i="9"/>
  <c r="D164" i="9"/>
  <c r="C164" i="9"/>
  <c r="B164" i="9"/>
  <c r="AA163" i="9"/>
  <c r="O163" i="9" s="1"/>
  <c r="T163" i="9"/>
  <c r="V163" i="9" s="1"/>
  <c r="S163" i="9"/>
  <c r="R163" i="9"/>
  <c r="Q163" i="9" s="1"/>
  <c r="P163" i="9"/>
  <c r="N163" i="9"/>
  <c r="M163" i="9"/>
  <c r="L163" i="9"/>
  <c r="K163" i="9"/>
  <c r="H163" i="9"/>
  <c r="G163" i="9"/>
  <c r="U163" i="9" s="1"/>
  <c r="F163" i="9"/>
  <c r="E163" i="9"/>
  <c r="D163" i="9"/>
  <c r="C163" i="9"/>
  <c r="B163" i="9"/>
  <c r="AA162" i="9"/>
  <c r="O162" i="9" s="1"/>
  <c r="X162" i="9"/>
  <c r="T162" i="9"/>
  <c r="V162" i="9" s="1"/>
  <c r="S162" i="9"/>
  <c r="R162" i="9"/>
  <c r="Q162" i="9"/>
  <c r="P162" i="9"/>
  <c r="N162" i="9"/>
  <c r="M162" i="9"/>
  <c r="L162" i="9"/>
  <c r="K162" i="9"/>
  <c r="H162" i="9"/>
  <c r="G162" i="9"/>
  <c r="U162" i="9" s="1"/>
  <c r="F162" i="9"/>
  <c r="E162" i="9"/>
  <c r="D162" i="9"/>
  <c r="C162" i="9"/>
  <c r="B162" i="9"/>
  <c r="AA161" i="9"/>
  <c r="O161" i="9" s="1"/>
  <c r="T161" i="9"/>
  <c r="U161" i="9" s="1"/>
  <c r="S161" i="9"/>
  <c r="Q161" i="9" s="1"/>
  <c r="R161" i="9"/>
  <c r="P161" i="9"/>
  <c r="N161" i="9"/>
  <c r="M161" i="9"/>
  <c r="L161" i="9"/>
  <c r="K161" i="9"/>
  <c r="H161" i="9"/>
  <c r="G161" i="9"/>
  <c r="F161" i="9"/>
  <c r="E161" i="9"/>
  <c r="D161" i="9"/>
  <c r="C161" i="9"/>
  <c r="B161" i="9"/>
  <c r="AA160" i="9"/>
  <c r="T160" i="9"/>
  <c r="S160" i="9"/>
  <c r="R160" i="9"/>
  <c r="Q160" i="9" s="1"/>
  <c r="P160" i="9"/>
  <c r="O160" i="9"/>
  <c r="N160" i="9"/>
  <c r="M160" i="9"/>
  <c r="L160" i="9"/>
  <c r="K160" i="9"/>
  <c r="H160" i="9"/>
  <c r="G160" i="9"/>
  <c r="F160" i="9"/>
  <c r="E160" i="9"/>
  <c r="D160" i="9"/>
  <c r="C160" i="9"/>
  <c r="B160" i="9"/>
  <c r="AA159" i="9"/>
  <c r="X159" i="9"/>
  <c r="V159" i="9"/>
  <c r="Y159" i="9" s="1"/>
  <c r="U159" i="9"/>
  <c r="T159" i="9"/>
  <c r="S159" i="9"/>
  <c r="R159" i="9"/>
  <c r="Q159" i="9" s="1"/>
  <c r="P159" i="9"/>
  <c r="O159" i="9"/>
  <c r="N159" i="9"/>
  <c r="M159" i="9"/>
  <c r="L159" i="9"/>
  <c r="K159" i="9"/>
  <c r="H159" i="9"/>
  <c r="G159" i="9"/>
  <c r="F159" i="9"/>
  <c r="E159" i="9"/>
  <c r="D159" i="9"/>
  <c r="C159" i="9"/>
  <c r="B159" i="9"/>
  <c r="AA158" i="9"/>
  <c r="O158" i="9" s="1"/>
  <c r="T158" i="9"/>
  <c r="S158" i="9"/>
  <c r="R158" i="9"/>
  <c r="Q158" i="9"/>
  <c r="P158" i="9"/>
  <c r="N158" i="9"/>
  <c r="M158" i="9"/>
  <c r="L158" i="9"/>
  <c r="K158" i="9"/>
  <c r="H158" i="9"/>
  <c r="U158" i="9" s="1"/>
  <c r="G158" i="9"/>
  <c r="F158" i="9"/>
  <c r="E158" i="9"/>
  <c r="D158" i="9"/>
  <c r="C158" i="9"/>
  <c r="B158" i="9"/>
  <c r="AA157" i="9"/>
  <c r="O157" i="9" s="1"/>
  <c r="T157" i="9"/>
  <c r="V157" i="9" s="1"/>
  <c r="S157" i="9"/>
  <c r="R157" i="9"/>
  <c r="Q157" i="9"/>
  <c r="P157" i="9"/>
  <c r="N157" i="9"/>
  <c r="M157" i="9"/>
  <c r="L157" i="9"/>
  <c r="K157" i="9"/>
  <c r="H157" i="9"/>
  <c r="G157" i="9"/>
  <c r="U157" i="9" s="1"/>
  <c r="F157" i="9"/>
  <c r="E157" i="9"/>
  <c r="D157" i="9"/>
  <c r="C157" i="9"/>
  <c r="B157" i="9"/>
  <c r="AA156" i="9"/>
  <c r="O156" i="9" s="1"/>
  <c r="T156" i="9"/>
  <c r="U156" i="9" s="1"/>
  <c r="S156" i="9"/>
  <c r="Q156" i="9" s="1"/>
  <c r="R156" i="9"/>
  <c r="P156" i="9"/>
  <c r="N156" i="9"/>
  <c r="M156" i="9"/>
  <c r="L156" i="9"/>
  <c r="K156" i="9"/>
  <c r="H156" i="9"/>
  <c r="G156" i="9"/>
  <c r="F156" i="9"/>
  <c r="E156" i="9"/>
  <c r="D156" i="9"/>
  <c r="C156" i="9"/>
  <c r="B156" i="9"/>
  <c r="AA155" i="9"/>
  <c r="T155" i="9"/>
  <c r="S155" i="9"/>
  <c r="R155" i="9"/>
  <c r="P155" i="9"/>
  <c r="O155" i="9"/>
  <c r="N155" i="9"/>
  <c r="M155" i="9"/>
  <c r="L155" i="9"/>
  <c r="K155" i="9"/>
  <c r="H155" i="9"/>
  <c r="G155" i="9"/>
  <c r="F155" i="9"/>
  <c r="E155" i="9"/>
  <c r="D155" i="9"/>
  <c r="C155" i="9"/>
  <c r="B155" i="9"/>
  <c r="AA154" i="9"/>
  <c r="U154" i="9"/>
  <c r="T154" i="9"/>
  <c r="S154" i="9"/>
  <c r="R154" i="9"/>
  <c r="Q154" i="9" s="1"/>
  <c r="P154" i="9"/>
  <c r="O154" i="9"/>
  <c r="N154" i="9"/>
  <c r="M154" i="9"/>
  <c r="L154" i="9"/>
  <c r="K154" i="9"/>
  <c r="V154" i="9"/>
  <c r="H154" i="9"/>
  <c r="G154" i="9"/>
  <c r="F154" i="9"/>
  <c r="E154" i="9"/>
  <c r="D154" i="9"/>
  <c r="C154" i="9"/>
  <c r="B154" i="9"/>
  <c r="AA153" i="9"/>
  <c r="T153" i="9"/>
  <c r="S153" i="9"/>
  <c r="Q153" i="9" s="1"/>
  <c r="R153" i="9"/>
  <c r="P153" i="9"/>
  <c r="O153" i="9"/>
  <c r="N153" i="9"/>
  <c r="M153" i="9"/>
  <c r="L153" i="9"/>
  <c r="K153" i="9"/>
  <c r="H153" i="9"/>
  <c r="G153" i="9"/>
  <c r="U153" i="9" s="1"/>
  <c r="F153" i="9"/>
  <c r="E153" i="9"/>
  <c r="D153" i="9"/>
  <c r="C153" i="9"/>
  <c r="B153" i="9"/>
  <c r="AA152" i="9"/>
  <c r="O152" i="9" s="1"/>
  <c r="Y152" i="9"/>
  <c r="X152" i="9"/>
  <c r="W152" i="9"/>
  <c r="T152" i="9"/>
  <c r="V152" i="9" s="1"/>
  <c r="Z152" i="9" s="1"/>
  <c r="S152" i="9"/>
  <c r="R152" i="9"/>
  <c r="Q152" i="9"/>
  <c r="P152" i="9"/>
  <c r="N152" i="9"/>
  <c r="M152" i="9"/>
  <c r="L152" i="9"/>
  <c r="K152" i="9"/>
  <c r="H152" i="9"/>
  <c r="G152" i="9"/>
  <c r="U152" i="9" s="1"/>
  <c r="F152" i="9"/>
  <c r="E152" i="9"/>
  <c r="D152" i="9"/>
  <c r="C152" i="9"/>
  <c r="B152" i="9"/>
  <c r="AA151" i="9"/>
  <c r="O151" i="9" s="1"/>
  <c r="T151" i="9"/>
  <c r="U151" i="9" s="1"/>
  <c r="V151" i="9" s="1"/>
  <c r="S151" i="9"/>
  <c r="R151" i="9"/>
  <c r="Q151" i="9"/>
  <c r="P151" i="9"/>
  <c r="N151" i="9"/>
  <c r="M151" i="9"/>
  <c r="L151" i="9"/>
  <c r="K151" i="9"/>
  <c r="H151" i="9"/>
  <c r="G151" i="9"/>
  <c r="F151" i="9"/>
  <c r="E151" i="9"/>
  <c r="D151" i="9"/>
  <c r="C151" i="9"/>
  <c r="B151" i="9"/>
  <c r="AA150" i="9"/>
  <c r="O150" i="9" s="1"/>
  <c r="T150" i="9"/>
  <c r="S150" i="9"/>
  <c r="Q150" i="9" s="1"/>
  <c r="R150" i="9"/>
  <c r="P150" i="9"/>
  <c r="N150" i="9"/>
  <c r="M150" i="9"/>
  <c r="L150" i="9"/>
  <c r="K150" i="9"/>
  <c r="H150" i="9"/>
  <c r="G150" i="9"/>
  <c r="F150" i="9"/>
  <c r="E150" i="9"/>
  <c r="D150" i="9"/>
  <c r="C150" i="9"/>
  <c r="B150" i="9"/>
  <c r="AA149" i="9"/>
  <c r="V149" i="9"/>
  <c r="U149" i="9"/>
  <c r="T149" i="9"/>
  <c r="S149" i="9"/>
  <c r="R149" i="9"/>
  <c r="P149" i="9"/>
  <c r="O149" i="9"/>
  <c r="N149" i="9"/>
  <c r="M149" i="9"/>
  <c r="L149" i="9"/>
  <c r="K149" i="9"/>
  <c r="H149" i="9"/>
  <c r="G149" i="9"/>
  <c r="F149" i="9"/>
  <c r="E149" i="9"/>
  <c r="D149" i="9"/>
  <c r="C149" i="9"/>
  <c r="B149" i="9"/>
  <c r="AA148" i="9"/>
  <c r="O148" i="9" s="1"/>
  <c r="T148" i="9"/>
  <c r="S148" i="9"/>
  <c r="R148" i="9"/>
  <c r="Q148" i="9"/>
  <c r="P148" i="9"/>
  <c r="N148" i="9"/>
  <c r="M148" i="9"/>
  <c r="L148" i="9"/>
  <c r="K148" i="9"/>
  <c r="H148" i="9"/>
  <c r="G148" i="9"/>
  <c r="F148" i="9"/>
  <c r="E148" i="9"/>
  <c r="D148" i="9"/>
  <c r="C148" i="9"/>
  <c r="B148" i="9"/>
  <c r="AA147" i="9"/>
  <c r="U147" i="9"/>
  <c r="T147" i="9"/>
  <c r="V147" i="9" s="1"/>
  <c r="S147" i="9"/>
  <c r="R147" i="9"/>
  <c r="Q147" i="9"/>
  <c r="P147" i="9"/>
  <c r="O147" i="9"/>
  <c r="N147" i="9"/>
  <c r="M147" i="9"/>
  <c r="L147" i="9"/>
  <c r="K147" i="9"/>
  <c r="H147" i="9"/>
  <c r="G147" i="9"/>
  <c r="F147" i="9"/>
  <c r="E147" i="9"/>
  <c r="D147" i="9"/>
  <c r="C147" i="9"/>
  <c r="B147" i="9"/>
  <c r="AA146" i="9"/>
  <c r="O146" i="9" s="1"/>
  <c r="U146" i="9"/>
  <c r="T146" i="9"/>
  <c r="S146" i="9"/>
  <c r="Q146" i="9" s="1"/>
  <c r="R146" i="9"/>
  <c r="P146" i="9"/>
  <c r="N146" i="9"/>
  <c r="M146" i="9"/>
  <c r="L146" i="9"/>
  <c r="K146" i="9"/>
  <c r="V146" i="9"/>
  <c r="H146" i="9"/>
  <c r="G146" i="9"/>
  <c r="F146" i="9"/>
  <c r="E146" i="9"/>
  <c r="D146" i="9"/>
  <c r="C146" i="9"/>
  <c r="B146" i="9"/>
  <c r="AA145" i="9"/>
  <c r="T145" i="9"/>
  <c r="S145" i="9"/>
  <c r="R145" i="9"/>
  <c r="Q145" i="9"/>
  <c r="P145" i="9"/>
  <c r="O145" i="9"/>
  <c r="N145" i="9"/>
  <c r="M145" i="9"/>
  <c r="L145" i="9"/>
  <c r="K145" i="9"/>
  <c r="H145" i="9"/>
  <c r="G145" i="9"/>
  <c r="F145" i="9"/>
  <c r="E145" i="9"/>
  <c r="D145" i="9"/>
  <c r="C145" i="9"/>
  <c r="B145" i="9"/>
  <c r="AA144" i="9"/>
  <c r="U144" i="9"/>
  <c r="T144" i="9"/>
  <c r="S144" i="9"/>
  <c r="R144" i="9"/>
  <c r="Q144" i="9" s="1"/>
  <c r="P144" i="9"/>
  <c r="O144" i="9"/>
  <c r="N144" i="9"/>
  <c r="M144" i="9"/>
  <c r="L144" i="9"/>
  <c r="K144" i="9"/>
  <c r="V144" i="9"/>
  <c r="H144" i="9"/>
  <c r="G144" i="9"/>
  <c r="F144" i="9"/>
  <c r="E144" i="9"/>
  <c r="D144" i="9"/>
  <c r="C144" i="9"/>
  <c r="B144" i="9"/>
  <c r="AA143" i="9"/>
  <c r="O143" i="9" s="1"/>
  <c r="U143" i="9"/>
  <c r="T143" i="9"/>
  <c r="S143" i="9"/>
  <c r="Q143" i="9" s="1"/>
  <c r="R143" i="9"/>
  <c r="P143" i="9"/>
  <c r="N143" i="9"/>
  <c r="M143" i="9"/>
  <c r="L143" i="9"/>
  <c r="K143" i="9"/>
  <c r="H143" i="9"/>
  <c r="G143" i="9"/>
  <c r="F143" i="9"/>
  <c r="E143" i="9"/>
  <c r="D143" i="9"/>
  <c r="C143" i="9"/>
  <c r="B143" i="9"/>
  <c r="AA142" i="9"/>
  <c r="O142" i="9" s="1"/>
  <c r="Y142" i="9"/>
  <c r="V142" i="9"/>
  <c r="X142" i="9" s="1"/>
  <c r="T142" i="9"/>
  <c r="U142" i="9" s="1"/>
  <c r="S142" i="9"/>
  <c r="R142" i="9"/>
  <c r="Q142" i="9"/>
  <c r="P142" i="9"/>
  <c r="N142" i="9"/>
  <c r="M142" i="9"/>
  <c r="L142" i="9"/>
  <c r="K142" i="9"/>
  <c r="H142" i="9"/>
  <c r="G142" i="9"/>
  <c r="F142" i="9"/>
  <c r="E142" i="9"/>
  <c r="D142" i="9"/>
  <c r="C142" i="9"/>
  <c r="B142" i="9"/>
  <c r="AA141" i="9"/>
  <c r="O141" i="9" s="1"/>
  <c r="T141" i="9"/>
  <c r="U141" i="9" s="1"/>
  <c r="S141" i="9"/>
  <c r="R141" i="9"/>
  <c r="Q141" i="9"/>
  <c r="P141" i="9"/>
  <c r="N141" i="9"/>
  <c r="M141" i="9"/>
  <c r="L141" i="9"/>
  <c r="K141" i="9"/>
  <c r="H141" i="9"/>
  <c r="G141" i="9"/>
  <c r="F141" i="9"/>
  <c r="E141" i="9"/>
  <c r="D141" i="9"/>
  <c r="C141" i="9"/>
  <c r="B141" i="9"/>
  <c r="AA140" i="9"/>
  <c r="O140" i="9" s="1"/>
  <c r="T140" i="9"/>
  <c r="S140" i="9"/>
  <c r="R140" i="9"/>
  <c r="Q140" i="9" s="1"/>
  <c r="P140" i="9"/>
  <c r="N140" i="9"/>
  <c r="M140" i="9"/>
  <c r="L140" i="9"/>
  <c r="K140" i="9"/>
  <c r="H140" i="9"/>
  <c r="G140" i="9"/>
  <c r="F140" i="9"/>
  <c r="E140" i="9"/>
  <c r="D140" i="9"/>
  <c r="C140" i="9"/>
  <c r="B140" i="9"/>
  <c r="AA139" i="9"/>
  <c r="T139" i="9"/>
  <c r="U139" i="9" s="1"/>
  <c r="S139" i="9"/>
  <c r="R139" i="9"/>
  <c r="Q139" i="9" s="1"/>
  <c r="P139" i="9"/>
  <c r="O139" i="9"/>
  <c r="N139" i="9"/>
  <c r="M139" i="9"/>
  <c r="L139" i="9"/>
  <c r="K139" i="9"/>
  <c r="H139" i="9"/>
  <c r="G139" i="9"/>
  <c r="F139" i="9"/>
  <c r="E139" i="9"/>
  <c r="D139" i="9"/>
  <c r="C139" i="9"/>
  <c r="B139" i="9"/>
  <c r="AA138" i="9"/>
  <c r="O138" i="9" s="1"/>
  <c r="U138" i="9"/>
  <c r="T138" i="9"/>
  <c r="S138" i="9"/>
  <c r="R138" i="9"/>
  <c r="Q138" i="9" s="1"/>
  <c r="P138" i="9"/>
  <c r="N138" i="9"/>
  <c r="M138" i="9"/>
  <c r="L138" i="9"/>
  <c r="K138" i="9"/>
  <c r="H138" i="9"/>
  <c r="G138" i="9"/>
  <c r="F138" i="9"/>
  <c r="E138" i="9"/>
  <c r="D138" i="9"/>
  <c r="C138" i="9"/>
  <c r="B138" i="9"/>
  <c r="AA137" i="9"/>
  <c r="O137" i="9" s="1"/>
  <c r="T137" i="9"/>
  <c r="U137" i="9" s="1"/>
  <c r="S137" i="9"/>
  <c r="R137" i="9"/>
  <c r="Q137" i="9"/>
  <c r="P137" i="9"/>
  <c r="N137" i="9"/>
  <c r="M137" i="9"/>
  <c r="L137" i="9"/>
  <c r="K137" i="9"/>
  <c r="V137" i="9"/>
  <c r="H137" i="9"/>
  <c r="G137" i="9"/>
  <c r="F137" i="9"/>
  <c r="E137" i="9"/>
  <c r="D137" i="9"/>
  <c r="C137" i="9"/>
  <c r="B137" i="9"/>
  <c r="AA136" i="9"/>
  <c r="O136" i="9" s="1"/>
  <c r="V136" i="9"/>
  <c r="Y136" i="9" s="1"/>
  <c r="T136" i="9"/>
  <c r="S136" i="9"/>
  <c r="R136" i="9"/>
  <c r="Q136" i="9"/>
  <c r="P136" i="9"/>
  <c r="N136" i="9"/>
  <c r="M136" i="9"/>
  <c r="L136" i="9"/>
  <c r="K136" i="9"/>
  <c r="H136" i="9"/>
  <c r="G136" i="9"/>
  <c r="U136" i="9" s="1"/>
  <c r="F136" i="9"/>
  <c r="E136" i="9"/>
  <c r="D136" i="9"/>
  <c r="C136" i="9"/>
  <c r="B136" i="9"/>
  <c r="AA135" i="9"/>
  <c r="O135" i="9" s="1"/>
  <c r="T135" i="9"/>
  <c r="U135" i="9" s="1"/>
  <c r="S135" i="9"/>
  <c r="Q135" i="9" s="1"/>
  <c r="R135" i="9"/>
  <c r="P135" i="9"/>
  <c r="N135" i="9"/>
  <c r="M135" i="9"/>
  <c r="L135" i="9"/>
  <c r="K135" i="9"/>
  <c r="H135" i="9"/>
  <c r="G135" i="9"/>
  <c r="F135" i="9"/>
  <c r="E135" i="9"/>
  <c r="D135" i="9"/>
  <c r="C135" i="9"/>
  <c r="B135" i="9"/>
  <c r="AA134" i="9"/>
  <c r="T134" i="9"/>
  <c r="S134" i="9"/>
  <c r="R134" i="9"/>
  <c r="P134" i="9"/>
  <c r="O134" i="9"/>
  <c r="N134" i="9"/>
  <c r="M134" i="9"/>
  <c r="L134" i="9"/>
  <c r="K134" i="9"/>
  <c r="H134" i="9"/>
  <c r="U134" i="9" s="1"/>
  <c r="V134" i="9" s="1"/>
  <c r="G134" i="9"/>
  <c r="F134" i="9"/>
  <c r="E134" i="9"/>
  <c r="D134" i="9"/>
  <c r="C134" i="9"/>
  <c r="B134" i="9"/>
  <c r="AA133" i="9"/>
  <c r="O133" i="9" s="1"/>
  <c r="U133" i="9"/>
  <c r="T133" i="9"/>
  <c r="S133" i="9"/>
  <c r="Q133" i="9" s="1"/>
  <c r="R133" i="9"/>
  <c r="P133" i="9"/>
  <c r="N133" i="9"/>
  <c r="M133" i="9"/>
  <c r="L133" i="9"/>
  <c r="K133" i="9"/>
  <c r="H133" i="9"/>
  <c r="G133" i="9"/>
  <c r="F133" i="9"/>
  <c r="E133" i="9"/>
  <c r="D133" i="9"/>
  <c r="C133" i="9"/>
  <c r="B133" i="9"/>
  <c r="AA132" i="9"/>
  <c r="Z132" i="9"/>
  <c r="Y132" i="9"/>
  <c r="V132" i="9"/>
  <c r="X132" i="9" s="1"/>
  <c r="T132" i="9"/>
  <c r="S132" i="9"/>
  <c r="R132" i="9"/>
  <c r="Q132" i="9"/>
  <c r="P132" i="9"/>
  <c r="O132" i="9"/>
  <c r="N132" i="9"/>
  <c r="M132" i="9"/>
  <c r="L132" i="9"/>
  <c r="K132" i="9"/>
  <c r="H132" i="9"/>
  <c r="G132" i="9"/>
  <c r="U132" i="9" s="1"/>
  <c r="F132" i="9"/>
  <c r="E132" i="9"/>
  <c r="D132" i="9"/>
  <c r="C132" i="9"/>
  <c r="B132" i="9"/>
  <c r="AA131" i="9"/>
  <c r="O131" i="9" s="1"/>
  <c r="V131" i="9"/>
  <c r="T131" i="9"/>
  <c r="U131" i="9" s="1"/>
  <c r="S131" i="9"/>
  <c r="R131" i="9"/>
  <c r="Q131" i="9"/>
  <c r="P131" i="9"/>
  <c r="N131" i="9"/>
  <c r="M131" i="9"/>
  <c r="L131" i="9"/>
  <c r="K131" i="9"/>
  <c r="H131" i="9"/>
  <c r="G131" i="9"/>
  <c r="F131" i="9"/>
  <c r="E131" i="9"/>
  <c r="D131" i="9"/>
  <c r="C131" i="9"/>
  <c r="B131" i="9"/>
  <c r="AA130" i="9"/>
  <c r="O130" i="9" s="1"/>
  <c r="T130" i="9"/>
  <c r="S130" i="9"/>
  <c r="R130" i="9"/>
  <c r="Q130" i="9" s="1"/>
  <c r="P130" i="9"/>
  <c r="N130" i="9"/>
  <c r="M130" i="9"/>
  <c r="L130" i="9"/>
  <c r="K130" i="9"/>
  <c r="H130" i="9"/>
  <c r="G130" i="9"/>
  <c r="F130" i="9"/>
  <c r="E130" i="9"/>
  <c r="D130" i="9"/>
  <c r="C130" i="9"/>
  <c r="B130" i="9"/>
  <c r="AA129" i="9"/>
  <c r="T129" i="9"/>
  <c r="U129" i="9" s="1"/>
  <c r="S129" i="9"/>
  <c r="R129" i="9"/>
  <c r="Q129" i="9" s="1"/>
  <c r="P129" i="9"/>
  <c r="O129" i="9"/>
  <c r="N129" i="9"/>
  <c r="M129" i="9"/>
  <c r="L129" i="9"/>
  <c r="K129" i="9"/>
  <c r="H129" i="9"/>
  <c r="G129" i="9"/>
  <c r="F129" i="9"/>
  <c r="E129" i="9"/>
  <c r="D129" i="9"/>
  <c r="C129" i="9"/>
  <c r="B129" i="9"/>
  <c r="AA128" i="9"/>
  <c r="O128" i="9" s="1"/>
  <c r="T128" i="9"/>
  <c r="S128" i="9"/>
  <c r="R128" i="9"/>
  <c r="Q128" i="9"/>
  <c r="P128" i="9"/>
  <c r="N128" i="9"/>
  <c r="M128" i="9"/>
  <c r="L128" i="9"/>
  <c r="K128" i="9"/>
  <c r="H128" i="9"/>
  <c r="G128" i="9"/>
  <c r="U128" i="9" s="1"/>
  <c r="F128" i="9"/>
  <c r="E128" i="9"/>
  <c r="D128" i="9"/>
  <c r="C128" i="9"/>
  <c r="B128" i="9"/>
  <c r="AA127" i="9"/>
  <c r="V127" i="9"/>
  <c r="Z127" i="9" s="1"/>
  <c r="U127" i="9"/>
  <c r="T127" i="9"/>
  <c r="S127" i="9"/>
  <c r="R127" i="9"/>
  <c r="Q127" i="9" s="1"/>
  <c r="P127" i="9"/>
  <c r="O127" i="9"/>
  <c r="N127" i="9"/>
  <c r="M127" i="9"/>
  <c r="L127" i="9"/>
  <c r="K127" i="9"/>
  <c r="H127" i="9"/>
  <c r="G127" i="9"/>
  <c r="F127" i="9"/>
  <c r="E127" i="9"/>
  <c r="D127" i="9"/>
  <c r="C127" i="9"/>
  <c r="B127" i="9"/>
  <c r="AA126" i="9"/>
  <c r="O126" i="9" s="1"/>
  <c r="T126" i="9"/>
  <c r="S126" i="9"/>
  <c r="R126" i="9"/>
  <c r="Q126" i="9"/>
  <c r="P126" i="9"/>
  <c r="N126" i="9"/>
  <c r="M126" i="9"/>
  <c r="L126" i="9"/>
  <c r="K126" i="9"/>
  <c r="H126" i="9"/>
  <c r="G126" i="9"/>
  <c r="U126" i="9" s="1"/>
  <c r="F126" i="9"/>
  <c r="E126" i="9"/>
  <c r="D126" i="9"/>
  <c r="C126" i="9"/>
  <c r="B126" i="9"/>
  <c r="AA125" i="9"/>
  <c r="T125" i="9"/>
  <c r="S125" i="9"/>
  <c r="R125" i="9"/>
  <c r="Q125" i="9"/>
  <c r="P125" i="9"/>
  <c r="O125" i="9"/>
  <c r="N125" i="9"/>
  <c r="M125" i="9"/>
  <c r="L125" i="9"/>
  <c r="K125" i="9"/>
  <c r="H125" i="9"/>
  <c r="G125" i="9"/>
  <c r="F125" i="9"/>
  <c r="E125" i="9"/>
  <c r="D125" i="9"/>
  <c r="C125" i="9"/>
  <c r="B125" i="9"/>
  <c r="AA124" i="9"/>
  <c r="O124" i="9" s="1"/>
  <c r="T124" i="9"/>
  <c r="V124" i="9" s="1"/>
  <c r="S124" i="9"/>
  <c r="Q124" i="9" s="1"/>
  <c r="R124" i="9"/>
  <c r="P124" i="9"/>
  <c r="N124" i="9"/>
  <c r="M124" i="9"/>
  <c r="L124" i="9"/>
  <c r="K124" i="9"/>
  <c r="H124" i="9"/>
  <c r="G124" i="9"/>
  <c r="F124" i="9"/>
  <c r="E124" i="9"/>
  <c r="D124" i="9"/>
  <c r="C124" i="9"/>
  <c r="B124" i="9"/>
  <c r="AA123" i="9"/>
  <c r="O123" i="9" s="1"/>
  <c r="T123" i="9"/>
  <c r="S123" i="9"/>
  <c r="R123" i="9"/>
  <c r="Q123" i="9"/>
  <c r="P123" i="9"/>
  <c r="N123" i="9"/>
  <c r="M123" i="9"/>
  <c r="L123" i="9"/>
  <c r="K123" i="9"/>
  <c r="H123" i="9"/>
  <c r="G123" i="9"/>
  <c r="U123" i="9" s="1"/>
  <c r="F123" i="9"/>
  <c r="E123" i="9"/>
  <c r="D123" i="9"/>
  <c r="C123" i="9"/>
  <c r="B123" i="9"/>
  <c r="AA122" i="9"/>
  <c r="V122" i="9"/>
  <c r="U122" i="9"/>
  <c r="T122" i="9"/>
  <c r="S122" i="9"/>
  <c r="R122" i="9"/>
  <c r="Q122" i="9" s="1"/>
  <c r="P122" i="9"/>
  <c r="O122" i="9"/>
  <c r="N122" i="9"/>
  <c r="M122" i="9"/>
  <c r="L122" i="9"/>
  <c r="K122" i="9"/>
  <c r="H122" i="9"/>
  <c r="G122" i="9"/>
  <c r="F122" i="9"/>
  <c r="E122" i="9"/>
  <c r="D122" i="9"/>
  <c r="C122" i="9"/>
  <c r="B122" i="9"/>
  <c r="AA121" i="9"/>
  <c r="O121" i="9" s="1"/>
  <c r="T121" i="9"/>
  <c r="S121" i="9"/>
  <c r="R121" i="9"/>
  <c r="Q121" i="9" s="1"/>
  <c r="P121" i="9"/>
  <c r="N121" i="9"/>
  <c r="M121" i="9"/>
  <c r="L121" i="9"/>
  <c r="K121" i="9"/>
  <c r="H121" i="9"/>
  <c r="G121" i="9"/>
  <c r="U121" i="9" s="1"/>
  <c r="F121" i="9"/>
  <c r="E121" i="9"/>
  <c r="D121" i="9"/>
  <c r="C121" i="9"/>
  <c r="B121" i="9"/>
  <c r="AA120" i="9"/>
  <c r="O120" i="9" s="1"/>
  <c r="T120" i="9"/>
  <c r="S120" i="9"/>
  <c r="R120" i="9"/>
  <c r="Q120" i="9"/>
  <c r="P120" i="9"/>
  <c r="N120" i="9"/>
  <c r="M120" i="9"/>
  <c r="L120" i="9"/>
  <c r="K120" i="9"/>
  <c r="H120" i="9"/>
  <c r="G120" i="9"/>
  <c r="F120" i="9"/>
  <c r="E120" i="9"/>
  <c r="D120" i="9"/>
  <c r="C120" i="9"/>
  <c r="B120" i="9"/>
  <c r="AA119" i="9"/>
  <c r="O119" i="9" s="1"/>
  <c r="Z119" i="9"/>
  <c r="T119" i="9"/>
  <c r="V119" i="9" s="1"/>
  <c r="S119" i="9"/>
  <c r="Q119" i="9" s="1"/>
  <c r="R119" i="9"/>
  <c r="P119" i="9"/>
  <c r="N119" i="9"/>
  <c r="M119" i="9"/>
  <c r="L119" i="9"/>
  <c r="K119" i="9"/>
  <c r="H119" i="9"/>
  <c r="G119" i="9"/>
  <c r="F119" i="9"/>
  <c r="E119" i="9"/>
  <c r="D119" i="9"/>
  <c r="C119" i="9"/>
  <c r="B119" i="9"/>
  <c r="AA118" i="9"/>
  <c r="O118" i="9" s="1"/>
  <c r="T118" i="9"/>
  <c r="S118" i="9"/>
  <c r="Q118" i="9" s="1"/>
  <c r="R118" i="9"/>
  <c r="P118" i="9"/>
  <c r="N118" i="9"/>
  <c r="M118" i="9"/>
  <c r="L118" i="9"/>
  <c r="K118" i="9"/>
  <c r="V118" i="9"/>
  <c r="H118" i="9"/>
  <c r="G118" i="9"/>
  <c r="U118" i="9" s="1"/>
  <c r="F118" i="9"/>
  <c r="E118" i="9"/>
  <c r="D118" i="9"/>
  <c r="C118" i="9"/>
  <c r="B118" i="9"/>
  <c r="AA117" i="9"/>
  <c r="T117" i="9"/>
  <c r="S117" i="9"/>
  <c r="R117" i="9"/>
  <c r="Q117" i="9" s="1"/>
  <c r="P117" i="9"/>
  <c r="O117" i="9"/>
  <c r="N117" i="9"/>
  <c r="M117" i="9"/>
  <c r="L117" i="9"/>
  <c r="K117" i="9"/>
  <c r="H117" i="9"/>
  <c r="U117" i="9" s="1"/>
  <c r="V117" i="9" s="1"/>
  <c r="G117" i="9"/>
  <c r="F117" i="9"/>
  <c r="E117" i="9"/>
  <c r="D117" i="9"/>
  <c r="C117" i="9"/>
  <c r="B117" i="9"/>
  <c r="AA116" i="9"/>
  <c r="O116" i="9" s="1"/>
  <c r="T116" i="9"/>
  <c r="S116" i="9"/>
  <c r="R116" i="9"/>
  <c r="Q116" i="9" s="1"/>
  <c r="P116" i="9"/>
  <c r="N116" i="9"/>
  <c r="M116" i="9"/>
  <c r="L116" i="9"/>
  <c r="K116" i="9"/>
  <c r="H116" i="9"/>
  <c r="U116" i="9" s="1"/>
  <c r="G116" i="9"/>
  <c r="F116" i="9"/>
  <c r="E116" i="9"/>
  <c r="D116" i="9"/>
  <c r="C116" i="9"/>
  <c r="B116" i="9"/>
  <c r="AA115" i="9"/>
  <c r="T115" i="9"/>
  <c r="S115" i="9"/>
  <c r="R115" i="9"/>
  <c r="Q115" i="9"/>
  <c r="P115" i="9"/>
  <c r="O115" i="9"/>
  <c r="N115" i="9"/>
  <c r="M115" i="9"/>
  <c r="L115" i="9"/>
  <c r="K115" i="9"/>
  <c r="H115" i="9"/>
  <c r="G115" i="9"/>
  <c r="F115" i="9"/>
  <c r="E115" i="9"/>
  <c r="D115" i="9"/>
  <c r="C115" i="9"/>
  <c r="B115" i="9"/>
  <c r="AA114" i="9"/>
  <c r="O114" i="9" s="1"/>
  <c r="T114" i="9"/>
  <c r="S114" i="9"/>
  <c r="Q114" i="9" s="1"/>
  <c r="R114" i="9"/>
  <c r="P114" i="9"/>
  <c r="N114" i="9"/>
  <c r="M114" i="9"/>
  <c r="L114" i="9"/>
  <c r="K114" i="9"/>
  <c r="H114" i="9"/>
  <c r="G114" i="9"/>
  <c r="F114" i="9"/>
  <c r="E114" i="9"/>
  <c r="D114" i="9"/>
  <c r="C114" i="9"/>
  <c r="B114" i="9"/>
  <c r="AA113" i="9"/>
  <c r="T113" i="9"/>
  <c r="S113" i="9"/>
  <c r="Q113" i="9" s="1"/>
  <c r="R113" i="9"/>
  <c r="P113" i="9"/>
  <c r="O113" i="9"/>
  <c r="N113" i="9"/>
  <c r="M113" i="9"/>
  <c r="L113" i="9"/>
  <c r="K113" i="9"/>
  <c r="V113" i="9"/>
  <c r="H113" i="9"/>
  <c r="G113" i="9"/>
  <c r="U113" i="9" s="1"/>
  <c r="F113" i="9"/>
  <c r="E113" i="9"/>
  <c r="D113" i="9"/>
  <c r="C113" i="9"/>
  <c r="B113" i="9"/>
  <c r="AA112" i="9"/>
  <c r="Y112" i="9"/>
  <c r="W112" i="9"/>
  <c r="V112" i="9"/>
  <c r="T112" i="9"/>
  <c r="S112" i="9"/>
  <c r="R112" i="9"/>
  <c r="Q112" i="9" s="1"/>
  <c r="P112" i="9"/>
  <c r="O112" i="9"/>
  <c r="N112" i="9"/>
  <c r="M112" i="9"/>
  <c r="L112" i="9"/>
  <c r="K112" i="9"/>
  <c r="H112" i="9"/>
  <c r="U112" i="9" s="1"/>
  <c r="G112" i="9"/>
  <c r="F112" i="9"/>
  <c r="E112" i="9"/>
  <c r="D112" i="9"/>
  <c r="C112" i="9"/>
  <c r="B112" i="9"/>
  <c r="AA111" i="9"/>
  <c r="O111" i="9" s="1"/>
  <c r="T111" i="9"/>
  <c r="S111" i="9"/>
  <c r="R111" i="9"/>
  <c r="Q111" i="9"/>
  <c r="P111" i="9"/>
  <c r="N111" i="9"/>
  <c r="M111" i="9"/>
  <c r="L111" i="9"/>
  <c r="K111" i="9"/>
  <c r="H111" i="9"/>
  <c r="G111" i="9"/>
  <c r="U111" i="9" s="1"/>
  <c r="F111" i="9"/>
  <c r="E111" i="9"/>
  <c r="D111" i="9"/>
  <c r="C111" i="9"/>
  <c r="B111" i="9"/>
  <c r="AA110" i="9"/>
  <c r="O110" i="9" s="1"/>
  <c r="T110" i="9"/>
  <c r="S110" i="9"/>
  <c r="R110" i="9"/>
  <c r="Q110" i="9"/>
  <c r="P110" i="9"/>
  <c r="N110" i="9"/>
  <c r="M110" i="9"/>
  <c r="L110" i="9"/>
  <c r="K110" i="9"/>
  <c r="H110" i="9"/>
  <c r="G110" i="9"/>
  <c r="F110" i="9"/>
  <c r="E110" i="9"/>
  <c r="D110" i="9"/>
  <c r="C110" i="9"/>
  <c r="B110" i="9"/>
  <c r="AA109" i="9"/>
  <c r="O109" i="9" s="1"/>
  <c r="T109" i="9"/>
  <c r="V109" i="9" s="1"/>
  <c r="S109" i="9"/>
  <c r="Q109" i="9" s="1"/>
  <c r="R109" i="9"/>
  <c r="P109" i="9"/>
  <c r="N109" i="9"/>
  <c r="M109" i="9"/>
  <c r="L109" i="9"/>
  <c r="K109" i="9"/>
  <c r="H109" i="9"/>
  <c r="G109" i="9"/>
  <c r="F109" i="9"/>
  <c r="E109" i="9"/>
  <c r="D109" i="9"/>
  <c r="C109" i="9"/>
  <c r="B109" i="9"/>
  <c r="AA108" i="9"/>
  <c r="T108" i="9"/>
  <c r="S108" i="9"/>
  <c r="Q108" i="9" s="1"/>
  <c r="R108" i="9"/>
  <c r="P108" i="9"/>
  <c r="O108" i="9"/>
  <c r="N108" i="9"/>
  <c r="M108" i="9"/>
  <c r="L108" i="9"/>
  <c r="K108" i="9"/>
  <c r="H108" i="9"/>
  <c r="G108" i="9"/>
  <c r="U108" i="9" s="1"/>
  <c r="F108" i="9"/>
  <c r="E108" i="9"/>
  <c r="D108" i="9"/>
  <c r="C108" i="9"/>
  <c r="B108" i="9"/>
  <c r="AA107" i="9"/>
  <c r="V107" i="9"/>
  <c r="T107" i="9"/>
  <c r="S107" i="9"/>
  <c r="R107" i="9"/>
  <c r="Q107" i="9" s="1"/>
  <c r="P107" i="9"/>
  <c r="O107" i="9"/>
  <c r="N107" i="9"/>
  <c r="M107" i="9"/>
  <c r="L107" i="9"/>
  <c r="K107" i="9"/>
  <c r="H107" i="9"/>
  <c r="U107" i="9" s="1"/>
  <c r="G107" i="9"/>
  <c r="F107" i="9"/>
  <c r="E107" i="9"/>
  <c r="D107" i="9"/>
  <c r="C107" i="9"/>
  <c r="B107" i="9"/>
  <c r="AA106" i="9"/>
  <c r="O106" i="9" s="1"/>
  <c r="U106" i="9"/>
  <c r="T106" i="9"/>
  <c r="S106" i="9"/>
  <c r="R106" i="9"/>
  <c r="Q106" i="9"/>
  <c r="P106" i="9"/>
  <c r="N106" i="9"/>
  <c r="M106" i="9"/>
  <c r="L106" i="9"/>
  <c r="K106" i="9"/>
  <c r="H106" i="9"/>
  <c r="G106" i="9"/>
  <c r="F106" i="9"/>
  <c r="E106" i="9"/>
  <c r="D106" i="9"/>
  <c r="C106" i="9"/>
  <c r="B106" i="9"/>
  <c r="AA105" i="9"/>
  <c r="T105" i="9"/>
  <c r="S105" i="9"/>
  <c r="R105" i="9"/>
  <c r="Q105" i="9"/>
  <c r="P105" i="9"/>
  <c r="O105" i="9"/>
  <c r="N105" i="9"/>
  <c r="M105" i="9"/>
  <c r="L105" i="9"/>
  <c r="K105" i="9"/>
  <c r="H105" i="9"/>
  <c r="G105" i="9"/>
  <c r="F105" i="9"/>
  <c r="E105" i="9"/>
  <c r="D105" i="9"/>
  <c r="C105" i="9"/>
  <c r="B105" i="9"/>
  <c r="AA104" i="9"/>
  <c r="O104" i="9" s="1"/>
  <c r="T104" i="9"/>
  <c r="S104" i="9"/>
  <c r="Q104" i="9" s="1"/>
  <c r="R104" i="9"/>
  <c r="P104" i="9"/>
  <c r="N104" i="9"/>
  <c r="M104" i="9"/>
  <c r="L104" i="9"/>
  <c r="K104" i="9"/>
  <c r="H104" i="9"/>
  <c r="G104" i="9"/>
  <c r="F104" i="9"/>
  <c r="E104" i="9"/>
  <c r="D104" i="9"/>
  <c r="C104" i="9"/>
  <c r="B104" i="9"/>
  <c r="AA103" i="9"/>
  <c r="O103" i="9" s="1"/>
  <c r="T103" i="9"/>
  <c r="S103" i="9"/>
  <c r="R103" i="9"/>
  <c r="Q103" i="9"/>
  <c r="P103" i="9"/>
  <c r="N103" i="9"/>
  <c r="M103" i="9"/>
  <c r="L103" i="9"/>
  <c r="K103" i="9"/>
  <c r="H103" i="9"/>
  <c r="G103" i="9"/>
  <c r="U103" i="9" s="1"/>
  <c r="F103" i="9"/>
  <c r="E103" i="9"/>
  <c r="D103" i="9"/>
  <c r="C103" i="9"/>
  <c r="B103" i="9"/>
  <c r="AA102" i="9"/>
  <c r="W102" i="9"/>
  <c r="V102" i="9"/>
  <c r="U102" i="9"/>
  <c r="T102" i="9"/>
  <c r="S102" i="9"/>
  <c r="R102" i="9"/>
  <c r="Q102" i="9" s="1"/>
  <c r="P102" i="9"/>
  <c r="O102" i="9"/>
  <c r="N102" i="9"/>
  <c r="M102" i="9"/>
  <c r="L102" i="9"/>
  <c r="K102" i="9"/>
  <c r="H102" i="9"/>
  <c r="G102" i="9"/>
  <c r="F102" i="9"/>
  <c r="E102" i="9"/>
  <c r="D102" i="9"/>
  <c r="C102" i="9"/>
  <c r="B102" i="9"/>
  <c r="AA101" i="9"/>
  <c r="O101" i="9" s="1"/>
  <c r="T101" i="9"/>
  <c r="S101" i="9"/>
  <c r="R101" i="9"/>
  <c r="Q101" i="9" s="1"/>
  <c r="P101" i="9"/>
  <c r="N101" i="9"/>
  <c r="M101" i="9"/>
  <c r="L101" i="9"/>
  <c r="K101" i="9"/>
  <c r="H101" i="9"/>
  <c r="G101" i="9"/>
  <c r="U101" i="9" s="1"/>
  <c r="F101" i="9"/>
  <c r="E101" i="9"/>
  <c r="D101" i="9"/>
  <c r="C101" i="9"/>
  <c r="B101" i="9"/>
  <c r="AA100" i="9"/>
  <c r="O100" i="9" s="1"/>
  <c r="T100" i="9"/>
  <c r="S100" i="9"/>
  <c r="R100" i="9"/>
  <c r="Q100" i="9"/>
  <c r="P100" i="9"/>
  <c r="N100" i="9"/>
  <c r="M100" i="9"/>
  <c r="L100" i="9"/>
  <c r="K100" i="9"/>
  <c r="H100" i="9"/>
  <c r="G100" i="9"/>
  <c r="F100" i="9"/>
  <c r="E100" i="9"/>
  <c r="D100" i="9"/>
  <c r="C100" i="9"/>
  <c r="B100" i="9"/>
  <c r="AA99" i="9"/>
  <c r="O99" i="9" s="1"/>
  <c r="U99" i="9"/>
  <c r="T99" i="9"/>
  <c r="S99" i="9"/>
  <c r="Q99" i="9" s="1"/>
  <c r="R99" i="9"/>
  <c r="P99" i="9"/>
  <c r="N99" i="9"/>
  <c r="M99" i="9"/>
  <c r="L99" i="9"/>
  <c r="K99" i="9"/>
  <c r="H99" i="9"/>
  <c r="G99" i="9"/>
  <c r="F99" i="9"/>
  <c r="E99" i="9"/>
  <c r="D99" i="9"/>
  <c r="C99" i="9"/>
  <c r="B99" i="9"/>
  <c r="AA98" i="9"/>
  <c r="O98" i="9" s="1"/>
  <c r="T98" i="9"/>
  <c r="S98" i="9"/>
  <c r="R98" i="9"/>
  <c r="Q98" i="9"/>
  <c r="P98" i="9"/>
  <c r="N98" i="9"/>
  <c r="M98" i="9"/>
  <c r="L98" i="9"/>
  <c r="K98" i="9"/>
  <c r="V98" i="9"/>
  <c r="H98" i="9"/>
  <c r="G98" i="9"/>
  <c r="U98" i="9" s="1"/>
  <c r="F98" i="9"/>
  <c r="E98" i="9"/>
  <c r="D98" i="9"/>
  <c r="C98" i="9"/>
  <c r="B98" i="9"/>
  <c r="AA97" i="9"/>
  <c r="T97" i="9"/>
  <c r="S97" i="9"/>
  <c r="R97" i="9"/>
  <c r="Q97" i="9" s="1"/>
  <c r="P97" i="9"/>
  <c r="O97" i="9"/>
  <c r="N97" i="9"/>
  <c r="M97" i="9"/>
  <c r="L97" i="9"/>
  <c r="K97" i="9"/>
  <c r="H97" i="9"/>
  <c r="U97" i="9" s="1"/>
  <c r="V97" i="9" s="1"/>
  <c r="G97" i="9"/>
  <c r="F97" i="9"/>
  <c r="E97" i="9"/>
  <c r="D97" i="9"/>
  <c r="C97" i="9"/>
  <c r="B97" i="9"/>
  <c r="AA96" i="9"/>
  <c r="O96" i="9" s="1"/>
  <c r="T96" i="9"/>
  <c r="S96" i="9"/>
  <c r="R96" i="9"/>
  <c r="Q96" i="9"/>
  <c r="P96" i="9"/>
  <c r="N96" i="9"/>
  <c r="M96" i="9"/>
  <c r="L96" i="9"/>
  <c r="K96" i="9"/>
  <c r="H96" i="9"/>
  <c r="G96" i="9"/>
  <c r="U96" i="9" s="1"/>
  <c r="F96" i="9"/>
  <c r="E96" i="9"/>
  <c r="D96" i="9"/>
  <c r="C96" i="9"/>
  <c r="B96" i="9"/>
  <c r="AA95" i="9"/>
  <c r="T95" i="9"/>
  <c r="S95" i="9"/>
  <c r="R95" i="9"/>
  <c r="Q95" i="9"/>
  <c r="P95" i="9"/>
  <c r="O95" i="9"/>
  <c r="N95" i="9"/>
  <c r="M95" i="9"/>
  <c r="L95" i="9"/>
  <c r="K95" i="9"/>
  <c r="H95" i="9"/>
  <c r="G95" i="9"/>
  <c r="F95" i="9"/>
  <c r="E95" i="9"/>
  <c r="D95" i="9"/>
  <c r="C95" i="9"/>
  <c r="B95" i="9"/>
  <c r="AA94" i="9"/>
  <c r="O94" i="9" s="1"/>
  <c r="T94" i="9"/>
  <c r="S94" i="9"/>
  <c r="R94" i="9"/>
  <c r="Q94" i="9"/>
  <c r="P94" i="9"/>
  <c r="N94" i="9"/>
  <c r="M94" i="9"/>
  <c r="L94" i="9"/>
  <c r="K94" i="9"/>
  <c r="H94" i="9"/>
  <c r="G94" i="9"/>
  <c r="F94" i="9"/>
  <c r="E94" i="9"/>
  <c r="D94" i="9"/>
  <c r="C94" i="9"/>
  <c r="B94" i="9"/>
  <c r="AA93" i="9"/>
  <c r="T93" i="9"/>
  <c r="S93" i="9"/>
  <c r="R93" i="9"/>
  <c r="Q93" i="9"/>
  <c r="P93" i="9"/>
  <c r="O93" i="9"/>
  <c r="N93" i="9"/>
  <c r="M93" i="9"/>
  <c r="L93" i="9"/>
  <c r="K93" i="9"/>
  <c r="H93" i="9"/>
  <c r="G93" i="9"/>
  <c r="U93" i="9" s="1"/>
  <c r="F93" i="9"/>
  <c r="E93" i="9"/>
  <c r="D93" i="9"/>
  <c r="C93" i="9"/>
  <c r="B93" i="9"/>
  <c r="AA92" i="9"/>
  <c r="T92" i="9"/>
  <c r="S92" i="9"/>
  <c r="R92" i="9"/>
  <c r="P92" i="9"/>
  <c r="O92" i="9"/>
  <c r="N92" i="9"/>
  <c r="M92" i="9"/>
  <c r="L92" i="9"/>
  <c r="K92" i="9"/>
  <c r="V92" i="9"/>
  <c r="H92" i="9"/>
  <c r="U92" i="9" s="1"/>
  <c r="G92" i="9"/>
  <c r="F92" i="9"/>
  <c r="E92" i="9"/>
  <c r="D92" i="9"/>
  <c r="C92" i="9"/>
  <c r="B92" i="9"/>
  <c r="AA91" i="9"/>
  <c r="O91" i="9" s="1"/>
  <c r="U91" i="9"/>
  <c r="T91" i="9"/>
  <c r="S91" i="9"/>
  <c r="R91" i="9"/>
  <c r="Q91" i="9"/>
  <c r="P91" i="9"/>
  <c r="N91" i="9"/>
  <c r="M91" i="9"/>
  <c r="L91" i="9"/>
  <c r="K91" i="9"/>
  <c r="H91" i="9"/>
  <c r="G91" i="9"/>
  <c r="F91" i="9"/>
  <c r="E91" i="9"/>
  <c r="D91" i="9"/>
  <c r="C91" i="9"/>
  <c r="B91" i="9"/>
  <c r="AA90" i="9"/>
  <c r="T90" i="9"/>
  <c r="S90" i="9"/>
  <c r="R90" i="9"/>
  <c r="Q90" i="9"/>
  <c r="P90" i="9"/>
  <c r="O90" i="9"/>
  <c r="N90" i="9"/>
  <c r="M90" i="9"/>
  <c r="L90" i="9"/>
  <c r="K90" i="9"/>
  <c r="H90" i="9"/>
  <c r="G90" i="9"/>
  <c r="U90" i="9" s="1"/>
  <c r="F90" i="9"/>
  <c r="E90" i="9"/>
  <c r="D90" i="9"/>
  <c r="C90" i="9"/>
  <c r="B90" i="9"/>
  <c r="AA89" i="9"/>
  <c r="O89" i="9" s="1"/>
  <c r="T89" i="9"/>
  <c r="S89" i="9"/>
  <c r="Q89" i="9" s="1"/>
  <c r="R89" i="9"/>
  <c r="P89" i="9"/>
  <c r="N89" i="9"/>
  <c r="M89" i="9"/>
  <c r="L89" i="9"/>
  <c r="K89" i="9"/>
  <c r="H89" i="9"/>
  <c r="G89" i="9"/>
  <c r="F89" i="9"/>
  <c r="E89" i="9"/>
  <c r="D89" i="9"/>
  <c r="C89" i="9"/>
  <c r="B89" i="9"/>
  <c r="AA88" i="9"/>
  <c r="T88" i="9"/>
  <c r="S88" i="9"/>
  <c r="R88" i="9"/>
  <c r="Q88" i="9"/>
  <c r="P88" i="9"/>
  <c r="O88" i="9"/>
  <c r="N88" i="9"/>
  <c r="M88" i="9"/>
  <c r="L88" i="9"/>
  <c r="K88" i="9"/>
  <c r="H88" i="9"/>
  <c r="G88" i="9"/>
  <c r="U88" i="9" s="1"/>
  <c r="F88" i="9"/>
  <c r="E88" i="9"/>
  <c r="D88" i="9"/>
  <c r="C88" i="9"/>
  <c r="B88" i="9"/>
  <c r="AA87" i="9"/>
  <c r="W87" i="9"/>
  <c r="V87" i="9"/>
  <c r="U87" i="9"/>
  <c r="T87" i="9"/>
  <c r="S87" i="9"/>
  <c r="R87" i="9"/>
  <c r="Q87" i="9" s="1"/>
  <c r="P87" i="9"/>
  <c r="O87" i="9"/>
  <c r="N87" i="9"/>
  <c r="M87" i="9"/>
  <c r="L87" i="9"/>
  <c r="K87" i="9"/>
  <c r="H87" i="9"/>
  <c r="G87" i="9"/>
  <c r="F87" i="9"/>
  <c r="E87" i="9"/>
  <c r="D87" i="9"/>
  <c r="C87" i="9"/>
  <c r="B87" i="9"/>
  <c r="AA86" i="9"/>
  <c r="T86" i="9"/>
  <c r="S86" i="9"/>
  <c r="R86" i="9"/>
  <c r="Q86" i="9"/>
  <c r="P86" i="9"/>
  <c r="O86" i="9"/>
  <c r="N86" i="9"/>
  <c r="M86" i="9"/>
  <c r="L86" i="9"/>
  <c r="K86" i="9"/>
  <c r="H86" i="9"/>
  <c r="G86" i="9"/>
  <c r="U86" i="9" s="1"/>
  <c r="F86" i="9"/>
  <c r="E86" i="9"/>
  <c r="D86" i="9"/>
  <c r="C86" i="9"/>
  <c r="B86" i="9"/>
  <c r="AA85" i="9"/>
  <c r="U85" i="9"/>
  <c r="T85" i="9"/>
  <c r="S85" i="9"/>
  <c r="R85" i="9"/>
  <c r="Q85" i="9"/>
  <c r="P85" i="9"/>
  <c r="O85" i="9"/>
  <c r="N85" i="9"/>
  <c r="M85" i="9"/>
  <c r="L85" i="9"/>
  <c r="K85" i="9"/>
  <c r="H85" i="9"/>
  <c r="G85" i="9"/>
  <c r="F85" i="9"/>
  <c r="E85" i="9"/>
  <c r="D85" i="9"/>
  <c r="C85" i="9"/>
  <c r="B85" i="9"/>
  <c r="AA84" i="9"/>
  <c r="O84" i="9" s="1"/>
  <c r="T84" i="9"/>
  <c r="S84" i="9"/>
  <c r="R84" i="9"/>
  <c r="Q84" i="9"/>
  <c r="P84" i="9"/>
  <c r="N84" i="9"/>
  <c r="M84" i="9"/>
  <c r="L84" i="9"/>
  <c r="K84" i="9"/>
  <c r="H84" i="9"/>
  <c r="G84" i="9"/>
  <c r="F84" i="9"/>
  <c r="E84" i="9"/>
  <c r="D84" i="9"/>
  <c r="C84" i="9"/>
  <c r="B84" i="9"/>
  <c r="AA83" i="9"/>
  <c r="T83" i="9"/>
  <c r="S83" i="9"/>
  <c r="R83" i="9"/>
  <c r="Q83" i="9"/>
  <c r="P83" i="9"/>
  <c r="O83" i="9"/>
  <c r="N83" i="9"/>
  <c r="M83" i="9"/>
  <c r="L83" i="9"/>
  <c r="K83" i="9"/>
  <c r="H83" i="9"/>
  <c r="G83" i="9"/>
  <c r="U83" i="9" s="1"/>
  <c r="F83" i="9"/>
  <c r="E83" i="9"/>
  <c r="D83" i="9"/>
  <c r="C83" i="9"/>
  <c r="B83" i="9"/>
  <c r="AA82" i="9"/>
  <c r="V82" i="9"/>
  <c r="T82" i="9"/>
  <c r="S82" i="9"/>
  <c r="R82" i="9"/>
  <c r="Q82" i="9" s="1"/>
  <c r="P82" i="9"/>
  <c r="O82" i="9"/>
  <c r="N82" i="9"/>
  <c r="M82" i="9"/>
  <c r="L82" i="9"/>
  <c r="K82" i="9"/>
  <c r="H82" i="9"/>
  <c r="U82" i="9" s="1"/>
  <c r="G82" i="9"/>
  <c r="F82" i="9"/>
  <c r="E82" i="9"/>
  <c r="D82" i="9"/>
  <c r="C82" i="9"/>
  <c r="B82" i="9"/>
  <c r="AA81" i="9"/>
  <c r="O81" i="9" s="1"/>
  <c r="T81" i="9"/>
  <c r="S81" i="9"/>
  <c r="R81" i="9"/>
  <c r="Q81" i="9" s="1"/>
  <c r="P81" i="9"/>
  <c r="N81" i="9"/>
  <c r="M81" i="9"/>
  <c r="L81" i="9"/>
  <c r="K81" i="9"/>
  <c r="H81" i="9"/>
  <c r="G81" i="9"/>
  <c r="F81" i="9"/>
  <c r="E81" i="9"/>
  <c r="D81" i="9"/>
  <c r="C81" i="9"/>
  <c r="B81" i="9"/>
  <c r="AA80" i="9"/>
  <c r="U80" i="9"/>
  <c r="T80" i="9"/>
  <c r="S80" i="9"/>
  <c r="R80" i="9"/>
  <c r="Q80" i="9"/>
  <c r="P80" i="9"/>
  <c r="O80" i="9"/>
  <c r="N80" i="9"/>
  <c r="M80" i="9"/>
  <c r="L80" i="9"/>
  <c r="K80" i="9"/>
  <c r="H80" i="9"/>
  <c r="G80" i="9"/>
  <c r="F80" i="9"/>
  <c r="E80" i="9"/>
  <c r="D80" i="9"/>
  <c r="C80" i="9"/>
  <c r="B80" i="9"/>
  <c r="AA79" i="9"/>
  <c r="O79" i="9" s="1"/>
  <c r="U79" i="9"/>
  <c r="T79" i="9"/>
  <c r="V79" i="9" s="1"/>
  <c r="S79" i="9"/>
  <c r="Q79" i="9" s="1"/>
  <c r="R79" i="9"/>
  <c r="P79" i="9"/>
  <c r="N79" i="9"/>
  <c r="M79" i="9"/>
  <c r="L79" i="9"/>
  <c r="K79" i="9"/>
  <c r="H79" i="9"/>
  <c r="G79" i="9"/>
  <c r="F79" i="9"/>
  <c r="E79" i="9"/>
  <c r="D79" i="9"/>
  <c r="C79" i="9"/>
  <c r="B79" i="9"/>
  <c r="AA78" i="9"/>
  <c r="T78" i="9"/>
  <c r="S78" i="9"/>
  <c r="R78" i="9"/>
  <c r="Q78" i="9" s="1"/>
  <c r="P78" i="9"/>
  <c r="O78" i="9"/>
  <c r="N78" i="9"/>
  <c r="M78" i="9"/>
  <c r="L78" i="9"/>
  <c r="K78" i="9"/>
  <c r="H78" i="9"/>
  <c r="G78" i="9"/>
  <c r="F78" i="9"/>
  <c r="E78" i="9"/>
  <c r="D78" i="9"/>
  <c r="C78" i="9"/>
  <c r="B78" i="9"/>
  <c r="AA77" i="9"/>
  <c r="V77" i="9"/>
  <c r="Z77" i="9" s="1"/>
  <c r="U77" i="9"/>
  <c r="T77" i="9"/>
  <c r="S77" i="9"/>
  <c r="R77" i="9"/>
  <c r="P77" i="9"/>
  <c r="O77" i="9"/>
  <c r="N77" i="9"/>
  <c r="M77" i="9"/>
  <c r="L77" i="9"/>
  <c r="K77" i="9"/>
  <c r="H77" i="9"/>
  <c r="G77" i="9"/>
  <c r="F77" i="9"/>
  <c r="E77" i="9"/>
  <c r="D77" i="9"/>
  <c r="C77" i="9"/>
  <c r="B77" i="9"/>
  <c r="AA76" i="9"/>
  <c r="U76" i="9"/>
  <c r="T76" i="9"/>
  <c r="S76" i="9"/>
  <c r="R76" i="9"/>
  <c r="Q76" i="9" s="1"/>
  <c r="P76" i="9"/>
  <c r="O76" i="9"/>
  <c r="N76" i="9"/>
  <c r="M76" i="9"/>
  <c r="L76" i="9"/>
  <c r="K76" i="9"/>
  <c r="H76" i="9"/>
  <c r="G76" i="9"/>
  <c r="F76" i="9"/>
  <c r="E76" i="9"/>
  <c r="D76" i="9"/>
  <c r="C76" i="9"/>
  <c r="B76" i="9"/>
  <c r="AA75" i="9"/>
  <c r="O75" i="9" s="1"/>
  <c r="T75" i="9"/>
  <c r="S75" i="9"/>
  <c r="Q75" i="9" s="1"/>
  <c r="R75" i="9"/>
  <c r="P75" i="9"/>
  <c r="N75" i="9"/>
  <c r="M75" i="9"/>
  <c r="L75" i="9"/>
  <c r="K75" i="9"/>
  <c r="H75" i="9"/>
  <c r="G75" i="9"/>
  <c r="F75" i="9"/>
  <c r="E75" i="9"/>
  <c r="D75" i="9"/>
  <c r="C75" i="9"/>
  <c r="B75" i="9"/>
  <c r="AA74" i="9"/>
  <c r="U74" i="9"/>
  <c r="T74" i="9"/>
  <c r="S74" i="9"/>
  <c r="Q74" i="9" s="1"/>
  <c r="R74" i="9"/>
  <c r="P74" i="9"/>
  <c r="O74" i="9"/>
  <c r="N74" i="9"/>
  <c r="M74" i="9"/>
  <c r="L74" i="9"/>
  <c r="K74" i="9"/>
  <c r="H74" i="9"/>
  <c r="G74" i="9"/>
  <c r="F74" i="9"/>
  <c r="E74" i="9"/>
  <c r="D74" i="9"/>
  <c r="C74" i="9"/>
  <c r="B74" i="9"/>
  <c r="AA73" i="9"/>
  <c r="O73" i="9" s="1"/>
  <c r="T73" i="9"/>
  <c r="S73" i="9"/>
  <c r="R73" i="9"/>
  <c r="Q73" i="9" s="1"/>
  <c r="P73" i="9"/>
  <c r="N73" i="9"/>
  <c r="M73" i="9"/>
  <c r="L73" i="9"/>
  <c r="K73" i="9"/>
  <c r="H73" i="9"/>
  <c r="U73" i="9" s="1"/>
  <c r="G73" i="9"/>
  <c r="F73" i="9"/>
  <c r="E73" i="9"/>
  <c r="D73" i="9"/>
  <c r="C73" i="9"/>
  <c r="B73" i="9"/>
  <c r="AA72" i="9"/>
  <c r="U72" i="9"/>
  <c r="T72" i="9"/>
  <c r="S72" i="9"/>
  <c r="R72" i="9"/>
  <c r="Q72" i="9" s="1"/>
  <c r="P72" i="9"/>
  <c r="O72" i="9"/>
  <c r="N72" i="9"/>
  <c r="M72" i="9"/>
  <c r="L72" i="9"/>
  <c r="K72" i="9"/>
  <c r="H72" i="9"/>
  <c r="G72" i="9"/>
  <c r="F72" i="9"/>
  <c r="E72" i="9"/>
  <c r="D72" i="9"/>
  <c r="C72" i="9"/>
  <c r="B72" i="9"/>
  <c r="AA71" i="9"/>
  <c r="T71" i="9"/>
  <c r="S71" i="9"/>
  <c r="R71" i="9"/>
  <c r="Q71" i="9"/>
  <c r="P71" i="9"/>
  <c r="O71" i="9"/>
  <c r="N71" i="9"/>
  <c r="M71" i="9"/>
  <c r="L71" i="9"/>
  <c r="K71" i="9"/>
  <c r="H71" i="9"/>
  <c r="G71" i="9"/>
  <c r="U71" i="9" s="1"/>
  <c r="F71" i="9"/>
  <c r="E71" i="9"/>
  <c r="D71" i="9"/>
  <c r="C71" i="9"/>
  <c r="B71" i="9"/>
  <c r="AA70" i="9"/>
  <c r="O70" i="9" s="1"/>
  <c r="T70" i="9"/>
  <c r="S70" i="9"/>
  <c r="R70" i="9"/>
  <c r="Q70" i="9"/>
  <c r="P70" i="9"/>
  <c r="N70" i="9"/>
  <c r="M70" i="9"/>
  <c r="L70" i="9"/>
  <c r="K70" i="9"/>
  <c r="H70" i="9"/>
  <c r="G70" i="9"/>
  <c r="F70" i="9"/>
  <c r="E70" i="9"/>
  <c r="D70" i="9"/>
  <c r="C70" i="9"/>
  <c r="B70" i="9"/>
  <c r="AA69" i="9"/>
  <c r="W69" i="9"/>
  <c r="T69" i="9"/>
  <c r="S69" i="9"/>
  <c r="R69" i="9"/>
  <c r="Q69" i="9"/>
  <c r="P69" i="9"/>
  <c r="O69" i="9"/>
  <c r="N69" i="9"/>
  <c r="M69" i="9"/>
  <c r="L69" i="9"/>
  <c r="K69" i="9"/>
  <c r="V69" i="9"/>
  <c r="H69" i="9"/>
  <c r="G69" i="9"/>
  <c r="U69" i="9" s="1"/>
  <c r="F69" i="9"/>
  <c r="E69" i="9"/>
  <c r="D69" i="9"/>
  <c r="C69" i="9"/>
  <c r="B69" i="9"/>
  <c r="AA68" i="9"/>
  <c r="U68" i="9"/>
  <c r="T68" i="9"/>
  <c r="S68" i="9"/>
  <c r="Q68" i="9" s="1"/>
  <c r="R68" i="9"/>
  <c r="P68" i="9"/>
  <c r="O68" i="9"/>
  <c r="N68" i="9"/>
  <c r="M68" i="9"/>
  <c r="L68" i="9"/>
  <c r="K68" i="9"/>
  <c r="H68" i="9"/>
  <c r="G68" i="9"/>
  <c r="F68" i="9"/>
  <c r="E68" i="9"/>
  <c r="D68" i="9"/>
  <c r="C68" i="9"/>
  <c r="B68" i="9"/>
  <c r="AA67" i="9"/>
  <c r="T67" i="9"/>
  <c r="S67" i="9"/>
  <c r="Q67" i="9" s="1"/>
  <c r="R67" i="9"/>
  <c r="P67" i="9"/>
  <c r="O67" i="9"/>
  <c r="N67" i="9"/>
  <c r="M67" i="9"/>
  <c r="L67" i="9"/>
  <c r="K67" i="9"/>
  <c r="H67" i="9"/>
  <c r="G67" i="9"/>
  <c r="U67" i="9" s="1"/>
  <c r="F67" i="9"/>
  <c r="E67" i="9"/>
  <c r="D67" i="9"/>
  <c r="C67" i="9"/>
  <c r="B67" i="9"/>
  <c r="AA66" i="9"/>
  <c r="O66" i="9" s="1"/>
  <c r="U66" i="9"/>
  <c r="T66" i="9"/>
  <c r="V66" i="9" s="1"/>
  <c r="W66" i="9" s="1"/>
  <c r="S66" i="9"/>
  <c r="R66" i="9"/>
  <c r="Q66" i="9"/>
  <c r="P66" i="9"/>
  <c r="N66" i="9"/>
  <c r="M66" i="9"/>
  <c r="L66" i="9"/>
  <c r="K66" i="9"/>
  <c r="H66" i="9"/>
  <c r="G66" i="9"/>
  <c r="F66" i="9"/>
  <c r="E66" i="9"/>
  <c r="D66" i="9"/>
  <c r="C66" i="9"/>
  <c r="B66" i="9"/>
  <c r="AA65" i="9"/>
  <c r="O65" i="9" s="1"/>
  <c r="T65" i="9"/>
  <c r="S65" i="9"/>
  <c r="Q65" i="9" s="1"/>
  <c r="R65" i="9"/>
  <c r="P65" i="9"/>
  <c r="N65" i="9"/>
  <c r="M65" i="9"/>
  <c r="L65" i="9"/>
  <c r="K65" i="9"/>
  <c r="V65" i="9"/>
  <c r="W65" i="9" s="1"/>
  <c r="H65" i="9"/>
  <c r="G65" i="9"/>
  <c r="U65" i="9" s="1"/>
  <c r="F65" i="9"/>
  <c r="E65" i="9"/>
  <c r="D65" i="9"/>
  <c r="C65" i="9"/>
  <c r="B65" i="9"/>
  <c r="AA64" i="9"/>
  <c r="T64" i="9"/>
  <c r="S64" i="9"/>
  <c r="R64" i="9"/>
  <c r="Q64" i="9"/>
  <c r="P64" i="9"/>
  <c r="O64" i="9"/>
  <c r="N64" i="9"/>
  <c r="M64" i="9"/>
  <c r="L64" i="9"/>
  <c r="K64" i="9"/>
  <c r="V64" i="9"/>
  <c r="W64" i="9" s="1"/>
  <c r="H64" i="9"/>
  <c r="G64" i="9"/>
  <c r="U64" i="9" s="1"/>
  <c r="F64" i="9"/>
  <c r="E64" i="9"/>
  <c r="D64" i="9"/>
  <c r="C64" i="9"/>
  <c r="B64" i="9"/>
  <c r="AA63" i="9"/>
  <c r="U63" i="9"/>
  <c r="T63" i="9"/>
  <c r="S63" i="9"/>
  <c r="Q63" i="9" s="1"/>
  <c r="R63" i="9"/>
  <c r="P63" i="9"/>
  <c r="O63" i="9"/>
  <c r="N63" i="9"/>
  <c r="M63" i="9"/>
  <c r="L63" i="9"/>
  <c r="K63" i="9"/>
  <c r="H63" i="9"/>
  <c r="G63" i="9"/>
  <c r="F63" i="9"/>
  <c r="E63" i="9"/>
  <c r="D63" i="9"/>
  <c r="C63" i="9"/>
  <c r="B63" i="9"/>
  <c r="AA62" i="9"/>
  <c r="T62" i="9"/>
  <c r="S62" i="9"/>
  <c r="Q62" i="9" s="1"/>
  <c r="R62" i="9"/>
  <c r="P62" i="9"/>
  <c r="O62" i="9"/>
  <c r="N62" i="9"/>
  <c r="M62" i="9"/>
  <c r="L62" i="9"/>
  <c r="K62" i="9"/>
  <c r="H62" i="9"/>
  <c r="G62" i="9"/>
  <c r="U62" i="9" s="1"/>
  <c r="F62" i="9"/>
  <c r="E62" i="9"/>
  <c r="D62" i="9"/>
  <c r="C62" i="9"/>
  <c r="B62" i="9"/>
  <c r="AA61" i="9"/>
  <c r="O61" i="9" s="1"/>
  <c r="W61" i="9"/>
  <c r="U61" i="9"/>
  <c r="T61" i="9"/>
  <c r="V61" i="9" s="1"/>
  <c r="S61" i="9"/>
  <c r="R61" i="9"/>
  <c r="Q61" i="9"/>
  <c r="P61" i="9"/>
  <c r="N61" i="9"/>
  <c r="M61" i="9"/>
  <c r="L61" i="9"/>
  <c r="K61" i="9"/>
  <c r="H61" i="9"/>
  <c r="G61" i="9"/>
  <c r="F61" i="9"/>
  <c r="E61" i="9"/>
  <c r="D61" i="9"/>
  <c r="C61" i="9"/>
  <c r="B61" i="9"/>
  <c r="AA60" i="9"/>
  <c r="O60" i="9" s="1"/>
  <c r="T60" i="9"/>
  <c r="S60" i="9"/>
  <c r="Q60" i="9" s="1"/>
  <c r="R60" i="9"/>
  <c r="P60" i="9"/>
  <c r="N60" i="9"/>
  <c r="M60" i="9"/>
  <c r="L60" i="9"/>
  <c r="K60" i="9"/>
  <c r="H60" i="9"/>
  <c r="G60" i="9"/>
  <c r="U60" i="9" s="1"/>
  <c r="F60" i="9"/>
  <c r="E60" i="9"/>
  <c r="D60" i="9"/>
  <c r="C60" i="9"/>
  <c r="B60" i="9"/>
  <c r="AA59" i="9"/>
  <c r="T59" i="9"/>
  <c r="S59" i="9"/>
  <c r="R59" i="9"/>
  <c r="Q59" i="9"/>
  <c r="P59" i="9"/>
  <c r="O59" i="9"/>
  <c r="N59" i="9"/>
  <c r="M59" i="9"/>
  <c r="L59" i="9"/>
  <c r="K59" i="9"/>
  <c r="V59" i="9"/>
  <c r="W59" i="9" s="1"/>
  <c r="H59" i="9"/>
  <c r="G59" i="9"/>
  <c r="U59" i="9" s="1"/>
  <c r="F59" i="9"/>
  <c r="E59" i="9"/>
  <c r="D59" i="9"/>
  <c r="C59" i="9"/>
  <c r="B59" i="9"/>
  <c r="AA58" i="9"/>
  <c r="U58" i="9"/>
  <c r="T58" i="9"/>
  <c r="S58" i="9"/>
  <c r="Q58" i="9" s="1"/>
  <c r="R58" i="9"/>
  <c r="P58" i="9"/>
  <c r="O58" i="9"/>
  <c r="N58" i="9"/>
  <c r="M58" i="9"/>
  <c r="L58" i="9"/>
  <c r="K58" i="9"/>
  <c r="H58" i="9"/>
  <c r="G58" i="9"/>
  <c r="F58" i="9"/>
  <c r="E58" i="9"/>
  <c r="D58" i="9"/>
  <c r="C58" i="9"/>
  <c r="B58" i="9"/>
  <c r="AA57" i="9"/>
  <c r="T57" i="9"/>
  <c r="S57" i="9"/>
  <c r="Q57" i="9" s="1"/>
  <c r="R57" i="9"/>
  <c r="P57" i="9"/>
  <c r="O57" i="9"/>
  <c r="N57" i="9"/>
  <c r="M57" i="9"/>
  <c r="L57" i="9"/>
  <c r="K57" i="9"/>
  <c r="H57" i="9"/>
  <c r="G57" i="9"/>
  <c r="U57" i="9" s="1"/>
  <c r="F57" i="9"/>
  <c r="E57" i="9"/>
  <c r="D57" i="9"/>
  <c r="C57" i="9"/>
  <c r="B57" i="9"/>
  <c r="AA56" i="9"/>
  <c r="O56" i="9" s="1"/>
  <c r="W56" i="9"/>
  <c r="U56" i="9"/>
  <c r="T56" i="9"/>
  <c r="V56" i="9" s="1"/>
  <c r="S56" i="9"/>
  <c r="R56" i="9"/>
  <c r="Q56" i="9"/>
  <c r="P56" i="9"/>
  <c r="N56" i="9"/>
  <c r="M56" i="9"/>
  <c r="L56" i="9"/>
  <c r="K56" i="9"/>
  <c r="H56" i="9"/>
  <c r="G56" i="9"/>
  <c r="F56" i="9"/>
  <c r="E56" i="9"/>
  <c r="D56" i="9"/>
  <c r="C56" i="9"/>
  <c r="B56" i="9"/>
  <c r="AA55" i="9"/>
  <c r="O55" i="9" s="1"/>
  <c r="T55" i="9"/>
  <c r="S55" i="9"/>
  <c r="Q55" i="9" s="1"/>
  <c r="R55" i="9"/>
  <c r="P55" i="9"/>
  <c r="N55" i="9"/>
  <c r="M55" i="9"/>
  <c r="L55" i="9"/>
  <c r="K55" i="9"/>
  <c r="H55" i="9"/>
  <c r="G55" i="9"/>
  <c r="U55" i="9" s="1"/>
  <c r="F55" i="9"/>
  <c r="E55" i="9"/>
  <c r="D55" i="9"/>
  <c r="C55" i="9"/>
  <c r="B55" i="9"/>
  <c r="AA54" i="9"/>
  <c r="W54" i="9"/>
  <c r="T54" i="9"/>
  <c r="S54" i="9"/>
  <c r="R54" i="9"/>
  <c r="Q54" i="9"/>
  <c r="P54" i="9"/>
  <c r="O54" i="9"/>
  <c r="N54" i="9"/>
  <c r="M54" i="9"/>
  <c r="L54" i="9"/>
  <c r="K54" i="9"/>
  <c r="V54" i="9"/>
  <c r="H54" i="9"/>
  <c r="G54" i="9"/>
  <c r="U54" i="9" s="1"/>
  <c r="F54" i="9"/>
  <c r="E54" i="9"/>
  <c r="D54" i="9"/>
  <c r="C54" i="9"/>
  <c r="B54" i="9"/>
  <c r="AA53" i="9"/>
  <c r="U53" i="9"/>
  <c r="T53" i="9"/>
  <c r="S53" i="9"/>
  <c r="R53" i="9"/>
  <c r="Q53" i="9" s="1"/>
  <c r="P53" i="9"/>
  <c r="O53" i="9"/>
  <c r="N53" i="9"/>
  <c r="M53" i="9"/>
  <c r="L53" i="9"/>
  <c r="K53" i="9"/>
  <c r="H53" i="9"/>
  <c r="G53" i="9"/>
  <c r="F53" i="9"/>
  <c r="E53" i="9"/>
  <c r="D53" i="9"/>
  <c r="C53" i="9"/>
  <c r="B53" i="9"/>
  <c r="AA52" i="9"/>
  <c r="T52" i="9"/>
  <c r="S52" i="9"/>
  <c r="R52" i="9"/>
  <c r="Q52" i="9"/>
  <c r="P52" i="9"/>
  <c r="O52" i="9"/>
  <c r="N52" i="9"/>
  <c r="M52" i="9"/>
  <c r="L52" i="9"/>
  <c r="K52" i="9"/>
  <c r="H52" i="9"/>
  <c r="G52" i="9"/>
  <c r="U52" i="9" s="1"/>
  <c r="F52" i="9"/>
  <c r="E52" i="9"/>
  <c r="D52" i="9"/>
  <c r="C52" i="9"/>
  <c r="B52" i="9"/>
  <c r="AA51" i="9"/>
  <c r="O51" i="9" s="1"/>
  <c r="U51" i="9"/>
  <c r="T51" i="9"/>
  <c r="V51" i="9" s="1"/>
  <c r="S51" i="9"/>
  <c r="R51" i="9"/>
  <c r="Q51" i="9"/>
  <c r="P51" i="9"/>
  <c r="N51" i="9"/>
  <c r="M51" i="9"/>
  <c r="L51" i="9"/>
  <c r="K51" i="9"/>
  <c r="H51" i="9"/>
  <c r="G51" i="9"/>
  <c r="F51" i="9"/>
  <c r="E51" i="9"/>
  <c r="D51" i="9"/>
  <c r="C51" i="9"/>
  <c r="B51" i="9"/>
  <c r="AA50" i="9"/>
  <c r="O50" i="9" s="1"/>
  <c r="T50" i="9"/>
  <c r="S50" i="9"/>
  <c r="Q50" i="9" s="1"/>
  <c r="R50" i="9"/>
  <c r="P50" i="9"/>
  <c r="N50" i="9"/>
  <c r="M50" i="9"/>
  <c r="L50" i="9"/>
  <c r="K50" i="9"/>
  <c r="H50" i="9"/>
  <c r="G50" i="9"/>
  <c r="U50" i="9" s="1"/>
  <c r="F50" i="9"/>
  <c r="E50" i="9"/>
  <c r="D50" i="9"/>
  <c r="C50" i="9"/>
  <c r="B50" i="9"/>
  <c r="AA49" i="9"/>
  <c r="O49" i="9" s="1"/>
  <c r="T49" i="9"/>
  <c r="S49" i="9"/>
  <c r="R49" i="9"/>
  <c r="Q49" i="9"/>
  <c r="P49" i="9"/>
  <c r="N49" i="9"/>
  <c r="M49" i="9"/>
  <c r="L49" i="9"/>
  <c r="K49" i="9"/>
  <c r="H49" i="9"/>
  <c r="G49" i="9"/>
  <c r="U49" i="9" s="1"/>
  <c r="F49" i="9"/>
  <c r="E49" i="9"/>
  <c r="D49" i="9"/>
  <c r="C49" i="9"/>
  <c r="B49" i="9"/>
  <c r="AA48" i="9"/>
  <c r="U48" i="9"/>
  <c r="T48" i="9"/>
  <c r="S48" i="9"/>
  <c r="R48" i="9"/>
  <c r="Q48" i="9" s="1"/>
  <c r="P48" i="9"/>
  <c r="O48" i="9"/>
  <c r="N48" i="9"/>
  <c r="M48" i="9"/>
  <c r="L48" i="9"/>
  <c r="K48" i="9"/>
  <c r="H48" i="9"/>
  <c r="G48" i="9"/>
  <c r="F48" i="9"/>
  <c r="E48" i="9"/>
  <c r="D48" i="9"/>
  <c r="C48" i="9"/>
  <c r="B48" i="9"/>
  <c r="AA47" i="9"/>
  <c r="T47" i="9"/>
  <c r="S47" i="9"/>
  <c r="R47" i="9"/>
  <c r="Q47" i="9"/>
  <c r="P47" i="9"/>
  <c r="O47" i="9"/>
  <c r="N47" i="9"/>
  <c r="M47" i="9"/>
  <c r="L47" i="9"/>
  <c r="K47" i="9"/>
  <c r="H47" i="9"/>
  <c r="G47" i="9"/>
  <c r="U47" i="9" s="1"/>
  <c r="F47" i="9"/>
  <c r="E47" i="9"/>
  <c r="D47" i="9"/>
  <c r="C47" i="9"/>
  <c r="B47" i="9"/>
  <c r="AA46" i="9"/>
  <c r="O46" i="9" s="1"/>
  <c r="U46" i="9"/>
  <c r="T46" i="9"/>
  <c r="V46" i="9" s="1"/>
  <c r="S46" i="9"/>
  <c r="R46" i="9"/>
  <c r="Q46" i="9"/>
  <c r="P46" i="9"/>
  <c r="N46" i="9"/>
  <c r="M46" i="9"/>
  <c r="L46" i="9"/>
  <c r="K46" i="9"/>
  <c r="H46" i="9"/>
  <c r="G46" i="9"/>
  <c r="F46" i="9"/>
  <c r="E46" i="9"/>
  <c r="D46" i="9"/>
  <c r="C46" i="9"/>
  <c r="B46" i="9"/>
  <c r="AA45" i="9"/>
  <c r="O45" i="9" s="1"/>
  <c r="T45" i="9"/>
  <c r="S45" i="9"/>
  <c r="Q45" i="9" s="1"/>
  <c r="R45" i="9"/>
  <c r="P45" i="9"/>
  <c r="N45" i="9"/>
  <c r="M45" i="9"/>
  <c r="L45" i="9"/>
  <c r="K45" i="9"/>
  <c r="H45" i="9"/>
  <c r="G45" i="9"/>
  <c r="U45" i="9" s="1"/>
  <c r="F45" i="9"/>
  <c r="E45" i="9"/>
  <c r="D45" i="9"/>
  <c r="C45" i="9"/>
  <c r="B45" i="9"/>
  <c r="AA44" i="9"/>
  <c r="O44" i="9" s="1"/>
  <c r="T44" i="9"/>
  <c r="S44" i="9"/>
  <c r="R44" i="9"/>
  <c r="Q44" i="9"/>
  <c r="P44" i="9"/>
  <c r="N44" i="9"/>
  <c r="M44" i="9"/>
  <c r="L44" i="9"/>
  <c r="K44" i="9"/>
  <c r="V44" i="9"/>
  <c r="W44" i="9" s="1"/>
  <c r="H44" i="9"/>
  <c r="G44" i="9"/>
  <c r="U44" i="9" s="1"/>
  <c r="F44" i="9"/>
  <c r="E44" i="9"/>
  <c r="D44" i="9"/>
  <c r="C44" i="9"/>
  <c r="B44" i="9"/>
  <c r="AA43" i="9"/>
  <c r="U43" i="9"/>
  <c r="T43" i="9"/>
  <c r="S43" i="9"/>
  <c r="R43" i="9"/>
  <c r="Q43" i="9" s="1"/>
  <c r="P43" i="9"/>
  <c r="O43" i="9"/>
  <c r="N43" i="9"/>
  <c r="M43" i="9"/>
  <c r="L43" i="9"/>
  <c r="K43" i="9"/>
  <c r="H43" i="9"/>
  <c r="G43" i="9"/>
  <c r="F43" i="9"/>
  <c r="E43" i="9"/>
  <c r="D43" i="9"/>
  <c r="C43" i="9"/>
  <c r="B43" i="9"/>
  <c r="AA42" i="9"/>
  <c r="T42" i="9"/>
  <c r="S42" i="9"/>
  <c r="R42" i="9"/>
  <c r="Q42" i="9"/>
  <c r="P42" i="9"/>
  <c r="O42" i="9"/>
  <c r="N42" i="9"/>
  <c r="M42" i="9"/>
  <c r="L42" i="9"/>
  <c r="K42" i="9"/>
  <c r="H42" i="9"/>
  <c r="G42" i="9"/>
  <c r="U42" i="9" s="1"/>
  <c r="F42" i="9"/>
  <c r="E42" i="9"/>
  <c r="D42" i="9"/>
  <c r="C42" i="9"/>
  <c r="B42" i="9"/>
  <c r="AA41" i="9"/>
  <c r="O41" i="9" s="1"/>
  <c r="U41" i="9"/>
  <c r="T41" i="9"/>
  <c r="V41" i="9" s="1"/>
  <c r="S41" i="9"/>
  <c r="R41" i="9"/>
  <c r="Q41" i="9"/>
  <c r="P41" i="9"/>
  <c r="N41" i="9"/>
  <c r="M41" i="9"/>
  <c r="L41" i="9"/>
  <c r="K41" i="9"/>
  <c r="H41" i="9"/>
  <c r="G41" i="9"/>
  <c r="F41" i="9"/>
  <c r="E41" i="9"/>
  <c r="D41" i="9"/>
  <c r="C41" i="9"/>
  <c r="B41" i="9"/>
  <c r="AA40" i="9"/>
  <c r="O40" i="9" s="1"/>
  <c r="T40" i="9"/>
  <c r="S40" i="9"/>
  <c r="Q40" i="9" s="1"/>
  <c r="R40" i="9"/>
  <c r="P40" i="9"/>
  <c r="N40" i="9"/>
  <c r="M40" i="9"/>
  <c r="L40" i="9"/>
  <c r="K40" i="9"/>
  <c r="H40" i="9"/>
  <c r="G40" i="9"/>
  <c r="U40" i="9" s="1"/>
  <c r="F40" i="9"/>
  <c r="E40" i="9"/>
  <c r="D40" i="9"/>
  <c r="C40" i="9"/>
  <c r="B40" i="9"/>
  <c r="AA39" i="9"/>
  <c r="O39" i="9" s="1"/>
  <c r="T39" i="9"/>
  <c r="S39" i="9"/>
  <c r="R39" i="9"/>
  <c r="Q39" i="9"/>
  <c r="P39" i="9"/>
  <c r="N39" i="9"/>
  <c r="M39" i="9"/>
  <c r="L39" i="9"/>
  <c r="K39" i="9"/>
  <c r="V39" i="9"/>
  <c r="W39" i="9" s="1"/>
  <c r="H39" i="9"/>
  <c r="G39" i="9"/>
  <c r="U39" i="9" s="1"/>
  <c r="F39" i="9"/>
  <c r="E39" i="9"/>
  <c r="D39" i="9"/>
  <c r="C39" i="9"/>
  <c r="B39" i="9"/>
  <c r="AA38" i="9"/>
  <c r="U38" i="9"/>
  <c r="T38" i="9"/>
  <c r="S38" i="9"/>
  <c r="R38" i="9"/>
  <c r="Q38" i="9" s="1"/>
  <c r="P38" i="9"/>
  <c r="O38" i="9"/>
  <c r="N38" i="9"/>
  <c r="M38" i="9"/>
  <c r="L38" i="9"/>
  <c r="K38" i="9"/>
  <c r="H38" i="9"/>
  <c r="G38" i="9"/>
  <c r="F38" i="9"/>
  <c r="E38" i="9"/>
  <c r="D38" i="9"/>
  <c r="C38" i="9"/>
  <c r="B38" i="9"/>
  <c r="AA37" i="9"/>
  <c r="T37" i="9"/>
  <c r="S37" i="9"/>
  <c r="R37" i="9"/>
  <c r="Q37" i="9"/>
  <c r="P37" i="9"/>
  <c r="O37" i="9"/>
  <c r="N37" i="9"/>
  <c r="M37" i="9"/>
  <c r="L37" i="9"/>
  <c r="K37" i="9"/>
  <c r="H37" i="9"/>
  <c r="G37" i="9"/>
  <c r="U37" i="9" s="1"/>
  <c r="F37" i="9"/>
  <c r="E37" i="9"/>
  <c r="D37" i="9"/>
  <c r="C37" i="9"/>
  <c r="B37" i="9"/>
  <c r="AA36" i="9"/>
  <c r="O36" i="9" s="1"/>
  <c r="U36" i="9"/>
  <c r="T36" i="9"/>
  <c r="V36" i="9" s="1"/>
  <c r="S36" i="9"/>
  <c r="R36" i="9"/>
  <c r="Q36" i="9"/>
  <c r="P36" i="9"/>
  <c r="N36" i="9"/>
  <c r="M36" i="9"/>
  <c r="L36" i="9"/>
  <c r="K36" i="9"/>
  <c r="H36" i="9"/>
  <c r="G36" i="9"/>
  <c r="F36" i="9"/>
  <c r="E36" i="9"/>
  <c r="D36" i="9"/>
  <c r="C36" i="9"/>
  <c r="B36" i="9"/>
  <c r="AA35" i="9"/>
  <c r="O35" i="9" s="1"/>
  <c r="T35" i="9"/>
  <c r="S35" i="9"/>
  <c r="Q35" i="9" s="1"/>
  <c r="R35" i="9"/>
  <c r="P35" i="9"/>
  <c r="N35" i="9"/>
  <c r="M35" i="9"/>
  <c r="L35" i="9"/>
  <c r="K35" i="9"/>
  <c r="H35" i="9"/>
  <c r="G35" i="9"/>
  <c r="U35" i="9" s="1"/>
  <c r="F35" i="9"/>
  <c r="E35" i="9"/>
  <c r="D35" i="9"/>
  <c r="C35" i="9"/>
  <c r="B35" i="9"/>
  <c r="AA34" i="9"/>
  <c r="O34" i="9" s="1"/>
  <c r="T34" i="9"/>
  <c r="S34" i="9"/>
  <c r="R34" i="9"/>
  <c r="Q34" i="9"/>
  <c r="P34" i="9"/>
  <c r="N34" i="9"/>
  <c r="M34" i="9"/>
  <c r="L34" i="9"/>
  <c r="K34" i="9"/>
  <c r="V34" i="9"/>
  <c r="W34" i="9" s="1"/>
  <c r="H34" i="9"/>
  <c r="G34" i="9"/>
  <c r="U34" i="9" s="1"/>
  <c r="F34" i="9"/>
  <c r="E34" i="9"/>
  <c r="D34" i="9"/>
  <c r="C34" i="9"/>
  <c r="B34" i="9"/>
  <c r="AA33" i="9"/>
  <c r="U33" i="9"/>
  <c r="T33" i="9"/>
  <c r="S33" i="9"/>
  <c r="R33" i="9"/>
  <c r="Q33" i="9" s="1"/>
  <c r="P33" i="9"/>
  <c r="O33" i="9"/>
  <c r="N33" i="9"/>
  <c r="M33" i="9"/>
  <c r="L33" i="9"/>
  <c r="K33" i="9"/>
  <c r="H33" i="9"/>
  <c r="G33" i="9"/>
  <c r="F33" i="9"/>
  <c r="E33" i="9"/>
  <c r="D33" i="9"/>
  <c r="C33" i="9"/>
  <c r="B33" i="9"/>
  <c r="AA32" i="9"/>
  <c r="T32" i="9"/>
  <c r="S32" i="9"/>
  <c r="R32" i="9"/>
  <c r="Q32" i="9"/>
  <c r="P32" i="9"/>
  <c r="O32" i="9"/>
  <c r="N32" i="9"/>
  <c r="M32" i="9"/>
  <c r="L32" i="9"/>
  <c r="K32" i="9"/>
  <c r="H32" i="9"/>
  <c r="G32" i="9"/>
  <c r="U32" i="9" s="1"/>
  <c r="F32" i="9"/>
  <c r="E32" i="9"/>
  <c r="D32" i="9"/>
  <c r="C32" i="9"/>
  <c r="B32" i="9"/>
  <c r="AA31" i="9"/>
  <c r="O31" i="9" s="1"/>
  <c r="U31" i="9"/>
  <c r="T31" i="9"/>
  <c r="V31" i="9" s="1"/>
  <c r="S31" i="9"/>
  <c r="R31" i="9"/>
  <c r="Q31" i="9"/>
  <c r="P31" i="9"/>
  <c r="N31" i="9"/>
  <c r="M31" i="9"/>
  <c r="L31" i="9"/>
  <c r="K31" i="9"/>
  <c r="H31" i="9"/>
  <c r="G31" i="9"/>
  <c r="F31" i="9"/>
  <c r="E31" i="9"/>
  <c r="D31" i="9"/>
  <c r="C31" i="9"/>
  <c r="B31" i="9"/>
  <c r="AA30" i="9"/>
  <c r="O30" i="9" s="1"/>
  <c r="T30" i="9"/>
  <c r="S30" i="9"/>
  <c r="Q30" i="9" s="1"/>
  <c r="R30" i="9"/>
  <c r="P30" i="9"/>
  <c r="N30" i="9"/>
  <c r="M30" i="9"/>
  <c r="L30" i="9"/>
  <c r="K30" i="9"/>
  <c r="H30" i="9"/>
  <c r="G30" i="9"/>
  <c r="U30" i="9" s="1"/>
  <c r="F30" i="9"/>
  <c r="E30" i="9"/>
  <c r="D30" i="9"/>
  <c r="C30" i="9"/>
  <c r="B30" i="9"/>
  <c r="AA29" i="9"/>
  <c r="O29" i="9" s="1"/>
  <c r="T29" i="9"/>
  <c r="U29" i="9" s="1"/>
  <c r="S29" i="9"/>
  <c r="R29" i="9"/>
  <c r="Q29" i="9"/>
  <c r="P29" i="9"/>
  <c r="N29" i="9"/>
  <c r="M29" i="9"/>
  <c r="L29" i="9"/>
  <c r="K29" i="9"/>
  <c r="V29" i="9"/>
  <c r="W29" i="9" s="1"/>
  <c r="H29" i="9"/>
  <c r="G29" i="9"/>
  <c r="F29" i="9"/>
  <c r="E29" i="9"/>
  <c r="D29" i="9"/>
  <c r="C29" i="9"/>
  <c r="B29" i="9"/>
  <c r="AA28" i="9"/>
  <c r="U28" i="9"/>
  <c r="T28" i="9"/>
  <c r="S28" i="9"/>
  <c r="R28" i="9"/>
  <c r="Q28" i="9" s="1"/>
  <c r="P28" i="9"/>
  <c r="O28" i="9"/>
  <c r="N28" i="9"/>
  <c r="M28" i="9"/>
  <c r="L28" i="9"/>
  <c r="K28" i="9"/>
  <c r="H28" i="9"/>
  <c r="G28" i="9"/>
  <c r="F28" i="9"/>
  <c r="E28" i="9"/>
  <c r="D28" i="9"/>
  <c r="C28" i="9"/>
  <c r="B28" i="9"/>
  <c r="AA27" i="9"/>
  <c r="T27" i="9"/>
  <c r="S27" i="9"/>
  <c r="R27" i="9"/>
  <c r="Q27" i="9"/>
  <c r="P27" i="9"/>
  <c r="O27" i="9"/>
  <c r="N27" i="9"/>
  <c r="M27" i="9"/>
  <c r="L27" i="9"/>
  <c r="K27" i="9"/>
  <c r="H27" i="9"/>
  <c r="G27" i="9"/>
  <c r="U27" i="9" s="1"/>
  <c r="F27" i="9"/>
  <c r="E27" i="9"/>
  <c r="D27" i="9"/>
  <c r="C27" i="9"/>
  <c r="B27" i="9"/>
  <c r="AA26" i="9"/>
  <c r="Z26" i="9"/>
  <c r="U26" i="9"/>
  <c r="T26" i="9"/>
  <c r="V26" i="9" s="1"/>
  <c r="X26" i="9" s="1"/>
  <c r="S26" i="9"/>
  <c r="R26" i="9"/>
  <c r="Q26" i="9"/>
  <c r="P26" i="9"/>
  <c r="O26" i="9"/>
  <c r="N26" i="9"/>
  <c r="M26" i="9"/>
  <c r="L26" i="9"/>
  <c r="K26" i="9"/>
  <c r="H26" i="9"/>
  <c r="G26" i="9"/>
  <c r="F26" i="9"/>
  <c r="E26" i="9"/>
  <c r="D26" i="9"/>
  <c r="C26" i="9"/>
  <c r="B26" i="9"/>
  <c r="AA25" i="9"/>
  <c r="O25" i="9" s="1"/>
  <c r="U25" i="9"/>
  <c r="T25" i="9"/>
  <c r="S25" i="9"/>
  <c r="R25" i="9"/>
  <c r="Q25" i="9"/>
  <c r="P25" i="9"/>
  <c r="N25" i="9"/>
  <c r="M25" i="9"/>
  <c r="L25" i="9"/>
  <c r="K25" i="9"/>
  <c r="H25" i="9"/>
  <c r="G25" i="9"/>
  <c r="F25" i="9"/>
  <c r="E25" i="9"/>
  <c r="D25" i="9"/>
  <c r="C25" i="9"/>
  <c r="B25" i="9"/>
  <c r="AA24" i="9"/>
  <c r="Y24" i="9"/>
  <c r="T24" i="9"/>
  <c r="S24" i="9"/>
  <c r="R24" i="9"/>
  <c r="Q24" i="9"/>
  <c r="P24" i="9"/>
  <c r="O24" i="9"/>
  <c r="N24" i="9"/>
  <c r="M24" i="9"/>
  <c r="L24" i="9"/>
  <c r="K24" i="9"/>
  <c r="V24" i="9"/>
  <c r="H24" i="9"/>
  <c r="G24" i="9"/>
  <c r="F24" i="9"/>
  <c r="E24" i="9"/>
  <c r="D24" i="9"/>
  <c r="C24" i="9"/>
  <c r="B24" i="9"/>
  <c r="AA23" i="9"/>
  <c r="U23" i="9"/>
  <c r="T23" i="9"/>
  <c r="S23" i="9"/>
  <c r="R23" i="9"/>
  <c r="P23" i="9"/>
  <c r="O23" i="9"/>
  <c r="N23" i="9"/>
  <c r="M23" i="9"/>
  <c r="L23" i="9"/>
  <c r="K23" i="9"/>
  <c r="H23" i="9"/>
  <c r="G23" i="9"/>
  <c r="F23" i="9"/>
  <c r="E23" i="9"/>
  <c r="D23" i="9"/>
  <c r="C23" i="9"/>
  <c r="B23" i="9"/>
  <c r="AA22" i="9"/>
  <c r="O22" i="9" s="1"/>
  <c r="T22" i="9"/>
  <c r="U22" i="9" s="1"/>
  <c r="S22" i="9"/>
  <c r="R22" i="9"/>
  <c r="Q22" i="9"/>
  <c r="P22" i="9"/>
  <c r="N22" i="9"/>
  <c r="M22" i="9"/>
  <c r="L22" i="9"/>
  <c r="K22" i="9"/>
  <c r="H22" i="9"/>
  <c r="G22" i="9"/>
  <c r="F22" i="9"/>
  <c r="E22" i="9"/>
  <c r="D22" i="9"/>
  <c r="C22" i="9"/>
  <c r="B22" i="9"/>
  <c r="AA21" i="9"/>
  <c r="U21" i="9"/>
  <c r="T21" i="9"/>
  <c r="S21" i="9"/>
  <c r="R21" i="9"/>
  <c r="Q21" i="9"/>
  <c r="P21" i="9"/>
  <c r="O21" i="9"/>
  <c r="N21" i="9"/>
  <c r="M21" i="9"/>
  <c r="L21" i="9"/>
  <c r="K21" i="9"/>
  <c r="H21" i="9"/>
  <c r="G21" i="9"/>
  <c r="F21" i="9"/>
  <c r="E21" i="9"/>
  <c r="D21" i="9"/>
  <c r="C21" i="9"/>
  <c r="B21" i="9"/>
  <c r="AA20" i="9"/>
  <c r="O20" i="9" s="1"/>
  <c r="T20" i="9"/>
  <c r="S20" i="9"/>
  <c r="R20" i="9"/>
  <c r="Q20" i="9"/>
  <c r="P20" i="9"/>
  <c r="N20" i="9"/>
  <c r="M20" i="9"/>
  <c r="L20" i="9"/>
  <c r="K20" i="9"/>
  <c r="H20" i="9"/>
  <c r="G20" i="9"/>
  <c r="U20" i="9" s="1"/>
  <c r="F20" i="9"/>
  <c r="E20" i="9"/>
  <c r="D20" i="9"/>
  <c r="C20" i="9"/>
  <c r="B20" i="9"/>
  <c r="AA19" i="9"/>
  <c r="T19" i="9"/>
  <c r="V19" i="9" s="1"/>
  <c r="S19" i="9"/>
  <c r="R19" i="9"/>
  <c r="Q19" i="9" s="1"/>
  <c r="P19" i="9"/>
  <c r="O19" i="9"/>
  <c r="N19" i="9"/>
  <c r="M19" i="9"/>
  <c r="L19" i="9"/>
  <c r="K19" i="9"/>
  <c r="H19" i="9"/>
  <c r="G19" i="9"/>
  <c r="F19" i="9"/>
  <c r="E19" i="9"/>
  <c r="D19" i="9"/>
  <c r="C19" i="9"/>
  <c r="B19" i="9"/>
  <c r="AA18" i="9"/>
  <c r="U18" i="9"/>
  <c r="T18" i="9"/>
  <c r="S18" i="9"/>
  <c r="R18" i="9"/>
  <c r="P18" i="9"/>
  <c r="O18" i="9"/>
  <c r="N18" i="9"/>
  <c r="M18" i="9"/>
  <c r="L18" i="9"/>
  <c r="K18" i="9"/>
  <c r="H18" i="9"/>
  <c r="G18" i="9"/>
  <c r="F18" i="9"/>
  <c r="E18" i="9"/>
  <c r="D18" i="9"/>
  <c r="C18" i="9"/>
  <c r="B18" i="9"/>
  <c r="AA17" i="9"/>
  <c r="O17" i="9" s="1"/>
  <c r="U17" i="9"/>
  <c r="T17" i="9"/>
  <c r="S17" i="9"/>
  <c r="R17" i="9"/>
  <c r="Q17" i="9"/>
  <c r="P17" i="9"/>
  <c r="N17" i="9"/>
  <c r="M17" i="9"/>
  <c r="L17" i="9"/>
  <c r="K17" i="9"/>
  <c r="H17" i="9"/>
  <c r="G17" i="9"/>
  <c r="F17" i="9"/>
  <c r="E17" i="9"/>
  <c r="D17" i="9"/>
  <c r="C17" i="9"/>
  <c r="B17" i="9"/>
  <c r="AA16" i="9"/>
  <c r="T16" i="9"/>
  <c r="S16" i="9"/>
  <c r="R16" i="9"/>
  <c r="Q16" i="9"/>
  <c r="P16" i="9"/>
  <c r="O16" i="9"/>
  <c r="N16" i="9"/>
  <c r="M16" i="9"/>
  <c r="L16" i="9"/>
  <c r="K16" i="9"/>
  <c r="H16" i="9"/>
  <c r="G16" i="9"/>
  <c r="U16" i="9" s="1"/>
  <c r="F16" i="9"/>
  <c r="E16" i="9"/>
  <c r="D16" i="9"/>
  <c r="C16" i="9"/>
  <c r="B16" i="9"/>
  <c r="AA15" i="9"/>
  <c r="O15" i="9" s="1"/>
  <c r="T15" i="9"/>
  <c r="S15" i="9"/>
  <c r="Q15" i="9" s="1"/>
  <c r="R15" i="9"/>
  <c r="P15" i="9"/>
  <c r="N15" i="9"/>
  <c r="M15" i="9"/>
  <c r="L15" i="9"/>
  <c r="K15" i="9"/>
  <c r="H15" i="9"/>
  <c r="G15" i="9"/>
  <c r="U15" i="9" s="1"/>
  <c r="F15" i="9"/>
  <c r="E15" i="9"/>
  <c r="D15" i="9"/>
  <c r="C15" i="9"/>
  <c r="B15" i="9"/>
  <c r="AA14" i="9"/>
  <c r="T14" i="9"/>
  <c r="S14" i="9"/>
  <c r="R14" i="9"/>
  <c r="Q14" i="9" s="1"/>
  <c r="P14" i="9"/>
  <c r="O14" i="9"/>
  <c r="N14" i="9"/>
  <c r="M14" i="9"/>
  <c r="L14" i="9"/>
  <c r="K14" i="9"/>
  <c r="H14" i="9"/>
  <c r="G14" i="9"/>
  <c r="F14" i="9"/>
  <c r="E14" i="9"/>
  <c r="D14" i="9"/>
  <c r="C14" i="9"/>
  <c r="B14" i="9"/>
  <c r="AA13" i="9"/>
  <c r="U13" i="9"/>
  <c r="T13" i="9"/>
  <c r="S13" i="9"/>
  <c r="R13" i="9"/>
  <c r="Q13" i="9" s="1"/>
  <c r="P13" i="9"/>
  <c r="O13" i="9"/>
  <c r="N13" i="9"/>
  <c r="M13" i="9"/>
  <c r="L13" i="9"/>
  <c r="K13" i="9"/>
  <c r="H13" i="9"/>
  <c r="G13" i="9"/>
  <c r="F13" i="9"/>
  <c r="E13" i="9"/>
  <c r="D13" i="9"/>
  <c r="C13" i="9"/>
  <c r="B13" i="9"/>
  <c r="AA12" i="9"/>
  <c r="O12" i="9" s="1"/>
  <c r="T12" i="9"/>
  <c r="S12" i="9"/>
  <c r="R12" i="9"/>
  <c r="Q12" i="9"/>
  <c r="P12" i="9"/>
  <c r="N12" i="9"/>
  <c r="M12" i="9"/>
  <c r="L12" i="9"/>
  <c r="K12" i="9"/>
  <c r="H12" i="9"/>
  <c r="G12" i="9"/>
  <c r="U12" i="9" s="1"/>
  <c r="F12" i="9"/>
  <c r="E12" i="9"/>
  <c r="D12" i="9"/>
  <c r="C12" i="9"/>
  <c r="B12" i="9"/>
  <c r="AA11" i="9"/>
  <c r="O11" i="9" s="1"/>
  <c r="T11" i="9"/>
  <c r="U11" i="9" s="1"/>
  <c r="V11" i="9" s="1"/>
  <c r="S11" i="9"/>
  <c r="R11" i="9"/>
  <c r="Q11" i="9" s="1"/>
  <c r="P11" i="9"/>
  <c r="N11" i="9"/>
  <c r="M11" i="9"/>
  <c r="L11" i="9"/>
  <c r="K11" i="9"/>
  <c r="H11" i="9"/>
  <c r="G11" i="9"/>
  <c r="F11" i="9"/>
  <c r="E11" i="9"/>
  <c r="D11" i="9"/>
  <c r="C11" i="9"/>
  <c r="B11" i="9"/>
  <c r="AA10" i="9"/>
  <c r="T10" i="9"/>
  <c r="S10" i="9"/>
  <c r="R10" i="9"/>
  <c r="Q10" i="9" s="1"/>
  <c r="P10" i="9"/>
  <c r="O10" i="9"/>
  <c r="N10" i="9"/>
  <c r="M10" i="9"/>
  <c r="L10" i="9"/>
  <c r="K10" i="9"/>
  <c r="H10" i="9"/>
  <c r="U10" i="9" s="1"/>
  <c r="G10" i="9"/>
  <c r="F10" i="9"/>
  <c r="E10" i="9"/>
  <c r="D10" i="9"/>
  <c r="C10" i="9"/>
  <c r="B10" i="9"/>
  <c r="AA9" i="9"/>
  <c r="U9" i="9"/>
  <c r="T9" i="9"/>
  <c r="V9" i="9" s="1"/>
  <c r="S9" i="9"/>
  <c r="R9" i="9"/>
  <c r="Q9" i="9"/>
  <c r="P9" i="9"/>
  <c r="O9" i="9"/>
  <c r="N9" i="9"/>
  <c r="M9" i="9"/>
  <c r="L9" i="9"/>
  <c r="K9" i="9"/>
  <c r="H9" i="9"/>
  <c r="G9" i="9"/>
  <c r="F9" i="9"/>
  <c r="E9" i="9"/>
  <c r="D9" i="9"/>
  <c r="C9" i="9"/>
  <c r="B9" i="9"/>
  <c r="AA8" i="9"/>
  <c r="O8" i="9" s="1"/>
  <c r="T8" i="9"/>
  <c r="S8" i="9"/>
  <c r="R8" i="9"/>
  <c r="Q8" i="9" s="1"/>
  <c r="P8" i="9"/>
  <c r="N8" i="9"/>
  <c r="M8" i="9"/>
  <c r="L8" i="9"/>
  <c r="K8" i="9"/>
  <c r="H8" i="9"/>
  <c r="G8" i="9"/>
  <c r="F8" i="9"/>
  <c r="E8" i="9"/>
  <c r="D8" i="9"/>
  <c r="C8" i="9"/>
  <c r="B8" i="9"/>
  <c r="AA7" i="9"/>
  <c r="Y7" i="9"/>
  <c r="X7" i="9"/>
  <c r="V7" i="9"/>
  <c r="W7" i="9" s="1"/>
  <c r="U7" i="9"/>
  <c r="T7" i="9"/>
  <c r="S7" i="9"/>
  <c r="R7" i="9"/>
  <c r="Q7" i="9"/>
  <c r="P7" i="9"/>
  <c r="O7" i="9"/>
  <c r="N7" i="9"/>
  <c r="M7" i="9"/>
  <c r="L7" i="9"/>
  <c r="K7" i="9"/>
  <c r="H7" i="9"/>
  <c r="G7" i="9"/>
  <c r="F7" i="9"/>
  <c r="E7" i="9"/>
  <c r="D7" i="9"/>
  <c r="C7" i="9"/>
  <c r="B7" i="9"/>
  <c r="AA6" i="9"/>
  <c r="O6" i="9" s="1"/>
  <c r="U6" i="9"/>
  <c r="T6" i="9"/>
  <c r="S6" i="9"/>
  <c r="Q6" i="9" s="1"/>
  <c r="R6" i="9"/>
  <c r="P6" i="9"/>
  <c r="N6" i="9"/>
  <c r="M6" i="9"/>
  <c r="L6" i="9"/>
  <c r="K6" i="9"/>
  <c r="H6" i="9"/>
  <c r="G6" i="9"/>
  <c r="F6" i="9"/>
  <c r="E6" i="9"/>
  <c r="D6" i="9"/>
  <c r="C6" i="9"/>
  <c r="B6" i="9"/>
  <c r="AA5" i="9"/>
  <c r="T5" i="9"/>
  <c r="S5" i="9"/>
  <c r="R5" i="9"/>
  <c r="Q5" i="9"/>
  <c r="P5" i="9"/>
  <c r="O5" i="9"/>
  <c r="N5" i="9"/>
  <c r="M5" i="9"/>
  <c r="L5" i="9"/>
  <c r="K5" i="9"/>
  <c r="H5" i="9"/>
  <c r="G5" i="9"/>
  <c r="U5" i="9" s="1"/>
  <c r="F5" i="9"/>
  <c r="E5" i="9"/>
  <c r="D5" i="9"/>
  <c r="C5" i="9"/>
  <c r="B5" i="9"/>
  <c r="AA4" i="9"/>
  <c r="O4" i="9" s="1"/>
  <c r="T4" i="9"/>
  <c r="V4" i="9" s="1"/>
  <c r="S4" i="9"/>
  <c r="R4" i="9"/>
  <c r="Q4" i="9" s="1"/>
  <c r="P4" i="9"/>
  <c r="N4" i="9"/>
  <c r="M4" i="9"/>
  <c r="L4" i="9"/>
  <c r="K4" i="9"/>
  <c r="H4" i="9"/>
  <c r="G4" i="9"/>
  <c r="F4" i="9"/>
  <c r="E4" i="9"/>
  <c r="D4" i="9"/>
  <c r="C4" i="9"/>
  <c r="B4" i="9"/>
  <c r="AA3" i="9"/>
  <c r="T3" i="9"/>
  <c r="S3" i="9"/>
  <c r="R3" i="9"/>
  <c r="Q3" i="9"/>
  <c r="P3" i="9"/>
  <c r="O3" i="9"/>
  <c r="N3" i="9"/>
  <c r="M3" i="9"/>
  <c r="L3" i="9"/>
  <c r="K3" i="9"/>
  <c r="H3" i="9"/>
  <c r="G3" i="9"/>
  <c r="U3" i="9" s="1"/>
  <c r="F3" i="9"/>
  <c r="E3" i="9"/>
  <c r="D3" i="9"/>
  <c r="C3" i="9"/>
  <c r="B3" i="9"/>
  <c r="AA2" i="9"/>
  <c r="U2" i="9"/>
  <c r="V2" i="9" s="1"/>
  <c r="T2" i="9"/>
  <c r="S2" i="9"/>
  <c r="Q2" i="9" s="1"/>
  <c r="R2" i="9"/>
  <c r="P2" i="9"/>
  <c r="O2" i="9"/>
  <c r="N2" i="9"/>
  <c r="M2" i="9"/>
  <c r="L2" i="9"/>
  <c r="K2" i="9"/>
  <c r="H2" i="9"/>
  <c r="G2" i="9"/>
  <c r="F2" i="9"/>
  <c r="E2" i="9"/>
  <c r="D2" i="9"/>
  <c r="C2" i="9"/>
  <c r="B2" i="9"/>
  <c r="V209" i="8"/>
  <c r="V208" i="8"/>
  <c r="V207" i="8"/>
  <c r="V206" i="8"/>
  <c r="V205" i="8"/>
  <c r="V204" i="8"/>
  <c r="V203" i="8"/>
  <c r="V202" i="8"/>
  <c r="V201" i="8"/>
  <c r="V200" i="8"/>
  <c r="V199" i="8"/>
  <c r="V198" i="8"/>
  <c r="V197" i="8"/>
  <c r="V196" i="8"/>
  <c r="V195" i="8"/>
  <c r="V194" i="8"/>
  <c r="V193" i="8"/>
  <c r="V192" i="8"/>
  <c r="V191" i="8"/>
  <c r="V190" i="8"/>
  <c r="V189" i="8"/>
  <c r="V188" i="8"/>
  <c r="V187" i="8"/>
  <c r="V186" i="8"/>
  <c r="V185" i="8"/>
  <c r="V184" i="8"/>
  <c r="V183" i="8"/>
  <c r="V182" i="8"/>
  <c r="V181" i="8"/>
  <c r="V180" i="8"/>
  <c r="V179" i="8"/>
  <c r="V178" i="8"/>
  <c r="V177" i="8"/>
  <c r="V176" i="8"/>
  <c r="V175" i="8"/>
  <c r="V174" i="8"/>
  <c r="V173" i="8"/>
  <c r="V172" i="8"/>
  <c r="V171" i="8"/>
  <c r="V170" i="8"/>
  <c r="V169" i="8"/>
  <c r="V168" i="8"/>
  <c r="V167" i="8"/>
  <c r="V166" i="8"/>
  <c r="V165" i="8"/>
  <c r="V164" i="8"/>
  <c r="V163" i="8"/>
  <c r="V162" i="8"/>
  <c r="V161" i="8"/>
  <c r="V160" i="8"/>
  <c r="V159" i="8"/>
  <c r="V158" i="8"/>
  <c r="V157" i="8"/>
  <c r="V156" i="8"/>
  <c r="V155" i="8"/>
  <c r="V154" i="8"/>
  <c r="V153" i="8"/>
  <c r="V152" i="8"/>
  <c r="V151" i="8"/>
  <c r="V150" i="8"/>
  <c r="V149" i="8"/>
  <c r="V148" i="8"/>
  <c r="V147" i="8"/>
  <c r="V146" i="8"/>
  <c r="V145" i="8"/>
  <c r="V144" i="8"/>
  <c r="V143" i="8"/>
  <c r="V142" i="8"/>
  <c r="V141" i="8"/>
  <c r="V140" i="8"/>
  <c r="V139" i="8"/>
  <c r="V138" i="8"/>
  <c r="V137" i="8"/>
  <c r="V136" i="8"/>
  <c r="V135" i="8"/>
  <c r="V134" i="8"/>
  <c r="V133" i="8"/>
  <c r="V132" i="8"/>
  <c r="V131" i="8"/>
  <c r="V130" i="8"/>
  <c r="V129" i="8"/>
  <c r="V128" i="8"/>
  <c r="V127" i="8"/>
  <c r="V126" i="8"/>
  <c r="V125" i="8"/>
  <c r="V124" i="8"/>
  <c r="V123" i="8"/>
  <c r="V122" i="8"/>
  <c r="V121" i="8"/>
  <c r="V120" i="8"/>
  <c r="V119" i="8"/>
  <c r="V118" i="8"/>
  <c r="V117" i="8"/>
  <c r="V116" i="8"/>
  <c r="V115" i="8"/>
  <c r="V114" i="8"/>
  <c r="V113" i="8"/>
  <c r="V112" i="8"/>
  <c r="V111" i="8"/>
  <c r="V110" i="8"/>
  <c r="V109" i="8"/>
  <c r="V108" i="8"/>
  <c r="V107" i="8"/>
  <c r="V106" i="8"/>
  <c r="V105" i="8"/>
  <c r="V104" i="8"/>
  <c r="V103" i="8"/>
  <c r="V102" i="8"/>
  <c r="V101" i="8"/>
  <c r="V100" i="8"/>
  <c r="V99" i="8"/>
  <c r="V98" i="8"/>
  <c r="V97" i="8"/>
  <c r="V96" i="8"/>
  <c r="V95" i="8"/>
  <c r="V94" i="8"/>
  <c r="V93" i="8"/>
  <c r="V92" i="8"/>
  <c r="V91" i="8"/>
  <c r="V90" i="8"/>
  <c r="V89" i="8"/>
  <c r="V88" i="8"/>
  <c r="V87" i="8"/>
  <c r="V86" i="8"/>
  <c r="V85" i="8"/>
  <c r="V84" i="8"/>
  <c r="V83" i="8"/>
  <c r="V82" i="8"/>
  <c r="V81" i="8"/>
  <c r="V80" i="8"/>
  <c r="V79" i="8"/>
  <c r="V78" i="8"/>
  <c r="V77" i="8"/>
  <c r="V76" i="8"/>
  <c r="V75" i="8"/>
  <c r="V74" i="8"/>
  <c r="V73" i="8"/>
  <c r="V72" i="8"/>
  <c r="V71" i="8"/>
  <c r="V70" i="8"/>
  <c r="V69" i="8"/>
  <c r="V68" i="8"/>
  <c r="V67" i="8"/>
  <c r="V66" i="8"/>
  <c r="V65" i="8"/>
  <c r="V64" i="8"/>
  <c r="V63" i="8"/>
  <c r="V62" i="8"/>
  <c r="V61" i="8"/>
  <c r="V60" i="8"/>
  <c r="V59" i="8"/>
  <c r="V58" i="8"/>
  <c r="V57" i="8"/>
  <c r="V56" i="8"/>
  <c r="V55" i="8"/>
  <c r="V54" i="8"/>
  <c r="V53" i="8"/>
  <c r="V52" i="8"/>
  <c r="V51" i="8"/>
  <c r="V50" i="8"/>
  <c r="V49" i="8"/>
  <c r="V48" i="8"/>
  <c r="V47" i="8"/>
  <c r="V46" i="8"/>
  <c r="V45" i="8"/>
  <c r="V44" i="8"/>
  <c r="V43" i="8"/>
  <c r="V42" i="8"/>
  <c r="V41" i="8"/>
  <c r="V40" i="8"/>
  <c r="V39" i="8"/>
  <c r="V38" i="8"/>
  <c r="V37" i="8"/>
  <c r="V36" i="8"/>
  <c r="V35" i="8"/>
  <c r="V34" i="8"/>
  <c r="V33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V3" i="8"/>
  <c r="V2" i="8"/>
  <c r="J209" i="8"/>
  <c r="I209" i="8"/>
  <c r="J208" i="8"/>
  <c r="I208" i="8"/>
  <c r="J207" i="8"/>
  <c r="I207" i="8"/>
  <c r="J206" i="8"/>
  <c r="I206" i="8"/>
  <c r="J205" i="8"/>
  <c r="I205" i="8"/>
  <c r="J204" i="8"/>
  <c r="I204" i="8"/>
  <c r="J203" i="8"/>
  <c r="I203" i="8"/>
  <c r="J202" i="8"/>
  <c r="I202" i="8"/>
  <c r="J201" i="8"/>
  <c r="I201" i="8"/>
  <c r="J200" i="8"/>
  <c r="I200" i="8"/>
  <c r="J199" i="8"/>
  <c r="I199" i="8"/>
  <c r="J198" i="8"/>
  <c r="I198" i="8"/>
  <c r="J197" i="8"/>
  <c r="I197" i="8"/>
  <c r="J196" i="8"/>
  <c r="I196" i="8"/>
  <c r="J195" i="8"/>
  <c r="I195" i="8"/>
  <c r="J194" i="8"/>
  <c r="I194" i="8"/>
  <c r="J193" i="8"/>
  <c r="I193" i="8"/>
  <c r="J192" i="8"/>
  <c r="I192" i="8"/>
  <c r="J191" i="8"/>
  <c r="I191" i="8"/>
  <c r="J190" i="8"/>
  <c r="I190" i="8"/>
  <c r="J189" i="8"/>
  <c r="I189" i="8"/>
  <c r="J188" i="8"/>
  <c r="I188" i="8"/>
  <c r="J187" i="8"/>
  <c r="I187" i="8"/>
  <c r="J186" i="8"/>
  <c r="I186" i="8"/>
  <c r="J185" i="8"/>
  <c r="I185" i="8"/>
  <c r="J184" i="8"/>
  <c r="I184" i="8"/>
  <c r="J183" i="8"/>
  <c r="I183" i="8"/>
  <c r="J182" i="8"/>
  <c r="I182" i="8"/>
  <c r="J181" i="8"/>
  <c r="I181" i="8"/>
  <c r="J180" i="8"/>
  <c r="I180" i="8"/>
  <c r="J179" i="8"/>
  <c r="I179" i="8"/>
  <c r="J178" i="8"/>
  <c r="I178" i="8"/>
  <c r="J177" i="8"/>
  <c r="I177" i="8"/>
  <c r="J176" i="8"/>
  <c r="I176" i="8"/>
  <c r="J175" i="8"/>
  <c r="I175" i="8"/>
  <c r="J174" i="8"/>
  <c r="I174" i="8"/>
  <c r="J173" i="8"/>
  <c r="I173" i="8"/>
  <c r="J172" i="8"/>
  <c r="I172" i="8"/>
  <c r="J171" i="8"/>
  <c r="I171" i="8"/>
  <c r="J170" i="8"/>
  <c r="I170" i="8"/>
  <c r="J169" i="8"/>
  <c r="I169" i="8"/>
  <c r="J168" i="8"/>
  <c r="I168" i="8"/>
  <c r="J167" i="8"/>
  <c r="I167" i="8"/>
  <c r="J166" i="8"/>
  <c r="I166" i="8"/>
  <c r="J165" i="8"/>
  <c r="I165" i="8"/>
  <c r="J164" i="8"/>
  <c r="I164" i="8"/>
  <c r="J163" i="8"/>
  <c r="I163" i="8"/>
  <c r="J162" i="8"/>
  <c r="I162" i="8"/>
  <c r="J161" i="8"/>
  <c r="I161" i="8"/>
  <c r="J160" i="8"/>
  <c r="I160" i="8"/>
  <c r="J159" i="8"/>
  <c r="I159" i="8"/>
  <c r="J158" i="8"/>
  <c r="I158" i="8"/>
  <c r="J157" i="8"/>
  <c r="I157" i="8"/>
  <c r="J156" i="8"/>
  <c r="I156" i="8"/>
  <c r="J155" i="8"/>
  <c r="I155" i="8"/>
  <c r="J154" i="8"/>
  <c r="I154" i="8"/>
  <c r="J153" i="8"/>
  <c r="I153" i="8"/>
  <c r="J152" i="8"/>
  <c r="I152" i="8"/>
  <c r="J151" i="8"/>
  <c r="I151" i="8"/>
  <c r="J150" i="8"/>
  <c r="I150" i="8"/>
  <c r="J149" i="8"/>
  <c r="I149" i="8"/>
  <c r="J148" i="8"/>
  <c r="I148" i="8"/>
  <c r="J147" i="8"/>
  <c r="I147" i="8"/>
  <c r="J146" i="8"/>
  <c r="I146" i="8"/>
  <c r="J145" i="8"/>
  <c r="I145" i="8"/>
  <c r="J144" i="8"/>
  <c r="I144" i="8"/>
  <c r="J143" i="8"/>
  <c r="I143" i="8"/>
  <c r="J142" i="8"/>
  <c r="I142" i="8"/>
  <c r="J141" i="8"/>
  <c r="I141" i="8"/>
  <c r="J140" i="8"/>
  <c r="I140" i="8"/>
  <c r="J139" i="8"/>
  <c r="I139" i="8"/>
  <c r="J138" i="8"/>
  <c r="I138" i="8"/>
  <c r="J137" i="8"/>
  <c r="I137" i="8"/>
  <c r="J136" i="8"/>
  <c r="I136" i="8"/>
  <c r="J135" i="8"/>
  <c r="I135" i="8"/>
  <c r="J134" i="8"/>
  <c r="I134" i="8"/>
  <c r="J133" i="8"/>
  <c r="I133" i="8"/>
  <c r="J132" i="8"/>
  <c r="I132" i="8"/>
  <c r="J131" i="8"/>
  <c r="I131" i="8"/>
  <c r="J130" i="8"/>
  <c r="I130" i="8"/>
  <c r="J129" i="8"/>
  <c r="I129" i="8"/>
  <c r="J128" i="8"/>
  <c r="I128" i="8"/>
  <c r="J127" i="8"/>
  <c r="I127" i="8"/>
  <c r="J126" i="8"/>
  <c r="I126" i="8"/>
  <c r="J125" i="8"/>
  <c r="I125" i="8"/>
  <c r="J124" i="8"/>
  <c r="I124" i="8"/>
  <c r="J123" i="8"/>
  <c r="I123" i="8"/>
  <c r="J122" i="8"/>
  <c r="I122" i="8"/>
  <c r="J121" i="8"/>
  <c r="I121" i="8"/>
  <c r="J120" i="8"/>
  <c r="I120" i="8"/>
  <c r="J119" i="8"/>
  <c r="I119" i="8"/>
  <c r="J118" i="8"/>
  <c r="I118" i="8"/>
  <c r="J117" i="8"/>
  <c r="I117" i="8"/>
  <c r="J116" i="8"/>
  <c r="I116" i="8"/>
  <c r="J115" i="8"/>
  <c r="I115" i="8"/>
  <c r="J114" i="8"/>
  <c r="I114" i="8"/>
  <c r="J113" i="8"/>
  <c r="I113" i="8"/>
  <c r="J112" i="8"/>
  <c r="I112" i="8"/>
  <c r="J111" i="8"/>
  <c r="I111" i="8"/>
  <c r="J110" i="8"/>
  <c r="I110" i="8"/>
  <c r="J109" i="8"/>
  <c r="I109" i="8"/>
  <c r="J108" i="8"/>
  <c r="I108" i="8"/>
  <c r="J107" i="8"/>
  <c r="I107" i="8"/>
  <c r="J106" i="8"/>
  <c r="I106" i="8"/>
  <c r="J105" i="8"/>
  <c r="I105" i="8"/>
  <c r="J104" i="8"/>
  <c r="I104" i="8"/>
  <c r="J103" i="8"/>
  <c r="I103" i="8"/>
  <c r="J102" i="8"/>
  <c r="I102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6" i="8"/>
  <c r="I86" i="8"/>
  <c r="J85" i="8"/>
  <c r="I85" i="8"/>
  <c r="J84" i="8"/>
  <c r="I84" i="8"/>
  <c r="J83" i="8"/>
  <c r="I83" i="8"/>
  <c r="J82" i="8"/>
  <c r="I82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J66" i="8"/>
  <c r="I66" i="8"/>
  <c r="J65" i="8"/>
  <c r="I65" i="8"/>
  <c r="J64" i="8"/>
  <c r="I64" i="8"/>
  <c r="J63" i="8"/>
  <c r="I63" i="8"/>
  <c r="J62" i="8"/>
  <c r="I62" i="8"/>
  <c r="J61" i="8"/>
  <c r="I61" i="8"/>
  <c r="J60" i="8"/>
  <c r="I60" i="8"/>
  <c r="J59" i="8"/>
  <c r="I59" i="8"/>
  <c r="J58" i="8"/>
  <c r="I58" i="8"/>
  <c r="J57" i="8"/>
  <c r="I57" i="8"/>
  <c r="J56" i="8"/>
  <c r="I56" i="8"/>
  <c r="J55" i="8"/>
  <c r="I55" i="8"/>
  <c r="J54" i="8"/>
  <c r="I54" i="8"/>
  <c r="J53" i="8"/>
  <c r="I53" i="8"/>
  <c r="J52" i="8"/>
  <c r="I52" i="8"/>
  <c r="J51" i="8"/>
  <c r="I51" i="8"/>
  <c r="J50" i="8"/>
  <c r="I50" i="8"/>
  <c r="J49" i="8"/>
  <c r="I49" i="8"/>
  <c r="J48" i="8"/>
  <c r="I48" i="8"/>
  <c r="J47" i="8"/>
  <c r="I47" i="8"/>
  <c r="J46" i="8"/>
  <c r="I46" i="8"/>
  <c r="J45" i="8"/>
  <c r="I45" i="8"/>
  <c r="J44" i="8"/>
  <c r="I44" i="8"/>
  <c r="J43" i="8"/>
  <c r="I43" i="8"/>
  <c r="J42" i="8"/>
  <c r="I42" i="8"/>
  <c r="J41" i="8"/>
  <c r="I41" i="8"/>
  <c r="J40" i="8"/>
  <c r="I40" i="8"/>
  <c r="J39" i="8"/>
  <c r="I39" i="8"/>
  <c r="J38" i="8"/>
  <c r="I38" i="8"/>
  <c r="J37" i="8"/>
  <c r="I37" i="8"/>
  <c r="J36" i="8"/>
  <c r="I36" i="8"/>
  <c r="J35" i="8"/>
  <c r="I35" i="8"/>
  <c r="J34" i="8"/>
  <c r="I34" i="8"/>
  <c r="J33" i="8"/>
  <c r="I33" i="8"/>
  <c r="J32" i="8"/>
  <c r="I32" i="8"/>
  <c r="J31" i="8"/>
  <c r="I31" i="8"/>
  <c r="J30" i="8"/>
  <c r="I30" i="8"/>
  <c r="J29" i="8"/>
  <c r="I29" i="8"/>
  <c r="J28" i="8"/>
  <c r="I28" i="8"/>
  <c r="J27" i="8"/>
  <c r="I27" i="8"/>
  <c r="J26" i="8"/>
  <c r="I26" i="8"/>
  <c r="J25" i="8"/>
  <c r="I25" i="8"/>
  <c r="J24" i="8"/>
  <c r="I24" i="8"/>
  <c r="J23" i="8"/>
  <c r="I23" i="8"/>
  <c r="J22" i="8"/>
  <c r="I22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J3" i="8"/>
  <c r="I3" i="8"/>
  <c r="J2" i="8"/>
  <c r="I2" i="8"/>
  <c r="AA209" i="8"/>
  <c r="T209" i="8"/>
  <c r="S209" i="8"/>
  <c r="R209" i="8"/>
  <c r="Q209" i="8" s="1"/>
  <c r="P209" i="8"/>
  <c r="O209" i="8"/>
  <c r="N209" i="8"/>
  <c r="M209" i="8"/>
  <c r="L209" i="8"/>
  <c r="K209" i="8"/>
  <c r="H209" i="8"/>
  <c r="G209" i="8"/>
  <c r="F209" i="8"/>
  <c r="E209" i="8"/>
  <c r="D209" i="8"/>
  <c r="C209" i="8"/>
  <c r="B209" i="8"/>
  <c r="AA208" i="8"/>
  <c r="O208" i="8" s="1"/>
  <c r="T208" i="8"/>
  <c r="S208" i="8"/>
  <c r="R208" i="8"/>
  <c r="P208" i="8"/>
  <c r="N208" i="8"/>
  <c r="M208" i="8"/>
  <c r="L208" i="8"/>
  <c r="K208" i="8"/>
  <c r="H208" i="8"/>
  <c r="G208" i="8"/>
  <c r="F208" i="8"/>
  <c r="E208" i="8"/>
  <c r="D208" i="8"/>
  <c r="C208" i="8"/>
  <c r="B208" i="8"/>
  <c r="AA207" i="8"/>
  <c r="O207" i="8" s="1"/>
  <c r="T207" i="8"/>
  <c r="S207" i="8"/>
  <c r="R207" i="8"/>
  <c r="P207" i="8"/>
  <c r="N207" i="8"/>
  <c r="M207" i="8"/>
  <c r="L207" i="8"/>
  <c r="K207" i="8"/>
  <c r="H207" i="8"/>
  <c r="G207" i="8"/>
  <c r="F207" i="8"/>
  <c r="E207" i="8"/>
  <c r="D207" i="8"/>
  <c r="C207" i="8"/>
  <c r="B207" i="8"/>
  <c r="AA206" i="8"/>
  <c r="O206" i="8" s="1"/>
  <c r="T206" i="8"/>
  <c r="S206" i="8"/>
  <c r="R206" i="8"/>
  <c r="Q206" i="8"/>
  <c r="P206" i="8"/>
  <c r="N206" i="8"/>
  <c r="M206" i="8"/>
  <c r="L206" i="8"/>
  <c r="K206" i="8"/>
  <c r="H206" i="8"/>
  <c r="G206" i="8"/>
  <c r="F206" i="8"/>
  <c r="E206" i="8"/>
  <c r="D206" i="8"/>
  <c r="C206" i="8"/>
  <c r="B206" i="8"/>
  <c r="AA205" i="8"/>
  <c r="O205" i="8" s="1"/>
  <c r="T205" i="8"/>
  <c r="U205" i="8" s="1"/>
  <c r="S205" i="8"/>
  <c r="R205" i="8"/>
  <c r="Q205" i="8" s="1"/>
  <c r="P205" i="8"/>
  <c r="N205" i="8"/>
  <c r="M205" i="8"/>
  <c r="L205" i="8"/>
  <c r="K205" i="8"/>
  <c r="H205" i="8"/>
  <c r="G205" i="8"/>
  <c r="F205" i="8"/>
  <c r="E205" i="8"/>
  <c r="D205" i="8"/>
  <c r="C205" i="8"/>
  <c r="B205" i="8"/>
  <c r="AA204" i="8"/>
  <c r="O204" i="8" s="1"/>
  <c r="T204" i="8"/>
  <c r="S204" i="8"/>
  <c r="R204" i="8"/>
  <c r="Q204" i="8"/>
  <c r="P204" i="8"/>
  <c r="N204" i="8"/>
  <c r="M204" i="8"/>
  <c r="L204" i="8"/>
  <c r="K204" i="8"/>
  <c r="H204" i="8"/>
  <c r="U204" i="8" s="1"/>
  <c r="G204" i="8"/>
  <c r="F204" i="8"/>
  <c r="E204" i="8"/>
  <c r="D204" i="8"/>
  <c r="C204" i="8"/>
  <c r="B204" i="8"/>
  <c r="AA203" i="8"/>
  <c r="O203" i="8" s="1"/>
  <c r="T203" i="8"/>
  <c r="S203" i="8"/>
  <c r="R203" i="8"/>
  <c r="P203" i="8"/>
  <c r="N203" i="8"/>
  <c r="M203" i="8"/>
  <c r="L203" i="8"/>
  <c r="K203" i="8"/>
  <c r="H203" i="8"/>
  <c r="G203" i="8"/>
  <c r="F203" i="8"/>
  <c r="E203" i="8"/>
  <c r="D203" i="8"/>
  <c r="C203" i="8"/>
  <c r="B203" i="8"/>
  <c r="AA202" i="8"/>
  <c r="O202" i="8" s="1"/>
  <c r="T202" i="8"/>
  <c r="S202" i="8"/>
  <c r="R202" i="8"/>
  <c r="Q202" i="8" s="1"/>
  <c r="P202" i="8"/>
  <c r="N202" i="8"/>
  <c r="M202" i="8"/>
  <c r="L202" i="8"/>
  <c r="K202" i="8"/>
  <c r="H202" i="8"/>
  <c r="G202" i="8"/>
  <c r="F202" i="8"/>
  <c r="E202" i="8"/>
  <c r="D202" i="8"/>
  <c r="C202" i="8"/>
  <c r="B202" i="8"/>
  <c r="AA201" i="8"/>
  <c r="O201" i="8" s="1"/>
  <c r="W201" i="8" s="1"/>
  <c r="T201" i="8"/>
  <c r="S201" i="8"/>
  <c r="R201" i="8"/>
  <c r="Q201" i="8" s="1"/>
  <c r="P201" i="8"/>
  <c r="N201" i="8"/>
  <c r="M201" i="8"/>
  <c r="L201" i="8"/>
  <c r="K201" i="8"/>
  <c r="H201" i="8"/>
  <c r="G201" i="8"/>
  <c r="F201" i="8"/>
  <c r="E201" i="8"/>
  <c r="D201" i="8"/>
  <c r="C201" i="8"/>
  <c r="B201" i="8"/>
  <c r="AA200" i="8"/>
  <c r="O200" i="8" s="1"/>
  <c r="T200" i="8"/>
  <c r="S200" i="8"/>
  <c r="R200" i="8"/>
  <c r="P200" i="8"/>
  <c r="N200" i="8"/>
  <c r="M200" i="8"/>
  <c r="L200" i="8"/>
  <c r="K200" i="8"/>
  <c r="H200" i="8"/>
  <c r="G200" i="8"/>
  <c r="F200" i="8"/>
  <c r="E200" i="8"/>
  <c r="D200" i="8"/>
  <c r="C200" i="8"/>
  <c r="B200" i="8"/>
  <c r="AA199" i="8"/>
  <c r="O199" i="8" s="1"/>
  <c r="T199" i="8"/>
  <c r="S199" i="8"/>
  <c r="Q199" i="8" s="1"/>
  <c r="R199" i="8"/>
  <c r="P199" i="8"/>
  <c r="N199" i="8"/>
  <c r="M199" i="8"/>
  <c r="L199" i="8"/>
  <c r="K199" i="8"/>
  <c r="H199" i="8"/>
  <c r="G199" i="8"/>
  <c r="U199" i="8" s="1"/>
  <c r="F199" i="8"/>
  <c r="E199" i="8"/>
  <c r="D199" i="8"/>
  <c r="C199" i="8"/>
  <c r="B199" i="8"/>
  <c r="AA198" i="8"/>
  <c r="T198" i="8"/>
  <c r="S198" i="8"/>
  <c r="R198" i="8"/>
  <c r="P198" i="8"/>
  <c r="O198" i="8"/>
  <c r="N198" i="8"/>
  <c r="M198" i="8"/>
  <c r="L198" i="8"/>
  <c r="K198" i="8"/>
  <c r="H198" i="8"/>
  <c r="G198" i="8"/>
  <c r="U198" i="8" s="1"/>
  <c r="F198" i="8"/>
  <c r="E198" i="8"/>
  <c r="D198" i="8"/>
  <c r="C198" i="8"/>
  <c r="B198" i="8"/>
  <c r="AA197" i="8"/>
  <c r="T197" i="8"/>
  <c r="S197" i="8"/>
  <c r="R197" i="8"/>
  <c r="P197" i="8"/>
  <c r="O197" i="8"/>
  <c r="N197" i="8"/>
  <c r="M197" i="8"/>
  <c r="L197" i="8"/>
  <c r="K197" i="8"/>
  <c r="H197" i="8"/>
  <c r="G197" i="8"/>
  <c r="F197" i="8"/>
  <c r="E197" i="8"/>
  <c r="D197" i="8"/>
  <c r="C197" i="8"/>
  <c r="B197" i="8"/>
  <c r="AA196" i="8"/>
  <c r="O196" i="8" s="1"/>
  <c r="T196" i="8"/>
  <c r="S196" i="8"/>
  <c r="R196" i="8"/>
  <c r="Q196" i="8" s="1"/>
  <c r="P196" i="8"/>
  <c r="N196" i="8"/>
  <c r="M196" i="8"/>
  <c r="L196" i="8"/>
  <c r="K196" i="8"/>
  <c r="H196" i="8"/>
  <c r="G196" i="8"/>
  <c r="F196" i="8"/>
  <c r="E196" i="8"/>
  <c r="D196" i="8"/>
  <c r="C196" i="8"/>
  <c r="B196" i="8"/>
  <c r="AA195" i="8"/>
  <c r="O195" i="8" s="1"/>
  <c r="T195" i="8"/>
  <c r="S195" i="8"/>
  <c r="R195" i="8"/>
  <c r="P195" i="8"/>
  <c r="N195" i="8"/>
  <c r="M195" i="8"/>
  <c r="L195" i="8"/>
  <c r="K195" i="8"/>
  <c r="H195" i="8"/>
  <c r="G195" i="8"/>
  <c r="F195" i="8"/>
  <c r="E195" i="8"/>
  <c r="D195" i="8"/>
  <c r="C195" i="8"/>
  <c r="B195" i="8"/>
  <c r="AA194" i="8"/>
  <c r="T194" i="8"/>
  <c r="S194" i="8"/>
  <c r="R194" i="8"/>
  <c r="Q194" i="8"/>
  <c r="P194" i="8"/>
  <c r="O194" i="8"/>
  <c r="N194" i="8"/>
  <c r="M194" i="8"/>
  <c r="L194" i="8"/>
  <c r="K194" i="8"/>
  <c r="H194" i="8"/>
  <c r="G194" i="8"/>
  <c r="F194" i="8"/>
  <c r="E194" i="8"/>
  <c r="D194" i="8"/>
  <c r="C194" i="8"/>
  <c r="B194" i="8"/>
  <c r="AA193" i="8"/>
  <c r="O193" i="8" s="1"/>
  <c r="T193" i="8"/>
  <c r="S193" i="8"/>
  <c r="R193" i="8"/>
  <c r="P193" i="8"/>
  <c r="N193" i="8"/>
  <c r="M193" i="8"/>
  <c r="L193" i="8"/>
  <c r="K193" i="8"/>
  <c r="H193" i="8"/>
  <c r="G193" i="8"/>
  <c r="F193" i="8"/>
  <c r="E193" i="8"/>
  <c r="D193" i="8"/>
  <c r="C193" i="8"/>
  <c r="B193" i="8"/>
  <c r="AA192" i="8"/>
  <c r="O192" i="8" s="1"/>
  <c r="T192" i="8"/>
  <c r="S192" i="8"/>
  <c r="R192" i="8"/>
  <c r="P192" i="8"/>
  <c r="N192" i="8"/>
  <c r="M192" i="8"/>
  <c r="L192" i="8"/>
  <c r="K192" i="8"/>
  <c r="H192" i="8"/>
  <c r="G192" i="8"/>
  <c r="F192" i="8"/>
  <c r="E192" i="8"/>
  <c r="D192" i="8"/>
  <c r="C192" i="8"/>
  <c r="B192" i="8"/>
  <c r="AA191" i="8"/>
  <c r="O191" i="8" s="1"/>
  <c r="T191" i="8"/>
  <c r="S191" i="8"/>
  <c r="Q191" i="8" s="1"/>
  <c r="R191" i="8"/>
  <c r="P191" i="8"/>
  <c r="N191" i="8"/>
  <c r="M191" i="8"/>
  <c r="L191" i="8"/>
  <c r="K191" i="8"/>
  <c r="H191" i="8"/>
  <c r="G191" i="8"/>
  <c r="F191" i="8"/>
  <c r="E191" i="8"/>
  <c r="D191" i="8"/>
  <c r="C191" i="8"/>
  <c r="B191" i="8"/>
  <c r="AA190" i="8"/>
  <c r="O190" i="8" s="1"/>
  <c r="T190" i="8"/>
  <c r="S190" i="8"/>
  <c r="Q190" i="8" s="1"/>
  <c r="R190" i="8"/>
  <c r="P190" i="8"/>
  <c r="N190" i="8"/>
  <c r="M190" i="8"/>
  <c r="L190" i="8"/>
  <c r="K190" i="8"/>
  <c r="H190" i="8"/>
  <c r="G190" i="8"/>
  <c r="F190" i="8"/>
  <c r="E190" i="8"/>
  <c r="D190" i="8"/>
  <c r="C190" i="8"/>
  <c r="B190" i="8"/>
  <c r="AA189" i="8"/>
  <c r="O189" i="8" s="1"/>
  <c r="T189" i="8"/>
  <c r="S189" i="8"/>
  <c r="R189" i="8"/>
  <c r="Q189" i="8"/>
  <c r="P189" i="8"/>
  <c r="N189" i="8"/>
  <c r="M189" i="8"/>
  <c r="L189" i="8"/>
  <c r="K189" i="8"/>
  <c r="H189" i="8"/>
  <c r="G189" i="8"/>
  <c r="F189" i="8"/>
  <c r="E189" i="8"/>
  <c r="D189" i="8"/>
  <c r="C189" i="8"/>
  <c r="B189" i="8"/>
  <c r="AA188" i="8"/>
  <c r="T188" i="8"/>
  <c r="S188" i="8"/>
  <c r="R188" i="8"/>
  <c r="P188" i="8"/>
  <c r="O188" i="8"/>
  <c r="N188" i="8"/>
  <c r="M188" i="8"/>
  <c r="L188" i="8"/>
  <c r="K188" i="8"/>
  <c r="H188" i="8"/>
  <c r="G188" i="8"/>
  <c r="F188" i="8"/>
  <c r="E188" i="8"/>
  <c r="D188" i="8"/>
  <c r="C188" i="8"/>
  <c r="B188" i="8"/>
  <c r="AA187" i="8"/>
  <c r="T187" i="8"/>
  <c r="S187" i="8"/>
  <c r="R187" i="8"/>
  <c r="P187" i="8"/>
  <c r="O187" i="8"/>
  <c r="N187" i="8"/>
  <c r="M187" i="8"/>
  <c r="L187" i="8"/>
  <c r="K187" i="8"/>
  <c r="H187" i="8"/>
  <c r="G187" i="8"/>
  <c r="F187" i="8"/>
  <c r="E187" i="8"/>
  <c r="D187" i="8"/>
  <c r="C187" i="8"/>
  <c r="B187" i="8"/>
  <c r="AA186" i="8"/>
  <c r="O186" i="8" s="1"/>
  <c r="T186" i="8"/>
  <c r="U186" i="8" s="1"/>
  <c r="S186" i="8"/>
  <c r="R186" i="8"/>
  <c r="P186" i="8"/>
  <c r="N186" i="8"/>
  <c r="M186" i="8"/>
  <c r="L186" i="8"/>
  <c r="K186" i="8"/>
  <c r="H186" i="8"/>
  <c r="G186" i="8"/>
  <c r="F186" i="8"/>
  <c r="E186" i="8"/>
  <c r="D186" i="8"/>
  <c r="C186" i="8"/>
  <c r="B186" i="8"/>
  <c r="AA185" i="8"/>
  <c r="O185" i="8" s="1"/>
  <c r="T185" i="8"/>
  <c r="U185" i="8" s="1"/>
  <c r="S185" i="8"/>
  <c r="R185" i="8"/>
  <c r="P185" i="8"/>
  <c r="N185" i="8"/>
  <c r="M185" i="8"/>
  <c r="L185" i="8"/>
  <c r="K185" i="8"/>
  <c r="H185" i="8"/>
  <c r="G185" i="8"/>
  <c r="F185" i="8"/>
  <c r="E185" i="8"/>
  <c r="D185" i="8"/>
  <c r="C185" i="8"/>
  <c r="B185" i="8"/>
  <c r="AA184" i="8"/>
  <c r="O184" i="8" s="1"/>
  <c r="T184" i="8"/>
  <c r="S184" i="8"/>
  <c r="R184" i="8"/>
  <c r="P184" i="8"/>
  <c r="N184" i="8"/>
  <c r="M184" i="8"/>
  <c r="L184" i="8"/>
  <c r="K184" i="8"/>
  <c r="H184" i="8"/>
  <c r="G184" i="8"/>
  <c r="U184" i="8" s="1"/>
  <c r="F184" i="8"/>
  <c r="E184" i="8"/>
  <c r="D184" i="8"/>
  <c r="C184" i="8"/>
  <c r="B184" i="8"/>
  <c r="AA183" i="8"/>
  <c r="O183" i="8" s="1"/>
  <c r="T183" i="8"/>
  <c r="S183" i="8"/>
  <c r="R183" i="8"/>
  <c r="P183" i="8"/>
  <c r="N183" i="8"/>
  <c r="M183" i="8"/>
  <c r="L183" i="8"/>
  <c r="K183" i="8"/>
  <c r="H183" i="8"/>
  <c r="G183" i="8"/>
  <c r="F183" i="8"/>
  <c r="E183" i="8"/>
  <c r="D183" i="8"/>
  <c r="C183" i="8"/>
  <c r="B183" i="8"/>
  <c r="AA182" i="8"/>
  <c r="O182" i="8" s="1"/>
  <c r="T182" i="8"/>
  <c r="S182" i="8"/>
  <c r="R182" i="8"/>
  <c r="P182" i="8"/>
  <c r="N182" i="8"/>
  <c r="M182" i="8"/>
  <c r="L182" i="8"/>
  <c r="K182" i="8"/>
  <c r="H182" i="8"/>
  <c r="G182" i="8"/>
  <c r="F182" i="8"/>
  <c r="E182" i="8"/>
  <c r="D182" i="8"/>
  <c r="C182" i="8"/>
  <c r="B182" i="8"/>
  <c r="AA181" i="8"/>
  <c r="O181" i="8" s="1"/>
  <c r="T181" i="8"/>
  <c r="U181" i="8" s="1"/>
  <c r="S181" i="8"/>
  <c r="R181" i="8"/>
  <c r="Q181" i="8" s="1"/>
  <c r="P181" i="8"/>
  <c r="N181" i="8"/>
  <c r="M181" i="8"/>
  <c r="L181" i="8"/>
  <c r="K181" i="8"/>
  <c r="H181" i="8"/>
  <c r="G181" i="8"/>
  <c r="F181" i="8"/>
  <c r="E181" i="8"/>
  <c r="D181" i="8"/>
  <c r="C181" i="8"/>
  <c r="B181" i="8"/>
  <c r="AA180" i="8"/>
  <c r="O180" i="8" s="1"/>
  <c r="T180" i="8"/>
  <c r="U180" i="8" s="1"/>
  <c r="S180" i="8"/>
  <c r="R180" i="8"/>
  <c r="Q180" i="8" s="1"/>
  <c r="P180" i="8"/>
  <c r="N180" i="8"/>
  <c r="M180" i="8"/>
  <c r="L180" i="8"/>
  <c r="K180" i="8"/>
  <c r="H180" i="8"/>
  <c r="G180" i="8"/>
  <c r="F180" i="8"/>
  <c r="E180" i="8"/>
  <c r="D180" i="8"/>
  <c r="C180" i="8"/>
  <c r="B180" i="8"/>
  <c r="AA179" i="8"/>
  <c r="T179" i="8"/>
  <c r="S179" i="8"/>
  <c r="R179" i="8"/>
  <c r="Q179" i="8"/>
  <c r="P179" i="8"/>
  <c r="O179" i="8"/>
  <c r="N179" i="8"/>
  <c r="M179" i="8"/>
  <c r="L179" i="8"/>
  <c r="K179" i="8"/>
  <c r="H179" i="8"/>
  <c r="G179" i="8"/>
  <c r="F179" i="8"/>
  <c r="E179" i="8"/>
  <c r="D179" i="8"/>
  <c r="C179" i="8"/>
  <c r="B179" i="8"/>
  <c r="AA178" i="8"/>
  <c r="O178" i="8" s="1"/>
  <c r="T178" i="8"/>
  <c r="S178" i="8"/>
  <c r="R178" i="8"/>
  <c r="P178" i="8"/>
  <c r="N178" i="8"/>
  <c r="M178" i="8"/>
  <c r="L178" i="8"/>
  <c r="K178" i="8"/>
  <c r="H178" i="8"/>
  <c r="G178" i="8"/>
  <c r="F178" i="8"/>
  <c r="E178" i="8"/>
  <c r="D178" i="8"/>
  <c r="C178" i="8"/>
  <c r="B178" i="8"/>
  <c r="AA177" i="8"/>
  <c r="O177" i="8" s="1"/>
  <c r="T177" i="8"/>
  <c r="S177" i="8"/>
  <c r="R177" i="8"/>
  <c r="Q177" i="8" s="1"/>
  <c r="P177" i="8"/>
  <c r="N177" i="8"/>
  <c r="M177" i="8"/>
  <c r="L177" i="8"/>
  <c r="K177" i="8"/>
  <c r="H177" i="8"/>
  <c r="G177" i="8"/>
  <c r="F177" i="8"/>
  <c r="E177" i="8"/>
  <c r="D177" i="8"/>
  <c r="C177" i="8"/>
  <c r="B177" i="8"/>
  <c r="AA176" i="8"/>
  <c r="O176" i="8" s="1"/>
  <c r="T176" i="8"/>
  <c r="S176" i="8"/>
  <c r="R176" i="8"/>
  <c r="Q176" i="8"/>
  <c r="P176" i="8"/>
  <c r="N176" i="8"/>
  <c r="M176" i="8"/>
  <c r="L176" i="8"/>
  <c r="K176" i="8"/>
  <c r="H176" i="8"/>
  <c r="G176" i="8"/>
  <c r="F176" i="8"/>
  <c r="E176" i="8"/>
  <c r="D176" i="8"/>
  <c r="C176" i="8"/>
  <c r="B176" i="8"/>
  <c r="AA175" i="8"/>
  <c r="O175" i="8" s="1"/>
  <c r="T175" i="8"/>
  <c r="S175" i="8"/>
  <c r="R175" i="8"/>
  <c r="Q175" i="8" s="1"/>
  <c r="P175" i="8"/>
  <c r="N175" i="8"/>
  <c r="M175" i="8"/>
  <c r="L175" i="8"/>
  <c r="K175" i="8"/>
  <c r="H175" i="8"/>
  <c r="G175" i="8"/>
  <c r="F175" i="8"/>
  <c r="E175" i="8"/>
  <c r="D175" i="8"/>
  <c r="C175" i="8"/>
  <c r="B175" i="8"/>
  <c r="AA174" i="8"/>
  <c r="O174" i="8" s="1"/>
  <c r="T174" i="8"/>
  <c r="S174" i="8"/>
  <c r="R174" i="8"/>
  <c r="P174" i="8"/>
  <c r="N174" i="8"/>
  <c r="M174" i="8"/>
  <c r="L174" i="8"/>
  <c r="K174" i="8"/>
  <c r="H174" i="8"/>
  <c r="G174" i="8"/>
  <c r="F174" i="8"/>
  <c r="E174" i="8"/>
  <c r="D174" i="8"/>
  <c r="C174" i="8"/>
  <c r="B174" i="8"/>
  <c r="AA173" i="8"/>
  <c r="O173" i="8" s="1"/>
  <c r="T173" i="8"/>
  <c r="S173" i="8"/>
  <c r="R173" i="8"/>
  <c r="Q173" i="8" s="1"/>
  <c r="P173" i="8"/>
  <c r="N173" i="8"/>
  <c r="M173" i="8"/>
  <c r="L173" i="8"/>
  <c r="K173" i="8"/>
  <c r="H173" i="8"/>
  <c r="G173" i="8"/>
  <c r="U173" i="8" s="1"/>
  <c r="F173" i="8"/>
  <c r="E173" i="8"/>
  <c r="D173" i="8"/>
  <c r="C173" i="8"/>
  <c r="B173" i="8"/>
  <c r="AA172" i="8"/>
  <c r="O172" i="8" s="1"/>
  <c r="T172" i="8"/>
  <c r="S172" i="8"/>
  <c r="R172" i="8"/>
  <c r="P172" i="8"/>
  <c r="N172" i="8"/>
  <c r="M172" i="8"/>
  <c r="L172" i="8"/>
  <c r="K172" i="8"/>
  <c r="H172" i="8"/>
  <c r="G172" i="8"/>
  <c r="F172" i="8"/>
  <c r="E172" i="8"/>
  <c r="D172" i="8"/>
  <c r="C172" i="8"/>
  <c r="B172" i="8"/>
  <c r="AA171" i="8"/>
  <c r="O171" i="8" s="1"/>
  <c r="T171" i="8"/>
  <c r="S171" i="8"/>
  <c r="Q171" i="8" s="1"/>
  <c r="R171" i="8"/>
  <c r="P171" i="8"/>
  <c r="N171" i="8"/>
  <c r="M171" i="8"/>
  <c r="L171" i="8"/>
  <c r="K171" i="8"/>
  <c r="H171" i="8"/>
  <c r="G171" i="8"/>
  <c r="F171" i="8"/>
  <c r="E171" i="8"/>
  <c r="D171" i="8"/>
  <c r="C171" i="8"/>
  <c r="B171" i="8"/>
  <c r="AA170" i="8"/>
  <c r="O170" i="8" s="1"/>
  <c r="T170" i="8"/>
  <c r="S170" i="8"/>
  <c r="R170" i="8"/>
  <c r="Q170" i="8"/>
  <c r="P170" i="8"/>
  <c r="N170" i="8"/>
  <c r="M170" i="8"/>
  <c r="L170" i="8"/>
  <c r="K170" i="8"/>
  <c r="H170" i="8"/>
  <c r="G170" i="8"/>
  <c r="F170" i="8"/>
  <c r="E170" i="8"/>
  <c r="D170" i="8"/>
  <c r="C170" i="8"/>
  <c r="B170" i="8"/>
  <c r="AA169" i="8"/>
  <c r="O169" i="8" s="1"/>
  <c r="T169" i="8"/>
  <c r="U169" i="8" s="1"/>
  <c r="S169" i="8"/>
  <c r="R169" i="8"/>
  <c r="P169" i="8"/>
  <c r="N169" i="8"/>
  <c r="M169" i="8"/>
  <c r="L169" i="8"/>
  <c r="K169" i="8"/>
  <c r="H169" i="8"/>
  <c r="G169" i="8"/>
  <c r="F169" i="8"/>
  <c r="E169" i="8"/>
  <c r="D169" i="8"/>
  <c r="C169" i="8"/>
  <c r="B169" i="8"/>
  <c r="AA168" i="8"/>
  <c r="O168" i="8" s="1"/>
  <c r="T168" i="8"/>
  <c r="S168" i="8"/>
  <c r="R168" i="8"/>
  <c r="P168" i="8"/>
  <c r="N168" i="8"/>
  <c r="M168" i="8"/>
  <c r="L168" i="8"/>
  <c r="K168" i="8"/>
  <c r="H168" i="8"/>
  <c r="G168" i="8"/>
  <c r="F168" i="8"/>
  <c r="E168" i="8"/>
  <c r="D168" i="8"/>
  <c r="C168" i="8"/>
  <c r="B168" i="8"/>
  <c r="AA167" i="8"/>
  <c r="O167" i="8" s="1"/>
  <c r="T167" i="8"/>
  <c r="S167" i="8"/>
  <c r="R167" i="8"/>
  <c r="P167" i="8"/>
  <c r="N167" i="8"/>
  <c r="M167" i="8"/>
  <c r="L167" i="8"/>
  <c r="K167" i="8"/>
  <c r="H167" i="8"/>
  <c r="G167" i="8"/>
  <c r="F167" i="8"/>
  <c r="E167" i="8"/>
  <c r="D167" i="8"/>
  <c r="C167" i="8"/>
  <c r="B167" i="8"/>
  <c r="AA166" i="8"/>
  <c r="O166" i="8" s="1"/>
  <c r="T166" i="8"/>
  <c r="S166" i="8"/>
  <c r="R166" i="8"/>
  <c r="P166" i="8"/>
  <c r="N166" i="8"/>
  <c r="M166" i="8"/>
  <c r="L166" i="8"/>
  <c r="K166" i="8"/>
  <c r="H166" i="8"/>
  <c r="G166" i="8"/>
  <c r="F166" i="8"/>
  <c r="E166" i="8"/>
  <c r="D166" i="8"/>
  <c r="C166" i="8"/>
  <c r="B166" i="8"/>
  <c r="AA165" i="8"/>
  <c r="O165" i="8" s="1"/>
  <c r="T165" i="8"/>
  <c r="S165" i="8"/>
  <c r="Q165" i="8" s="1"/>
  <c r="R165" i="8"/>
  <c r="P165" i="8"/>
  <c r="N165" i="8"/>
  <c r="M165" i="8"/>
  <c r="L165" i="8"/>
  <c r="K165" i="8"/>
  <c r="H165" i="8"/>
  <c r="G165" i="8"/>
  <c r="F165" i="8"/>
  <c r="E165" i="8"/>
  <c r="D165" i="8"/>
  <c r="C165" i="8"/>
  <c r="B165" i="8"/>
  <c r="AA164" i="8"/>
  <c r="O164" i="8" s="1"/>
  <c r="T164" i="8"/>
  <c r="S164" i="8"/>
  <c r="R164" i="8"/>
  <c r="Q164" i="8" s="1"/>
  <c r="P164" i="8"/>
  <c r="N164" i="8"/>
  <c r="M164" i="8"/>
  <c r="L164" i="8"/>
  <c r="K164" i="8"/>
  <c r="H164" i="8"/>
  <c r="G164" i="8"/>
  <c r="F164" i="8"/>
  <c r="E164" i="8"/>
  <c r="D164" i="8"/>
  <c r="C164" i="8"/>
  <c r="B164" i="8"/>
  <c r="AA163" i="8"/>
  <c r="O163" i="8" s="1"/>
  <c r="T163" i="8"/>
  <c r="S163" i="8"/>
  <c r="R163" i="8"/>
  <c r="P163" i="8"/>
  <c r="N163" i="8"/>
  <c r="M163" i="8"/>
  <c r="L163" i="8"/>
  <c r="K163" i="8"/>
  <c r="H163" i="8"/>
  <c r="G163" i="8"/>
  <c r="F163" i="8"/>
  <c r="E163" i="8"/>
  <c r="D163" i="8"/>
  <c r="C163" i="8"/>
  <c r="B163" i="8"/>
  <c r="AA162" i="8"/>
  <c r="T162" i="8"/>
  <c r="S162" i="8"/>
  <c r="R162" i="8"/>
  <c r="P162" i="8"/>
  <c r="O162" i="8"/>
  <c r="N162" i="8"/>
  <c r="M162" i="8"/>
  <c r="L162" i="8"/>
  <c r="K162" i="8"/>
  <c r="H162" i="8"/>
  <c r="G162" i="8"/>
  <c r="F162" i="8"/>
  <c r="E162" i="8"/>
  <c r="D162" i="8"/>
  <c r="C162" i="8"/>
  <c r="B162" i="8"/>
  <c r="AA161" i="8"/>
  <c r="O161" i="8" s="1"/>
  <c r="W161" i="8" s="1"/>
  <c r="T161" i="8"/>
  <c r="S161" i="8"/>
  <c r="R161" i="8"/>
  <c r="P161" i="8"/>
  <c r="N161" i="8"/>
  <c r="M161" i="8"/>
  <c r="L161" i="8"/>
  <c r="K161" i="8"/>
  <c r="H161" i="8"/>
  <c r="G161" i="8"/>
  <c r="F161" i="8"/>
  <c r="E161" i="8"/>
  <c r="D161" i="8"/>
  <c r="C161" i="8"/>
  <c r="B161" i="8"/>
  <c r="AA160" i="8"/>
  <c r="O160" i="8" s="1"/>
  <c r="T160" i="8"/>
  <c r="S160" i="8"/>
  <c r="Q160" i="8" s="1"/>
  <c r="R160" i="8"/>
  <c r="P160" i="8"/>
  <c r="N160" i="8"/>
  <c r="M160" i="8"/>
  <c r="L160" i="8"/>
  <c r="K160" i="8"/>
  <c r="H160" i="8"/>
  <c r="G160" i="8"/>
  <c r="F160" i="8"/>
  <c r="E160" i="8"/>
  <c r="D160" i="8"/>
  <c r="C160" i="8"/>
  <c r="B160" i="8"/>
  <c r="AA159" i="8"/>
  <c r="O159" i="8" s="1"/>
  <c r="T159" i="8"/>
  <c r="S159" i="8"/>
  <c r="R159" i="8"/>
  <c r="P159" i="8"/>
  <c r="N159" i="8"/>
  <c r="M159" i="8"/>
  <c r="L159" i="8"/>
  <c r="K159" i="8"/>
  <c r="H159" i="8"/>
  <c r="G159" i="8"/>
  <c r="F159" i="8"/>
  <c r="E159" i="8"/>
  <c r="D159" i="8"/>
  <c r="C159" i="8"/>
  <c r="B159" i="8"/>
  <c r="AA158" i="8"/>
  <c r="O158" i="8" s="1"/>
  <c r="T158" i="8"/>
  <c r="S158" i="8"/>
  <c r="R158" i="8"/>
  <c r="P158" i="8"/>
  <c r="N158" i="8"/>
  <c r="M158" i="8"/>
  <c r="L158" i="8"/>
  <c r="K158" i="8"/>
  <c r="H158" i="8"/>
  <c r="G158" i="8"/>
  <c r="U158" i="8" s="1"/>
  <c r="F158" i="8"/>
  <c r="E158" i="8"/>
  <c r="D158" i="8"/>
  <c r="C158" i="8"/>
  <c r="B158" i="8"/>
  <c r="AA157" i="8"/>
  <c r="T157" i="8"/>
  <c r="S157" i="8"/>
  <c r="R157" i="8"/>
  <c r="P157" i="8"/>
  <c r="O157" i="8"/>
  <c r="N157" i="8"/>
  <c r="M157" i="8"/>
  <c r="L157" i="8"/>
  <c r="K157" i="8"/>
  <c r="H157" i="8"/>
  <c r="G157" i="8"/>
  <c r="F157" i="8"/>
  <c r="E157" i="8"/>
  <c r="D157" i="8"/>
  <c r="C157" i="8"/>
  <c r="B157" i="8"/>
  <c r="AA156" i="8"/>
  <c r="O156" i="8" s="1"/>
  <c r="T156" i="8"/>
  <c r="S156" i="8"/>
  <c r="R156" i="8"/>
  <c r="P156" i="8"/>
  <c r="N156" i="8"/>
  <c r="M156" i="8"/>
  <c r="L156" i="8"/>
  <c r="K156" i="8"/>
  <c r="H156" i="8"/>
  <c r="G156" i="8"/>
  <c r="F156" i="8"/>
  <c r="E156" i="8"/>
  <c r="D156" i="8"/>
  <c r="C156" i="8"/>
  <c r="B156" i="8"/>
  <c r="AA155" i="8"/>
  <c r="O155" i="8" s="1"/>
  <c r="T155" i="8"/>
  <c r="S155" i="8"/>
  <c r="R155" i="8"/>
  <c r="Q155" i="8" s="1"/>
  <c r="P155" i="8"/>
  <c r="N155" i="8"/>
  <c r="M155" i="8"/>
  <c r="L155" i="8"/>
  <c r="K155" i="8"/>
  <c r="H155" i="8"/>
  <c r="G155" i="8"/>
  <c r="F155" i="8"/>
  <c r="E155" i="8"/>
  <c r="D155" i="8"/>
  <c r="C155" i="8"/>
  <c r="B155" i="8"/>
  <c r="AA154" i="8"/>
  <c r="T154" i="8"/>
  <c r="S154" i="8"/>
  <c r="Q154" i="8" s="1"/>
  <c r="R154" i="8"/>
  <c r="P154" i="8"/>
  <c r="O154" i="8"/>
  <c r="N154" i="8"/>
  <c r="M154" i="8"/>
  <c r="L154" i="8"/>
  <c r="K154" i="8"/>
  <c r="H154" i="8"/>
  <c r="G154" i="8"/>
  <c r="F154" i="8"/>
  <c r="E154" i="8"/>
  <c r="D154" i="8"/>
  <c r="C154" i="8"/>
  <c r="B154" i="8"/>
  <c r="AA153" i="8"/>
  <c r="T153" i="8"/>
  <c r="S153" i="8"/>
  <c r="R153" i="8"/>
  <c r="Q153" i="8" s="1"/>
  <c r="P153" i="8"/>
  <c r="O153" i="8"/>
  <c r="N153" i="8"/>
  <c r="M153" i="8"/>
  <c r="L153" i="8"/>
  <c r="K153" i="8"/>
  <c r="H153" i="8"/>
  <c r="G153" i="8"/>
  <c r="F153" i="8"/>
  <c r="E153" i="8"/>
  <c r="D153" i="8"/>
  <c r="C153" i="8"/>
  <c r="B153" i="8"/>
  <c r="AA152" i="8"/>
  <c r="O152" i="8" s="1"/>
  <c r="T152" i="8"/>
  <c r="S152" i="8"/>
  <c r="R152" i="8"/>
  <c r="P152" i="8"/>
  <c r="N152" i="8"/>
  <c r="M152" i="8"/>
  <c r="L152" i="8"/>
  <c r="K152" i="8"/>
  <c r="H152" i="8"/>
  <c r="G152" i="8"/>
  <c r="F152" i="8"/>
  <c r="E152" i="8"/>
  <c r="D152" i="8"/>
  <c r="C152" i="8"/>
  <c r="B152" i="8"/>
  <c r="AA151" i="8"/>
  <c r="O151" i="8" s="1"/>
  <c r="T151" i="8"/>
  <c r="S151" i="8"/>
  <c r="R151" i="8"/>
  <c r="P151" i="8"/>
  <c r="N151" i="8"/>
  <c r="M151" i="8"/>
  <c r="L151" i="8"/>
  <c r="K151" i="8"/>
  <c r="H151" i="8"/>
  <c r="G151" i="8"/>
  <c r="F151" i="8"/>
  <c r="E151" i="8"/>
  <c r="D151" i="8"/>
  <c r="C151" i="8"/>
  <c r="B151" i="8"/>
  <c r="AA150" i="8"/>
  <c r="O150" i="8" s="1"/>
  <c r="T150" i="8"/>
  <c r="S150" i="8"/>
  <c r="R150" i="8"/>
  <c r="Q150" i="8" s="1"/>
  <c r="P150" i="8"/>
  <c r="N150" i="8"/>
  <c r="M150" i="8"/>
  <c r="L150" i="8"/>
  <c r="K150" i="8"/>
  <c r="H150" i="8"/>
  <c r="G150" i="8"/>
  <c r="F150" i="8"/>
  <c r="E150" i="8"/>
  <c r="D150" i="8"/>
  <c r="C150" i="8"/>
  <c r="B150" i="8"/>
  <c r="AA149" i="8"/>
  <c r="O149" i="8" s="1"/>
  <c r="T149" i="8"/>
  <c r="S149" i="8"/>
  <c r="R149" i="8"/>
  <c r="P149" i="8"/>
  <c r="N149" i="8"/>
  <c r="M149" i="8"/>
  <c r="L149" i="8"/>
  <c r="K149" i="8"/>
  <c r="H149" i="8"/>
  <c r="G149" i="8"/>
  <c r="F149" i="8"/>
  <c r="E149" i="8"/>
  <c r="D149" i="8"/>
  <c r="C149" i="8"/>
  <c r="B149" i="8"/>
  <c r="AA148" i="8"/>
  <c r="T148" i="8"/>
  <c r="S148" i="8"/>
  <c r="R148" i="8"/>
  <c r="Q148" i="8" s="1"/>
  <c r="P148" i="8"/>
  <c r="O148" i="8"/>
  <c r="N148" i="8"/>
  <c r="M148" i="8"/>
  <c r="L148" i="8"/>
  <c r="K148" i="8"/>
  <c r="H148" i="8"/>
  <c r="G148" i="8"/>
  <c r="F148" i="8"/>
  <c r="E148" i="8"/>
  <c r="D148" i="8"/>
  <c r="C148" i="8"/>
  <c r="B148" i="8"/>
  <c r="AA147" i="8"/>
  <c r="O147" i="8" s="1"/>
  <c r="T147" i="8"/>
  <c r="S147" i="8"/>
  <c r="R147" i="8"/>
  <c r="P147" i="8"/>
  <c r="N147" i="8"/>
  <c r="M147" i="8"/>
  <c r="L147" i="8"/>
  <c r="K147" i="8"/>
  <c r="H147" i="8"/>
  <c r="G147" i="8"/>
  <c r="F147" i="8"/>
  <c r="E147" i="8"/>
  <c r="D147" i="8"/>
  <c r="C147" i="8"/>
  <c r="B147" i="8"/>
  <c r="AA146" i="8"/>
  <c r="O146" i="8" s="1"/>
  <c r="T146" i="8"/>
  <c r="S146" i="8"/>
  <c r="R146" i="8"/>
  <c r="Q146" i="8" s="1"/>
  <c r="P146" i="8"/>
  <c r="N146" i="8"/>
  <c r="M146" i="8"/>
  <c r="L146" i="8"/>
  <c r="K146" i="8"/>
  <c r="H146" i="8"/>
  <c r="G146" i="8"/>
  <c r="F146" i="8"/>
  <c r="E146" i="8"/>
  <c r="D146" i="8"/>
  <c r="C146" i="8"/>
  <c r="B146" i="8"/>
  <c r="AA145" i="8"/>
  <c r="O145" i="8" s="1"/>
  <c r="T145" i="8"/>
  <c r="S145" i="8"/>
  <c r="R145" i="8"/>
  <c r="Q145" i="8" s="1"/>
  <c r="P145" i="8"/>
  <c r="N145" i="8"/>
  <c r="M145" i="8"/>
  <c r="L145" i="8"/>
  <c r="K145" i="8"/>
  <c r="H145" i="8"/>
  <c r="G145" i="8"/>
  <c r="F145" i="8"/>
  <c r="E145" i="8"/>
  <c r="D145" i="8"/>
  <c r="C145" i="8"/>
  <c r="B145" i="8"/>
  <c r="AA144" i="8"/>
  <c r="O144" i="8" s="1"/>
  <c r="T144" i="8"/>
  <c r="S144" i="8"/>
  <c r="R144" i="8"/>
  <c r="Q144" i="8" s="1"/>
  <c r="P144" i="8"/>
  <c r="N144" i="8"/>
  <c r="M144" i="8"/>
  <c r="L144" i="8"/>
  <c r="K144" i="8"/>
  <c r="H144" i="8"/>
  <c r="G144" i="8"/>
  <c r="F144" i="8"/>
  <c r="E144" i="8"/>
  <c r="D144" i="8"/>
  <c r="C144" i="8"/>
  <c r="B144" i="8"/>
  <c r="AA143" i="8"/>
  <c r="O143" i="8" s="1"/>
  <c r="T143" i="8"/>
  <c r="S143" i="8"/>
  <c r="R143" i="8"/>
  <c r="P143" i="8"/>
  <c r="N143" i="8"/>
  <c r="M143" i="8"/>
  <c r="L143" i="8"/>
  <c r="K143" i="8"/>
  <c r="H143" i="8"/>
  <c r="G143" i="8"/>
  <c r="U143" i="8" s="1"/>
  <c r="F143" i="8"/>
  <c r="E143" i="8"/>
  <c r="D143" i="8"/>
  <c r="C143" i="8"/>
  <c r="B143" i="8"/>
  <c r="AA142" i="8"/>
  <c r="O142" i="8" s="1"/>
  <c r="T142" i="8"/>
  <c r="S142" i="8"/>
  <c r="R142" i="8"/>
  <c r="P142" i="8"/>
  <c r="N142" i="8"/>
  <c r="M142" i="8"/>
  <c r="L142" i="8"/>
  <c r="K142" i="8"/>
  <c r="H142" i="8"/>
  <c r="G142" i="8"/>
  <c r="F142" i="8"/>
  <c r="E142" i="8"/>
  <c r="D142" i="8"/>
  <c r="C142" i="8"/>
  <c r="B142" i="8"/>
  <c r="AA141" i="8"/>
  <c r="O141" i="8" s="1"/>
  <c r="T141" i="8"/>
  <c r="S141" i="8"/>
  <c r="R141" i="8"/>
  <c r="P141" i="8"/>
  <c r="N141" i="8"/>
  <c r="M141" i="8"/>
  <c r="L141" i="8"/>
  <c r="K141" i="8"/>
  <c r="H141" i="8"/>
  <c r="G141" i="8"/>
  <c r="F141" i="8"/>
  <c r="E141" i="8"/>
  <c r="D141" i="8"/>
  <c r="C141" i="8"/>
  <c r="B141" i="8"/>
  <c r="AA140" i="8"/>
  <c r="O140" i="8" s="1"/>
  <c r="T140" i="8"/>
  <c r="S140" i="8"/>
  <c r="R140" i="8"/>
  <c r="P140" i="8"/>
  <c r="N140" i="8"/>
  <c r="M140" i="8"/>
  <c r="L140" i="8"/>
  <c r="K140" i="8"/>
  <c r="H140" i="8"/>
  <c r="G140" i="8"/>
  <c r="F140" i="8"/>
  <c r="E140" i="8"/>
  <c r="D140" i="8"/>
  <c r="C140" i="8"/>
  <c r="B140" i="8"/>
  <c r="AA139" i="8"/>
  <c r="O139" i="8" s="1"/>
  <c r="T139" i="8"/>
  <c r="S139" i="8"/>
  <c r="R139" i="8"/>
  <c r="Q139" i="8"/>
  <c r="P139" i="8"/>
  <c r="N139" i="8"/>
  <c r="M139" i="8"/>
  <c r="L139" i="8"/>
  <c r="K139" i="8"/>
  <c r="H139" i="8"/>
  <c r="G139" i="8"/>
  <c r="F139" i="8"/>
  <c r="E139" i="8"/>
  <c r="D139" i="8"/>
  <c r="C139" i="8"/>
  <c r="B139" i="8"/>
  <c r="AA138" i="8"/>
  <c r="O138" i="8" s="1"/>
  <c r="T138" i="8"/>
  <c r="S138" i="8"/>
  <c r="R138" i="8"/>
  <c r="P138" i="8"/>
  <c r="N138" i="8"/>
  <c r="M138" i="8"/>
  <c r="L138" i="8"/>
  <c r="K138" i="8"/>
  <c r="H138" i="8"/>
  <c r="G138" i="8"/>
  <c r="F138" i="8"/>
  <c r="E138" i="8"/>
  <c r="D138" i="8"/>
  <c r="C138" i="8"/>
  <c r="B138" i="8"/>
  <c r="AA137" i="8"/>
  <c r="O137" i="8" s="1"/>
  <c r="T137" i="8"/>
  <c r="S137" i="8"/>
  <c r="R137" i="8"/>
  <c r="Q137" i="8" s="1"/>
  <c r="P137" i="8"/>
  <c r="N137" i="8"/>
  <c r="M137" i="8"/>
  <c r="L137" i="8"/>
  <c r="K137" i="8"/>
  <c r="H137" i="8"/>
  <c r="G137" i="8"/>
  <c r="F137" i="8"/>
  <c r="E137" i="8"/>
  <c r="D137" i="8"/>
  <c r="C137" i="8"/>
  <c r="B137" i="8"/>
  <c r="AA136" i="8"/>
  <c r="O136" i="8" s="1"/>
  <c r="T136" i="8"/>
  <c r="S136" i="8"/>
  <c r="R136" i="8"/>
  <c r="Q136" i="8" s="1"/>
  <c r="P136" i="8"/>
  <c r="N136" i="8"/>
  <c r="M136" i="8"/>
  <c r="L136" i="8"/>
  <c r="K136" i="8"/>
  <c r="H136" i="8"/>
  <c r="G136" i="8"/>
  <c r="F136" i="8"/>
  <c r="E136" i="8"/>
  <c r="D136" i="8"/>
  <c r="C136" i="8"/>
  <c r="B136" i="8"/>
  <c r="AA135" i="8"/>
  <c r="O135" i="8" s="1"/>
  <c r="T135" i="8"/>
  <c r="S135" i="8"/>
  <c r="R135" i="8"/>
  <c r="P135" i="8"/>
  <c r="N135" i="8"/>
  <c r="M135" i="8"/>
  <c r="L135" i="8"/>
  <c r="K135" i="8"/>
  <c r="H135" i="8"/>
  <c r="G135" i="8"/>
  <c r="F135" i="8"/>
  <c r="E135" i="8"/>
  <c r="D135" i="8"/>
  <c r="C135" i="8"/>
  <c r="B135" i="8"/>
  <c r="AA134" i="8"/>
  <c r="O134" i="8" s="1"/>
  <c r="T134" i="8"/>
  <c r="S134" i="8"/>
  <c r="R134" i="8"/>
  <c r="P134" i="8"/>
  <c r="N134" i="8"/>
  <c r="M134" i="8"/>
  <c r="L134" i="8"/>
  <c r="K134" i="8"/>
  <c r="H134" i="8"/>
  <c r="G134" i="8"/>
  <c r="F134" i="8"/>
  <c r="E134" i="8"/>
  <c r="D134" i="8"/>
  <c r="C134" i="8"/>
  <c r="B134" i="8"/>
  <c r="AA133" i="8"/>
  <c r="O133" i="8" s="1"/>
  <c r="T133" i="8"/>
  <c r="S133" i="8"/>
  <c r="R133" i="8"/>
  <c r="P133" i="8"/>
  <c r="N133" i="8"/>
  <c r="M133" i="8"/>
  <c r="L133" i="8"/>
  <c r="K133" i="8"/>
  <c r="H133" i="8"/>
  <c r="G133" i="8"/>
  <c r="F133" i="8"/>
  <c r="E133" i="8"/>
  <c r="D133" i="8"/>
  <c r="C133" i="8"/>
  <c r="B133" i="8"/>
  <c r="AA132" i="8"/>
  <c r="O132" i="8" s="1"/>
  <c r="T132" i="8"/>
  <c r="S132" i="8"/>
  <c r="R132" i="8"/>
  <c r="P132" i="8"/>
  <c r="N132" i="8"/>
  <c r="M132" i="8"/>
  <c r="L132" i="8"/>
  <c r="K132" i="8"/>
  <c r="H132" i="8"/>
  <c r="G132" i="8"/>
  <c r="F132" i="8"/>
  <c r="E132" i="8"/>
  <c r="D132" i="8"/>
  <c r="C132" i="8"/>
  <c r="B132" i="8"/>
  <c r="AA131" i="8"/>
  <c r="O131" i="8" s="1"/>
  <c r="T131" i="8"/>
  <c r="S131" i="8"/>
  <c r="R131" i="8"/>
  <c r="P131" i="8"/>
  <c r="N131" i="8"/>
  <c r="M131" i="8"/>
  <c r="L131" i="8"/>
  <c r="K131" i="8"/>
  <c r="H131" i="8"/>
  <c r="G131" i="8"/>
  <c r="F131" i="8"/>
  <c r="E131" i="8"/>
  <c r="D131" i="8"/>
  <c r="C131" i="8"/>
  <c r="B131" i="8"/>
  <c r="AA130" i="8"/>
  <c r="O130" i="8" s="1"/>
  <c r="T130" i="8"/>
  <c r="S130" i="8"/>
  <c r="R130" i="8"/>
  <c r="P130" i="8"/>
  <c r="N130" i="8"/>
  <c r="M130" i="8"/>
  <c r="L130" i="8"/>
  <c r="K130" i="8"/>
  <c r="H130" i="8"/>
  <c r="G130" i="8"/>
  <c r="F130" i="8"/>
  <c r="E130" i="8"/>
  <c r="D130" i="8"/>
  <c r="C130" i="8"/>
  <c r="B130" i="8"/>
  <c r="AA129" i="8"/>
  <c r="O129" i="8" s="1"/>
  <c r="T129" i="8"/>
  <c r="S129" i="8"/>
  <c r="R129" i="8"/>
  <c r="Q129" i="8"/>
  <c r="P129" i="8"/>
  <c r="N129" i="8"/>
  <c r="M129" i="8"/>
  <c r="L129" i="8"/>
  <c r="K129" i="8"/>
  <c r="H129" i="8"/>
  <c r="G129" i="8"/>
  <c r="U129" i="8" s="1"/>
  <c r="F129" i="8"/>
  <c r="E129" i="8"/>
  <c r="D129" i="8"/>
  <c r="C129" i="8"/>
  <c r="B129" i="8"/>
  <c r="AA128" i="8"/>
  <c r="O128" i="8" s="1"/>
  <c r="T128" i="8"/>
  <c r="S128" i="8"/>
  <c r="R128" i="8"/>
  <c r="Q128" i="8"/>
  <c r="P128" i="8"/>
  <c r="N128" i="8"/>
  <c r="M128" i="8"/>
  <c r="L128" i="8"/>
  <c r="K128" i="8"/>
  <c r="H128" i="8"/>
  <c r="G128" i="8"/>
  <c r="F128" i="8"/>
  <c r="E128" i="8"/>
  <c r="D128" i="8"/>
  <c r="C128" i="8"/>
  <c r="B128" i="8"/>
  <c r="AA127" i="8"/>
  <c r="O127" i="8" s="1"/>
  <c r="T127" i="8"/>
  <c r="S127" i="8"/>
  <c r="R127" i="8"/>
  <c r="P127" i="8"/>
  <c r="N127" i="8"/>
  <c r="M127" i="8"/>
  <c r="L127" i="8"/>
  <c r="K127" i="8"/>
  <c r="H127" i="8"/>
  <c r="G127" i="8"/>
  <c r="F127" i="8"/>
  <c r="E127" i="8"/>
  <c r="D127" i="8"/>
  <c r="C127" i="8"/>
  <c r="B127" i="8"/>
  <c r="AA126" i="8"/>
  <c r="O126" i="8" s="1"/>
  <c r="T126" i="8"/>
  <c r="S126" i="8"/>
  <c r="R126" i="8"/>
  <c r="Q126" i="8" s="1"/>
  <c r="P126" i="8"/>
  <c r="N126" i="8"/>
  <c r="M126" i="8"/>
  <c r="L126" i="8"/>
  <c r="K126" i="8"/>
  <c r="H126" i="8"/>
  <c r="G126" i="8"/>
  <c r="F126" i="8"/>
  <c r="E126" i="8"/>
  <c r="D126" i="8"/>
  <c r="C126" i="8"/>
  <c r="B126" i="8"/>
  <c r="AA125" i="8"/>
  <c r="O125" i="8" s="1"/>
  <c r="T125" i="8"/>
  <c r="S125" i="8"/>
  <c r="R125" i="8"/>
  <c r="P125" i="8"/>
  <c r="N125" i="8"/>
  <c r="M125" i="8"/>
  <c r="L125" i="8"/>
  <c r="K125" i="8"/>
  <c r="H125" i="8"/>
  <c r="G125" i="8"/>
  <c r="F125" i="8"/>
  <c r="E125" i="8"/>
  <c r="D125" i="8"/>
  <c r="C125" i="8"/>
  <c r="B125" i="8"/>
  <c r="AA124" i="8"/>
  <c r="O124" i="8" s="1"/>
  <c r="T124" i="8"/>
  <c r="S124" i="8"/>
  <c r="R124" i="8"/>
  <c r="P124" i="8"/>
  <c r="N124" i="8"/>
  <c r="M124" i="8"/>
  <c r="L124" i="8"/>
  <c r="K124" i="8"/>
  <c r="H124" i="8"/>
  <c r="G124" i="8"/>
  <c r="F124" i="8"/>
  <c r="E124" i="8"/>
  <c r="D124" i="8"/>
  <c r="C124" i="8"/>
  <c r="B124" i="8"/>
  <c r="AA123" i="8"/>
  <c r="O123" i="8" s="1"/>
  <c r="T123" i="8"/>
  <c r="S123" i="8"/>
  <c r="R123" i="8"/>
  <c r="Q123" i="8" s="1"/>
  <c r="P123" i="8"/>
  <c r="N123" i="8"/>
  <c r="M123" i="8"/>
  <c r="L123" i="8"/>
  <c r="K123" i="8"/>
  <c r="H123" i="8"/>
  <c r="G123" i="8"/>
  <c r="F123" i="8"/>
  <c r="E123" i="8"/>
  <c r="D123" i="8"/>
  <c r="C123" i="8"/>
  <c r="B123" i="8"/>
  <c r="AA122" i="8"/>
  <c r="O122" i="8" s="1"/>
  <c r="T122" i="8"/>
  <c r="S122" i="8"/>
  <c r="R122" i="8"/>
  <c r="Q122" i="8" s="1"/>
  <c r="P122" i="8"/>
  <c r="N122" i="8"/>
  <c r="M122" i="8"/>
  <c r="L122" i="8"/>
  <c r="K122" i="8"/>
  <c r="H122" i="8"/>
  <c r="G122" i="8"/>
  <c r="F122" i="8"/>
  <c r="E122" i="8"/>
  <c r="D122" i="8"/>
  <c r="C122" i="8"/>
  <c r="B122" i="8"/>
  <c r="AA121" i="8"/>
  <c r="O121" i="8" s="1"/>
  <c r="T121" i="8"/>
  <c r="S121" i="8"/>
  <c r="R121" i="8"/>
  <c r="Q121" i="8" s="1"/>
  <c r="P121" i="8"/>
  <c r="N121" i="8"/>
  <c r="M121" i="8"/>
  <c r="L121" i="8"/>
  <c r="K121" i="8"/>
  <c r="H121" i="8"/>
  <c r="G121" i="8"/>
  <c r="F121" i="8"/>
  <c r="E121" i="8"/>
  <c r="D121" i="8"/>
  <c r="C121" i="8"/>
  <c r="B121" i="8"/>
  <c r="AA120" i="8"/>
  <c r="O120" i="8" s="1"/>
  <c r="T120" i="8"/>
  <c r="S120" i="8"/>
  <c r="R120" i="8"/>
  <c r="Q120" i="8" s="1"/>
  <c r="P120" i="8"/>
  <c r="N120" i="8"/>
  <c r="M120" i="8"/>
  <c r="L120" i="8"/>
  <c r="K120" i="8"/>
  <c r="H120" i="8"/>
  <c r="G120" i="8"/>
  <c r="F120" i="8"/>
  <c r="E120" i="8"/>
  <c r="D120" i="8"/>
  <c r="C120" i="8"/>
  <c r="B120" i="8"/>
  <c r="AA119" i="8"/>
  <c r="O119" i="8" s="1"/>
  <c r="T119" i="8"/>
  <c r="S119" i="8"/>
  <c r="R119" i="8"/>
  <c r="P119" i="8"/>
  <c r="N119" i="8"/>
  <c r="M119" i="8"/>
  <c r="L119" i="8"/>
  <c r="K119" i="8"/>
  <c r="H119" i="8"/>
  <c r="G119" i="8"/>
  <c r="F119" i="8"/>
  <c r="E119" i="8"/>
  <c r="D119" i="8"/>
  <c r="C119" i="8"/>
  <c r="B119" i="8"/>
  <c r="AA118" i="8"/>
  <c r="O118" i="8" s="1"/>
  <c r="T118" i="8"/>
  <c r="S118" i="8"/>
  <c r="R118" i="8"/>
  <c r="P118" i="8"/>
  <c r="N118" i="8"/>
  <c r="M118" i="8"/>
  <c r="L118" i="8"/>
  <c r="K118" i="8"/>
  <c r="H118" i="8"/>
  <c r="G118" i="8"/>
  <c r="F118" i="8"/>
  <c r="E118" i="8"/>
  <c r="D118" i="8"/>
  <c r="C118" i="8"/>
  <c r="B118" i="8"/>
  <c r="AA117" i="8"/>
  <c r="O117" i="8" s="1"/>
  <c r="T117" i="8"/>
  <c r="S117" i="8"/>
  <c r="R117" i="8"/>
  <c r="P117" i="8"/>
  <c r="N117" i="8"/>
  <c r="M117" i="8"/>
  <c r="L117" i="8"/>
  <c r="K117" i="8"/>
  <c r="H117" i="8"/>
  <c r="G117" i="8"/>
  <c r="F117" i="8"/>
  <c r="E117" i="8"/>
  <c r="D117" i="8"/>
  <c r="C117" i="8"/>
  <c r="B117" i="8"/>
  <c r="AA116" i="8"/>
  <c r="O116" i="8" s="1"/>
  <c r="T116" i="8"/>
  <c r="S116" i="8"/>
  <c r="R116" i="8"/>
  <c r="Q116" i="8" s="1"/>
  <c r="P116" i="8"/>
  <c r="N116" i="8"/>
  <c r="M116" i="8"/>
  <c r="L116" i="8"/>
  <c r="K116" i="8"/>
  <c r="H116" i="8"/>
  <c r="G116" i="8"/>
  <c r="F116" i="8"/>
  <c r="E116" i="8"/>
  <c r="D116" i="8"/>
  <c r="C116" i="8"/>
  <c r="B116" i="8"/>
  <c r="AA115" i="8"/>
  <c r="O115" i="8" s="1"/>
  <c r="T115" i="8"/>
  <c r="S115" i="8"/>
  <c r="R115" i="8"/>
  <c r="P115" i="8"/>
  <c r="N115" i="8"/>
  <c r="M115" i="8"/>
  <c r="L115" i="8"/>
  <c r="K115" i="8"/>
  <c r="H115" i="8"/>
  <c r="G115" i="8"/>
  <c r="F115" i="8"/>
  <c r="E115" i="8"/>
  <c r="D115" i="8"/>
  <c r="C115" i="8"/>
  <c r="B115" i="8"/>
  <c r="AA114" i="8"/>
  <c r="O114" i="8" s="1"/>
  <c r="T114" i="8"/>
  <c r="S114" i="8"/>
  <c r="Q114" i="8" s="1"/>
  <c r="R114" i="8"/>
  <c r="P114" i="8"/>
  <c r="N114" i="8"/>
  <c r="M114" i="8"/>
  <c r="L114" i="8"/>
  <c r="K114" i="8"/>
  <c r="H114" i="8"/>
  <c r="G114" i="8"/>
  <c r="F114" i="8"/>
  <c r="E114" i="8"/>
  <c r="D114" i="8"/>
  <c r="C114" i="8"/>
  <c r="B114" i="8"/>
  <c r="AA113" i="8"/>
  <c r="O113" i="8" s="1"/>
  <c r="T113" i="8"/>
  <c r="S113" i="8"/>
  <c r="R113" i="8"/>
  <c r="Q113" i="8" s="1"/>
  <c r="P113" i="8"/>
  <c r="N113" i="8"/>
  <c r="M113" i="8"/>
  <c r="L113" i="8"/>
  <c r="K113" i="8"/>
  <c r="H113" i="8"/>
  <c r="G113" i="8"/>
  <c r="F113" i="8"/>
  <c r="E113" i="8"/>
  <c r="D113" i="8"/>
  <c r="C113" i="8"/>
  <c r="B113" i="8"/>
  <c r="AA112" i="8"/>
  <c r="T112" i="8"/>
  <c r="S112" i="8"/>
  <c r="R112" i="8"/>
  <c r="P112" i="8"/>
  <c r="O112" i="8"/>
  <c r="N112" i="8"/>
  <c r="M112" i="8"/>
  <c r="L112" i="8"/>
  <c r="K112" i="8"/>
  <c r="H112" i="8"/>
  <c r="G112" i="8"/>
  <c r="F112" i="8"/>
  <c r="E112" i="8"/>
  <c r="D112" i="8"/>
  <c r="C112" i="8"/>
  <c r="B112" i="8"/>
  <c r="AA111" i="8"/>
  <c r="O111" i="8" s="1"/>
  <c r="T111" i="8"/>
  <c r="S111" i="8"/>
  <c r="R111" i="8"/>
  <c r="Q111" i="8" s="1"/>
  <c r="P111" i="8"/>
  <c r="N111" i="8"/>
  <c r="M111" i="8"/>
  <c r="L111" i="8"/>
  <c r="K111" i="8"/>
  <c r="H111" i="8"/>
  <c r="G111" i="8"/>
  <c r="F111" i="8"/>
  <c r="E111" i="8"/>
  <c r="D111" i="8"/>
  <c r="C111" i="8"/>
  <c r="B111" i="8"/>
  <c r="AA110" i="8"/>
  <c r="O110" i="8" s="1"/>
  <c r="T110" i="8"/>
  <c r="S110" i="8"/>
  <c r="Q110" i="8" s="1"/>
  <c r="R110" i="8"/>
  <c r="P110" i="8"/>
  <c r="N110" i="8"/>
  <c r="M110" i="8"/>
  <c r="L110" i="8"/>
  <c r="K110" i="8"/>
  <c r="H110" i="8"/>
  <c r="G110" i="8"/>
  <c r="F110" i="8"/>
  <c r="E110" i="8"/>
  <c r="D110" i="8"/>
  <c r="C110" i="8"/>
  <c r="B110" i="8"/>
  <c r="AA109" i="8"/>
  <c r="O109" i="8" s="1"/>
  <c r="T109" i="8"/>
  <c r="S109" i="8"/>
  <c r="R109" i="8"/>
  <c r="Q109" i="8" s="1"/>
  <c r="P109" i="8"/>
  <c r="N109" i="8"/>
  <c r="M109" i="8"/>
  <c r="L109" i="8"/>
  <c r="K109" i="8"/>
  <c r="H109" i="8"/>
  <c r="G109" i="8"/>
  <c r="F109" i="8"/>
  <c r="E109" i="8"/>
  <c r="D109" i="8"/>
  <c r="C109" i="8"/>
  <c r="B109" i="8"/>
  <c r="AA108" i="8"/>
  <c r="O108" i="8" s="1"/>
  <c r="T108" i="8"/>
  <c r="S108" i="8"/>
  <c r="R108" i="8"/>
  <c r="Q108" i="8" s="1"/>
  <c r="P108" i="8"/>
  <c r="N108" i="8"/>
  <c r="M108" i="8"/>
  <c r="L108" i="8"/>
  <c r="K108" i="8"/>
  <c r="H108" i="8"/>
  <c r="G108" i="8"/>
  <c r="F108" i="8"/>
  <c r="E108" i="8"/>
  <c r="D108" i="8"/>
  <c r="C108" i="8"/>
  <c r="B108" i="8"/>
  <c r="AA107" i="8"/>
  <c r="T107" i="8"/>
  <c r="S107" i="8"/>
  <c r="R107" i="8"/>
  <c r="P107" i="8"/>
  <c r="O107" i="8"/>
  <c r="N107" i="8"/>
  <c r="M107" i="8"/>
  <c r="L107" i="8"/>
  <c r="K107" i="8"/>
  <c r="H107" i="8"/>
  <c r="G107" i="8"/>
  <c r="F107" i="8"/>
  <c r="E107" i="8"/>
  <c r="D107" i="8"/>
  <c r="C107" i="8"/>
  <c r="B107" i="8"/>
  <c r="AA106" i="8"/>
  <c r="O106" i="8" s="1"/>
  <c r="T106" i="8"/>
  <c r="S106" i="8"/>
  <c r="R106" i="8"/>
  <c r="P106" i="8"/>
  <c r="N106" i="8"/>
  <c r="M106" i="8"/>
  <c r="L106" i="8"/>
  <c r="K106" i="8"/>
  <c r="H106" i="8"/>
  <c r="G106" i="8"/>
  <c r="F106" i="8"/>
  <c r="E106" i="8"/>
  <c r="D106" i="8"/>
  <c r="C106" i="8"/>
  <c r="B106" i="8"/>
  <c r="AA105" i="8"/>
  <c r="O105" i="8" s="1"/>
  <c r="T105" i="8"/>
  <c r="U105" i="8" s="1"/>
  <c r="S105" i="8"/>
  <c r="R105" i="8"/>
  <c r="P105" i="8"/>
  <c r="N105" i="8"/>
  <c r="M105" i="8"/>
  <c r="L105" i="8"/>
  <c r="K105" i="8"/>
  <c r="H105" i="8"/>
  <c r="G105" i="8"/>
  <c r="F105" i="8"/>
  <c r="E105" i="8"/>
  <c r="D105" i="8"/>
  <c r="C105" i="8"/>
  <c r="B105" i="8"/>
  <c r="AA104" i="8"/>
  <c r="T104" i="8"/>
  <c r="S104" i="8"/>
  <c r="R104" i="8"/>
  <c r="Q104" i="8" s="1"/>
  <c r="P104" i="8"/>
  <c r="O104" i="8"/>
  <c r="N104" i="8"/>
  <c r="M104" i="8"/>
  <c r="L104" i="8"/>
  <c r="K104" i="8"/>
  <c r="H104" i="8"/>
  <c r="G104" i="8"/>
  <c r="U104" i="8" s="1"/>
  <c r="F104" i="8"/>
  <c r="E104" i="8"/>
  <c r="D104" i="8"/>
  <c r="C104" i="8"/>
  <c r="B104" i="8"/>
  <c r="AA103" i="8"/>
  <c r="O103" i="8" s="1"/>
  <c r="T103" i="8"/>
  <c r="S103" i="8"/>
  <c r="R103" i="8"/>
  <c r="P103" i="8"/>
  <c r="N103" i="8"/>
  <c r="M103" i="8"/>
  <c r="L103" i="8"/>
  <c r="K103" i="8"/>
  <c r="H103" i="8"/>
  <c r="G103" i="8"/>
  <c r="F103" i="8"/>
  <c r="E103" i="8"/>
  <c r="D103" i="8"/>
  <c r="C103" i="8"/>
  <c r="B103" i="8"/>
  <c r="AA102" i="8"/>
  <c r="O102" i="8" s="1"/>
  <c r="T102" i="8"/>
  <c r="S102" i="8"/>
  <c r="R102" i="8"/>
  <c r="P102" i="8"/>
  <c r="N102" i="8"/>
  <c r="M102" i="8"/>
  <c r="L102" i="8"/>
  <c r="K102" i="8"/>
  <c r="H102" i="8"/>
  <c r="G102" i="8"/>
  <c r="F102" i="8"/>
  <c r="E102" i="8"/>
  <c r="D102" i="8"/>
  <c r="C102" i="8"/>
  <c r="B102" i="8"/>
  <c r="AA101" i="8"/>
  <c r="O101" i="8" s="1"/>
  <c r="T101" i="8"/>
  <c r="S101" i="8"/>
  <c r="R101" i="8"/>
  <c r="P101" i="8"/>
  <c r="N101" i="8"/>
  <c r="M101" i="8"/>
  <c r="L101" i="8"/>
  <c r="K101" i="8"/>
  <c r="H101" i="8"/>
  <c r="G101" i="8"/>
  <c r="F101" i="8"/>
  <c r="E101" i="8"/>
  <c r="D101" i="8"/>
  <c r="C101" i="8"/>
  <c r="B101" i="8"/>
  <c r="AA100" i="8"/>
  <c r="O100" i="8" s="1"/>
  <c r="T100" i="8"/>
  <c r="S100" i="8"/>
  <c r="Q100" i="8" s="1"/>
  <c r="R100" i="8"/>
  <c r="P100" i="8"/>
  <c r="N100" i="8"/>
  <c r="M100" i="8"/>
  <c r="L100" i="8"/>
  <c r="K100" i="8"/>
  <c r="H100" i="8"/>
  <c r="U100" i="8" s="1"/>
  <c r="G100" i="8"/>
  <c r="F100" i="8"/>
  <c r="E100" i="8"/>
  <c r="D100" i="8"/>
  <c r="C100" i="8"/>
  <c r="B100" i="8"/>
  <c r="AA99" i="8"/>
  <c r="O99" i="8" s="1"/>
  <c r="T99" i="8"/>
  <c r="S99" i="8"/>
  <c r="R99" i="8"/>
  <c r="Q99" i="8" s="1"/>
  <c r="P99" i="8"/>
  <c r="N99" i="8"/>
  <c r="M99" i="8"/>
  <c r="L99" i="8"/>
  <c r="K99" i="8"/>
  <c r="H99" i="8"/>
  <c r="G99" i="8"/>
  <c r="F99" i="8"/>
  <c r="E99" i="8"/>
  <c r="D99" i="8"/>
  <c r="C99" i="8"/>
  <c r="B99" i="8"/>
  <c r="AA98" i="8"/>
  <c r="O98" i="8" s="1"/>
  <c r="T98" i="8"/>
  <c r="S98" i="8"/>
  <c r="R98" i="8"/>
  <c r="Q98" i="8" s="1"/>
  <c r="P98" i="8"/>
  <c r="N98" i="8"/>
  <c r="M98" i="8"/>
  <c r="L98" i="8"/>
  <c r="K98" i="8"/>
  <c r="H98" i="8"/>
  <c r="G98" i="8"/>
  <c r="F98" i="8"/>
  <c r="E98" i="8"/>
  <c r="D98" i="8"/>
  <c r="C98" i="8"/>
  <c r="B98" i="8"/>
  <c r="AA97" i="8"/>
  <c r="O97" i="8" s="1"/>
  <c r="T97" i="8"/>
  <c r="S97" i="8"/>
  <c r="R97" i="8"/>
  <c r="Q97" i="8" s="1"/>
  <c r="P97" i="8"/>
  <c r="N97" i="8"/>
  <c r="M97" i="8"/>
  <c r="L97" i="8"/>
  <c r="K97" i="8"/>
  <c r="H97" i="8"/>
  <c r="G97" i="8"/>
  <c r="F97" i="8"/>
  <c r="E97" i="8"/>
  <c r="D97" i="8"/>
  <c r="C97" i="8"/>
  <c r="B97" i="8"/>
  <c r="AA96" i="8"/>
  <c r="O96" i="8" s="1"/>
  <c r="T96" i="8"/>
  <c r="S96" i="8"/>
  <c r="R96" i="8"/>
  <c r="Q96" i="8"/>
  <c r="P96" i="8"/>
  <c r="N96" i="8"/>
  <c r="M96" i="8"/>
  <c r="L96" i="8"/>
  <c r="K96" i="8"/>
  <c r="H96" i="8"/>
  <c r="G96" i="8"/>
  <c r="F96" i="8"/>
  <c r="E96" i="8"/>
  <c r="D96" i="8"/>
  <c r="C96" i="8"/>
  <c r="B96" i="8"/>
  <c r="AA95" i="8"/>
  <c r="O95" i="8" s="1"/>
  <c r="T95" i="8"/>
  <c r="S95" i="8"/>
  <c r="R95" i="8"/>
  <c r="Q95" i="8" s="1"/>
  <c r="P95" i="8"/>
  <c r="N95" i="8"/>
  <c r="M95" i="8"/>
  <c r="L95" i="8"/>
  <c r="K95" i="8"/>
  <c r="H95" i="8"/>
  <c r="G95" i="8"/>
  <c r="F95" i="8"/>
  <c r="E95" i="8"/>
  <c r="D95" i="8"/>
  <c r="C95" i="8"/>
  <c r="B95" i="8"/>
  <c r="AA94" i="8"/>
  <c r="O94" i="8" s="1"/>
  <c r="T94" i="8"/>
  <c r="S94" i="8"/>
  <c r="R94" i="8"/>
  <c r="Q94" i="8" s="1"/>
  <c r="P94" i="8"/>
  <c r="N94" i="8"/>
  <c r="M94" i="8"/>
  <c r="L94" i="8"/>
  <c r="K94" i="8"/>
  <c r="H94" i="8"/>
  <c r="G94" i="8"/>
  <c r="F94" i="8"/>
  <c r="E94" i="8"/>
  <c r="D94" i="8"/>
  <c r="C94" i="8"/>
  <c r="B94" i="8"/>
  <c r="AA93" i="8"/>
  <c r="O93" i="8" s="1"/>
  <c r="T93" i="8"/>
  <c r="S93" i="8"/>
  <c r="R93" i="8"/>
  <c r="Q93" i="8" s="1"/>
  <c r="P93" i="8"/>
  <c r="N93" i="8"/>
  <c r="M93" i="8"/>
  <c r="L93" i="8"/>
  <c r="K93" i="8"/>
  <c r="H93" i="8"/>
  <c r="G93" i="8"/>
  <c r="F93" i="8"/>
  <c r="E93" i="8"/>
  <c r="D93" i="8"/>
  <c r="C93" i="8"/>
  <c r="B93" i="8"/>
  <c r="AA92" i="8"/>
  <c r="T92" i="8"/>
  <c r="S92" i="8"/>
  <c r="R92" i="8"/>
  <c r="P92" i="8"/>
  <c r="O92" i="8"/>
  <c r="N92" i="8"/>
  <c r="M92" i="8"/>
  <c r="L92" i="8"/>
  <c r="K92" i="8"/>
  <c r="H92" i="8"/>
  <c r="G92" i="8"/>
  <c r="F92" i="8"/>
  <c r="E92" i="8"/>
  <c r="D92" i="8"/>
  <c r="C92" i="8"/>
  <c r="B92" i="8"/>
  <c r="AA91" i="8"/>
  <c r="O91" i="8" s="1"/>
  <c r="T91" i="8"/>
  <c r="S91" i="8"/>
  <c r="R91" i="8"/>
  <c r="Q91" i="8" s="1"/>
  <c r="P91" i="8"/>
  <c r="N91" i="8"/>
  <c r="M91" i="8"/>
  <c r="L91" i="8"/>
  <c r="K91" i="8"/>
  <c r="H91" i="8"/>
  <c r="G91" i="8"/>
  <c r="F91" i="8"/>
  <c r="E91" i="8"/>
  <c r="D91" i="8"/>
  <c r="C91" i="8"/>
  <c r="B91" i="8"/>
  <c r="AA90" i="8"/>
  <c r="O90" i="8" s="1"/>
  <c r="T90" i="8"/>
  <c r="S90" i="8"/>
  <c r="R90" i="8"/>
  <c r="Q90" i="8" s="1"/>
  <c r="P90" i="8"/>
  <c r="N90" i="8"/>
  <c r="M90" i="8"/>
  <c r="L90" i="8"/>
  <c r="K90" i="8"/>
  <c r="H90" i="8"/>
  <c r="G90" i="8"/>
  <c r="F90" i="8"/>
  <c r="E90" i="8"/>
  <c r="D90" i="8"/>
  <c r="C90" i="8"/>
  <c r="B90" i="8"/>
  <c r="AA89" i="8"/>
  <c r="O89" i="8" s="1"/>
  <c r="T89" i="8"/>
  <c r="S89" i="8"/>
  <c r="R89" i="8"/>
  <c r="Q89" i="8" s="1"/>
  <c r="P89" i="8"/>
  <c r="N89" i="8"/>
  <c r="M89" i="8"/>
  <c r="L89" i="8"/>
  <c r="K89" i="8"/>
  <c r="H89" i="8"/>
  <c r="G89" i="8"/>
  <c r="F89" i="8"/>
  <c r="E89" i="8"/>
  <c r="D89" i="8"/>
  <c r="C89" i="8"/>
  <c r="B89" i="8"/>
  <c r="AA88" i="8"/>
  <c r="O88" i="8" s="1"/>
  <c r="T88" i="8"/>
  <c r="S88" i="8"/>
  <c r="R88" i="8"/>
  <c r="P88" i="8"/>
  <c r="N88" i="8"/>
  <c r="M88" i="8"/>
  <c r="L88" i="8"/>
  <c r="K88" i="8"/>
  <c r="H88" i="8"/>
  <c r="G88" i="8"/>
  <c r="F88" i="8"/>
  <c r="E88" i="8"/>
  <c r="D88" i="8"/>
  <c r="C88" i="8"/>
  <c r="B88" i="8"/>
  <c r="AA87" i="8"/>
  <c r="O87" i="8" s="1"/>
  <c r="T87" i="8"/>
  <c r="S87" i="8"/>
  <c r="R87" i="8"/>
  <c r="Q87" i="8" s="1"/>
  <c r="P87" i="8"/>
  <c r="N87" i="8"/>
  <c r="M87" i="8"/>
  <c r="L87" i="8"/>
  <c r="K87" i="8"/>
  <c r="H87" i="8"/>
  <c r="G87" i="8"/>
  <c r="F87" i="8"/>
  <c r="E87" i="8"/>
  <c r="D87" i="8"/>
  <c r="C87" i="8"/>
  <c r="B87" i="8"/>
  <c r="AA86" i="8"/>
  <c r="O86" i="8" s="1"/>
  <c r="T86" i="8"/>
  <c r="S86" i="8"/>
  <c r="R86" i="8"/>
  <c r="Q86" i="8" s="1"/>
  <c r="P86" i="8"/>
  <c r="N86" i="8"/>
  <c r="M86" i="8"/>
  <c r="L86" i="8"/>
  <c r="K86" i="8"/>
  <c r="H86" i="8"/>
  <c r="G86" i="8"/>
  <c r="F86" i="8"/>
  <c r="E86" i="8"/>
  <c r="D86" i="8"/>
  <c r="C86" i="8"/>
  <c r="B86" i="8"/>
  <c r="AA85" i="8"/>
  <c r="O85" i="8" s="1"/>
  <c r="T85" i="8"/>
  <c r="S85" i="8"/>
  <c r="R85" i="8"/>
  <c r="P85" i="8"/>
  <c r="N85" i="8"/>
  <c r="M85" i="8"/>
  <c r="L85" i="8"/>
  <c r="K85" i="8"/>
  <c r="H85" i="8"/>
  <c r="G85" i="8"/>
  <c r="F85" i="8"/>
  <c r="E85" i="8"/>
  <c r="D85" i="8"/>
  <c r="C85" i="8"/>
  <c r="B85" i="8"/>
  <c r="AA84" i="8"/>
  <c r="O84" i="8" s="1"/>
  <c r="T84" i="8"/>
  <c r="S84" i="8"/>
  <c r="R84" i="8"/>
  <c r="Q84" i="8" s="1"/>
  <c r="P84" i="8"/>
  <c r="N84" i="8"/>
  <c r="M84" i="8"/>
  <c r="L84" i="8"/>
  <c r="K84" i="8"/>
  <c r="H84" i="8"/>
  <c r="G84" i="8"/>
  <c r="U84" i="8" s="1"/>
  <c r="F84" i="8"/>
  <c r="E84" i="8"/>
  <c r="D84" i="8"/>
  <c r="C84" i="8"/>
  <c r="B84" i="8"/>
  <c r="AA83" i="8"/>
  <c r="O83" i="8" s="1"/>
  <c r="T83" i="8"/>
  <c r="S83" i="8"/>
  <c r="R83" i="8"/>
  <c r="P83" i="8"/>
  <c r="N83" i="8"/>
  <c r="M83" i="8"/>
  <c r="L83" i="8"/>
  <c r="K83" i="8"/>
  <c r="H83" i="8"/>
  <c r="G83" i="8"/>
  <c r="F83" i="8"/>
  <c r="E83" i="8"/>
  <c r="D83" i="8"/>
  <c r="C83" i="8"/>
  <c r="B83" i="8"/>
  <c r="AA82" i="8"/>
  <c r="O82" i="8" s="1"/>
  <c r="T82" i="8"/>
  <c r="S82" i="8"/>
  <c r="R82" i="8"/>
  <c r="P82" i="8"/>
  <c r="N82" i="8"/>
  <c r="M82" i="8"/>
  <c r="L82" i="8"/>
  <c r="K82" i="8"/>
  <c r="H82" i="8"/>
  <c r="G82" i="8"/>
  <c r="F82" i="8"/>
  <c r="E82" i="8"/>
  <c r="D82" i="8"/>
  <c r="C82" i="8"/>
  <c r="B82" i="8"/>
  <c r="AA81" i="8"/>
  <c r="O81" i="8" s="1"/>
  <c r="T81" i="8"/>
  <c r="S81" i="8"/>
  <c r="R81" i="8"/>
  <c r="Q81" i="8" s="1"/>
  <c r="P81" i="8"/>
  <c r="N81" i="8"/>
  <c r="M81" i="8"/>
  <c r="L81" i="8"/>
  <c r="K81" i="8"/>
  <c r="H81" i="8"/>
  <c r="G81" i="8"/>
  <c r="F81" i="8"/>
  <c r="E81" i="8"/>
  <c r="D81" i="8"/>
  <c r="C81" i="8"/>
  <c r="B81" i="8"/>
  <c r="AA80" i="8"/>
  <c r="O80" i="8" s="1"/>
  <c r="T80" i="8"/>
  <c r="S80" i="8"/>
  <c r="R80" i="8"/>
  <c r="P80" i="8"/>
  <c r="N80" i="8"/>
  <c r="M80" i="8"/>
  <c r="L80" i="8"/>
  <c r="K80" i="8"/>
  <c r="H80" i="8"/>
  <c r="G80" i="8"/>
  <c r="F80" i="8"/>
  <c r="E80" i="8"/>
  <c r="D80" i="8"/>
  <c r="C80" i="8"/>
  <c r="B80" i="8"/>
  <c r="AA79" i="8"/>
  <c r="O79" i="8" s="1"/>
  <c r="T79" i="8"/>
  <c r="S79" i="8"/>
  <c r="R79" i="8"/>
  <c r="Q79" i="8" s="1"/>
  <c r="P79" i="8"/>
  <c r="N79" i="8"/>
  <c r="M79" i="8"/>
  <c r="L79" i="8"/>
  <c r="K79" i="8"/>
  <c r="H79" i="8"/>
  <c r="G79" i="8"/>
  <c r="F79" i="8"/>
  <c r="E79" i="8"/>
  <c r="D79" i="8"/>
  <c r="C79" i="8"/>
  <c r="B79" i="8"/>
  <c r="AA78" i="8"/>
  <c r="O78" i="8" s="1"/>
  <c r="T78" i="8"/>
  <c r="S78" i="8"/>
  <c r="R78" i="8"/>
  <c r="Q78" i="8"/>
  <c r="P78" i="8"/>
  <c r="N78" i="8"/>
  <c r="M78" i="8"/>
  <c r="L78" i="8"/>
  <c r="K78" i="8"/>
  <c r="H78" i="8"/>
  <c r="G78" i="8"/>
  <c r="F78" i="8"/>
  <c r="E78" i="8"/>
  <c r="D78" i="8"/>
  <c r="C78" i="8"/>
  <c r="B78" i="8"/>
  <c r="AA77" i="8"/>
  <c r="O77" i="8" s="1"/>
  <c r="T77" i="8"/>
  <c r="S77" i="8"/>
  <c r="R77" i="8"/>
  <c r="P77" i="8"/>
  <c r="N77" i="8"/>
  <c r="M77" i="8"/>
  <c r="L77" i="8"/>
  <c r="K77" i="8"/>
  <c r="H77" i="8"/>
  <c r="U77" i="8" s="1"/>
  <c r="G77" i="8"/>
  <c r="F77" i="8"/>
  <c r="E77" i="8"/>
  <c r="D77" i="8"/>
  <c r="C77" i="8"/>
  <c r="B77" i="8"/>
  <c r="AA76" i="8"/>
  <c r="O76" i="8" s="1"/>
  <c r="T76" i="8"/>
  <c r="S76" i="8"/>
  <c r="R76" i="8"/>
  <c r="P76" i="8"/>
  <c r="N76" i="8"/>
  <c r="M76" i="8"/>
  <c r="L76" i="8"/>
  <c r="K76" i="8"/>
  <c r="H76" i="8"/>
  <c r="G76" i="8"/>
  <c r="F76" i="8"/>
  <c r="E76" i="8"/>
  <c r="D76" i="8"/>
  <c r="C76" i="8"/>
  <c r="B76" i="8"/>
  <c r="AA75" i="8"/>
  <c r="O75" i="8" s="1"/>
  <c r="T75" i="8"/>
  <c r="U75" i="8" s="1"/>
  <c r="S75" i="8"/>
  <c r="R75" i="8"/>
  <c r="P75" i="8"/>
  <c r="N75" i="8"/>
  <c r="M75" i="8"/>
  <c r="L75" i="8"/>
  <c r="K75" i="8"/>
  <c r="H75" i="8"/>
  <c r="G75" i="8"/>
  <c r="F75" i="8"/>
  <c r="E75" i="8"/>
  <c r="D75" i="8"/>
  <c r="C75" i="8"/>
  <c r="B75" i="8"/>
  <c r="AA74" i="8"/>
  <c r="O74" i="8" s="1"/>
  <c r="T74" i="8"/>
  <c r="S74" i="8"/>
  <c r="R74" i="8"/>
  <c r="Q74" i="8"/>
  <c r="P74" i="8"/>
  <c r="N74" i="8"/>
  <c r="M74" i="8"/>
  <c r="L74" i="8"/>
  <c r="K74" i="8"/>
  <c r="H74" i="8"/>
  <c r="G74" i="8"/>
  <c r="F74" i="8"/>
  <c r="E74" i="8"/>
  <c r="D74" i="8"/>
  <c r="C74" i="8"/>
  <c r="B74" i="8"/>
  <c r="AA73" i="8"/>
  <c r="O73" i="8" s="1"/>
  <c r="T73" i="8"/>
  <c r="S73" i="8"/>
  <c r="R73" i="8"/>
  <c r="P73" i="8"/>
  <c r="N73" i="8"/>
  <c r="M73" i="8"/>
  <c r="L73" i="8"/>
  <c r="K73" i="8"/>
  <c r="H73" i="8"/>
  <c r="G73" i="8"/>
  <c r="F73" i="8"/>
  <c r="E73" i="8"/>
  <c r="D73" i="8"/>
  <c r="C73" i="8"/>
  <c r="B73" i="8"/>
  <c r="AA72" i="8"/>
  <c r="O72" i="8" s="1"/>
  <c r="T72" i="8"/>
  <c r="S72" i="8"/>
  <c r="R72" i="8"/>
  <c r="P72" i="8"/>
  <c r="N72" i="8"/>
  <c r="M72" i="8"/>
  <c r="L72" i="8"/>
  <c r="K72" i="8"/>
  <c r="H72" i="8"/>
  <c r="G72" i="8"/>
  <c r="F72" i="8"/>
  <c r="E72" i="8"/>
  <c r="D72" i="8"/>
  <c r="C72" i="8"/>
  <c r="B72" i="8"/>
  <c r="AA71" i="8"/>
  <c r="O71" i="8" s="1"/>
  <c r="T71" i="8"/>
  <c r="S71" i="8"/>
  <c r="R71" i="8"/>
  <c r="Q71" i="8" s="1"/>
  <c r="P71" i="8"/>
  <c r="N71" i="8"/>
  <c r="M71" i="8"/>
  <c r="L71" i="8"/>
  <c r="K71" i="8"/>
  <c r="H71" i="8"/>
  <c r="G71" i="8"/>
  <c r="F71" i="8"/>
  <c r="E71" i="8"/>
  <c r="D71" i="8"/>
  <c r="C71" i="8"/>
  <c r="B71" i="8"/>
  <c r="AA70" i="8"/>
  <c r="O70" i="8" s="1"/>
  <c r="T70" i="8"/>
  <c r="S70" i="8"/>
  <c r="R70" i="8"/>
  <c r="P70" i="8"/>
  <c r="N70" i="8"/>
  <c r="M70" i="8"/>
  <c r="L70" i="8"/>
  <c r="K70" i="8"/>
  <c r="H70" i="8"/>
  <c r="G70" i="8"/>
  <c r="F70" i="8"/>
  <c r="E70" i="8"/>
  <c r="D70" i="8"/>
  <c r="C70" i="8"/>
  <c r="B70" i="8"/>
  <c r="AA69" i="8"/>
  <c r="O69" i="8" s="1"/>
  <c r="T69" i="8"/>
  <c r="U69" i="8" s="1"/>
  <c r="S69" i="8"/>
  <c r="R69" i="8"/>
  <c r="P69" i="8"/>
  <c r="N69" i="8"/>
  <c r="M69" i="8"/>
  <c r="L69" i="8"/>
  <c r="K69" i="8"/>
  <c r="H69" i="8"/>
  <c r="G69" i="8"/>
  <c r="F69" i="8"/>
  <c r="E69" i="8"/>
  <c r="D69" i="8"/>
  <c r="C69" i="8"/>
  <c r="B69" i="8"/>
  <c r="AA68" i="8"/>
  <c r="O68" i="8" s="1"/>
  <c r="T68" i="8"/>
  <c r="S68" i="8"/>
  <c r="R68" i="8"/>
  <c r="Q68" i="8" s="1"/>
  <c r="P68" i="8"/>
  <c r="N68" i="8"/>
  <c r="M68" i="8"/>
  <c r="L68" i="8"/>
  <c r="K68" i="8"/>
  <c r="H68" i="8"/>
  <c r="G68" i="8"/>
  <c r="F68" i="8"/>
  <c r="E68" i="8"/>
  <c r="D68" i="8"/>
  <c r="C68" i="8"/>
  <c r="B68" i="8"/>
  <c r="AA67" i="8"/>
  <c r="O67" i="8" s="1"/>
  <c r="T67" i="8"/>
  <c r="S67" i="8"/>
  <c r="R67" i="8"/>
  <c r="Q67" i="8" s="1"/>
  <c r="P67" i="8"/>
  <c r="N67" i="8"/>
  <c r="M67" i="8"/>
  <c r="L67" i="8"/>
  <c r="K67" i="8"/>
  <c r="H67" i="8"/>
  <c r="G67" i="8"/>
  <c r="F67" i="8"/>
  <c r="E67" i="8"/>
  <c r="D67" i="8"/>
  <c r="C67" i="8"/>
  <c r="B67" i="8"/>
  <c r="AA66" i="8"/>
  <c r="O66" i="8" s="1"/>
  <c r="T66" i="8"/>
  <c r="S66" i="8"/>
  <c r="R66" i="8"/>
  <c r="Q66" i="8" s="1"/>
  <c r="P66" i="8"/>
  <c r="N66" i="8"/>
  <c r="M66" i="8"/>
  <c r="L66" i="8"/>
  <c r="K66" i="8"/>
  <c r="H66" i="8"/>
  <c r="G66" i="8"/>
  <c r="F66" i="8"/>
  <c r="E66" i="8"/>
  <c r="D66" i="8"/>
  <c r="C66" i="8"/>
  <c r="B66" i="8"/>
  <c r="AA65" i="8"/>
  <c r="O65" i="8" s="1"/>
  <c r="T65" i="8"/>
  <c r="S65" i="8"/>
  <c r="R65" i="8"/>
  <c r="Q65" i="8" s="1"/>
  <c r="P65" i="8"/>
  <c r="N65" i="8"/>
  <c r="M65" i="8"/>
  <c r="L65" i="8"/>
  <c r="K65" i="8"/>
  <c r="H65" i="8"/>
  <c r="G65" i="8"/>
  <c r="F65" i="8"/>
  <c r="E65" i="8"/>
  <c r="D65" i="8"/>
  <c r="C65" i="8"/>
  <c r="B65" i="8"/>
  <c r="AA64" i="8"/>
  <c r="T64" i="8"/>
  <c r="S64" i="8"/>
  <c r="R64" i="8"/>
  <c r="P64" i="8"/>
  <c r="O64" i="8"/>
  <c r="N64" i="8"/>
  <c r="M64" i="8"/>
  <c r="L64" i="8"/>
  <c r="K64" i="8"/>
  <c r="H64" i="8"/>
  <c r="G64" i="8"/>
  <c r="F64" i="8"/>
  <c r="E64" i="8"/>
  <c r="D64" i="8"/>
  <c r="C64" i="8"/>
  <c r="B64" i="8"/>
  <c r="AA63" i="8"/>
  <c r="O63" i="8" s="1"/>
  <c r="T63" i="8"/>
  <c r="S63" i="8"/>
  <c r="R63" i="8"/>
  <c r="Q63" i="8" s="1"/>
  <c r="P63" i="8"/>
  <c r="N63" i="8"/>
  <c r="M63" i="8"/>
  <c r="L63" i="8"/>
  <c r="K63" i="8"/>
  <c r="H63" i="8"/>
  <c r="G63" i="8"/>
  <c r="F63" i="8"/>
  <c r="E63" i="8"/>
  <c r="D63" i="8"/>
  <c r="C63" i="8"/>
  <c r="B63" i="8"/>
  <c r="AA62" i="8"/>
  <c r="O62" i="8" s="1"/>
  <c r="T62" i="8"/>
  <c r="S62" i="8"/>
  <c r="R62" i="8"/>
  <c r="P62" i="8"/>
  <c r="N62" i="8"/>
  <c r="M62" i="8"/>
  <c r="L62" i="8"/>
  <c r="K62" i="8"/>
  <c r="H62" i="8"/>
  <c r="G62" i="8"/>
  <c r="F62" i="8"/>
  <c r="E62" i="8"/>
  <c r="D62" i="8"/>
  <c r="C62" i="8"/>
  <c r="B62" i="8"/>
  <c r="AA61" i="8"/>
  <c r="T61" i="8"/>
  <c r="S61" i="8"/>
  <c r="R61" i="8"/>
  <c r="Q61" i="8" s="1"/>
  <c r="P61" i="8"/>
  <c r="O61" i="8"/>
  <c r="N61" i="8"/>
  <c r="M61" i="8"/>
  <c r="L61" i="8"/>
  <c r="K61" i="8"/>
  <c r="H61" i="8"/>
  <c r="G61" i="8"/>
  <c r="F61" i="8"/>
  <c r="E61" i="8"/>
  <c r="D61" i="8"/>
  <c r="C61" i="8"/>
  <c r="B61" i="8"/>
  <c r="AA60" i="8"/>
  <c r="O60" i="8" s="1"/>
  <c r="T60" i="8"/>
  <c r="S60" i="8"/>
  <c r="R60" i="8"/>
  <c r="Q60" i="8" s="1"/>
  <c r="P60" i="8"/>
  <c r="N60" i="8"/>
  <c r="M60" i="8"/>
  <c r="L60" i="8"/>
  <c r="K60" i="8"/>
  <c r="H60" i="8"/>
  <c r="G60" i="8"/>
  <c r="F60" i="8"/>
  <c r="E60" i="8"/>
  <c r="D60" i="8"/>
  <c r="C60" i="8"/>
  <c r="B60" i="8"/>
  <c r="AA59" i="8"/>
  <c r="O59" i="8" s="1"/>
  <c r="T59" i="8"/>
  <c r="U59" i="8" s="1"/>
  <c r="S59" i="8"/>
  <c r="R59" i="8"/>
  <c r="P59" i="8"/>
  <c r="N59" i="8"/>
  <c r="M59" i="8"/>
  <c r="L59" i="8"/>
  <c r="K59" i="8"/>
  <c r="H59" i="8"/>
  <c r="G59" i="8"/>
  <c r="F59" i="8"/>
  <c r="E59" i="8"/>
  <c r="D59" i="8"/>
  <c r="C59" i="8"/>
  <c r="B59" i="8"/>
  <c r="AA58" i="8"/>
  <c r="T58" i="8"/>
  <c r="S58" i="8"/>
  <c r="R58" i="8"/>
  <c r="Q58" i="8" s="1"/>
  <c r="P58" i="8"/>
  <c r="O58" i="8"/>
  <c r="N58" i="8"/>
  <c r="M58" i="8"/>
  <c r="L58" i="8"/>
  <c r="K58" i="8"/>
  <c r="H58" i="8"/>
  <c r="G58" i="8"/>
  <c r="F58" i="8"/>
  <c r="E58" i="8"/>
  <c r="D58" i="8"/>
  <c r="C58" i="8"/>
  <c r="B58" i="8"/>
  <c r="AA57" i="8"/>
  <c r="O57" i="8" s="1"/>
  <c r="T57" i="8"/>
  <c r="S57" i="8"/>
  <c r="R57" i="8"/>
  <c r="Q57" i="8" s="1"/>
  <c r="P57" i="8"/>
  <c r="N57" i="8"/>
  <c r="M57" i="8"/>
  <c r="L57" i="8"/>
  <c r="K57" i="8"/>
  <c r="H57" i="8"/>
  <c r="G57" i="8"/>
  <c r="F57" i="8"/>
  <c r="E57" i="8"/>
  <c r="D57" i="8"/>
  <c r="C57" i="8"/>
  <c r="B57" i="8"/>
  <c r="AA56" i="8"/>
  <c r="O56" i="8" s="1"/>
  <c r="T56" i="8"/>
  <c r="S56" i="8"/>
  <c r="R56" i="8"/>
  <c r="P56" i="8"/>
  <c r="N56" i="8"/>
  <c r="M56" i="8"/>
  <c r="L56" i="8"/>
  <c r="K56" i="8"/>
  <c r="H56" i="8"/>
  <c r="G56" i="8"/>
  <c r="F56" i="8"/>
  <c r="E56" i="8"/>
  <c r="D56" i="8"/>
  <c r="C56" i="8"/>
  <c r="B56" i="8"/>
  <c r="AA55" i="8"/>
  <c r="O55" i="8" s="1"/>
  <c r="T55" i="8"/>
  <c r="S55" i="8"/>
  <c r="R55" i="8"/>
  <c r="P55" i="8"/>
  <c r="N55" i="8"/>
  <c r="M55" i="8"/>
  <c r="L55" i="8"/>
  <c r="K55" i="8"/>
  <c r="H55" i="8"/>
  <c r="G55" i="8"/>
  <c r="F55" i="8"/>
  <c r="E55" i="8"/>
  <c r="D55" i="8"/>
  <c r="C55" i="8"/>
  <c r="B55" i="8"/>
  <c r="AA54" i="8"/>
  <c r="O54" i="8" s="1"/>
  <c r="T54" i="8"/>
  <c r="S54" i="8"/>
  <c r="R54" i="8"/>
  <c r="P54" i="8"/>
  <c r="N54" i="8"/>
  <c r="M54" i="8"/>
  <c r="L54" i="8"/>
  <c r="K54" i="8"/>
  <c r="H54" i="8"/>
  <c r="U54" i="8" s="1"/>
  <c r="G54" i="8"/>
  <c r="F54" i="8"/>
  <c r="E54" i="8"/>
  <c r="D54" i="8"/>
  <c r="C54" i="8"/>
  <c r="B54" i="8"/>
  <c r="AA53" i="8"/>
  <c r="O53" i="8" s="1"/>
  <c r="T53" i="8"/>
  <c r="S53" i="8"/>
  <c r="R53" i="8"/>
  <c r="Q53" i="8" s="1"/>
  <c r="P53" i="8"/>
  <c r="N53" i="8"/>
  <c r="M53" i="8"/>
  <c r="L53" i="8"/>
  <c r="K53" i="8"/>
  <c r="H53" i="8"/>
  <c r="G53" i="8"/>
  <c r="F53" i="8"/>
  <c r="E53" i="8"/>
  <c r="D53" i="8"/>
  <c r="C53" i="8"/>
  <c r="B53" i="8"/>
  <c r="AA52" i="8"/>
  <c r="O52" i="8" s="1"/>
  <c r="T52" i="8"/>
  <c r="S52" i="8"/>
  <c r="R52" i="8"/>
  <c r="P52" i="8"/>
  <c r="N52" i="8"/>
  <c r="M52" i="8"/>
  <c r="L52" i="8"/>
  <c r="K52" i="8"/>
  <c r="H52" i="8"/>
  <c r="G52" i="8"/>
  <c r="F52" i="8"/>
  <c r="E52" i="8"/>
  <c r="D52" i="8"/>
  <c r="C52" i="8"/>
  <c r="B52" i="8"/>
  <c r="AA51" i="8"/>
  <c r="O51" i="8" s="1"/>
  <c r="T51" i="8"/>
  <c r="S51" i="8"/>
  <c r="R51" i="8"/>
  <c r="Q51" i="8" s="1"/>
  <c r="P51" i="8"/>
  <c r="N51" i="8"/>
  <c r="M51" i="8"/>
  <c r="L51" i="8"/>
  <c r="K51" i="8"/>
  <c r="H51" i="8"/>
  <c r="G51" i="8"/>
  <c r="F51" i="8"/>
  <c r="E51" i="8"/>
  <c r="D51" i="8"/>
  <c r="C51" i="8"/>
  <c r="B51" i="8"/>
  <c r="AA50" i="8"/>
  <c r="O50" i="8" s="1"/>
  <c r="T50" i="8"/>
  <c r="S50" i="8"/>
  <c r="R50" i="8"/>
  <c r="P50" i="8"/>
  <c r="N50" i="8"/>
  <c r="M50" i="8"/>
  <c r="L50" i="8"/>
  <c r="K50" i="8"/>
  <c r="H50" i="8"/>
  <c r="G50" i="8"/>
  <c r="F50" i="8"/>
  <c r="E50" i="8"/>
  <c r="D50" i="8"/>
  <c r="C50" i="8"/>
  <c r="B50" i="8"/>
  <c r="AA49" i="8"/>
  <c r="O49" i="8" s="1"/>
  <c r="T49" i="8"/>
  <c r="S49" i="8"/>
  <c r="R49" i="8"/>
  <c r="Q49" i="8" s="1"/>
  <c r="P49" i="8"/>
  <c r="N49" i="8"/>
  <c r="M49" i="8"/>
  <c r="L49" i="8"/>
  <c r="K49" i="8"/>
  <c r="H49" i="8"/>
  <c r="G49" i="8"/>
  <c r="F49" i="8"/>
  <c r="E49" i="8"/>
  <c r="D49" i="8"/>
  <c r="C49" i="8"/>
  <c r="B49" i="8"/>
  <c r="AA48" i="8"/>
  <c r="O48" i="8" s="1"/>
  <c r="T48" i="8"/>
  <c r="S48" i="8"/>
  <c r="R48" i="8"/>
  <c r="Q48" i="8" s="1"/>
  <c r="P48" i="8"/>
  <c r="N48" i="8"/>
  <c r="M48" i="8"/>
  <c r="L48" i="8"/>
  <c r="K48" i="8"/>
  <c r="H48" i="8"/>
  <c r="G48" i="8"/>
  <c r="F48" i="8"/>
  <c r="E48" i="8"/>
  <c r="D48" i="8"/>
  <c r="C48" i="8"/>
  <c r="B48" i="8"/>
  <c r="AA47" i="8"/>
  <c r="O47" i="8" s="1"/>
  <c r="T47" i="8"/>
  <c r="S47" i="8"/>
  <c r="R47" i="8"/>
  <c r="P47" i="8"/>
  <c r="N47" i="8"/>
  <c r="M47" i="8"/>
  <c r="L47" i="8"/>
  <c r="K47" i="8"/>
  <c r="H47" i="8"/>
  <c r="G47" i="8"/>
  <c r="F47" i="8"/>
  <c r="E47" i="8"/>
  <c r="D47" i="8"/>
  <c r="C47" i="8"/>
  <c r="B47" i="8"/>
  <c r="AA46" i="8"/>
  <c r="O46" i="8" s="1"/>
  <c r="T46" i="8"/>
  <c r="S46" i="8"/>
  <c r="R46" i="8"/>
  <c r="Q46" i="8" s="1"/>
  <c r="P46" i="8"/>
  <c r="N46" i="8"/>
  <c r="M46" i="8"/>
  <c r="L46" i="8"/>
  <c r="K46" i="8"/>
  <c r="H46" i="8"/>
  <c r="G46" i="8"/>
  <c r="F46" i="8"/>
  <c r="E46" i="8"/>
  <c r="D46" i="8"/>
  <c r="C46" i="8"/>
  <c r="B46" i="8"/>
  <c r="AA45" i="8"/>
  <c r="O45" i="8" s="1"/>
  <c r="T45" i="8"/>
  <c r="S45" i="8"/>
  <c r="R45" i="8"/>
  <c r="Q45" i="8" s="1"/>
  <c r="P45" i="8"/>
  <c r="N45" i="8"/>
  <c r="M45" i="8"/>
  <c r="L45" i="8"/>
  <c r="K45" i="8"/>
  <c r="H45" i="8"/>
  <c r="G45" i="8"/>
  <c r="F45" i="8"/>
  <c r="E45" i="8"/>
  <c r="D45" i="8"/>
  <c r="C45" i="8"/>
  <c r="B45" i="8"/>
  <c r="AA44" i="8"/>
  <c r="O44" i="8" s="1"/>
  <c r="T44" i="8"/>
  <c r="S44" i="8"/>
  <c r="R44" i="8"/>
  <c r="Q44" i="8" s="1"/>
  <c r="P44" i="8"/>
  <c r="N44" i="8"/>
  <c r="M44" i="8"/>
  <c r="L44" i="8"/>
  <c r="K44" i="8"/>
  <c r="H44" i="8"/>
  <c r="G44" i="8"/>
  <c r="F44" i="8"/>
  <c r="E44" i="8"/>
  <c r="D44" i="8"/>
  <c r="C44" i="8"/>
  <c r="B44" i="8"/>
  <c r="AA43" i="8"/>
  <c r="O43" i="8" s="1"/>
  <c r="T43" i="8"/>
  <c r="S43" i="8"/>
  <c r="R43" i="8"/>
  <c r="Q43" i="8" s="1"/>
  <c r="P43" i="8"/>
  <c r="N43" i="8"/>
  <c r="M43" i="8"/>
  <c r="L43" i="8"/>
  <c r="K43" i="8"/>
  <c r="H43" i="8"/>
  <c r="G43" i="8"/>
  <c r="F43" i="8"/>
  <c r="E43" i="8"/>
  <c r="D43" i="8"/>
  <c r="C43" i="8"/>
  <c r="B43" i="8"/>
  <c r="AA42" i="8"/>
  <c r="O42" i="8" s="1"/>
  <c r="T42" i="8"/>
  <c r="S42" i="8"/>
  <c r="R42" i="8"/>
  <c r="P42" i="8"/>
  <c r="N42" i="8"/>
  <c r="M42" i="8"/>
  <c r="L42" i="8"/>
  <c r="K42" i="8"/>
  <c r="H42" i="8"/>
  <c r="G42" i="8"/>
  <c r="F42" i="8"/>
  <c r="E42" i="8"/>
  <c r="D42" i="8"/>
  <c r="C42" i="8"/>
  <c r="B42" i="8"/>
  <c r="AA41" i="8"/>
  <c r="O41" i="8" s="1"/>
  <c r="T41" i="8"/>
  <c r="S41" i="8"/>
  <c r="R41" i="8"/>
  <c r="P41" i="8"/>
  <c r="N41" i="8"/>
  <c r="M41" i="8"/>
  <c r="L41" i="8"/>
  <c r="K41" i="8"/>
  <c r="H41" i="8"/>
  <c r="G41" i="8"/>
  <c r="F41" i="8"/>
  <c r="E41" i="8"/>
  <c r="D41" i="8"/>
  <c r="C41" i="8"/>
  <c r="B41" i="8"/>
  <c r="AA40" i="8"/>
  <c r="O40" i="8" s="1"/>
  <c r="T40" i="8"/>
  <c r="S40" i="8"/>
  <c r="R40" i="8"/>
  <c r="Q40" i="8" s="1"/>
  <c r="P40" i="8"/>
  <c r="N40" i="8"/>
  <c r="M40" i="8"/>
  <c r="L40" i="8"/>
  <c r="K40" i="8"/>
  <c r="H40" i="8"/>
  <c r="G40" i="8"/>
  <c r="F40" i="8"/>
  <c r="E40" i="8"/>
  <c r="D40" i="8"/>
  <c r="C40" i="8"/>
  <c r="B40" i="8"/>
  <c r="AA39" i="8"/>
  <c r="T39" i="8"/>
  <c r="S39" i="8"/>
  <c r="R39" i="8"/>
  <c r="P39" i="8"/>
  <c r="O39" i="8"/>
  <c r="N39" i="8"/>
  <c r="M39" i="8"/>
  <c r="L39" i="8"/>
  <c r="K39" i="8"/>
  <c r="H39" i="8"/>
  <c r="G39" i="8"/>
  <c r="F39" i="8"/>
  <c r="E39" i="8"/>
  <c r="D39" i="8"/>
  <c r="C39" i="8"/>
  <c r="B39" i="8"/>
  <c r="AA38" i="8"/>
  <c r="O38" i="8" s="1"/>
  <c r="T38" i="8"/>
  <c r="S38" i="8"/>
  <c r="R38" i="8"/>
  <c r="Q38" i="8" s="1"/>
  <c r="P38" i="8"/>
  <c r="N38" i="8"/>
  <c r="M38" i="8"/>
  <c r="L38" i="8"/>
  <c r="K38" i="8"/>
  <c r="H38" i="8"/>
  <c r="G38" i="8"/>
  <c r="F38" i="8"/>
  <c r="E38" i="8"/>
  <c r="D38" i="8"/>
  <c r="C38" i="8"/>
  <c r="B38" i="8"/>
  <c r="AA37" i="8"/>
  <c r="O37" i="8" s="1"/>
  <c r="T37" i="8"/>
  <c r="S37" i="8"/>
  <c r="R37" i="8"/>
  <c r="P37" i="8"/>
  <c r="N37" i="8"/>
  <c r="M37" i="8"/>
  <c r="L37" i="8"/>
  <c r="K37" i="8"/>
  <c r="H37" i="8"/>
  <c r="G37" i="8"/>
  <c r="F37" i="8"/>
  <c r="E37" i="8"/>
  <c r="D37" i="8"/>
  <c r="C37" i="8"/>
  <c r="B37" i="8"/>
  <c r="AA36" i="8"/>
  <c r="T36" i="8"/>
  <c r="S36" i="8"/>
  <c r="R36" i="8"/>
  <c r="P36" i="8"/>
  <c r="O36" i="8"/>
  <c r="N36" i="8"/>
  <c r="M36" i="8"/>
  <c r="L36" i="8"/>
  <c r="K36" i="8"/>
  <c r="H36" i="8"/>
  <c r="G36" i="8"/>
  <c r="F36" i="8"/>
  <c r="E36" i="8"/>
  <c r="D36" i="8"/>
  <c r="C36" i="8"/>
  <c r="B36" i="8"/>
  <c r="AA35" i="8"/>
  <c r="T35" i="8"/>
  <c r="S35" i="8"/>
  <c r="R35" i="8"/>
  <c r="P35" i="8"/>
  <c r="O35" i="8"/>
  <c r="N35" i="8"/>
  <c r="M35" i="8"/>
  <c r="L35" i="8"/>
  <c r="K35" i="8"/>
  <c r="H35" i="8"/>
  <c r="G35" i="8"/>
  <c r="U35" i="8" s="1"/>
  <c r="F35" i="8"/>
  <c r="E35" i="8"/>
  <c r="D35" i="8"/>
  <c r="C35" i="8"/>
  <c r="B35" i="8"/>
  <c r="AA34" i="8"/>
  <c r="O34" i="8" s="1"/>
  <c r="T34" i="8"/>
  <c r="U34" i="8" s="1"/>
  <c r="S34" i="8"/>
  <c r="R34" i="8"/>
  <c r="P34" i="8"/>
  <c r="N34" i="8"/>
  <c r="M34" i="8"/>
  <c r="L34" i="8"/>
  <c r="K34" i="8"/>
  <c r="H34" i="8"/>
  <c r="G34" i="8"/>
  <c r="F34" i="8"/>
  <c r="E34" i="8"/>
  <c r="D34" i="8"/>
  <c r="C34" i="8"/>
  <c r="B34" i="8"/>
  <c r="AA33" i="8"/>
  <c r="O33" i="8" s="1"/>
  <c r="T33" i="8"/>
  <c r="Z33" i="8" s="1"/>
  <c r="S33" i="8"/>
  <c r="R33" i="8"/>
  <c r="P33" i="8"/>
  <c r="N33" i="8"/>
  <c r="M33" i="8"/>
  <c r="L33" i="8"/>
  <c r="K33" i="8"/>
  <c r="H33" i="8"/>
  <c r="G33" i="8"/>
  <c r="F33" i="8"/>
  <c r="E33" i="8"/>
  <c r="D33" i="8"/>
  <c r="C33" i="8"/>
  <c r="B33" i="8"/>
  <c r="AA32" i="8"/>
  <c r="O32" i="8" s="1"/>
  <c r="T32" i="8"/>
  <c r="S32" i="8"/>
  <c r="R32" i="8"/>
  <c r="Q32" i="8" s="1"/>
  <c r="P32" i="8"/>
  <c r="N32" i="8"/>
  <c r="M32" i="8"/>
  <c r="L32" i="8"/>
  <c r="K32" i="8"/>
  <c r="H32" i="8"/>
  <c r="G32" i="8"/>
  <c r="F32" i="8"/>
  <c r="E32" i="8"/>
  <c r="D32" i="8"/>
  <c r="C32" i="8"/>
  <c r="B32" i="8"/>
  <c r="AA31" i="8"/>
  <c r="O31" i="8" s="1"/>
  <c r="T31" i="8"/>
  <c r="S31" i="8"/>
  <c r="R31" i="8"/>
  <c r="Q31" i="8" s="1"/>
  <c r="P31" i="8"/>
  <c r="N31" i="8"/>
  <c r="M31" i="8"/>
  <c r="L31" i="8"/>
  <c r="K31" i="8"/>
  <c r="H31" i="8"/>
  <c r="G31" i="8"/>
  <c r="F31" i="8"/>
  <c r="E31" i="8"/>
  <c r="D31" i="8"/>
  <c r="C31" i="8"/>
  <c r="B31" i="8"/>
  <c r="AA30" i="8"/>
  <c r="O30" i="8" s="1"/>
  <c r="T30" i="8"/>
  <c r="S30" i="8"/>
  <c r="R30" i="8"/>
  <c r="Q30" i="8" s="1"/>
  <c r="P30" i="8"/>
  <c r="N30" i="8"/>
  <c r="M30" i="8"/>
  <c r="L30" i="8"/>
  <c r="K30" i="8"/>
  <c r="H30" i="8"/>
  <c r="G30" i="8"/>
  <c r="F30" i="8"/>
  <c r="E30" i="8"/>
  <c r="D30" i="8"/>
  <c r="C30" i="8"/>
  <c r="B30" i="8"/>
  <c r="AA29" i="8"/>
  <c r="O29" i="8" s="1"/>
  <c r="T29" i="8"/>
  <c r="S29" i="8"/>
  <c r="R29" i="8"/>
  <c r="Q29" i="8" s="1"/>
  <c r="P29" i="8"/>
  <c r="N29" i="8"/>
  <c r="M29" i="8"/>
  <c r="L29" i="8"/>
  <c r="K29" i="8"/>
  <c r="H29" i="8"/>
  <c r="G29" i="8"/>
  <c r="F29" i="8"/>
  <c r="E29" i="8"/>
  <c r="D29" i="8"/>
  <c r="C29" i="8"/>
  <c r="B29" i="8"/>
  <c r="AA28" i="8"/>
  <c r="O28" i="8" s="1"/>
  <c r="T28" i="8"/>
  <c r="S28" i="8"/>
  <c r="R28" i="8"/>
  <c r="P28" i="8"/>
  <c r="N28" i="8"/>
  <c r="M28" i="8"/>
  <c r="L28" i="8"/>
  <c r="K28" i="8"/>
  <c r="H28" i="8"/>
  <c r="G28" i="8"/>
  <c r="F28" i="8"/>
  <c r="E28" i="8"/>
  <c r="D28" i="8"/>
  <c r="C28" i="8"/>
  <c r="B28" i="8"/>
  <c r="AA27" i="8"/>
  <c r="O27" i="8" s="1"/>
  <c r="T27" i="8"/>
  <c r="S27" i="8"/>
  <c r="R27" i="8"/>
  <c r="P27" i="8"/>
  <c r="N27" i="8"/>
  <c r="M27" i="8"/>
  <c r="L27" i="8"/>
  <c r="K27" i="8"/>
  <c r="H27" i="8"/>
  <c r="G27" i="8"/>
  <c r="F27" i="8"/>
  <c r="E27" i="8"/>
  <c r="D27" i="8"/>
  <c r="C27" i="8"/>
  <c r="B27" i="8"/>
  <c r="AA26" i="8"/>
  <c r="O26" i="8" s="1"/>
  <c r="T26" i="8"/>
  <c r="S26" i="8"/>
  <c r="Q26" i="8" s="1"/>
  <c r="R26" i="8"/>
  <c r="P26" i="8"/>
  <c r="N26" i="8"/>
  <c r="M26" i="8"/>
  <c r="L26" i="8"/>
  <c r="K26" i="8"/>
  <c r="H26" i="8"/>
  <c r="G26" i="8"/>
  <c r="F26" i="8"/>
  <c r="E26" i="8"/>
  <c r="D26" i="8"/>
  <c r="C26" i="8"/>
  <c r="B26" i="8"/>
  <c r="AA25" i="8"/>
  <c r="O25" i="8" s="1"/>
  <c r="T25" i="8"/>
  <c r="S25" i="8"/>
  <c r="R25" i="8"/>
  <c r="P25" i="8"/>
  <c r="N25" i="8"/>
  <c r="M25" i="8"/>
  <c r="L25" i="8"/>
  <c r="K25" i="8"/>
  <c r="H25" i="8"/>
  <c r="G25" i="8"/>
  <c r="F25" i="8"/>
  <c r="E25" i="8"/>
  <c r="D25" i="8"/>
  <c r="C25" i="8"/>
  <c r="B25" i="8"/>
  <c r="AA24" i="8"/>
  <c r="O24" i="8" s="1"/>
  <c r="T24" i="8"/>
  <c r="S24" i="8"/>
  <c r="R24" i="8"/>
  <c r="P24" i="8"/>
  <c r="N24" i="8"/>
  <c r="M24" i="8"/>
  <c r="L24" i="8"/>
  <c r="K24" i="8"/>
  <c r="H24" i="8"/>
  <c r="G24" i="8"/>
  <c r="F24" i="8"/>
  <c r="E24" i="8"/>
  <c r="D24" i="8"/>
  <c r="C24" i="8"/>
  <c r="B24" i="8"/>
  <c r="AA23" i="8"/>
  <c r="O23" i="8" s="1"/>
  <c r="T23" i="8"/>
  <c r="S23" i="8"/>
  <c r="R23" i="8"/>
  <c r="Q23" i="8" s="1"/>
  <c r="P23" i="8"/>
  <c r="N23" i="8"/>
  <c r="M23" i="8"/>
  <c r="L23" i="8"/>
  <c r="K23" i="8"/>
  <c r="H23" i="8"/>
  <c r="G23" i="8"/>
  <c r="F23" i="8"/>
  <c r="E23" i="8"/>
  <c r="D23" i="8"/>
  <c r="C23" i="8"/>
  <c r="B23" i="8"/>
  <c r="AA22" i="8"/>
  <c r="O22" i="8" s="1"/>
  <c r="T22" i="8"/>
  <c r="S22" i="8"/>
  <c r="R22" i="8"/>
  <c r="P22" i="8"/>
  <c r="N22" i="8"/>
  <c r="M22" i="8"/>
  <c r="L22" i="8"/>
  <c r="K22" i="8"/>
  <c r="H22" i="8"/>
  <c r="G22" i="8"/>
  <c r="F22" i="8"/>
  <c r="E22" i="8"/>
  <c r="D22" i="8"/>
  <c r="C22" i="8"/>
  <c r="B22" i="8"/>
  <c r="AA21" i="8"/>
  <c r="O21" i="8" s="1"/>
  <c r="T21" i="8"/>
  <c r="S21" i="8"/>
  <c r="R21" i="8"/>
  <c r="Q21" i="8" s="1"/>
  <c r="P21" i="8"/>
  <c r="N21" i="8"/>
  <c r="M21" i="8"/>
  <c r="L21" i="8"/>
  <c r="K21" i="8"/>
  <c r="H21" i="8"/>
  <c r="G21" i="8"/>
  <c r="F21" i="8"/>
  <c r="E21" i="8"/>
  <c r="D21" i="8"/>
  <c r="C21" i="8"/>
  <c r="B21" i="8"/>
  <c r="AA20" i="8"/>
  <c r="O20" i="8" s="1"/>
  <c r="T20" i="8"/>
  <c r="S20" i="8"/>
  <c r="R20" i="8"/>
  <c r="P20" i="8"/>
  <c r="N20" i="8"/>
  <c r="M20" i="8"/>
  <c r="L20" i="8"/>
  <c r="K20" i="8"/>
  <c r="H20" i="8"/>
  <c r="G20" i="8"/>
  <c r="F20" i="8"/>
  <c r="E20" i="8"/>
  <c r="D20" i="8"/>
  <c r="C20" i="8"/>
  <c r="B20" i="8"/>
  <c r="AA19" i="8"/>
  <c r="T19" i="8"/>
  <c r="S19" i="8"/>
  <c r="R19" i="8"/>
  <c r="P19" i="8"/>
  <c r="O19" i="8"/>
  <c r="N19" i="8"/>
  <c r="M19" i="8"/>
  <c r="L19" i="8"/>
  <c r="K19" i="8"/>
  <c r="H19" i="8"/>
  <c r="G19" i="8"/>
  <c r="F19" i="8"/>
  <c r="E19" i="8"/>
  <c r="D19" i="8"/>
  <c r="C19" i="8"/>
  <c r="B19" i="8"/>
  <c r="AA18" i="8"/>
  <c r="O18" i="8" s="1"/>
  <c r="T18" i="8"/>
  <c r="S18" i="8"/>
  <c r="R18" i="8"/>
  <c r="P18" i="8"/>
  <c r="N18" i="8"/>
  <c r="M18" i="8"/>
  <c r="L18" i="8"/>
  <c r="K18" i="8"/>
  <c r="H18" i="8"/>
  <c r="G18" i="8"/>
  <c r="F18" i="8"/>
  <c r="E18" i="8"/>
  <c r="D18" i="8"/>
  <c r="C18" i="8"/>
  <c r="B18" i="8"/>
  <c r="AA17" i="8"/>
  <c r="O17" i="8" s="1"/>
  <c r="T17" i="8"/>
  <c r="U17" i="8" s="1"/>
  <c r="S17" i="8"/>
  <c r="R17" i="8"/>
  <c r="P17" i="8"/>
  <c r="N17" i="8"/>
  <c r="M17" i="8"/>
  <c r="L17" i="8"/>
  <c r="K17" i="8"/>
  <c r="H17" i="8"/>
  <c r="G17" i="8"/>
  <c r="F17" i="8"/>
  <c r="E17" i="8"/>
  <c r="D17" i="8"/>
  <c r="C17" i="8"/>
  <c r="B17" i="8"/>
  <c r="AA16" i="8"/>
  <c r="O16" i="8" s="1"/>
  <c r="T16" i="8"/>
  <c r="S16" i="8"/>
  <c r="R16" i="8"/>
  <c r="Q16" i="8"/>
  <c r="P16" i="8"/>
  <c r="N16" i="8"/>
  <c r="M16" i="8"/>
  <c r="L16" i="8"/>
  <c r="K16" i="8"/>
  <c r="H16" i="8"/>
  <c r="G16" i="8"/>
  <c r="F16" i="8"/>
  <c r="E16" i="8"/>
  <c r="D16" i="8"/>
  <c r="C16" i="8"/>
  <c r="B16" i="8"/>
  <c r="AA15" i="8"/>
  <c r="O15" i="8" s="1"/>
  <c r="T15" i="8"/>
  <c r="S15" i="8"/>
  <c r="R15" i="8"/>
  <c r="Q15" i="8" s="1"/>
  <c r="P15" i="8"/>
  <c r="N15" i="8"/>
  <c r="M15" i="8"/>
  <c r="L15" i="8"/>
  <c r="K15" i="8"/>
  <c r="H15" i="8"/>
  <c r="G15" i="8"/>
  <c r="F15" i="8"/>
  <c r="E15" i="8"/>
  <c r="D15" i="8"/>
  <c r="C15" i="8"/>
  <c r="B15" i="8"/>
  <c r="AA14" i="8"/>
  <c r="T14" i="8"/>
  <c r="S14" i="8"/>
  <c r="R14" i="8"/>
  <c r="P14" i="8"/>
  <c r="O14" i="8"/>
  <c r="N14" i="8"/>
  <c r="M14" i="8"/>
  <c r="L14" i="8"/>
  <c r="K14" i="8"/>
  <c r="H14" i="8"/>
  <c r="G14" i="8"/>
  <c r="F14" i="8"/>
  <c r="E14" i="8"/>
  <c r="D14" i="8"/>
  <c r="C14" i="8"/>
  <c r="B14" i="8"/>
  <c r="AA13" i="8"/>
  <c r="O13" i="8" s="1"/>
  <c r="T13" i="8"/>
  <c r="S13" i="8"/>
  <c r="R13" i="8"/>
  <c r="Q13" i="8" s="1"/>
  <c r="P13" i="8"/>
  <c r="N13" i="8"/>
  <c r="M13" i="8"/>
  <c r="L13" i="8"/>
  <c r="K13" i="8"/>
  <c r="H13" i="8"/>
  <c r="G13" i="8"/>
  <c r="F13" i="8"/>
  <c r="E13" i="8"/>
  <c r="D13" i="8"/>
  <c r="C13" i="8"/>
  <c r="B13" i="8"/>
  <c r="AA12" i="8"/>
  <c r="O12" i="8" s="1"/>
  <c r="T12" i="8"/>
  <c r="U12" i="8" s="1"/>
  <c r="S12" i="8"/>
  <c r="R12" i="8"/>
  <c r="P12" i="8"/>
  <c r="N12" i="8"/>
  <c r="M12" i="8"/>
  <c r="L12" i="8"/>
  <c r="K12" i="8"/>
  <c r="H12" i="8"/>
  <c r="G12" i="8"/>
  <c r="F12" i="8"/>
  <c r="E12" i="8"/>
  <c r="D12" i="8"/>
  <c r="C12" i="8"/>
  <c r="B12" i="8"/>
  <c r="AA11" i="8"/>
  <c r="O11" i="8" s="1"/>
  <c r="T11" i="8"/>
  <c r="S11" i="8"/>
  <c r="Q11" i="8" s="1"/>
  <c r="R11" i="8"/>
  <c r="P11" i="8"/>
  <c r="N11" i="8"/>
  <c r="M11" i="8"/>
  <c r="L11" i="8"/>
  <c r="K11" i="8"/>
  <c r="H11" i="8"/>
  <c r="G11" i="8"/>
  <c r="F11" i="8"/>
  <c r="E11" i="8"/>
  <c r="D11" i="8"/>
  <c r="C11" i="8"/>
  <c r="B11" i="8"/>
  <c r="AA10" i="8"/>
  <c r="O10" i="8" s="1"/>
  <c r="T10" i="8"/>
  <c r="S10" i="8"/>
  <c r="Q10" i="8" s="1"/>
  <c r="R10" i="8"/>
  <c r="P10" i="8"/>
  <c r="N10" i="8"/>
  <c r="M10" i="8"/>
  <c r="L10" i="8"/>
  <c r="K10" i="8"/>
  <c r="H10" i="8"/>
  <c r="G10" i="8"/>
  <c r="F10" i="8"/>
  <c r="E10" i="8"/>
  <c r="D10" i="8"/>
  <c r="C10" i="8"/>
  <c r="B10" i="8"/>
  <c r="AA9" i="8"/>
  <c r="O9" i="8" s="1"/>
  <c r="T9" i="8"/>
  <c r="S9" i="8"/>
  <c r="R9" i="8"/>
  <c r="P9" i="8"/>
  <c r="N9" i="8"/>
  <c r="M9" i="8"/>
  <c r="L9" i="8"/>
  <c r="K9" i="8"/>
  <c r="H9" i="8"/>
  <c r="G9" i="8"/>
  <c r="F9" i="8"/>
  <c r="E9" i="8"/>
  <c r="D9" i="8"/>
  <c r="C9" i="8"/>
  <c r="B9" i="8"/>
  <c r="AA8" i="8"/>
  <c r="O8" i="8" s="1"/>
  <c r="T8" i="8"/>
  <c r="S8" i="8"/>
  <c r="R8" i="8"/>
  <c r="Q8" i="8" s="1"/>
  <c r="P8" i="8"/>
  <c r="N8" i="8"/>
  <c r="M8" i="8"/>
  <c r="L8" i="8"/>
  <c r="K8" i="8"/>
  <c r="H8" i="8"/>
  <c r="G8" i="8"/>
  <c r="F8" i="8"/>
  <c r="E8" i="8"/>
  <c r="D8" i="8"/>
  <c r="C8" i="8"/>
  <c r="B8" i="8"/>
  <c r="AA7" i="8"/>
  <c r="O7" i="8" s="1"/>
  <c r="T7" i="8"/>
  <c r="S7" i="8"/>
  <c r="R7" i="8"/>
  <c r="P7" i="8"/>
  <c r="N7" i="8"/>
  <c r="M7" i="8"/>
  <c r="L7" i="8"/>
  <c r="K7" i="8"/>
  <c r="H7" i="8"/>
  <c r="G7" i="8"/>
  <c r="F7" i="8"/>
  <c r="E7" i="8"/>
  <c r="D7" i="8"/>
  <c r="C7" i="8"/>
  <c r="B7" i="8"/>
  <c r="AA6" i="8"/>
  <c r="O6" i="8" s="1"/>
  <c r="T6" i="8"/>
  <c r="S6" i="8"/>
  <c r="R6" i="8"/>
  <c r="P6" i="8"/>
  <c r="N6" i="8"/>
  <c r="M6" i="8"/>
  <c r="L6" i="8"/>
  <c r="K6" i="8"/>
  <c r="H6" i="8"/>
  <c r="G6" i="8"/>
  <c r="F6" i="8"/>
  <c r="E6" i="8"/>
  <c r="D6" i="8"/>
  <c r="C6" i="8"/>
  <c r="B6" i="8"/>
  <c r="AA5" i="8"/>
  <c r="O5" i="8" s="1"/>
  <c r="T5" i="8"/>
  <c r="S5" i="8"/>
  <c r="Q5" i="8" s="1"/>
  <c r="R5" i="8"/>
  <c r="P5" i="8"/>
  <c r="N5" i="8"/>
  <c r="M5" i="8"/>
  <c r="L5" i="8"/>
  <c r="K5" i="8"/>
  <c r="H5" i="8"/>
  <c r="G5" i="8"/>
  <c r="F5" i="8"/>
  <c r="E5" i="8"/>
  <c r="D5" i="8"/>
  <c r="C5" i="8"/>
  <c r="B5" i="8"/>
  <c r="AA4" i="8"/>
  <c r="O4" i="8" s="1"/>
  <c r="T4" i="8"/>
  <c r="S4" i="8"/>
  <c r="R4" i="8"/>
  <c r="P4" i="8"/>
  <c r="N4" i="8"/>
  <c r="M4" i="8"/>
  <c r="L4" i="8"/>
  <c r="K4" i="8"/>
  <c r="H4" i="8"/>
  <c r="G4" i="8"/>
  <c r="F4" i="8"/>
  <c r="E4" i="8"/>
  <c r="D4" i="8"/>
  <c r="C4" i="8"/>
  <c r="B4" i="8"/>
  <c r="AA3" i="8"/>
  <c r="T3" i="8"/>
  <c r="S3" i="8"/>
  <c r="R3" i="8"/>
  <c r="Q3" i="8" s="1"/>
  <c r="P3" i="8"/>
  <c r="O3" i="8"/>
  <c r="N3" i="8"/>
  <c r="M3" i="8"/>
  <c r="L3" i="8"/>
  <c r="K3" i="8"/>
  <c r="H3" i="8"/>
  <c r="G3" i="8"/>
  <c r="F3" i="8"/>
  <c r="E3" i="8"/>
  <c r="D3" i="8"/>
  <c r="C3" i="8"/>
  <c r="B3" i="8"/>
  <c r="AA2" i="8"/>
  <c r="O2" i="8" s="1"/>
  <c r="T2" i="8"/>
  <c r="S2" i="8"/>
  <c r="Q2" i="8" s="1"/>
  <c r="R2" i="8"/>
  <c r="P2" i="8"/>
  <c r="N2" i="8"/>
  <c r="M2" i="8"/>
  <c r="L2" i="8"/>
  <c r="K2" i="8"/>
  <c r="H2" i="8"/>
  <c r="G2" i="8"/>
  <c r="F2" i="8"/>
  <c r="E2" i="8"/>
  <c r="D2" i="8"/>
  <c r="C2" i="8"/>
  <c r="B2" i="8"/>
  <c r="M206" i="7"/>
  <c r="M205" i="7"/>
  <c r="M202" i="7"/>
  <c r="Y209" i="7"/>
  <c r="M209" i="7" s="1"/>
  <c r="R209" i="7"/>
  <c r="Q209" i="7"/>
  <c r="P209" i="7"/>
  <c r="O209" i="7" s="1"/>
  <c r="N209" i="7"/>
  <c r="L209" i="7"/>
  <c r="K209" i="7"/>
  <c r="J209" i="7"/>
  <c r="I209" i="7"/>
  <c r="H209" i="7"/>
  <c r="G209" i="7"/>
  <c r="F209" i="7"/>
  <c r="E209" i="7"/>
  <c r="D209" i="7"/>
  <c r="C209" i="7"/>
  <c r="B209" i="7"/>
  <c r="Y208" i="7"/>
  <c r="M208" i="7" s="1"/>
  <c r="R208" i="7"/>
  <c r="Q208" i="7"/>
  <c r="P208" i="7"/>
  <c r="O208" i="7" s="1"/>
  <c r="N208" i="7"/>
  <c r="L208" i="7"/>
  <c r="K208" i="7"/>
  <c r="J208" i="7"/>
  <c r="I208" i="7"/>
  <c r="H208" i="7"/>
  <c r="G208" i="7"/>
  <c r="F208" i="7"/>
  <c r="E208" i="7"/>
  <c r="D208" i="7"/>
  <c r="C208" i="7"/>
  <c r="B208" i="7"/>
  <c r="Y207" i="7"/>
  <c r="M207" i="7" s="1"/>
  <c r="R207" i="7"/>
  <c r="Q207" i="7"/>
  <c r="P207" i="7"/>
  <c r="O207" i="7" s="1"/>
  <c r="N207" i="7"/>
  <c r="L207" i="7"/>
  <c r="K207" i="7"/>
  <c r="J207" i="7"/>
  <c r="I207" i="7"/>
  <c r="H207" i="7"/>
  <c r="G207" i="7"/>
  <c r="F207" i="7"/>
  <c r="E207" i="7"/>
  <c r="D207" i="7"/>
  <c r="C207" i="7"/>
  <c r="B207" i="7"/>
  <c r="Y206" i="7"/>
  <c r="R206" i="7"/>
  <c r="Q206" i="7"/>
  <c r="P206" i="7"/>
  <c r="O206" i="7" s="1"/>
  <c r="N206" i="7"/>
  <c r="L206" i="7"/>
  <c r="K206" i="7"/>
  <c r="J206" i="7"/>
  <c r="I206" i="7"/>
  <c r="T206" i="7" s="1"/>
  <c r="H206" i="7"/>
  <c r="G206" i="7"/>
  <c r="F206" i="7"/>
  <c r="E206" i="7"/>
  <c r="D206" i="7"/>
  <c r="C206" i="7"/>
  <c r="B206" i="7"/>
  <c r="Y205" i="7"/>
  <c r="R205" i="7"/>
  <c r="Q205" i="7"/>
  <c r="P205" i="7"/>
  <c r="O205" i="7"/>
  <c r="N205" i="7"/>
  <c r="L205" i="7"/>
  <c r="K205" i="7"/>
  <c r="J205" i="7"/>
  <c r="I205" i="7"/>
  <c r="T205" i="7" s="1"/>
  <c r="H205" i="7"/>
  <c r="G205" i="7"/>
  <c r="F205" i="7"/>
  <c r="E205" i="7"/>
  <c r="D205" i="7"/>
  <c r="C205" i="7"/>
  <c r="B205" i="7"/>
  <c r="Y204" i="7"/>
  <c r="M204" i="7" s="1"/>
  <c r="R204" i="7"/>
  <c r="Q204" i="7"/>
  <c r="P204" i="7"/>
  <c r="O204" i="7"/>
  <c r="N204" i="7"/>
  <c r="L204" i="7"/>
  <c r="K204" i="7"/>
  <c r="J204" i="7"/>
  <c r="I204" i="7"/>
  <c r="H204" i="7"/>
  <c r="G204" i="7"/>
  <c r="F204" i="7"/>
  <c r="E204" i="7"/>
  <c r="D204" i="7"/>
  <c r="C204" i="7"/>
  <c r="B204" i="7"/>
  <c r="Y203" i="7"/>
  <c r="M203" i="7" s="1"/>
  <c r="R203" i="7"/>
  <c r="Q203" i="7"/>
  <c r="P203" i="7"/>
  <c r="N203" i="7"/>
  <c r="L203" i="7"/>
  <c r="K203" i="7"/>
  <c r="J203" i="7"/>
  <c r="I203" i="7"/>
  <c r="H203" i="7"/>
  <c r="G203" i="7"/>
  <c r="F203" i="7"/>
  <c r="E203" i="7"/>
  <c r="D203" i="7"/>
  <c r="C203" i="7"/>
  <c r="B203" i="7"/>
  <c r="Y202" i="7"/>
  <c r="R202" i="7"/>
  <c r="Q202" i="7"/>
  <c r="P202" i="7"/>
  <c r="O202" i="7" s="1"/>
  <c r="N202" i="7"/>
  <c r="L202" i="7"/>
  <c r="K202" i="7"/>
  <c r="J202" i="7"/>
  <c r="I202" i="7"/>
  <c r="T202" i="7" s="1"/>
  <c r="H202" i="7"/>
  <c r="G202" i="7"/>
  <c r="F202" i="7"/>
  <c r="E202" i="7"/>
  <c r="D202" i="7"/>
  <c r="C202" i="7"/>
  <c r="B202" i="7"/>
  <c r="Y201" i="7"/>
  <c r="M201" i="7" s="1"/>
  <c r="R201" i="7"/>
  <c r="Q201" i="7"/>
  <c r="P201" i="7"/>
  <c r="N201" i="7"/>
  <c r="L201" i="7"/>
  <c r="K201" i="7"/>
  <c r="J201" i="7"/>
  <c r="I201" i="7"/>
  <c r="H201" i="7"/>
  <c r="G201" i="7"/>
  <c r="F201" i="7"/>
  <c r="E201" i="7"/>
  <c r="D201" i="7"/>
  <c r="C201" i="7"/>
  <c r="B201" i="7"/>
  <c r="Y200" i="7"/>
  <c r="M200" i="7" s="1"/>
  <c r="R200" i="7"/>
  <c r="Q200" i="7"/>
  <c r="P200" i="7"/>
  <c r="N200" i="7"/>
  <c r="L200" i="7"/>
  <c r="K200" i="7"/>
  <c r="J200" i="7"/>
  <c r="I200" i="7"/>
  <c r="H200" i="7"/>
  <c r="G200" i="7"/>
  <c r="F200" i="7"/>
  <c r="E200" i="7"/>
  <c r="D200" i="7"/>
  <c r="C200" i="7"/>
  <c r="B200" i="7"/>
  <c r="Y199" i="7"/>
  <c r="M199" i="7" s="1"/>
  <c r="R199" i="7"/>
  <c r="Q199" i="7"/>
  <c r="P199" i="7"/>
  <c r="O199" i="7" s="1"/>
  <c r="N199" i="7"/>
  <c r="L199" i="7"/>
  <c r="K199" i="7"/>
  <c r="J199" i="7"/>
  <c r="I199" i="7"/>
  <c r="H199" i="7"/>
  <c r="G199" i="7"/>
  <c r="F199" i="7"/>
  <c r="E199" i="7"/>
  <c r="D199" i="7"/>
  <c r="C199" i="7"/>
  <c r="B199" i="7"/>
  <c r="Y198" i="7"/>
  <c r="M198" i="7" s="1"/>
  <c r="R198" i="7"/>
  <c r="Q198" i="7"/>
  <c r="P198" i="7"/>
  <c r="N198" i="7"/>
  <c r="L198" i="7"/>
  <c r="K198" i="7"/>
  <c r="J198" i="7"/>
  <c r="I198" i="7"/>
  <c r="H198" i="7"/>
  <c r="G198" i="7"/>
  <c r="F198" i="7"/>
  <c r="E198" i="7"/>
  <c r="D198" i="7"/>
  <c r="C198" i="7"/>
  <c r="B198" i="7"/>
  <c r="Y197" i="7"/>
  <c r="M197" i="7" s="1"/>
  <c r="R197" i="7"/>
  <c r="Q197" i="7"/>
  <c r="P197" i="7"/>
  <c r="O197" i="7" s="1"/>
  <c r="N197" i="7"/>
  <c r="L197" i="7"/>
  <c r="K197" i="7"/>
  <c r="J197" i="7"/>
  <c r="I197" i="7"/>
  <c r="H197" i="7"/>
  <c r="G197" i="7"/>
  <c r="F197" i="7"/>
  <c r="E197" i="7"/>
  <c r="D197" i="7"/>
  <c r="C197" i="7"/>
  <c r="B197" i="7"/>
  <c r="Y196" i="7"/>
  <c r="M196" i="7" s="1"/>
  <c r="R196" i="7"/>
  <c r="Q196" i="7"/>
  <c r="P196" i="7"/>
  <c r="O196" i="7" s="1"/>
  <c r="N196" i="7"/>
  <c r="L196" i="7"/>
  <c r="K196" i="7"/>
  <c r="J196" i="7"/>
  <c r="I196" i="7"/>
  <c r="H196" i="7"/>
  <c r="G196" i="7"/>
  <c r="F196" i="7"/>
  <c r="E196" i="7"/>
  <c r="D196" i="7"/>
  <c r="C196" i="7"/>
  <c r="B196" i="7"/>
  <c r="Y195" i="7"/>
  <c r="M195" i="7" s="1"/>
  <c r="R195" i="7"/>
  <c r="Q195" i="7"/>
  <c r="O195" i="7" s="1"/>
  <c r="P195" i="7"/>
  <c r="N195" i="7"/>
  <c r="L195" i="7"/>
  <c r="K195" i="7"/>
  <c r="J195" i="7"/>
  <c r="I195" i="7"/>
  <c r="H195" i="7"/>
  <c r="G195" i="7"/>
  <c r="F195" i="7"/>
  <c r="E195" i="7"/>
  <c r="D195" i="7"/>
  <c r="C195" i="7"/>
  <c r="B195" i="7"/>
  <c r="Y194" i="7"/>
  <c r="M194" i="7" s="1"/>
  <c r="R194" i="7"/>
  <c r="Q194" i="7"/>
  <c r="P194" i="7"/>
  <c r="O194" i="7" s="1"/>
  <c r="N194" i="7"/>
  <c r="L194" i="7"/>
  <c r="K194" i="7"/>
  <c r="J194" i="7"/>
  <c r="I194" i="7"/>
  <c r="H194" i="7"/>
  <c r="G194" i="7"/>
  <c r="F194" i="7"/>
  <c r="E194" i="7"/>
  <c r="D194" i="7"/>
  <c r="C194" i="7"/>
  <c r="B194" i="7"/>
  <c r="Y193" i="7"/>
  <c r="M193" i="7" s="1"/>
  <c r="R193" i="7"/>
  <c r="Q193" i="7"/>
  <c r="P193" i="7"/>
  <c r="N193" i="7"/>
  <c r="L193" i="7"/>
  <c r="K193" i="7"/>
  <c r="J193" i="7"/>
  <c r="I193" i="7"/>
  <c r="H193" i="7"/>
  <c r="G193" i="7"/>
  <c r="F193" i="7"/>
  <c r="E193" i="7"/>
  <c r="D193" i="7"/>
  <c r="C193" i="7"/>
  <c r="B193" i="7"/>
  <c r="Y192" i="7"/>
  <c r="M192" i="7" s="1"/>
  <c r="R192" i="7"/>
  <c r="Q192" i="7"/>
  <c r="P192" i="7"/>
  <c r="N192" i="7"/>
  <c r="L192" i="7"/>
  <c r="K192" i="7"/>
  <c r="J192" i="7"/>
  <c r="I192" i="7"/>
  <c r="H192" i="7"/>
  <c r="G192" i="7"/>
  <c r="F192" i="7"/>
  <c r="E192" i="7"/>
  <c r="D192" i="7"/>
  <c r="C192" i="7"/>
  <c r="B192" i="7"/>
  <c r="Y191" i="7"/>
  <c r="M191" i="7" s="1"/>
  <c r="R191" i="7"/>
  <c r="Q191" i="7"/>
  <c r="P191" i="7"/>
  <c r="N191" i="7"/>
  <c r="L191" i="7"/>
  <c r="K191" i="7"/>
  <c r="J191" i="7"/>
  <c r="I191" i="7"/>
  <c r="H191" i="7"/>
  <c r="G191" i="7"/>
  <c r="F191" i="7"/>
  <c r="E191" i="7"/>
  <c r="D191" i="7"/>
  <c r="C191" i="7"/>
  <c r="B191" i="7"/>
  <c r="Y190" i="7"/>
  <c r="M190" i="7" s="1"/>
  <c r="R190" i="7"/>
  <c r="Q190" i="7"/>
  <c r="P190" i="7"/>
  <c r="O190" i="7" s="1"/>
  <c r="N190" i="7"/>
  <c r="L190" i="7"/>
  <c r="K190" i="7"/>
  <c r="J190" i="7"/>
  <c r="I190" i="7"/>
  <c r="H190" i="7"/>
  <c r="G190" i="7"/>
  <c r="F190" i="7"/>
  <c r="E190" i="7"/>
  <c r="D190" i="7"/>
  <c r="C190" i="7"/>
  <c r="B190" i="7"/>
  <c r="Y189" i="7"/>
  <c r="M189" i="7" s="1"/>
  <c r="R189" i="7"/>
  <c r="Q189" i="7"/>
  <c r="P189" i="7"/>
  <c r="O189" i="7" s="1"/>
  <c r="N189" i="7"/>
  <c r="L189" i="7"/>
  <c r="K189" i="7"/>
  <c r="J189" i="7"/>
  <c r="I189" i="7"/>
  <c r="H189" i="7"/>
  <c r="G189" i="7"/>
  <c r="F189" i="7"/>
  <c r="E189" i="7"/>
  <c r="D189" i="7"/>
  <c r="C189" i="7"/>
  <c r="B189" i="7"/>
  <c r="Y188" i="7"/>
  <c r="M188" i="7" s="1"/>
  <c r="R188" i="7"/>
  <c r="Q188" i="7"/>
  <c r="P188" i="7"/>
  <c r="O188" i="7" s="1"/>
  <c r="N188" i="7"/>
  <c r="L188" i="7"/>
  <c r="K188" i="7"/>
  <c r="J188" i="7"/>
  <c r="I188" i="7"/>
  <c r="H188" i="7"/>
  <c r="G188" i="7"/>
  <c r="F188" i="7"/>
  <c r="E188" i="7"/>
  <c r="D188" i="7"/>
  <c r="C188" i="7"/>
  <c r="B188" i="7"/>
  <c r="Y187" i="7"/>
  <c r="M187" i="7" s="1"/>
  <c r="R187" i="7"/>
  <c r="Q187" i="7"/>
  <c r="P187" i="7"/>
  <c r="O187" i="7"/>
  <c r="N187" i="7"/>
  <c r="L187" i="7"/>
  <c r="K187" i="7"/>
  <c r="J187" i="7"/>
  <c r="I187" i="7"/>
  <c r="H187" i="7"/>
  <c r="S187" i="7" s="1"/>
  <c r="G187" i="7"/>
  <c r="F187" i="7"/>
  <c r="E187" i="7"/>
  <c r="D187" i="7"/>
  <c r="C187" i="7"/>
  <c r="B187" i="7"/>
  <c r="Y186" i="7"/>
  <c r="M186" i="7" s="1"/>
  <c r="R186" i="7"/>
  <c r="Q186" i="7"/>
  <c r="P186" i="7"/>
  <c r="O186" i="7" s="1"/>
  <c r="N186" i="7"/>
  <c r="L186" i="7"/>
  <c r="K186" i="7"/>
  <c r="J186" i="7"/>
  <c r="I186" i="7"/>
  <c r="H186" i="7"/>
  <c r="G186" i="7"/>
  <c r="F186" i="7"/>
  <c r="E186" i="7"/>
  <c r="D186" i="7"/>
  <c r="C186" i="7"/>
  <c r="B186" i="7"/>
  <c r="Y185" i="7"/>
  <c r="M185" i="7" s="1"/>
  <c r="R185" i="7"/>
  <c r="Q185" i="7"/>
  <c r="P185" i="7"/>
  <c r="O185" i="7"/>
  <c r="N185" i="7"/>
  <c r="L185" i="7"/>
  <c r="K185" i="7"/>
  <c r="J185" i="7"/>
  <c r="I185" i="7"/>
  <c r="H185" i="7"/>
  <c r="G185" i="7"/>
  <c r="F185" i="7"/>
  <c r="E185" i="7"/>
  <c r="D185" i="7"/>
  <c r="C185" i="7"/>
  <c r="B185" i="7"/>
  <c r="Y184" i="7"/>
  <c r="M184" i="7" s="1"/>
  <c r="R184" i="7"/>
  <c r="Q184" i="7"/>
  <c r="P184" i="7"/>
  <c r="O184" i="7"/>
  <c r="N184" i="7"/>
  <c r="L184" i="7"/>
  <c r="K184" i="7"/>
  <c r="J184" i="7"/>
  <c r="I184" i="7"/>
  <c r="H184" i="7"/>
  <c r="G184" i="7"/>
  <c r="F184" i="7"/>
  <c r="E184" i="7"/>
  <c r="D184" i="7"/>
  <c r="C184" i="7"/>
  <c r="B184" i="7"/>
  <c r="Y183" i="7"/>
  <c r="M183" i="7" s="1"/>
  <c r="R183" i="7"/>
  <c r="Q183" i="7"/>
  <c r="P183" i="7"/>
  <c r="N183" i="7"/>
  <c r="L183" i="7"/>
  <c r="K183" i="7"/>
  <c r="J183" i="7"/>
  <c r="I183" i="7"/>
  <c r="H183" i="7"/>
  <c r="G183" i="7"/>
  <c r="F183" i="7"/>
  <c r="E183" i="7"/>
  <c r="D183" i="7"/>
  <c r="C183" i="7"/>
  <c r="B183" i="7"/>
  <c r="Y182" i="7"/>
  <c r="M182" i="7" s="1"/>
  <c r="R182" i="7"/>
  <c r="Q182" i="7"/>
  <c r="P182" i="7"/>
  <c r="O182" i="7" s="1"/>
  <c r="N182" i="7"/>
  <c r="L182" i="7"/>
  <c r="K182" i="7"/>
  <c r="J182" i="7"/>
  <c r="I182" i="7"/>
  <c r="H182" i="7"/>
  <c r="G182" i="7"/>
  <c r="F182" i="7"/>
  <c r="E182" i="7"/>
  <c r="D182" i="7"/>
  <c r="C182" i="7"/>
  <c r="B182" i="7"/>
  <c r="Y181" i="7"/>
  <c r="M181" i="7" s="1"/>
  <c r="R181" i="7"/>
  <c r="Q181" i="7"/>
  <c r="P181" i="7"/>
  <c r="N181" i="7"/>
  <c r="L181" i="7"/>
  <c r="K181" i="7"/>
  <c r="J181" i="7"/>
  <c r="I181" i="7"/>
  <c r="H181" i="7"/>
  <c r="G181" i="7"/>
  <c r="F181" i="7"/>
  <c r="E181" i="7"/>
  <c r="D181" i="7"/>
  <c r="C181" i="7"/>
  <c r="B181" i="7"/>
  <c r="Y180" i="7"/>
  <c r="M180" i="7" s="1"/>
  <c r="R180" i="7"/>
  <c r="Q180" i="7"/>
  <c r="P180" i="7"/>
  <c r="N180" i="7"/>
  <c r="L180" i="7"/>
  <c r="K180" i="7"/>
  <c r="J180" i="7"/>
  <c r="I180" i="7"/>
  <c r="H180" i="7"/>
  <c r="G180" i="7"/>
  <c r="F180" i="7"/>
  <c r="E180" i="7"/>
  <c r="D180" i="7"/>
  <c r="C180" i="7"/>
  <c r="B180" i="7"/>
  <c r="Y179" i="7"/>
  <c r="M179" i="7" s="1"/>
  <c r="R179" i="7"/>
  <c r="Q179" i="7"/>
  <c r="P179" i="7"/>
  <c r="O179" i="7" s="1"/>
  <c r="N179" i="7"/>
  <c r="L179" i="7"/>
  <c r="K179" i="7"/>
  <c r="J179" i="7"/>
  <c r="I179" i="7"/>
  <c r="H179" i="7"/>
  <c r="S179" i="7" s="1"/>
  <c r="G179" i="7"/>
  <c r="F179" i="7"/>
  <c r="E179" i="7"/>
  <c r="D179" i="7"/>
  <c r="C179" i="7"/>
  <c r="B179" i="7"/>
  <c r="Y178" i="7"/>
  <c r="M178" i="7" s="1"/>
  <c r="R178" i="7"/>
  <c r="Q178" i="7"/>
  <c r="P178" i="7"/>
  <c r="O178" i="7" s="1"/>
  <c r="N178" i="7"/>
  <c r="L178" i="7"/>
  <c r="K178" i="7"/>
  <c r="J178" i="7"/>
  <c r="I178" i="7"/>
  <c r="H178" i="7"/>
  <c r="G178" i="7"/>
  <c r="F178" i="7"/>
  <c r="E178" i="7"/>
  <c r="D178" i="7"/>
  <c r="C178" i="7"/>
  <c r="B178" i="7"/>
  <c r="Y177" i="7"/>
  <c r="M177" i="7" s="1"/>
  <c r="R177" i="7"/>
  <c r="Q177" i="7"/>
  <c r="P177" i="7"/>
  <c r="O177" i="7" s="1"/>
  <c r="N177" i="7"/>
  <c r="L177" i="7"/>
  <c r="K177" i="7"/>
  <c r="J177" i="7"/>
  <c r="I177" i="7"/>
  <c r="H177" i="7"/>
  <c r="S177" i="7" s="1"/>
  <c r="G177" i="7"/>
  <c r="F177" i="7"/>
  <c r="E177" i="7"/>
  <c r="D177" i="7"/>
  <c r="C177" i="7"/>
  <c r="B177" i="7"/>
  <c r="Y176" i="7"/>
  <c r="M176" i="7" s="1"/>
  <c r="R176" i="7"/>
  <c r="Q176" i="7"/>
  <c r="P176" i="7"/>
  <c r="O176" i="7" s="1"/>
  <c r="N176" i="7"/>
  <c r="L176" i="7"/>
  <c r="K176" i="7"/>
  <c r="J176" i="7"/>
  <c r="I176" i="7"/>
  <c r="H176" i="7"/>
  <c r="G176" i="7"/>
  <c r="F176" i="7"/>
  <c r="E176" i="7"/>
  <c r="D176" i="7"/>
  <c r="C176" i="7"/>
  <c r="B176" i="7"/>
  <c r="Y175" i="7"/>
  <c r="M175" i="7" s="1"/>
  <c r="R175" i="7"/>
  <c r="Q175" i="7"/>
  <c r="O175" i="7" s="1"/>
  <c r="P175" i="7"/>
  <c r="N175" i="7"/>
  <c r="L175" i="7"/>
  <c r="K175" i="7"/>
  <c r="J175" i="7"/>
  <c r="I175" i="7"/>
  <c r="H175" i="7"/>
  <c r="G175" i="7"/>
  <c r="F175" i="7"/>
  <c r="E175" i="7"/>
  <c r="D175" i="7"/>
  <c r="C175" i="7"/>
  <c r="B175" i="7"/>
  <c r="Y174" i="7"/>
  <c r="M174" i="7" s="1"/>
  <c r="R174" i="7"/>
  <c r="Q174" i="7"/>
  <c r="P174" i="7"/>
  <c r="O174" i="7"/>
  <c r="N174" i="7"/>
  <c r="L174" i="7"/>
  <c r="K174" i="7"/>
  <c r="J174" i="7"/>
  <c r="I174" i="7"/>
  <c r="H174" i="7"/>
  <c r="G174" i="7"/>
  <c r="F174" i="7"/>
  <c r="E174" i="7"/>
  <c r="D174" i="7"/>
  <c r="C174" i="7"/>
  <c r="B174" i="7"/>
  <c r="Y173" i="7"/>
  <c r="M173" i="7" s="1"/>
  <c r="R173" i="7"/>
  <c r="Q173" i="7"/>
  <c r="P173" i="7"/>
  <c r="N173" i="7"/>
  <c r="L173" i="7"/>
  <c r="K173" i="7"/>
  <c r="J173" i="7"/>
  <c r="I173" i="7"/>
  <c r="H173" i="7"/>
  <c r="G173" i="7"/>
  <c r="F173" i="7"/>
  <c r="E173" i="7"/>
  <c r="D173" i="7"/>
  <c r="C173" i="7"/>
  <c r="B173" i="7"/>
  <c r="Y172" i="7"/>
  <c r="M172" i="7" s="1"/>
  <c r="R172" i="7"/>
  <c r="Q172" i="7"/>
  <c r="P172" i="7"/>
  <c r="N172" i="7"/>
  <c r="L172" i="7"/>
  <c r="K172" i="7"/>
  <c r="J172" i="7"/>
  <c r="I172" i="7"/>
  <c r="H172" i="7"/>
  <c r="G172" i="7"/>
  <c r="F172" i="7"/>
  <c r="E172" i="7"/>
  <c r="D172" i="7"/>
  <c r="C172" i="7"/>
  <c r="B172" i="7"/>
  <c r="Y171" i="7"/>
  <c r="M171" i="7" s="1"/>
  <c r="R171" i="7"/>
  <c r="Q171" i="7"/>
  <c r="P171" i="7"/>
  <c r="N171" i="7"/>
  <c r="L171" i="7"/>
  <c r="K171" i="7"/>
  <c r="J171" i="7"/>
  <c r="I171" i="7"/>
  <c r="H171" i="7"/>
  <c r="G171" i="7"/>
  <c r="F171" i="7"/>
  <c r="E171" i="7"/>
  <c r="D171" i="7"/>
  <c r="C171" i="7"/>
  <c r="B171" i="7"/>
  <c r="Y170" i="7"/>
  <c r="M170" i="7" s="1"/>
  <c r="R170" i="7"/>
  <c r="Q170" i="7"/>
  <c r="P170" i="7"/>
  <c r="O170" i="7" s="1"/>
  <c r="N170" i="7"/>
  <c r="L170" i="7"/>
  <c r="K170" i="7"/>
  <c r="J170" i="7"/>
  <c r="I170" i="7"/>
  <c r="H170" i="7"/>
  <c r="G170" i="7"/>
  <c r="F170" i="7"/>
  <c r="E170" i="7"/>
  <c r="D170" i="7"/>
  <c r="C170" i="7"/>
  <c r="B170" i="7"/>
  <c r="Y169" i="7"/>
  <c r="M169" i="7" s="1"/>
  <c r="R169" i="7"/>
  <c r="Q169" i="7"/>
  <c r="P169" i="7"/>
  <c r="O169" i="7" s="1"/>
  <c r="N169" i="7"/>
  <c r="L169" i="7"/>
  <c r="K169" i="7"/>
  <c r="J169" i="7"/>
  <c r="I169" i="7"/>
  <c r="H169" i="7"/>
  <c r="G169" i="7"/>
  <c r="F169" i="7"/>
  <c r="E169" i="7"/>
  <c r="D169" i="7"/>
  <c r="C169" i="7"/>
  <c r="B169" i="7"/>
  <c r="Y168" i="7"/>
  <c r="M168" i="7" s="1"/>
  <c r="R168" i="7"/>
  <c r="Q168" i="7"/>
  <c r="P168" i="7"/>
  <c r="O168" i="7" s="1"/>
  <c r="N168" i="7"/>
  <c r="L168" i="7"/>
  <c r="K168" i="7"/>
  <c r="J168" i="7"/>
  <c r="I168" i="7"/>
  <c r="H168" i="7"/>
  <c r="G168" i="7"/>
  <c r="F168" i="7"/>
  <c r="E168" i="7"/>
  <c r="D168" i="7"/>
  <c r="C168" i="7"/>
  <c r="B168" i="7"/>
  <c r="Y167" i="7"/>
  <c r="M167" i="7" s="1"/>
  <c r="R167" i="7"/>
  <c r="Q167" i="7"/>
  <c r="O167" i="7" s="1"/>
  <c r="P167" i="7"/>
  <c r="N167" i="7"/>
  <c r="L167" i="7"/>
  <c r="K167" i="7"/>
  <c r="J167" i="7"/>
  <c r="I167" i="7"/>
  <c r="H167" i="7"/>
  <c r="G167" i="7"/>
  <c r="F167" i="7"/>
  <c r="E167" i="7"/>
  <c r="D167" i="7"/>
  <c r="C167" i="7"/>
  <c r="B167" i="7"/>
  <c r="Y166" i="7"/>
  <c r="M166" i="7" s="1"/>
  <c r="R166" i="7"/>
  <c r="Q166" i="7"/>
  <c r="P166" i="7"/>
  <c r="O166" i="7" s="1"/>
  <c r="N166" i="7"/>
  <c r="L166" i="7"/>
  <c r="K166" i="7"/>
  <c r="J166" i="7"/>
  <c r="I166" i="7"/>
  <c r="H166" i="7"/>
  <c r="G166" i="7"/>
  <c r="F166" i="7"/>
  <c r="E166" i="7"/>
  <c r="D166" i="7"/>
  <c r="C166" i="7"/>
  <c r="B166" i="7"/>
  <c r="Y165" i="7"/>
  <c r="M165" i="7" s="1"/>
  <c r="R165" i="7"/>
  <c r="Q165" i="7"/>
  <c r="P165" i="7"/>
  <c r="O165" i="7"/>
  <c r="N165" i="7"/>
  <c r="L165" i="7"/>
  <c r="K165" i="7"/>
  <c r="J165" i="7"/>
  <c r="I165" i="7"/>
  <c r="H165" i="7"/>
  <c r="G165" i="7"/>
  <c r="F165" i="7"/>
  <c r="E165" i="7"/>
  <c r="D165" i="7"/>
  <c r="C165" i="7"/>
  <c r="B165" i="7"/>
  <c r="Y164" i="7"/>
  <c r="M164" i="7" s="1"/>
  <c r="R164" i="7"/>
  <c r="Q164" i="7"/>
  <c r="O164" i="7" s="1"/>
  <c r="P164" i="7"/>
  <c r="N164" i="7"/>
  <c r="L164" i="7"/>
  <c r="K164" i="7"/>
  <c r="J164" i="7"/>
  <c r="I164" i="7"/>
  <c r="H164" i="7"/>
  <c r="G164" i="7"/>
  <c r="F164" i="7"/>
  <c r="E164" i="7"/>
  <c r="D164" i="7"/>
  <c r="C164" i="7"/>
  <c r="B164" i="7"/>
  <c r="Y163" i="7"/>
  <c r="M163" i="7" s="1"/>
  <c r="R163" i="7"/>
  <c r="Q163" i="7"/>
  <c r="P163" i="7"/>
  <c r="N163" i="7"/>
  <c r="L163" i="7"/>
  <c r="K163" i="7"/>
  <c r="J163" i="7"/>
  <c r="I163" i="7"/>
  <c r="H163" i="7"/>
  <c r="G163" i="7"/>
  <c r="F163" i="7"/>
  <c r="E163" i="7"/>
  <c r="D163" i="7"/>
  <c r="C163" i="7"/>
  <c r="B163" i="7"/>
  <c r="Y162" i="7"/>
  <c r="M162" i="7" s="1"/>
  <c r="R162" i="7"/>
  <c r="Q162" i="7"/>
  <c r="P162" i="7"/>
  <c r="O162" i="7" s="1"/>
  <c r="N162" i="7"/>
  <c r="L162" i="7"/>
  <c r="K162" i="7"/>
  <c r="J162" i="7"/>
  <c r="I162" i="7"/>
  <c r="H162" i="7"/>
  <c r="G162" i="7"/>
  <c r="F162" i="7"/>
  <c r="E162" i="7"/>
  <c r="D162" i="7"/>
  <c r="C162" i="7"/>
  <c r="B162" i="7"/>
  <c r="Y161" i="7"/>
  <c r="M161" i="7" s="1"/>
  <c r="R161" i="7"/>
  <c r="Q161" i="7"/>
  <c r="P161" i="7"/>
  <c r="N161" i="7"/>
  <c r="L161" i="7"/>
  <c r="K161" i="7"/>
  <c r="J161" i="7"/>
  <c r="I161" i="7"/>
  <c r="H161" i="7"/>
  <c r="G161" i="7"/>
  <c r="F161" i="7"/>
  <c r="E161" i="7"/>
  <c r="D161" i="7"/>
  <c r="C161" i="7"/>
  <c r="B161" i="7"/>
  <c r="Y160" i="7"/>
  <c r="M160" i="7" s="1"/>
  <c r="R160" i="7"/>
  <c r="Q160" i="7"/>
  <c r="P160" i="7"/>
  <c r="N160" i="7"/>
  <c r="L160" i="7"/>
  <c r="K160" i="7"/>
  <c r="J160" i="7"/>
  <c r="I160" i="7"/>
  <c r="H160" i="7"/>
  <c r="G160" i="7"/>
  <c r="F160" i="7"/>
  <c r="E160" i="7"/>
  <c r="D160" i="7"/>
  <c r="C160" i="7"/>
  <c r="B160" i="7"/>
  <c r="Y159" i="7"/>
  <c r="M159" i="7" s="1"/>
  <c r="R159" i="7"/>
  <c r="Q159" i="7"/>
  <c r="P159" i="7"/>
  <c r="O159" i="7" s="1"/>
  <c r="N159" i="7"/>
  <c r="L159" i="7"/>
  <c r="K159" i="7"/>
  <c r="J159" i="7"/>
  <c r="I159" i="7"/>
  <c r="H159" i="7"/>
  <c r="G159" i="7"/>
  <c r="F159" i="7"/>
  <c r="E159" i="7"/>
  <c r="D159" i="7"/>
  <c r="C159" i="7"/>
  <c r="B159" i="7"/>
  <c r="Y158" i="7"/>
  <c r="M158" i="7" s="1"/>
  <c r="R158" i="7"/>
  <c r="Q158" i="7"/>
  <c r="P158" i="7"/>
  <c r="N158" i="7"/>
  <c r="L158" i="7"/>
  <c r="K158" i="7"/>
  <c r="J158" i="7"/>
  <c r="I158" i="7"/>
  <c r="H158" i="7"/>
  <c r="G158" i="7"/>
  <c r="F158" i="7"/>
  <c r="E158" i="7"/>
  <c r="D158" i="7"/>
  <c r="C158" i="7"/>
  <c r="B158" i="7"/>
  <c r="Y157" i="7"/>
  <c r="M157" i="7" s="1"/>
  <c r="R157" i="7"/>
  <c r="Q157" i="7"/>
  <c r="P157" i="7"/>
  <c r="O157" i="7" s="1"/>
  <c r="N157" i="7"/>
  <c r="L157" i="7"/>
  <c r="K157" i="7"/>
  <c r="J157" i="7"/>
  <c r="I157" i="7"/>
  <c r="H157" i="7"/>
  <c r="G157" i="7"/>
  <c r="F157" i="7"/>
  <c r="E157" i="7"/>
  <c r="D157" i="7"/>
  <c r="C157" i="7"/>
  <c r="B157" i="7"/>
  <c r="Y156" i="7"/>
  <c r="M156" i="7" s="1"/>
  <c r="R156" i="7"/>
  <c r="Q156" i="7"/>
  <c r="P156" i="7"/>
  <c r="O156" i="7" s="1"/>
  <c r="N156" i="7"/>
  <c r="L156" i="7"/>
  <c r="K156" i="7"/>
  <c r="J156" i="7"/>
  <c r="I156" i="7"/>
  <c r="H156" i="7"/>
  <c r="G156" i="7"/>
  <c r="F156" i="7"/>
  <c r="E156" i="7"/>
  <c r="D156" i="7"/>
  <c r="C156" i="7"/>
  <c r="B156" i="7"/>
  <c r="Y155" i="7"/>
  <c r="M155" i="7" s="1"/>
  <c r="R155" i="7"/>
  <c r="Q155" i="7"/>
  <c r="P155" i="7"/>
  <c r="N155" i="7"/>
  <c r="L155" i="7"/>
  <c r="K155" i="7"/>
  <c r="J155" i="7"/>
  <c r="I155" i="7"/>
  <c r="H155" i="7"/>
  <c r="G155" i="7"/>
  <c r="F155" i="7"/>
  <c r="E155" i="7"/>
  <c r="D155" i="7"/>
  <c r="C155" i="7"/>
  <c r="B155" i="7"/>
  <c r="Y154" i="7"/>
  <c r="M154" i="7" s="1"/>
  <c r="R154" i="7"/>
  <c r="Q154" i="7"/>
  <c r="P154" i="7"/>
  <c r="O154" i="7"/>
  <c r="N154" i="7"/>
  <c r="L154" i="7"/>
  <c r="K154" i="7"/>
  <c r="J154" i="7"/>
  <c r="I154" i="7"/>
  <c r="T154" i="7" s="1"/>
  <c r="H154" i="7"/>
  <c r="G154" i="7"/>
  <c r="F154" i="7"/>
  <c r="E154" i="7"/>
  <c r="D154" i="7"/>
  <c r="C154" i="7"/>
  <c r="B154" i="7"/>
  <c r="Y153" i="7"/>
  <c r="M153" i="7" s="1"/>
  <c r="R153" i="7"/>
  <c r="Q153" i="7"/>
  <c r="P153" i="7"/>
  <c r="N153" i="7"/>
  <c r="L153" i="7"/>
  <c r="K153" i="7"/>
  <c r="J153" i="7"/>
  <c r="I153" i="7"/>
  <c r="H153" i="7"/>
  <c r="G153" i="7"/>
  <c r="F153" i="7"/>
  <c r="E153" i="7"/>
  <c r="D153" i="7"/>
  <c r="C153" i="7"/>
  <c r="B153" i="7"/>
  <c r="Y152" i="7"/>
  <c r="M152" i="7" s="1"/>
  <c r="R152" i="7"/>
  <c r="Q152" i="7"/>
  <c r="P152" i="7"/>
  <c r="N152" i="7"/>
  <c r="L152" i="7"/>
  <c r="K152" i="7"/>
  <c r="J152" i="7"/>
  <c r="I152" i="7"/>
  <c r="H152" i="7"/>
  <c r="G152" i="7"/>
  <c r="F152" i="7"/>
  <c r="E152" i="7"/>
  <c r="D152" i="7"/>
  <c r="C152" i="7"/>
  <c r="B152" i="7"/>
  <c r="Y151" i="7"/>
  <c r="M151" i="7" s="1"/>
  <c r="R151" i="7"/>
  <c r="Q151" i="7"/>
  <c r="P151" i="7"/>
  <c r="N151" i="7"/>
  <c r="L151" i="7"/>
  <c r="K151" i="7"/>
  <c r="J151" i="7"/>
  <c r="I151" i="7"/>
  <c r="H151" i="7"/>
  <c r="G151" i="7"/>
  <c r="F151" i="7"/>
  <c r="E151" i="7"/>
  <c r="D151" i="7"/>
  <c r="C151" i="7"/>
  <c r="B151" i="7"/>
  <c r="Y150" i="7"/>
  <c r="M150" i="7" s="1"/>
  <c r="R150" i="7"/>
  <c r="Q150" i="7"/>
  <c r="P150" i="7"/>
  <c r="O150" i="7" s="1"/>
  <c r="N150" i="7"/>
  <c r="L150" i="7"/>
  <c r="K150" i="7"/>
  <c r="J150" i="7"/>
  <c r="I150" i="7"/>
  <c r="H150" i="7"/>
  <c r="G150" i="7"/>
  <c r="F150" i="7"/>
  <c r="E150" i="7"/>
  <c r="D150" i="7"/>
  <c r="C150" i="7"/>
  <c r="B150" i="7"/>
  <c r="Y149" i="7"/>
  <c r="M149" i="7" s="1"/>
  <c r="R149" i="7"/>
  <c r="Q149" i="7"/>
  <c r="P149" i="7"/>
  <c r="O149" i="7"/>
  <c r="N149" i="7"/>
  <c r="L149" i="7"/>
  <c r="K149" i="7"/>
  <c r="J149" i="7"/>
  <c r="I149" i="7"/>
  <c r="H149" i="7"/>
  <c r="G149" i="7"/>
  <c r="F149" i="7"/>
  <c r="E149" i="7"/>
  <c r="D149" i="7"/>
  <c r="C149" i="7"/>
  <c r="B149" i="7"/>
  <c r="Y148" i="7"/>
  <c r="M148" i="7" s="1"/>
  <c r="R148" i="7"/>
  <c r="Q148" i="7"/>
  <c r="P148" i="7"/>
  <c r="N148" i="7"/>
  <c r="L148" i="7"/>
  <c r="K148" i="7"/>
  <c r="J148" i="7"/>
  <c r="I148" i="7"/>
  <c r="H148" i="7"/>
  <c r="G148" i="7"/>
  <c r="F148" i="7"/>
  <c r="E148" i="7"/>
  <c r="D148" i="7"/>
  <c r="C148" i="7"/>
  <c r="B148" i="7"/>
  <c r="Y147" i="7"/>
  <c r="M147" i="7" s="1"/>
  <c r="R147" i="7"/>
  <c r="Q147" i="7"/>
  <c r="P147" i="7"/>
  <c r="O147" i="7" s="1"/>
  <c r="N147" i="7"/>
  <c r="L147" i="7"/>
  <c r="K147" i="7"/>
  <c r="J147" i="7"/>
  <c r="I147" i="7"/>
  <c r="H147" i="7"/>
  <c r="G147" i="7"/>
  <c r="F147" i="7"/>
  <c r="E147" i="7"/>
  <c r="D147" i="7"/>
  <c r="C147" i="7"/>
  <c r="B147" i="7"/>
  <c r="Y146" i="7"/>
  <c r="M146" i="7" s="1"/>
  <c r="R146" i="7"/>
  <c r="Q146" i="7"/>
  <c r="P146" i="7"/>
  <c r="O146" i="7"/>
  <c r="N146" i="7"/>
  <c r="L146" i="7"/>
  <c r="K146" i="7"/>
  <c r="J146" i="7"/>
  <c r="I146" i="7"/>
  <c r="T146" i="7" s="1"/>
  <c r="H146" i="7"/>
  <c r="G146" i="7"/>
  <c r="F146" i="7"/>
  <c r="E146" i="7"/>
  <c r="D146" i="7"/>
  <c r="C146" i="7"/>
  <c r="B146" i="7"/>
  <c r="Y145" i="7"/>
  <c r="M145" i="7" s="1"/>
  <c r="R145" i="7"/>
  <c r="Q145" i="7"/>
  <c r="O145" i="7" s="1"/>
  <c r="P145" i="7"/>
  <c r="N145" i="7"/>
  <c r="L145" i="7"/>
  <c r="K145" i="7"/>
  <c r="J145" i="7"/>
  <c r="I145" i="7"/>
  <c r="H145" i="7"/>
  <c r="G145" i="7"/>
  <c r="F145" i="7"/>
  <c r="E145" i="7"/>
  <c r="D145" i="7"/>
  <c r="C145" i="7"/>
  <c r="B145" i="7"/>
  <c r="Y144" i="7"/>
  <c r="M144" i="7" s="1"/>
  <c r="R144" i="7"/>
  <c r="Q144" i="7"/>
  <c r="P144" i="7"/>
  <c r="O144" i="7" s="1"/>
  <c r="N144" i="7"/>
  <c r="L144" i="7"/>
  <c r="K144" i="7"/>
  <c r="J144" i="7"/>
  <c r="I144" i="7"/>
  <c r="H144" i="7"/>
  <c r="G144" i="7"/>
  <c r="F144" i="7"/>
  <c r="E144" i="7"/>
  <c r="D144" i="7"/>
  <c r="C144" i="7"/>
  <c r="B144" i="7"/>
  <c r="Y143" i="7"/>
  <c r="M143" i="7" s="1"/>
  <c r="R143" i="7"/>
  <c r="Q143" i="7"/>
  <c r="P143" i="7"/>
  <c r="O143" i="7"/>
  <c r="N143" i="7"/>
  <c r="L143" i="7"/>
  <c r="K143" i="7"/>
  <c r="J143" i="7"/>
  <c r="I143" i="7"/>
  <c r="H143" i="7"/>
  <c r="G143" i="7"/>
  <c r="F143" i="7"/>
  <c r="E143" i="7"/>
  <c r="D143" i="7"/>
  <c r="C143" i="7"/>
  <c r="B143" i="7"/>
  <c r="Y142" i="7"/>
  <c r="M142" i="7" s="1"/>
  <c r="R142" i="7"/>
  <c r="Q142" i="7"/>
  <c r="P142" i="7"/>
  <c r="O142" i="7" s="1"/>
  <c r="N142" i="7"/>
  <c r="L142" i="7"/>
  <c r="K142" i="7"/>
  <c r="J142" i="7"/>
  <c r="I142" i="7"/>
  <c r="H142" i="7"/>
  <c r="G142" i="7"/>
  <c r="F142" i="7"/>
  <c r="E142" i="7"/>
  <c r="D142" i="7"/>
  <c r="C142" i="7"/>
  <c r="B142" i="7"/>
  <c r="Y141" i="7"/>
  <c r="M141" i="7" s="1"/>
  <c r="R141" i="7"/>
  <c r="Q141" i="7"/>
  <c r="P141" i="7"/>
  <c r="N141" i="7"/>
  <c r="L141" i="7"/>
  <c r="K141" i="7"/>
  <c r="J141" i="7"/>
  <c r="I141" i="7"/>
  <c r="H141" i="7"/>
  <c r="G141" i="7"/>
  <c r="F141" i="7"/>
  <c r="E141" i="7"/>
  <c r="D141" i="7"/>
  <c r="C141" i="7"/>
  <c r="B141" i="7"/>
  <c r="Y140" i="7"/>
  <c r="M140" i="7" s="1"/>
  <c r="R140" i="7"/>
  <c r="Q140" i="7"/>
  <c r="P140" i="7"/>
  <c r="O140" i="7"/>
  <c r="N140" i="7"/>
  <c r="L140" i="7"/>
  <c r="K140" i="7"/>
  <c r="J140" i="7"/>
  <c r="I140" i="7"/>
  <c r="H140" i="7"/>
  <c r="G140" i="7"/>
  <c r="F140" i="7"/>
  <c r="E140" i="7"/>
  <c r="D140" i="7"/>
  <c r="C140" i="7"/>
  <c r="B140" i="7"/>
  <c r="Y139" i="7"/>
  <c r="M139" i="7" s="1"/>
  <c r="R139" i="7"/>
  <c r="Q139" i="7"/>
  <c r="O139" i="7" s="1"/>
  <c r="P139" i="7"/>
  <c r="N139" i="7"/>
  <c r="L139" i="7"/>
  <c r="K139" i="7"/>
  <c r="J139" i="7"/>
  <c r="I139" i="7"/>
  <c r="H139" i="7"/>
  <c r="G139" i="7"/>
  <c r="F139" i="7"/>
  <c r="E139" i="7"/>
  <c r="D139" i="7"/>
  <c r="C139" i="7"/>
  <c r="B139" i="7"/>
  <c r="Y138" i="7"/>
  <c r="M138" i="7" s="1"/>
  <c r="R138" i="7"/>
  <c r="Q138" i="7"/>
  <c r="P138" i="7"/>
  <c r="N138" i="7"/>
  <c r="L138" i="7"/>
  <c r="K138" i="7"/>
  <c r="J138" i="7"/>
  <c r="I138" i="7"/>
  <c r="T138" i="7" s="1"/>
  <c r="H138" i="7"/>
  <c r="G138" i="7"/>
  <c r="F138" i="7"/>
  <c r="E138" i="7"/>
  <c r="D138" i="7"/>
  <c r="C138" i="7"/>
  <c r="B138" i="7"/>
  <c r="Y137" i="7"/>
  <c r="M137" i="7" s="1"/>
  <c r="R137" i="7"/>
  <c r="Q137" i="7"/>
  <c r="P137" i="7"/>
  <c r="O137" i="7"/>
  <c r="N137" i="7"/>
  <c r="L137" i="7"/>
  <c r="K137" i="7"/>
  <c r="J137" i="7"/>
  <c r="I137" i="7"/>
  <c r="H137" i="7"/>
  <c r="G137" i="7"/>
  <c r="F137" i="7"/>
  <c r="E137" i="7"/>
  <c r="D137" i="7"/>
  <c r="C137" i="7"/>
  <c r="B137" i="7"/>
  <c r="Y136" i="7"/>
  <c r="M136" i="7" s="1"/>
  <c r="R136" i="7"/>
  <c r="Q136" i="7"/>
  <c r="O136" i="7" s="1"/>
  <c r="P136" i="7"/>
  <c r="N136" i="7"/>
  <c r="L136" i="7"/>
  <c r="K136" i="7"/>
  <c r="J136" i="7"/>
  <c r="I136" i="7"/>
  <c r="H136" i="7"/>
  <c r="G136" i="7"/>
  <c r="F136" i="7"/>
  <c r="E136" i="7"/>
  <c r="D136" i="7"/>
  <c r="C136" i="7"/>
  <c r="B136" i="7"/>
  <c r="Y135" i="7"/>
  <c r="M135" i="7" s="1"/>
  <c r="R135" i="7"/>
  <c r="Q135" i="7"/>
  <c r="P135" i="7"/>
  <c r="O135" i="7" s="1"/>
  <c r="N135" i="7"/>
  <c r="L135" i="7"/>
  <c r="K135" i="7"/>
  <c r="J135" i="7"/>
  <c r="I135" i="7"/>
  <c r="H135" i="7"/>
  <c r="G135" i="7"/>
  <c r="F135" i="7"/>
  <c r="E135" i="7"/>
  <c r="D135" i="7"/>
  <c r="C135" i="7"/>
  <c r="B135" i="7"/>
  <c r="Y134" i="7"/>
  <c r="M134" i="7" s="1"/>
  <c r="R134" i="7"/>
  <c r="Q134" i="7"/>
  <c r="P134" i="7"/>
  <c r="O134" i="7"/>
  <c r="N134" i="7"/>
  <c r="L134" i="7"/>
  <c r="K134" i="7"/>
  <c r="J134" i="7"/>
  <c r="I134" i="7"/>
  <c r="H134" i="7"/>
  <c r="G134" i="7"/>
  <c r="F134" i="7"/>
  <c r="E134" i="7"/>
  <c r="D134" i="7"/>
  <c r="C134" i="7"/>
  <c r="B134" i="7"/>
  <c r="Y133" i="7"/>
  <c r="M133" i="7" s="1"/>
  <c r="R133" i="7"/>
  <c r="Q133" i="7"/>
  <c r="P133" i="7"/>
  <c r="O133" i="7" s="1"/>
  <c r="N133" i="7"/>
  <c r="L133" i="7"/>
  <c r="K133" i="7"/>
  <c r="J133" i="7"/>
  <c r="I133" i="7"/>
  <c r="H133" i="7"/>
  <c r="G133" i="7"/>
  <c r="F133" i="7"/>
  <c r="E133" i="7"/>
  <c r="D133" i="7"/>
  <c r="C133" i="7"/>
  <c r="B133" i="7"/>
  <c r="Y132" i="7"/>
  <c r="M132" i="7" s="1"/>
  <c r="R132" i="7"/>
  <c r="Q132" i="7"/>
  <c r="P132" i="7"/>
  <c r="N132" i="7"/>
  <c r="L132" i="7"/>
  <c r="K132" i="7"/>
  <c r="J132" i="7"/>
  <c r="I132" i="7"/>
  <c r="H132" i="7"/>
  <c r="G132" i="7"/>
  <c r="F132" i="7"/>
  <c r="E132" i="7"/>
  <c r="D132" i="7"/>
  <c r="C132" i="7"/>
  <c r="B132" i="7"/>
  <c r="Y131" i="7"/>
  <c r="M131" i="7" s="1"/>
  <c r="R131" i="7"/>
  <c r="Q131" i="7"/>
  <c r="P131" i="7"/>
  <c r="N131" i="7"/>
  <c r="L131" i="7"/>
  <c r="K131" i="7"/>
  <c r="J131" i="7"/>
  <c r="I131" i="7"/>
  <c r="H131" i="7"/>
  <c r="G131" i="7"/>
  <c r="F131" i="7"/>
  <c r="E131" i="7"/>
  <c r="D131" i="7"/>
  <c r="C131" i="7"/>
  <c r="B131" i="7"/>
  <c r="Y130" i="7"/>
  <c r="M130" i="7" s="1"/>
  <c r="R130" i="7"/>
  <c r="Q130" i="7"/>
  <c r="O130" i="7" s="1"/>
  <c r="P130" i="7"/>
  <c r="N130" i="7"/>
  <c r="L130" i="7"/>
  <c r="K130" i="7"/>
  <c r="J130" i="7"/>
  <c r="I130" i="7"/>
  <c r="T130" i="7" s="1"/>
  <c r="H130" i="7"/>
  <c r="G130" i="7"/>
  <c r="F130" i="7"/>
  <c r="E130" i="7"/>
  <c r="D130" i="7"/>
  <c r="C130" i="7"/>
  <c r="B130" i="7"/>
  <c r="Y129" i="7"/>
  <c r="M129" i="7" s="1"/>
  <c r="R129" i="7"/>
  <c r="Q129" i="7"/>
  <c r="O129" i="7" s="1"/>
  <c r="P129" i="7"/>
  <c r="N129" i="7"/>
  <c r="L129" i="7"/>
  <c r="K129" i="7"/>
  <c r="J129" i="7"/>
  <c r="I129" i="7"/>
  <c r="H129" i="7"/>
  <c r="G129" i="7"/>
  <c r="F129" i="7"/>
  <c r="E129" i="7"/>
  <c r="D129" i="7"/>
  <c r="C129" i="7"/>
  <c r="B129" i="7"/>
  <c r="Y128" i="7"/>
  <c r="M128" i="7" s="1"/>
  <c r="R128" i="7"/>
  <c r="Q128" i="7"/>
  <c r="P128" i="7"/>
  <c r="O128" i="7" s="1"/>
  <c r="N128" i="7"/>
  <c r="L128" i="7"/>
  <c r="K128" i="7"/>
  <c r="J128" i="7"/>
  <c r="I128" i="7"/>
  <c r="H128" i="7"/>
  <c r="G128" i="7"/>
  <c r="F128" i="7"/>
  <c r="E128" i="7"/>
  <c r="D128" i="7"/>
  <c r="C128" i="7"/>
  <c r="B128" i="7"/>
  <c r="Y127" i="7"/>
  <c r="M127" i="7" s="1"/>
  <c r="R127" i="7"/>
  <c r="Q127" i="7"/>
  <c r="P127" i="7"/>
  <c r="O127" i="7" s="1"/>
  <c r="N127" i="7"/>
  <c r="L127" i="7"/>
  <c r="K127" i="7"/>
  <c r="J127" i="7"/>
  <c r="I127" i="7"/>
  <c r="H127" i="7"/>
  <c r="G127" i="7"/>
  <c r="F127" i="7"/>
  <c r="E127" i="7"/>
  <c r="D127" i="7"/>
  <c r="C127" i="7"/>
  <c r="B127" i="7"/>
  <c r="Y126" i="7"/>
  <c r="M126" i="7" s="1"/>
  <c r="R126" i="7"/>
  <c r="Q126" i="7"/>
  <c r="P126" i="7"/>
  <c r="O126" i="7" s="1"/>
  <c r="N126" i="7"/>
  <c r="L126" i="7"/>
  <c r="K126" i="7"/>
  <c r="J126" i="7"/>
  <c r="I126" i="7"/>
  <c r="H126" i="7"/>
  <c r="G126" i="7"/>
  <c r="F126" i="7"/>
  <c r="E126" i="7"/>
  <c r="D126" i="7"/>
  <c r="C126" i="7"/>
  <c r="B126" i="7"/>
  <c r="Y125" i="7"/>
  <c r="M125" i="7" s="1"/>
  <c r="R125" i="7"/>
  <c r="Q125" i="7"/>
  <c r="P125" i="7"/>
  <c r="N125" i="7"/>
  <c r="L125" i="7"/>
  <c r="K125" i="7"/>
  <c r="J125" i="7"/>
  <c r="I125" i="7"/>
  <c r="T125" i="7" s="1"/>
  <c r="H125" i="7"/>
  <c r="G125" i="7"/>
  <c r="F125" i="7"/>
  <c r="E125" i="7"/>
  <c r="D125" i="7"/>
  <c r="C125" i="7"/>
  <c r="B125" i="7"/>
  <c r="Y124" i="7"/>
  <c r="M124" i="7" s="1"/>
  <c r="R124" i="7"/>
  <c r="Q124" i="7"/>
  <c r="P124" i="7"/>
  <c r="O124" i="7" s="1"/>
  <c r="N124" i="7"/>
  <c r="L124" i="7"/>
  <c r="K124" i="7"/>
  <c r="J124" i="7"/>
  <c r="I124" i="7"/>
  <c r="H124" i="7"/>
  <c r="G124" i="7"/>
  <c r="F124" i="7"/>
  <c r="E124" i="7"/>
  <c r="D124" i="7"/>
  <c r="C124" i="7"/>
  <c r="B124" i="7"/>
  <c r="Y123" i="7"/>
  <c r="M123" i="7" s="1"/>
  <c r="R123" i="7"/>
  <c r="Q123" i="7"/>
  <c r="P123" i="7"/>
  <c r="O123" i="7" s="1"/>
  <c r="N123" i="7"/>
  <c r="L123" i="7"/>
  <c r="K123" i="7"/>
  <c r="J123" i="7"/>
  <c r="I123" i="7"/>
  <c r="H123" i="7"/>
  <c r="G123" i="7"/>
  <c r="F123" i="7"/>
  <c r="E123" i="7"/>
  <c r="D123" i="7"/>
  <c r="C123" i="7"/>
  <c r="B123" i="7"/>
  <c r="Y122" i="7"/>
  <c r="M122" i="7" s="1"/>
  <c r="R122" i="7"/>
  <c r="Q122" i="7"/>
  <c r="P122" i="7"/>
  <c r="N122" i="7"/>
  <c r="L122" i="7"/>
  <c r="K122" i="7"/>
  <c r="J122" i="7"/>
  <c r="I122" i="7"/>
  <c r="H122" i="7"/>
  <c r="G122" i="7"/>
  <c r="F122" i="7"/>
  <c r="E122" i="7"/>
  <c r="D122" i="7"/>
  <c r="C122" i="7"/>
  <c r="B122" i="7"/>
  <c r="Y121" i="7"/>
  <c r="M121" i="7" s="1"/>
  <c r="R121" i="7"/>
  <c r="Q121" i="7"/>
  <c r="P121" i="7"/>
  <c r="N121" i="7"/>
  <c r="L121" i="7"/>
  <c r="K121" i="7"/>
  <c r="J121" i="7"/>
  <c r="I121" i="7"/>
  <c r="H121" i="7"/>
  <c r="G121" i="7"/>
  <c r="F121" i="7"/>
  <c r="E121" i="7"/>
  <c r="D121" i="7"/>
  <c r="C121" i="7"/>
  <c r="B121" i="7"/>
  <c r="Y120" i="7"/>
  <c r="M120" i="7" s="1"/>
  <c r="R120" i="7"/>
  <c r="Q120" i="7"/>
  <c r="P120" i="7"/>
  <c r="O120" i="7" s="1"/>
  <c r="N120" i="7"/>
  <c r="L120" i="7"/>
  <c r="K120" i="7"/>
  <c r="J120" i="7"/>
  <c r="I120" i="7"/>
  <c r="T120" i="7" s="1"/>
  <c r="H120" i="7"/>
  <c r="G120" i="7"/>
  <c r="F120" i="7"/>
  <c r="E120" i="7"/>
  <c r="D120" i="7"/>
  <c r="C120" i="7"/>
  <c r="B120" i="7"/>
  <c r="Y119" i="7"/>
  <c r="M119" i="7" s="1"/>
  <c r="R119" i="7"/>
  <c r="Q119" i="7"/>
  <c r="P119" i="7"/>
  <c r="N119" i="7"/>
  <c r="L119" i="7"/>
  <c r="K119" i="7"/>
  <c r="J119" i="7"/>
  <c r="I119" i="7"/>
  <c r="H119" i="7"/>
  <c r="G119" i="7"/>
  <c r="F119" i="7"/>
  <c r="E119" i="7"/>
  <c r="D119" i="7"/>
  <c r="C119" i="7"/>
  <c r="B119" i="7"/>
  <c r="Y118" i="7"/>
  <c r="M118" i="7" s="1"/>
  <c r="R118" i="7"/>
  <c r="Q118" i="7"/>
  <c r="P118" i="7"/>
  <c r="O118" i="7" s="1"/>
  <c r="N118" i="7"/>
  <c r="L118" i="7"/>
  <c r="K118" i="7"/>
  <c r="J118" i="7"/>
  <c r="I118" i="7"/>
  <c r="H118" i="7"/>
  <c r="G118" i="7"/>
  <c r="F118" i="7"/>
  <c r="E118" i="7"/>
  <c r="D118" i="7"/>
  <c r="C118" i="7"/>
  <c r="B118" i="7"/>
  <c r="Y117" i="7"/>
  <c r="M117" i="7" s="1"/>
  <c r="R117" i="7"/>
  <c r="Q117" i="7"/>
  <c r="O117" i="7" s="1"/>
  <c r="P117" i="7"/>
  <c r="N117" i="7"/>
  <c r="L117" i="7"/>
  <c r="K117" i="7"/>
  <c r="J117" i="7"/>
  <c r="I117" i="7"/>
  <c r="H117" i="7"/>
  <c r="G117" i="7"/>
  <c r="F117" i="7"/>
  <c r="E117" i="7"/>
  <c r="D117" i="7"/>
  <c r="C117" i="7"/>
  <c r="B117" i="7"/>
  <c r="Y116" i="7"/>
  <c r="M116" i="7" s="1"/>
  <c r="R116" i="7"/>
  <c r="Q116" i="7"/>
  <c r="P116" i="7"/>
  <c r="O116" i="7" s="1"/>
  <c r="N116" i="7"/>
  <c r="L116" i="7"/>
  <c r="K116" i="7"/>
  <c r="J116" i="7"/>
  <c r="I116" i="7"/>
  <c r="H116" i="7"/>
  <c r="G116" i="7"/>
  <c r="F116" i="7"/>
  <c r="E116" i="7"/>
  <c r="D116" i="7"/>
  <c r="C116" i="7"/>
  <c r="B116" i="7"/>
  <c r="Y115" i="7"/>
  <c r="M115" i="7" s="1"/>
  <c r="R115" i="7"/>
  <c r="Q115" i="7"/>
  <c r="P115" i="7"/>
  <c r="N115" i="7"/>
  <c r="L115" i="7"/>
  <c r="K115" i="7"/>
  <c r="J115" i="7"/>
  <c r="I115" i="7"/>
  <c r="T115" i="7" s="1"/>
  <c r="H115" i="7"/>
  <c r="G115" i="7"/>
  <c r="F115" i="7"/>
  <c r="E115" i="7"/>
  <c r="D115" i="7"/>
  <c r="C115" i="7"/>
  <c r="B115" i="7"/>
  <c r="Y114" i="7"/>
  <c r="M114" i="7" s="1"/>
  <c r="R114" i="7"/>
  <c r="Q114" i="7"/>
  <c r="O114" i="7" s="1"/>
  <c r="P114" i="7"/>
  <c r="N114" i="7"/>
  <c r="L114" i="7"/>
  <c r="K114" i="7"/>
  <c r="J114" i="7"/>
  <c r="I114" i="7"/>
  <c r="H114" i="7"/>
  <c r="G114" i="7"/>
  <c r="F114" i="7"/>
  <c r="E114" i="7"/>
  <c r="D114" i="7"/>
  <c r="C114" i="7"/>
  <c r="B114" i="7"/>
  <c r="Y113" i="7"/>
  <c r="M113" i="7" s="1"/>
  <c r="R113" i="7"/>
  <c r="Q113" i="7"/>
  <c r="P113" i="7"/>
  <c r="O113" i="7" s="1"/>
  <c r="N113" i="7"/>
  <c r="L113" i="7"/>
  <c r="K113" i="7"/>
  <c r="J113" i="7"/>
  <c r="I113" i="7"/>
  <c r="H113" i="7"/>
  <c r="G113" i="7"/>
  <c r="F113" i="7"/>
  <c r="E113" i="7"/>
  <c r="D113" i="7"/>
  <c r="C113" i="7"/>
  <c r="B113" i="7"/>
  <c r="Y112" i="7"/>
  <c r="M112" i="7" s="1"/>
  <c r="R112" i="7"/>
  <c r="Q112" i="7"/>
  <c r="P112" i="7"/>
  <c r="O112" i="7" s="1"/>
  <c r="N112" i="7"/>
  <c r="L112" i="7"/>
  <c r="K112" i="7"/>
  <c r="J112" i="7"/>
  <c r="I112" i="7"/>
  <c r="H112" i="7"/>
  <c r="G112" i="7"/>
  <c r="F112" i="7"/>
  <c r="E112" i="7"/>
  <c r="D112" i="7"/>
  <c r="C112" i="7"/>
  <c r="B112" i="7"/>
  <c r="Y111" i="7"/>
  <c r="M111" i="7" s="1"/>
  <c r="R111" i="7"/>
  <c r="Q111" i="7"/>
  <c r="P111" i="7"/>
  <c r="N111" i="7"/>
  <c r="L111" i="7"/>
  <c r="K111" i="7"/>
  <c r="J111" i="7"/>
  <c r="I111" i="7"/>
  <c r="H111" i="7"/>
  <c r="G111" i="7"/>
  <c r="F111" i="7"/>
  <c r="E111" i="7"/>
  <c r="D111" i="7"/>
  <c r="C111" i="7"/>
  <c r="B111" i="7"/>
  <c r="Y110" i="7"/>
  <c r="M110" i="7" s="1"/>
  <c r="R110" i="7"/>
  <c r="Q110" i="7"/>
  <c r="P110" i="7"/>
  <c r="O110" i="7" s="1"/>
  <c r="N110" i="7"/>
  <c r="L110" i="7"/>
  <c r="K110" i="7"/>
  <c r="J110" i="7"/>
  <c r="I110" i="7"/>
  <c r="T110" i="7" s="1"/>
  <c r="H110" i="7"/>
  <c r="G110" i="7"/>
  <c r="F110" i="7"/>
  <c r="E110" i="7"/>
  <c r="D110" i="7"/>
  <c r="C110" i="7"/>
  <c r="B110" i="7"/>
  <c r="Y109" i="7"/>
  <c r="M109" i="7" s="1"/>
  <c r="R109" i="7"/>
  <c r="Q109" i="7"/>
  <c r="P109" i="7"/>
  <c r="N109" i="7"/>
  <c r="L109" i="7"/>
  <c r="K109" i="7"/>
  <c r="J109" i="7"/>
  <c r="I109" i="7"/>
  <c r="H109" i="7"/>
  <c r="G109" i="7"/>
  <c r="F109" i="7"/>
  <c r="E109" i="7"/>
  <c r="D109" i="7"/>
  <c r="C109" i="7"/>
  <c r="B109" i="7"/>
  <c r="Y108" i="7"/>
  <c r="M108" i="7" s="1"/>
  <c r="R108" i="7"/>
  <c r="Q108" i="7"/>
  <c r="P108" i="7"/>
  <c r="N108" i="7"/>
  <c r="L108" i="7"/>
  <c r="K108" i="7"/>
  <c r="J108" i="7"/>
  <c r="I108" i="7"/>
  <c r="H108" i="7"/>
  <c r="G108" i="7"/>
  <c r="F108" i="7"/>
  <c r="E108" i="7"/>
  <c r="D108" i="7"/>
  <c r="C108" i="7"/>
  <c r="B108" i="7"/>
  <c r="Y107" i="7"/>
  <c r="M107" i="7" s="1"/>
  <c r="R107" i="7"/>
  <c r="Q107" i="7"/>
  <c r="P107" i="7"/>
  <c r="O107" i="7" s="1"/>
  <c r="N107" i="7"/>
  <c r="L107" i="7"/>
  <c r="K107" i="7"/>
  <c r="J107" i="7"/>
  <c r="I107" i="7"/>
  <c r="H107" i="7"/>
  <c r="G107" i="7"/>
  <c r="F107" i="7"/>
  <c r="E107" i="7"/>
  <c r="D107" i="7"/>
  <c r="C107" i="7"/>
  <c r="B107" i="7"/>
  <c r="Y106" i="7"/>
  <c r="M106" i="7" s="1"/>
  <c r="R106" i="7"/>
  <c r="Q106" i="7"/>
  <c r="P106" i="7"/>
  <c r="O106" i="7"/>
  <c r="N106" i="7"/>
  <c r="L106" i="7"/>
  <c r="K106" i="7"/>
  <c r="J106" i="7"/>
  <c r="I106" i="7"/>
  <c r="H106" i="7"/>
  <c r="G106" i="7"/>
  <c r="F106" i="7"/>
  <c r="E106" i="7"/>
  <c r="D106" i="7"/>
  <c r="C106" i="7"/>
  <c r="B106" i="7"/>
  <c r="Y105" i="7"/>
  <c r="M105" i="7" s="1"/>
  <c r="R105" i="7"/>
  <c r="Q105" i="7"/>
  <c r="O105" i="7" s="1"/>
  <c r="P105" i="7"/>
  <c r="N105" i="7"/>
  <c r="L105" i="7"/>
  <c r="K105" i="7"/>
  <c r="J105" i="7"/>
  <c r="I105" i="7"/>
  <c r="H105" i="7"/>
  <c r="G105" i="7"/>
  <c r="F105" i="7"/>
  <c r="E105" i="7"/>
  <c r="D105" i="7"/>
  <c r="C105" i="7"/>
  <c r="B105" i="7"/>
  <c r="Y104" i="7"/>
  <c r="M104" i="7" s="1"/>
  <c r="R104" i="7"/>
  <c r="Q104" i="7"/>
  <c r="P104" i="7"/>
  <c r="O104" i="7" s="1"/>
  <c r="N104" i="7"/>
  <c r="L104" i="7"/>
  <c r="K104" i="7"/>
  <c r="J104" i="7"/>
  <c r="I104" i="7"/>
  <c r="H104" i="7"/>
  <c r="G104" i="7"/>
  <c r="F104" i="7"/>
  <c r="E104" i="7"/>
  <c r="D104" i="7"/>
  <c r="C104" i="7"/>
  <c r="B104" i="7"/>
  <c r="Y103" i="7"/>
  <c r="M103" i="7" s="1"/>
  <c r="R103" i="7"/>
  <c r="Q103" i="7"/>
  <c r="P103" i="7"/>
  <c r="N103" i="7"/>
  <c r="L103" i="7"/>
  <c r="K103" i="7"/>
  <c r="J103" i="7"/>
  <c r="I103" i="7"/>
  <c r="H103" i="7"/>
  <c r="G103" i="7"/>
  <c r="F103" i="7"/>
  <c r="E103" i="7"/>
  <c r="D103" i="7"/>
  <c r="C103" i="7"/>
  <c r="B103" i="7"/>
  <c r="Y102" i="7"/>
  <c r="M102" i="7" s="1"/>
  <c r="R102" i="7"/>
  <c r="Q102" i="7"/>
  <c r="P102" i="7"/>
  <c r="N102" i="7"/>
  <c r="L102" i="7"/>
  <c r="K102" i="7"/>
  <c r="J102" i="7"/>
  <c r="I102" i="7"/>
  <c r="H102" i="7"/>
  <c r="G102" i="7"/>
  <c r="F102" i="7"/>
  <c r="E102" i="7"/>
  <c r="D102" i="7"/>
  <c r="C102" i="7"/>
  <c r="B102" i="7"/>
  <c r="Y101" i="7"/>
  <c r="M101" i="7" s="1"/>
  <c r="R101" i="7"/>
  <c r="Q101" i="7"/>
  <c r="P101" i="7"/>
  <c r="N101" i="7"/>
  <c r="L101" i="7"/>
  <c r="K101" i="7"/>
  <c r="J101" i="7"/>
  <c r="I101" i="7"/>
  <c r="H101" i="7"/>
  <c r="G101" i="7"/>
  <c r="F101" i="7"/>
  <c r="E101" i="7"/>
  <c r="D101" i="7"/>
  <c r="C101" i="7"/>
  <c r="B101" i="7"/>
  <c r="Y100" i="7"/>
  <c r="M100" i="7" s="1"/>
  <c r="R100" i="7"/>
  <c r="Q100" i="7"/>
  <c r="P100" i="7"/>
  <c r="O100" i="7" s="1"/>
  <c r="N100" i="7"/>
  <c r="L100" i="7"/>
  <c r="K100" i="7"/>
  <c r="J100" i="7"/>
  <c r="I100" i="7"/>
  <c r="H100" i="7"/>
  <c r="G100" i="7"/>
  <c r="F100" i="7"/>
  <c r="E100" i="7"/>
  <c r="D100" i="7"/>
  <c r="C100" i="7"/>
  <c r="B100" i="7"/>
  <c r="Y99" i="7"/>
  <c r="M99" i="7" s="1"/>
  <c r="R99" i="7"/>
  <c r="Q99" i="7"/>
  <c r="P99" i="7"/>
  <c r="N99" i="7"/>
  <c r="L99" i="7"/>
  <c r="K99" i="7"/>
  <c r="J99" i="7"/>
  <c r="I99" i="7"/>
  <c r="H99" i="7"/>
  <c r="G99" i="7"/>
  <c r="F99" i="7"/>
  <c r="E99" i="7"/>
  <c r="D99" i="7"/>
  <c r="C99" i="7"/>
  <c r="B99" i="7"/>
  <c r="Y98" i="7"/>
  <c r="M98" i="7" s="1"/>
  <c r="R98" i="7"/>
  <c r="Q98" i="7"/>
  <c r="P98" i="7"/>
  <c r="O98" i="7" s="1"/>
  <c r="N98" i="7"/>
  <c r="L98" i="7"/>
  <c r="K98" i="7"/>
  <c r="J98" i="7"/>
  <c r="I98" i="7"/>
  <c r="H98" i="7"/>
  <c r="G98" i="7"/>
  <c r="F98" i="7"/>
  <c r="E98" i="7"/>
  <c r="D98" i="7"/>
  <c r="C98" i="7"/>
  <c r="B98" i="7"/>
  <c r="Y97" i="7"/>
  <c r="M97" i="7" s="1"/>
  <c r="R97" i="7"/>
  <c r="Q97" i="7"/>
  <c r="P97" i="7"/>
  <c r="O97" i="7"/>
  <c r="N97" i="7"/>
  <c r="L97" i="7"/>
  <c r="K97" i="7"/>
  <c r="J97" i="7"/>
  <c r="I97" i="7"/>
  <c r="H97" i="7"/>
  <c r="G97" i="7"/>
  <c r="F97" i="7"/>
  <c r="E97" i="7"/>
  <c r="D97" i="7"/>
  <c r="C97" i="7"/>
  <c r="B97" i="7"/>
  <c r="Y96" i="7"/>
  <c r="M96" i="7" s="1"/>
  <c r="R96" i="7"/>
  <c r="Q96" i="7"/>
  <c r="O96" i="7" s="1"/>
  <c r="P96" i="7"/>
  <c r="N96" i="7"/>
  <c r="L96" i="7"/>
  <c r="K96" i="7"/>
  <c r="J96" i="7"/>
  <c r="I96" i="7"/>
  <c r="H96" i="7"/>
  <c r="G96" i="7"/>
  <c r="F96" i="7"/>
  <c r="E96" i="7"/>
  <c r="D96" i="7"/>
  <c r="C96" i="7"/>
  <c r="B96" i="7"/>
  <c r="Y95" i="7"/>
  <c r="M95" i="7" s="1"/>
  <c r="R95" i="7"/>
  <c r="Q95" i="7"/>
  <c r="P95" i="7"/>
  <c r="O95" i="7"/>
  <c r="N95" i="7"/>
  <c r="L95" i="7"/>
  <c r="K95" i="7"/>
  <c r="J95" i="7"/>
  <c r="I95" i="7"/>
  <c r="H95" i="7"/>
  <c r="G95" i="7"/>
  <c r="F95" i="7"/>
  <c r="E95" i="7"/>
  <c r="D95" i="7"/>
  <c r="C95" i="7"/>
  <c r="B95" i="7"/>
  <c r="Y94" i="7"/>
  <c r="M94" i="7" s="1"/>
  <c r="R94" i="7"/>
  <c r="Q94" i="7"/>
  <c r="P94" i="7"/>
  <c r="N94" i="7"/>
  <c r="L94" i="7"/>
  <c r="K94" i="7"/>
  <c r="J94" i="7"/>
  <c r="I94" i="7"/>
  <c r="H94" i="7"/>
  <c r="G94" i="7"/>
  <c r="F94" i="7"/>
  <c r="E94" i="7"/>
  <c r="D94" i="7"/>
  <c r="C94" i="7"/>
  <c r="B94" i="7"/>
  <c r="Y93" i="7"/>
  <c r="M93" i="7" s="1"/>
  <c r="R93" i="7"/>
  <c r="Q93" i="7"/>
  <c r="P93" i="7"/>
  <c r="N93" i="7"/>
  <c r="L93" i="7"/>
  <c r="K93" i="7"/>
  <c r="J93" i="7"/>
  <c r="I93" i="7"/>
  <c r="H93" i="7"/>
  <c r="G93" i="7"/>
  <c r="F93" i="7"/>
  <c r="E93" i="7"/>
  <c r="D93" i="7"/>
  <c r="C93" i="7"/>
  <c r="B93" i="7"/>
  <c r="Y92" i="7"/>
  <c r="M92" i="7" s="1"/>
  <c r="R92" i="7"/>
  <c r="Q92" i="7"/>
  <c r="P92" i="7"/>
  <c r="N92" i="7"/>
  <c r="L92" i="7"/>
  <c r="K92" i="7"/>
  <c r="J92" i="7"/>
  <c r="I92" i="7"/>
  <c r="H92" i="7"/>
  <c r="G92" i="7"/>
  <c r="F92" i="7"/>
  <c r="E92" i="7"/>
  <c r="D92" i="7"/>
  <c r="C92" i="7"/>
  <c r="B92" i="7"/>
  <c r="Y91" i="7"/>
  <c r="M91" i="7" s="1"/>
  <c r="R91" i="7"/>
  <c r="Q91" i="7"/>
  <c r="P91" i="7"/>
  <c r="N91" i="7"/>
  <c r="L91" i="7"/>
  <c r="K91" i="7"/>
  <c r="J91" i="7"/>
  <c r="I91" i="7"/>
  <c r="H91" i="7"/>
  <c r="G91" i="7"/>
  <c r="F91" i="7"/>
  <c r="E91" i="7"/>
  <c r="D91" i="7"/>
  <c r="C91" i="7"/>
  <c r="B91" i="7"/>
  <c r="Y90" i="7"/>
  <c r="M90" i="7" s="1"/>
  <c r="R90" i="7"/>
  <c r="Q90" i="7"/>
  <c r="P90" i="7"/>
  <c r="O90" i="7" s="1"/>
  <c r="N90" i="7"/>
  <c r="L90" i="7"/>
  <c r="K90" i="7"/>
  <c r="J90" i="7"/>
  <c r="I90" i="7"/>
  <c r="H90" i="7"/>
  <c r="G90" i="7"/>
  <c r="F90" i="7"/>
  <c r="E90" i="7"/>
  <c r="D90" i="7"/>
  <c r="C90" i="7"/>
  <c r="B90" i="7"/>
  <c r="Y89" i="7"/>
  <c r="M89" i="7" s="1"/>
  <c r="R89" i="7"/>
  <c r="Q89" i="7"/>
  <c r="P89" i="7"/>
  <c r="O89" i="7" s="1"/>
  <c r="N89" i="7"/>
  <c r="L89" i="7"/>
  <c r="K89" i="7"/>
  <c r="J89" i="7"/>
  <c r="I89" i="7"/>
  <c r="H89" i="7"/>
  <c r="G89" i="7"/>
  <c r="F89" i="7"/>
  <c r="E89" i="7"/>
  <c r="D89" i="7"/>
  <c r="C89" i="7"/>
  <c r="B89" i="7"/>
  <c r="Y88" i="7"/>
  <c r="M88" i="7" s="1"/>
  <c r="R88" i="7"/>
  <c r="Q88" i="7"/>
  <c r="P88" i="7"/>
  <c r="O88" i="7" s="1"/>
  <c r="N88" i="7"/>
  <c r="L88" i="7"/>
  <c r="K88" i="7"/>
  <c r="J88" i="7"/>
  <c r="I88" i="7"/>
  <c r="H88" i="7"/>
  <c r="G88" i="7"/>
  <c r="F88" i="7"/>
  <c r="E88" i="7"/>
  <c r="D88" i="7"/>
  <c r="C88" i="7"/>
  <c r="B88" i="7"/>
  <c r="Y87" i="7"/>
  <c r="M87" i="7" s="1"/>
  <c r="R87" i="7"/>
  <c r="Q87" i="7"/>
  <c r="P87" i="7"/>
  <c r="O87" i="7" s="1"/>
  <c r="N87" i="7"/>
  <c r="L87" i="7"/>
  <c r="K87" i="7"/>
  <c r="J87" i="7"/>
  <c r="I87" i="7"/>
  <c r="H87" i="7"/>
  <c r="G87" i="7"/>
  <c r="F87" i="7"/>
  <c r="E87" i="7"/>
  <c r="D87" i="7"/>
  <c r="C87" i="7"/>
  <c r="B87" i="7"/>
  <c r="Y86" i="7"/>
  <c r="M86" i="7" s="1"/>
  <c r="R86" i="7"/>
  <c r="Q86" i="7"/>
  <c r="P86" i="7"/>
  <c r="O86" i="7"/>
  <c r="N86" i="7"/>
  <c r="L86" i="7"/>
  <c r="K86" i="7"/>
  <c r="J86" i="7"/>
  <c r="I86" i="7"/>
  <c r="H86" i="7"/>
  <c r="G86" i="7"/>
  <c r="F86" i="7"/>
  <c r="E86" i="7"/>
  <c r="D86" i="7"/>
  <c r="C86" i="7"/>
  <c r="B86" i="7"/>
  <c r="Y85" i="7"/>
  <c r="M85" i="7" s="1"/>
  <c r="R85" i="7"/>
  <c r="Q85" i="7"/>
  <c r="O85" i="7" s="1"/>
  <c r="P85" i="7"/>
  <c r="N85" i="7"/>
  <c r="L85" i="7"/>
  <c r="K85" i="7"/>
  <c r="J85" i="7"/>
  <c r="I85" i="7"/>
  <c r="H85" i="7"/>
  <c r="G85" i="7"/>
  <c r="F85" i="7"/>
  <c r="E85" i="7"/>
  <c r="D85" i="7"/>
  <c r="C85" i="7"/>
  <c r="B85" i="7"/>
  <c r="Y84" i="7"/>
  <c r="M84" i="7" s="1"/>
  <c r="R84" i="7"/>
  <c r="Q84" i="7"/>
  <c r="O84" i="7" s="1"/>
  <c r="P84" i="7"/>
  <c r="N84" i="7"/>
  <c r="L84" i="7"/>
  <c r="K84" i="7"/>
  <c r="J84" i="7"/>
  <c r="I84" i="7"/>
  <c r="T84" i="7" s="1"/>
  <c r="H84" i="7"/>
  <c r="G84" i="7"/>
  <c r="F84" i="7"/>
  <c r="E84" i="7"/>
  <c r="D84" i="7"/>
  <c r="C84" i="7"/>
  <c r="B84" i="7"/>
  <c r="Y83" i="7"/>
  <c r="M83" i="7" s="1"/>
  <c r="R83" i="7"/>
  <c r="Q83" i="7"/>
  <c r="P83" i="7"/>
  <c r="N83" i="7"/>
  <c r="L83" i="7"/>
  <c r="K83" i="7"/>
  <c r="J83" i="7"/>
  <c r="I83" i="7"/>
  <c r="H83" i="7"/>
  <c r="G83" i="7"/>
  <c r="F83" i="7"/>
  <c r="E83" i="7"/>
  <c r="D83" i="7"/>
  <c r="C83" i="7"/>
  <c r="B83" i="7"/>
  <c r="Y82" i="7"/>
  <c r="M82" i="7" s="1"/>
  <c r="R82" i="7"/>
  <c r="Q82" i="7"/>
  <c r="P82" i="7"/>
  <c r="N82" i="7"/>
  <c r="L82" i="7"/>
  <c r="K82" i="7"/>
  <c r="J82" i="7"/>
  <c r="I82" i="7"/>
  <c r="H82" i="7"/>
  <c r="G82" i="7"/>
  <c r="F82" i="7"/>
  <c r="E82" i="7"/>
  <c r="D82" i="7"/>
  <c r="C82" i="7"/>
  <c r="B82" i="7"/>
  <c r="Y81" i="7"/>
  <c r="M81" i="7" s="1"/>
  <c r="R81" i="7"/>
  <c r="Q81" i="7"/>
  <c r="P81" i="7"/>
  <c r="O81" i="7" s="1"/>
  <c r="N81" i="7"/>
  <c r="L81" i="7"/>
  <c r="K81" i="7"/>
  <c r="J81" i="7"/>
  <c r="I81" i="7"/>
  <c r="H81" i="7"/>
  <c r="G81" i="7"/>
  <c r="F81" i="7"/>
  <c r="E81" i="7"/>
  <c r="D81" i="7"/>
  <c r="C81" i="7"/>
  <c r="B81" i="7"/>
  <c r="Y80" i="7"/>
  <c r="M80" i="7" s="1"/>
  <c r="R80" i="7"/>
  <c r="Q80" i="7"/>
  <c r="P80" i="7"/>
  <c r="O80" i="7"/>
  <c r="N80" i="7"/>
  <c r="L80" i="7"/>
  <c r="K80" i="7"/>
  <c r="J80" i="7"/>
  <c r="I80" i="7"/>
  <c r="H80" i="7"/>
  <c r="G80" i="7"/>
  <c r="F80" i="7"/>
  <c r="E80" i="7"/>
  <c r="D80" i="7"/>
  <c r="C80" i="7"/>
  <c r="B80" i="7"/>
  <c r="Y79" i="7"/>
  <c r="M79" i="7" s="1"/>
  <c r="R79" i="7"/>
  <c r="Q79" i="7"/>
  <c r="P79" i="7"/>
  <c r="N79" i="7"/>
  <c r="L79" i="7"/>
  <c r="K79" i="7"/>
  <c r="J79" i="7"/>
  <c r="I79" i="7"/>
  <c r="H79" i="7"/>
  <c r="G79" i="7"/>
  <c r="F79" i="7"/>
  <c r="E79" i="7"/>
  <c r="D79" i="7"/>
  <c r="C79" i="7"/>
  <c r="B79" i="7"/>
  <c r="Y78" i="7"/>
  <c r="M78" i="7" s="1"/>
  <c r="R78" i="7"/>
  <c r="Q78" i="7"/>
  <c r="P78" i="7"/>
  <c r="O78" i="7" s="1"/>
  <c r="N78" i="7"/>
  <c r="L78" i="7"/>
  <c r="K78" i="7"/>
  <c r="J78" i="7"/>
  <c r="I78" i="7"/>
  <c r="H78" i="7"/>
  <c r="G78" i="7"/>
  <c r="F78" i="7"/>
  <c r="E78" i="7"/>
  <c r="D78" i="7"/>
  <c r="C78" i="7"/>
  <c r="B78" i="7"/>
  <c r="Y77" i="7"/>
  <c r="M77" i="7" s="1"/>
  <c r="R77" i="7"/>
  <c r="Q77" i="7"/>
  <c r="P77" i="7"/>
  <c r="N77" i="7"/>
  <c r="L77" i="7"/>
  <c r="K77" i="7"/>
  <c r="J77" i="7"/>
  <c r="I77" i="7"/>
  <c r="H77" i="7"/>
  <c r="G77" i="7"/>
  <c r="F77" i="7"/>
  <c r="E77" i="7"/>
  <c r="D77" i="7"/>
  <c r="C77" i="7"/>
  <c r="B77" i="7"/>
  <c r="Y76" i="7"/>
  <c r="M76" i="7" s="1"/>
  <c r="R76" i="7"/>
  <c r="Q76" i="7"/>
  <c r="O76" i="7" s="1"/>
  <c r="P76" i="7"/>
  <c r="N76" i="7"/>
  <c r="L76" i="7"/>
  <c r="K76" i="7"/>
  <c r="J76" i="7"/>
  <c r="I76" i="7"/>
  <c r="H76" i="7"/>
  <c r="G76" i="7"/>
  <c r="F76" i="7"/>
  <c r="E76" i="7"/>
  <c r="D76" i="7"/>
  <c r="C76" i="7"/>
  <c r="B76" i="7"/>
  <c r="Y75" i="7"/>
  <c r="M75" i="7" s="1"/>
  <c r="R75" i="7"/>
  <c r="Q75" i="7"/>
  <c r="P75" i="7"/>
  <c r="O75" i="7"/>
  <c r="N75" i="7"/>
  <c r="L75" i="7"/>
  <c r="K75" i="7"/>
  <c r="J75" i="7"/>
  <c r="I75" i="7"/>
  <c r="H75" i="7"/>
  <c r="G75" i="7"/>
  <c r="F75" i="7"/>
  <c r="E75" i="7"/>
  <c r="D75" i="7"/>
  <c r="C75" i="7"/>
  <c r="B75" i="7"/>
  <c r="Y74" i="7"/>
  <c r="M74" i="7" s="1"/>
  <c r="R74" i="7"/>
  <c r="Q74" i="7"/>
  <c r="P74" i="7"/>
  <c r="O74" i="7" s="1"/>
  <c r="N74" i="7"/>
  <c r="L74" i="7"/>
  <c r="K74" i="7"/>
  <c r="J74" i="7"/>
  <c r="I74" i="7"/>
  <c r="H74" i="7"/>
  <c r="G74" i="7"/>
  <c r="F74" i="7"/>
  <c r="E74" i="7"/>
  <c r="D74" i="7"/>
  <c r="C74" i="7"/>
  <c r="B74" i="7"/>
  <c r="Y73" i="7"/>
  <c r="M73" i="7" s="1"/>
  <c r="R73" i="7"/>
  <c r="Q73" i="7"/>
  <c r="P73" i="7"/>
  <c r="N73" i="7"/>
  <c r="L73" i="7"/>
  <c r="K73" i="7"/>
  <c r="J73" i="7"/>
  <c r="I73" i="7"/>
  <c r="H73" i="7"/>
  <c r="G73" i="7"/>
  <c r="F73" i="7"/>
  <c r="E73" i="7"/>
  <c r="D73" i="7"/>
  <c r="C73" i="7"/>
  <c r="B73" i="7"/>
  <c r="Y72" i="7"/>
  <c r="M72" i="7" s="1"/>
  <c r="R72" i="7"/>
  <c r="Q72" i="7"/>
  <c r="P72" i="7"/>
  <c r="N72" i="7"/>
  <c r="L72" i="7"/>
  <c r="K72" i="7"/>
  <c r="J72" i="7"/>
  <c r="I72" i="7"/>
  <c r="H72" i="7"/>
  <c r="S72" i="7" s="1"/>
  <c r="G72" i="7"/>
  <c r="F72" i="7"/>
  <c r="E72" i="7"/>
  <c r="D72" i="7"/>
  <c r="C72" i="7"/>
  <c r="B72" i="7"/>
  <c r="Y71" i="7"/>
  <c r="M71" i="7" s="1"/>
  <c r="R71" i="7"/>
  <c r="Q71" i="7"/>
  <c r="P71" i="7"/>
  <c r="O71" i="7" s="1"/>
  <c r="N71" i="7"/>
  <c r="L71" i="7"/>
  <c r="K71" i="7"/>
  <c r="J71" i="7"/>
  <c r="I71" i="7"/>
  <c r="T71" i="7" s="1"/>
  <c r="H71" i="7"/>
  <c r="G71" i="7"/>
  <c r="F71" i="7"/>
  <c r="E71" i="7"/>
  <c r="D71" i="7"/>
  <c r="C71" i="7"/>
  <c r="B71" i="7"/>
  <c r="Y70" i="7"/>
  <c r="M70" i="7" s="1"/>
  <c r="R70" i="7"/>
  <c r="Q70" i="7"/>
  <c r="P70" i="7"/>
  <c r="O70" i="7" s="1"/>
  <c r="N70" i="7"/>
  <c r="L70" i="7"/>
  <c r="K70" i="7"/>
  <c r="J70" i="7"/>
  <c r="I70" i="7"/>
  <c r="H70" i="7"/>
  <c r="G70" i="7"/>
  <c r="F70" i="7"/>
  <c r="E70" i="7"/>
  <c r="D70" i="7"/>
  <c r="C70" i="7"/>
  <c r="B70" i="7"/>
  <c r="Y69" i="7"/>
  <c r="M69" i="7" s="1"/>
  <c r="R69" i="7"/>
  <c r="Q69" i="7"/>
  <c r="P69" i="7"/>
  <c r="O69" i="7" s="1"/>
  <c r="N69" i="7"/>
  <c r="L69" i="7"/>
  <c r="K69" i="7"/>
  <c r="J69" i="7"/>
  <c r="I69" i="7"/>
  <c r="H69" i="7"/>
  <c r="G69" i="7"/>
  <c r="F69" i="7"/>
  <c r="E69" i="7"/>
  <c r="D69" i="7"/>
  <c r="C69" i="7"/>
  <c r="B69" i="7"/>
  <c r="Y68" i="7"/>
  <c r="M68" i="7" s="1"/>
  <c r="R68" i="7"/>
  <c r="Q68" i="7"/>
  <c r="P68" i="7"/>
  <c r="O68" i="7" s="1"/>
  <c r="N68" i="7"/>
  <c r="L68" i="7"/>
  <c r="K68" i="7"/>
  <c r="J68" i="7"/>
  <c r="I68" i="7"/>
  <c r="H68" i="7"/>
  <c r="G68" i="7"/>
  <c r="F68" i="7"/>
  <c r="E68" i="7"/>
  <c r="D68" i="7"/>
  <c r="C68" i="7"/>
  <c r="B68" i="7"/>
  <c r="Y67" i="7"/>
  <c r="M67" i="7" s="1"/>
  <c r="R67" i="7"/>
  <c r="Q67" i="7"/>
  <c r="P67" i="7"/>
  <c r="O67" i="7" s="1"/>
  <c r="N67" i="7"/>
  <c r="L67" i="7"/>
  <c r="K67" i="7"/>
  <c r="J67" i="7"/>
  <c r="I67" i="7"/>
  <c r="H67" i="7"/>
  <c r="G67" i="7"/>
  <c r="F67" i="7"/>
  <c r="E67" i="7"/>
  <c r="D67" i="7"/>
  <c r="C67" i="7"/>
  <c r="B67" i="7"/>
  <c r="Y66" i="7"/>
  <c r="M66" i="7" s="1"/>
  <c r="R66" i="7"/>
  <c r="Q66" i="7"/>
  <c r="P66" i="7"/>
  <c r="N66" i="7"/>
  <c r="L66" i="7"/>
  <c r="K66" i="7"/>
  <c r="J66" i="7"/>
  <c r="I66" i="7"/>
  <c r="T66" i="7" s="1"/>
  <c r="H66" i="7"/>
  <c r="G66" i="7"/>
  <c r="F66" i="7"/>
  <c r="E66" i="7"/>
  <c r="D66" i="7"/>
  <c r="C66" i="7"/>
  <c r="B66" i="7"/>
  <c r="Y65" i="7"/>
  <c r="M65" i="7" s="1"/>
  <c r="R65" i="7"/>
  <c r="Q65" i="7"/>
  <c r="P65" i="7"/>
  <c r="O65" i="7" s="1"/>
  <c r="N65" i="7"/>
  <c r="L65" i="7"/>
  <c r="K65" i="7"/>
  <c r="J65" i="7"/>
  <c r="I65" i="7"/>
  <c r="H65" i="7"/>
  <c r="G65" i="7"/>
  <c r="F65" i="7"/>
  <c r="E65" i="7"/>
  <c r="D65" i="7"/>
  <c r="C65" i="7"/>
  <c r="B65" i="7"/>
  <c r="Y64" i="7"/>
  <c r="M64" i="7" s="1"/>
  <c r="R64" i="7"/>
  <c r="Q64" i="7"/>
  <c r="P64" i="7"/>
  <c r="N64" i="7"/>
  <c r="L64" i="7"/>
  <c r="K64" i="7"/>
  <c r="J64" i="7"/>
  <c r="I64" i="7"/>
  <c r="H64" i="7"/>
  <c r="G64" i="7"/>
  <c r="F64" i="7"/>
  <c r="E64" i="7"/>
  <c r="D64" i="7"/>
  <c r="C64" i="7"/>
  <c r="B64" i="7"/>
  <c r="Y63" i="7"/>
  <c r="M63" i="7" s="1"/>
  <c r="R63" i="7"/>
  <c r="Q63" i="7"/>
  <c r="P63" i="7"/>
  <c r="O63" i="7" s="1"/>
  <c r="N63" i="7"/>
  <c r="L63" i="7"/>
  <c r="K63" i="7"/>
  <c r="J63" i="7"/>
  <c r="I63" i="7"/>
  <c r="H63" i="7"/>
  <c r="G63" i="7"/>
  <c r="F63" i="7"/>
  <c r="E63" i="7"/>
  <c r="D63" i="7"/>
  <c r="C63" i="7"/>
  <c r="B63" i="7"/>
  <c r="Y62" i="7"/>
  <c r="M62" i="7" s="1"/>
  <c r="R62" i="7"/>
  <c r="Q62" i="7"/>
  <c r="O62" i="7" s="1"/>
  <c r="P62" i="7"/>
  <c r="N62" i="7"/>
  <c r="L62" i="7"/>
  <c r="K62" i="7"/>
  <c r="J62" i="7"/>
  <c r="I62" i="7"/>
  <c r="H62" i="7"/>
  <c r="G62" i="7"/>
  <c r="F62" i="7"/>
  <c r="E62" i="7"/>
  <c r="D62" i="7"/>
  <c r="C62" i="7"/>
  <c r="B62" i="7"/>
  <c r="Y61" i="7"/>
  <c r="M61" i="7" s="1"/>
  <c r="R61" i="7"/>
  <c r="Q61" i="7"/>
  <c r="P61" i="7"/>
  <c r="O61" i="7" s="1"/>
  <c r="N61" i="7"/>
  <c r="L61" i="7"/>
  <c r="K61" i="7"/>
  <c r="J61" i="7"/>
  <c r="I61" i="7"/>
  <c r="T61" i="7" s="1"/>
  <c r="H61" i="7"/>
  <c r="G61" i="7"/>
  <c r="F61" i="7"/>
  <c r="E61" i="7"/>
  <c r="D61" i="7"/>
  <c r="C61" i="7"/>
  <c r="B61" i="7"/>
  <c r="Y60" i="7"/>
  <c r="M60" i="7" s="1"/>
  <c r="R60" i="7"/>
  <c r="Q60" i="7"/>
  <c r="P60" i="7"/>
  <c r="N60" i="7"/>
  <c r="L60" i="7"/>
  <c r="K60" i="7"/>
  <c r="J60" i="7"/>
  <c r="I60" i="7"/>
  <c r="H60" i="7"/>
  <c r="G60" i="7"/>
  <c r="F60" i="7"/>
  <c r="E60" i="7"/>
  <c r="D60" i="7"/>
  <c r="C60" i="7"/>
  <c r="B60" i="7"/>
  <c r="Y59" i="7"/>
  <c r="M59" i="7" s="1"/>
  <c r="R59" i="7"/>
  <c r="Q59" i="7"/>
  <c r="P59" i="7"/>
  <c r="N59" i="7"/>
  <c r="L59" i="7"/>
  <c r="K59" i="7"/>
  <c r="J59" i="7"/>
  <c r="I59" i="7"/>
  <c r="H59" i="7"/>
  <c r="G59" i="7"/>
  <c r="F59" i="7"/>
  <c r="E59" i="7"/>
  <c r="D59" i="7"/>
  <c r="C59" i="7"/>
  <c r="B59" i="7"/>
  <c r="Y58" i="7"/>
  <c r="M58" i="7" s="1"/>
  <c r="R58" i="7"/>
  <c r="Q58" i="7"/>
  <c r="P58" i="7"/>
  <c r="O58" i="7" s="1"/>
  <c r="N58" i="7"/>
  <c r="L58" i="7"/>
  <c r="K58" i="7"/>
  <c r="J58" i="7"/>
  <c r="I58" i="7"/>
  <c r="H58" i="7"/>
  <c r="G58" i="7"/>
  <c r="F58" i="7"/>
  <c r="E58" i="7"/>
  <c r="D58" i="7"/>
  <c r="C58" i="7"/>
  <c r="B58" i="7"/>
  <c r="Y57" i="7"/>
  <c r="M57" i="7" s="1"/>
  <c r="R57" i="7"/>
  <c r="Q57" i="7"/>
  <c r="P57" i="7"/>
  <c r="N57" i="7"/>
  <c r="L57" i="7"/>
  <c r="K57" i="7"/>
  <c r="J57" i="7"/>
  <c r="I57" i="7"/>
  <c r="T57" i="7" s="1"/>
  <c r="H57" i="7"/>
  <c r="G57" i="7"/>
  <c r="F57" i="7"/>
  <c r="E57" i="7"/>
  <c r="D57" i="7"/>
  <c r="C57" i="7"/>
  <c r="B57" i="7"/>
  <c r="Y56" i="7"/>
  <c r="M56" i="7" s="1"/>
  <c r="R56" i="7"/>
  <c r="Q56" i="7"/>
  <c r="P56" i="7"/>
  <c r="O56" i="7"/>
  <c r="N56" i="7"/>
  <c r="L56" i="7"/>
  <c r="K56" i="7"/>
  <c r="J56" i="7"/>
  <c r="I56" i="7"/>
  <c r="H56" i="7"/>
  <c r="G56" i="7"/>
  <c r="F56" i="7"/>
  <c r="E56" i="7"/>
  <c r="D56" i="7"/>
  <c r="C56" i="7"/>
  <c r="B56" i="7"/>
  <c r="Y55" i="7"/>
  <c r="M55" i="7" s="1"/>
  <c r="R55" i="7"/>
  <c r="Q55" i="7"/>
  <c r="P55" i="7"/>
  <c r="O55" i="7"/>
  <c r="N55" i="7"/>
  <c r="L55" i="7"/>
  <c r="K55" i="7"/>
  <c r="J55" i="7"/>
  <c r="I55" i="7"/>
  <c r="H55" i="7"/>
  <c r="G55" i="7"/>
  <c r="F55" i="7"/>
  <c r="E55" i="7"/>
  <c r="D55" i="7"/>
  <c r="C55" i="7"/>
  <c r="B55" i="7"/>
  <c r="Y54" i="7"/>
  <c r="M54" i="7" s="1"/>
  <c r="R54" i="7"/>
  <c r="Q54" i="7"/>
  <c r="O54" i="7" s="1"/>
  <c r="P54" i="7"/>
  <c r="N54" i="7"/>
  <c r="L54" i="7"/>
  <c r="K54" i="7"/>
  <c r="J54" i="7"/>
  <c r="I54" i="7"/>
  <c r="T54" i="7" s="1"/>
  <c r="H54" i="7"/>
  <c r="G54" i="7"/>
  <c r="F54" i="7"/>
  <c r="E54" i="7"/>
  <c r="D54" i="7"/>
  <c r="C54" i="7"/>
  <c r="B54" i="7"/>
  <c r="Y53" i="7"/>
  <c r="M53" i="7" s="1"/>
  <c r="R53" i="7"/>
  <c r="Q53" i="7"/>
  <c r="P53" i="7"/>
  <c r="O53" i="7" s="1"/>
  <c r="N53" i="7"/>
  <c r="L53" i="7"/>
  <c r="K53" i="7"/>
  <c r="J53" i="7"/>
  <c r="I53" i="7"/>
  <c r="H53" i="7"/>
  <c r="G53" i="7"/>
  <c r="F53" i="7"/>
  <c r="E53" i="7"/>
  <c r="D53" i="7"/>
  <c r="C53" i="7"/>
  <c r="B53" i="7"/>
  <c r="Y52" i="7"/>
  <c r="M52" i="7" s="1"/>
  <c r="R52" i="7"/>
  <c r="Q52" i="7"/>
  <c r="O52" i="7" s="1"/>
  <c r="P52" i="7"/>
  <c r="N52" i="7"/>
  <c r="L52" i="7"/>
  <c r="K52" i="7"/>
  <c r="J52" i="7"/>
  <c r="I52" i="7"/>
  <c r="H52" i="7"/>
  <c r="G52" i="7"/>
  <c r="F52" i="7"/>
  <c r="E52" i="7"/>
  <c r="D52" i="7"/>
  <c r="C52" i="7"/>
  <c r="B52" i="7"/>
  <c r="Y51" i="7"/>
  <c r="M51" i="7" s="1"/>
  <c r="R51" i="7"/>
  <c r="Q51" i="7"/>
  <c r="P51" i="7"/>
  <c r="O51" i="7" s="1"/>
  <c r="N51" i="7"/>
  <c r="L51" i="7"/>
  <c r="K51" i="7"/>
  <c r="J51" i="7"/>
  <c r="I51" i="7"/>
  <c r="H51" i="7"/>
  <c r="G51" i="7"/>
  <c r="F51" i="7"/>
  <c r="E51" i="7"/>
  <c r="D51" i="7"/>
  <c r="C51" i="7"/>
  <c r="B51" i="7"/>
  <c r="Y50" i="7"/>
  <c r="M50" i="7" s="1"/>
  <c r="R50" i="7"/>
  <c r="Q50" i="7"/>
  <c r="P50" i="7"/>
  <c r="O50" i="7"/>
  <c r="N50" i="7"/>
  <c r="L50" i="7"/>
  <c r="K50" i="7"/>
  <c r="J50" i="7"/>
  <c r="I50" i="7"/>
  <c r="H50" i="7"/>
  <c r="G50" i="7"/>
  <c r="F50" i="7"/>
  <c r="E50" i="7"/>
  <c r="D50" i="7"/>
  <c r="C50" i="7"/>
  <c r="B50" i="7"/>
  <c r="Y49" i="7"/>
  <c r="M49" i="7" s="1"/>
  <c r="R49" i="7"/>
  <c r="Q49" i="7"/>
  <c r="P49" i="7"/>
  <c r="N49" i="7"/>
  <c r="L49" i="7"/>
  <c r="K49" i="7"/>
  <c r="J49" i="7"/>
  <c r="I49" i="7"/>
  <c r="H49" i="7"/>
  <c r="G49" i="7"/>
  <c r="F49" i="7"/>
  <c r="E49" i="7"/>
  <c r="D49" i="7"/>
  <c r="C49" i="7"/>
  <c r="B49" i="7"/>
  <c r="Y48" i="7"/>
  <c r="M48" i="7" s="1"/>
  <c r="R48" i="7"/>
  <c r="Q48" i="7"/>
  <c r="P48" i="7"/>
  <c r="O48" i="7" s="1"/>
  <c r="N48" i="7"/>
  <c r="L48" i="7"/>
  <c r="K48" i="7"/>
  <c r="J48" i="7"/>
  <c r="I48" i="7"/>
  <c r="H48" i="7"/>
  <c r="G48" i="7"/>
  <c r="F48" i="7"/>
  <c r="E48" i="7"/>
  <c r="D48" i="7"/>
  <c r="C48" i="7"/>
  <c r="B48" i="7"/>
  <c r="Y47" i="7"/>
  <c r="M47" i="7" s="1"/>
  <c r="R47" i="7"/>
  <c r="Q47" i="7"/>
  <c r="P47" i="7"/>
  <c r="O47" i="7"/>
  <c r="N47" i="7"/>
  <c r="L47" i="7"/>
  <c r="K47" i="7"/>
  <c r="J47" i="7"/>
  <c r="I47" i="7"/>
  <c r="H47" i="7"/>
  <c r="G47" i="7"/>
  <c r="F47" i="7"/>
  <c r="E47" i="7"/>
  <c r="D47" i="7"/>
  <c r="C47" i="7"/>
  <c r="B47" i="7"/>
  <c r="Y46" i="7"/>
  <c r="M46" i="7" s="1"/>
  <c r="R46" i="7"/>
  <c r="Q46" i="7"/>
  <c r="O46" i="7" s="1"/>
  <c r="P46" i="7"/>
  <c r="N46" i="7"/>
  <c r="L46" i="7"/>
  <c r="K46" i="7"/>
  <c r="J46" i="7"/>
  <c r="I46" i="7"/>
  <c r="T46" i="7" s="1"/>
  <c r="H46" i="7"/>
  <c r="G46" i="7"/>
  <c r="F46" i="7"/>
  <c r="E46" i="7"/>
  <c r="D46" i="7"/>
  <c r="C46" i="7"/>
  <c r="B46" i="7"/>
  <c r="Y45" i="7"/>
  <c r="M45" i="7" s="1"/>
  <c r="R45" i="7"/>
  <c r="Q45" i="7"/>
  <c r="P45" i="7"/>
  <c r="O45" i="7" s="1"/>
  <c r="N45" i="7"/>
  <c r="L45" i="7"/>
  <c r="K45" i="7"/>
  <c r="J45" i="7"/>
  <c r="I45" i="7"/>
  <c r="T45" i="7" s="1"/>
  <c r="H45" i="7"/>
  <c r="G45" i="7"/>
  <c r="F45" i="7"/>
  <c r="E45" i="7"/>
  <c r="D45" i="7"/>
  <c r="C45" i="7"/>
  <c r="B45" i="7"/>
  <c r="Y44" i="7"/>
  <c r="M44" i="7" s="1"/>
  <c r="R44" i="7"/>
  <c r="Q44" i="7"/>
  <c r="P44" i="7"/>
  <c r="O44" i="7" s="1"/>
  <c r="N44" i="7"/>
  <c r="L44" i="7"/>
  <c r="K44" i="7"/>
  <c r="J44" i="7"/>
  <c r="I44" i="7"/>
  <c r="H44" i="7"/>
  <c r="G44" i="7"/>
  <c r="F44" i="7"/>
  <c r="E44" i="7"/>
  <c r="D44" i="7"/>
  <c r="C44" i="7"/>
  <c r="B44" i="7"/>
  <c r="Y43" i="7"/>
  <c r="M43" i="7" s="1"/>
  <c r="R43" i="7"/>
  <c r="Q43" i="7"/>
  <c r="P43" i="7"/>
  <c r="N43" i="7"/>
  <c r="L43" i="7"/>
  <c r="K43" i="7"/>
  <c r="J43" i="7"/>
  <c r="I43" i="7"/>
  <c r="H43" i="7"/>
  <c r="G43" i="7"/>
  <c r="F43" i="7"/>
  <c r="E43" i="7"/>
  <c r="D43" i="7"/>
  <c r="C43" i="7"/>
  <c r="B43" i="7"/>
  <c r="Y42" i="7"/>
  <c r="M42" i="7" s="1"/>
  <c r="R42" i="7"/>
  <c r="Q42" i="7"/>
  <c r="P42" i="7"/>
  <c r="N42" i="7"/>
  <c r="L42" i="7"/>
  <c r="K42" i="7"/>
  <c r="J42" i="7"/>
  <c r="I42" i="7"/>
  <c r="H42" i="7"/>
  <c r="G42" i="7"/>
  <c r="F42" i="7"/>
  <c r="E42" i="7"/>
  <c r="D42" i="7"/>
  <c r="C42" i="7"/>
  <c r="B42" i="7"/>
  <c r="Y41" i="7"/>
  <c r="M41" i="7" s="1"/>
  <c r="R41" i="7"/>
  <c r="Q41" i="7"/>
  <c r="P41" i="7"/>
  <c r="O41" i="7"/>
  <c r="N41" i="7"/>
  <c r="L41" i="7"/>
  <c r="K41" i="7"/>
  <c r="J41" i="7"/>
  <c r="I41" i="7"/>
  <c r="H41" i="7"/>
  <c r="G41" i="7"/>
  <c r="F41" i="7"/>
  <c r="E41" i="7"/>
  <c r="D41" i="7"/>
  <c r="C41" i="7"/>
  <c r="B41" i="7"/>
  <c r="Y40" i="7"/>
  <c r="M40" i="7" s="1"/>
  <c r="R40" i="7"/>
  <c r="Q40" i="7"/>
  <c r="P40" i="7"/>
  <c r="O40" i="7" s="1"/>
  <c r="N40" i="7"/>
  <c r="L40" i="7"/>
  <c r="K40" i="7"/>
  <c r="J40" i="7"/>
  <c r="I40" i="7"/>
  <c r="H40" i="7"/>
  <c r="G40" i="7"/>
  <c r="F40" i="7"/>
  <c r="E40" i="7"/>
  <c r="D40" i="7"/>
  <c r="C40" i="7"/>
  <c r="B40" i="7"/>
  <c r="Y39" i="7"/>
  <c r="M39" i="7" s="1"/>
  <c r="R39" i="7"/>
  <c r="Q39" i="7"/>
  <c r="P39" i="7"/>
  <c r="O39" i="7" s="1"/>
  <c r="N39" i="7"/>
  <c r="L39" i="7"/>
  <c r="K39" i="7"/>
  <c r="J39" i="7"/>
  <c r="I39" i="7"/>
  <c r="H39" i="7"/>
  <c r="G39" i="7"/>
  <c r="F39" i="7"/>
  <c r="E39" i="7"/>
  <c r="D39" i="7"/>
  <c r="C39" i="7"/>
  <c r="B39" i="7"/>
  <c r="Y38" i="7"/>
  <c r="M38" i="7" s="1"/>
  <c r="R38" i="7"/>
  <c r="Q38" i="7"/>
  <c r="P38" i="7"/>
  <c r="O38" i="7"/>
  <c r="N38" i="7"/>
  <c r="L38" i="7"/>
  <c r="K38" i="7"/>
  <c r="J38" i="7"/>
  <c r="I38" i="7"/>
  <c r="T38" i="7" s="1"/>
  <c r="H38" i="7"/>
  <c r="G38" i="7"/>
  <c r="F38" i="7"/>
  <c r="E38" i="7"/>
  <c r="D38" i="7"/>
  <c r="C38" i="7"/>
  <c r="B38" i="7"/>
  <c r="Y37" i="7"/>
  <c r="M37" i="7" s="1"/>
  <c r="R37" i="7"/>
  <c r="Q37" i="7"/>
  <c r="P37" i="7"/>
  <c r="O37" i="7" s="1"/>
  <c r="N37" i="7"/>
  <c r="L37" i="7"/>
  <c r="K37" i="7"/>
  <c r="J37" i="7"/>
  <c r="I37" i="7"/>
  <c r="T37" i="7" s="1"/>
  <c r="H37" i="7"/>
  <c r="G37" i="7"/>
  <c r="F37" i="7"/>
  <c r="E37" i="7"/>
  <c r="D37" i="7"/>
  <c r="C37" i="7"/>
  <c r="B37" i="7"/>
  <c r="Y36" i="7"/>
  <c r="M36" i="7" s="1"/>
  <c r="R36" i="7"/>
  <c r="Q36" i="7"/>
  <c r="P36" i="7"/>
  <c r="O36" i="7" s="1"/>
  <c r="N36" i="7"/>
  <c r="L36" i="7"/>
  <c r="K36" i="7"/>
  <c r="J36" i="7"/>
  <c r="I36" i="7"/>
  <c r="H36" i="7"/>
  <c r="G36" i="7"/>
  <c r="F36" i="7"/>
  <c r="E36" i="7"/>
  <c r="D36" i="7"/>
  <c r="C36" i="7"/>
  <c r="B36" i="7"/>
  <c r="Y35" i="7"/>
  <c r="M35" i="7" s="1"/>
  <c r="R35" i="7"/>
  <c r="Q35" i="7"/>
  <c r="P35" i="7"/>
  <c r="O35" i="7"/>
  <c r="N35" i="7"/>
  <c r="L35" i="7"/>
  <c r="K35" i="7"/>
  <c r="J35" i="7"/>
  <c r="I35" i="7"/>
  <c r="H35" i="7"/>
  <c r="G35" i="7"/>
  <c r="F35" i="7"/>
  <c r="E35" i="7"/>
  <c r="D35" i="7"/>
  <c r="C35" i="7"/>
  <c r="B35" i="7"/>
  <c r="Y34" i="7"/>
  <c r="M34" i="7" s="1"/>
  <c r="R34" i="7"/>
  <c r="Q34" i="7"/>
  <c r="O34" i="7" s="1"/>
  <c r="P34" i="7"/>
  <c r="N34" i="7"/>
  <c r="L34" i="7"/>
  <c r="K34" i="7"/>
  <c r="J34" i="7"/>
  <c r="I34" i="7"/>
  <c r="H34" i="7"/>
  <c r="G34" i="7"/>
  <c r="F34" i="7"/>
  <c r="E34" i="7"/>
  <c r="D34" i="7"/>
  <c r="C34" i="7"/>
  <c r="B34" i="7"/>
  <c r="Y33" i="7"/>
  <c r="M33" i="7" s="1"/>
  <c r="R33" i="7"/>
  <c r="Q33" i="7"/>
  <c r="P33" i="7"/>
  <c r="O33" i="7" s="1"/>
  <c r="N33" i="7"/>
  <c r="L33" i="7"/>
  <c r="K33" i="7"/>
  <c r="J33" i="7"/>
  <c r="I33" i="7"/>
  <c r="H33" i="7"/>
  <c r="G33" i="7"/>
  <c r="F33" i="7"/>
  <c r="E33" i="7"/>
  <c r="D33" i="7"/>
  <c r="C33" i="7"/>
  <c r="B33" i="7"/>
  <c r="Y32" i="7"/>
  <c r="M32" i="7" s="1"/>
  <c r="R32" i="7"/>
  <c r="Q32" i="7"/>
  <c r="P32" i="7"/>
  <c r="N32" i="7"/>
  <c r="L32" i="7"/>
  <c r="K32" i="7"/>
  <c r="J32" i="7"/>
  <c r="I32" i="7"/>
  <c r="H32" i="7"/>
  <c r="G32" i="7"/>
  <c r="F32" i="7"/>
  <c r="E32" i="7"/>
  <c r="D32" i="7"/>
  <c r="C32" i="7"/>
  <c r="B32" i="7"/>
  <c r="Y31" i="7"/>
  <c r="M31" i="7" s="1"/>
  <c r="R31" i="7"/>
  <c r="Q31" i="7"/>
  <c r="P31" i="7"/>
  <c r="O31" i="7" s="1"/>
  <c r="N31" i="7"/>
  <c r="L31" i="7"/>
  <c r="K31" i="7"/>
  <c r="J31" i="7"/>
  <c r="I31" i="7"/>
  <c r="H31" i="7"/>
  <c r="G31" i="7"/>
  <c r="F31" i="7"/>
  <c r="E31" i="7"/>
  <c r="D31" i="7"/>
  <c r="C31" i="7"/>
  <c r="B31" i="7"/>
  <c r="Y30" i="7"/>
  <c r="M30" i="7" s="1"/>
  <c r="R30" i="7"/>
  <c r="Q30" i="7"/>
  <c r="P30" i="7"/>
  <c r="O30" i="7" s="1"/>
  <c r="N30" i="7"/>
  <c r="L30" i="7"/>
  <c r="K30" i="7"/>
  <c r="J30" i="7"/>
  <c r="I30" i="7"/>
  <c r="H30" i="7"/>
  <c r="G30" i="7"/>
  <c r="F30" i="7"/>
  <c r="E30" i="7"/>
  <c r="D30" i="7"/>
  <c r="C30" i="7"/>
  <c r="B30" i="7"/>
  <c r="Y29" i="7"/>
  <c r="M29" i="7" s="1"/>
  <c r="R29" i="7"/>
  <c r="Q29" i="7"/>
  <c r="P29" i="7"/>
  <c r="N29" i="7"/>
  <c r="L29" i="7"/>
  <c r="K29" i="7"/>
  <c r="J29" i="7"/>
  <c r="I29" i="7"/>
  <c r="H29" i="7"/>
  <c r="G29" i="7"/>
  <c r="F29" i="7"/>
  <c r="E29" i="7"/>
  <c r="D29" i="7"/>
  <c r="C29" i="7"/>
  <c r="B29" i="7"/>
  <c r="Y28" i="7"/>
  <c r="M28" i="7" s="1"/>
  <c r="R28" i="7"/>
  <c r="Q28" i="7"/>
  <c r="P28" i="7"/>
  <c r="O28" i="7" s="1"/>
  <c r="N28" i="7"/>
  <c r="L28" i="7"/>
  <c r="K28" i="7"/>
  <c r="J28" i="7"/>
  <c r="I28" i="7"/>
  <c r="H28" i="7"/>
  <c r="G28" i="7"/>
  <c r="F28" i="7"/>
  <c r="E28" i="7"/>
  <c r="D28" i="7"/>
  <c r="C28" i="7"/>
  <c r="B28" i="7"/>
  <c r="Y27" i="7"/>
  <c r="M27" i="7" s="1"/>
  <c r="R27" i="7"/>
  <c r="Q27" i="7"/>
  <c r="P27" i="7"/>
  <c r="O27" i="7" s="1"/>
  <c r="N27" i="7"/>
  <c r="L27" i="7"/>
  <c r="K27" i="7"/>
  <c r="J27" i="7"/>
  <c r="I27" i="7"/>
  <c r="H27" i="7"/>
  <c r="G27" i="7"/>
  <c r="F27" i="7"/>
  <c r="E27" i="7"/>
  <c r="D27" i="7"/>
  <c r="C27" i="7"/>
  <c r="B27" i="7"/>
  <c r="Y26" i="7"/>
  <c r="M26" i="7" s="1"/>
  <c r="R26" i="7"/>
  <c r="Q26" i="7"/>
  <c r="P26" i="7"/>
  <c r="O26" i="7"/>
  <c r="N26" i="7"/>
  <c r="L26" i="7"/>
  <c r="K26" i="7"/>
  <c r="J26" i="7"/>
  <c r="I26" i="7"/>
  <c r="H26" i="7"/>
  <c r="G26" i="7"/>
  <c r="F26" i="7"/>
  <c r="E26" i="7"/>
  <c r="D26" i="7"/>
  <c r="C26" i="7"/>
  <c r="B26" i="7"/>
  <c r="Y25" i="7"/>
  <c r="M25" i="7" s="1"/>
  <c r="R25" i="7"/>
  <c r="Q25" i="7"/>
  <c r="O25" i="7" s="1"/>
  <c r="P25" i="7"/>
  <c r="N25" i="7"/>
  <c r="L25" i="7"/>
  <c r="K25" i="7"/>
  <c r="J25" i="7"/>
  <c r="I25" i="7"/>
  <c r="T25" i="7" s="1"/>
  <c r="H25" i="7"/>
  <c r="G25" i="7"/>
  <c r="F25" i="7"/>
  <c r="E25" i="7"/>
  <c r="D25" i="7"/>
  <c r="C25" i="7"/>
  <c r="B25" i="7"/>
  <c r="Y24" i="7"/>
  <c r="M24" i="7" s="1"/>
  <c r="R24" i="7"/>
  <c r="Q24" i="7"/>
  <c r="P24" i="7"/>
  <c r="O24" i="7" s="1"/>
  <c r="N24" i="7"/>
  <c r="L24" i="7"/>
  <c r="K24" i="7"/>
  <c r="J24" i="7"/>
  <c r="I24" i="7"/>
  <c r="T24" i="7" s="1"/>
  <c r="H24" i="7"/>
  <c r="G24" i="7"/>
  <c r="F24" i="7"/>
  <c r="E24" i="7"/>
  <c r="D24" i="7"/>
  <c r="C24" i="7"/>
  <c r="B24" i="7"/>
  <c r="Y23" i="7"/>
  <c r="M23" i="7" s="1"/>
  <c r="R23" i="7"/>
  <c r="Q23" i="7"/>
  <c r="P23" i="7"/>
  <c r="O23" i="7"/>
  <c r="N23" i="7"/>
  <c r="L23" i="7"/>
  <c r="K23" i="7"/>
  <c r="J23" i="7"/>
  <c r="I23" i="7"/>
  <c r="H23" i="7"/>
  <c r="G23" i="7"/>
  <c r="F23" i="7"/>
  <c r="E23" i="7"/>
  <c r="D23" i="7"/>
  <c r="C23" i="7"/>
  <c r="B23" i="7"/>
  <c r="Y22" i="7"/>
  <c r="M22" i="7" s="1"/>
  <c r="R22" i="7"/>
  <c r="Q22" i="7"/>
  <c r="P22" i="7"/>
  <c r="O22" i="7"/>
  <c r="N22" i="7"/>
  <c r="L22" i="7"/>
  <c r="K22" i="7"/>
  <c r="J22" i="7"/>
  <c r="I22" i="7"/>
  <c r="H22" i="7"/>
  <c r="G22" i="7"/>
  <c r="F22" i="7"/>
  <c r="E22" i="7"/>
  <c r="D22" i="7"/>
  <c r="C22" i="7"/>
  <c r="B22" i="7"/>
  <c r="Y21" i="7"/>
  <c r="M21" i="7" s="1"/>
  <c r="R21" i="7"/>
  <c r="Q21" i="7"/>
  <c r="P21" i="7"/>
  <c r="O21" i="7"/>
  <c r="N21" i="7"/>
  <c r="L21" i="7"/>
  <c r="K21" i="7"/>
  <c r="J21" i="7"/>
  <c r="I21" i="7"/>
  <c r="H21" i="7"/>
  <c r="G21" i="7"/>
  <c r="F21" i="7"/>
  <c r="E21" i="7"/>
  <c r="D21" i="7"/>
  <c r="C21" i="7"/>
  <c r="B21" i="7"/>
  <c r="Y20" i="7"/>
  <c r="M20" i="7" s="1"/>
  <c r="R20" i="7"/>
  <c r="Q20" i="7"/>
  <c r="P20" i="7"/>
  <c r="O20" i="7"/>
  <c r="N20" i="7"/>
  <c r="L20" i="7"/>
  <c r="K20" i="7"/>
  <c r="J20" i="7"/>
  <c r="I20" i="7"/>
  <c r="H20" i="7"/>
  <c r="G20" i="7"/>
  <c r="F20" i="7"/>
  <c r="E20" i="7"/>
  <c r="D20" i="7"/>
  <c r="C20" i="7"/>
  <c r="B20" i="7"/>
  <c r="Y19" i="7"/>
  <c r="M19" i="7" s="1"/>
  <c r="R19" i="7"/>
  <c r="Q19" i="7"/>
  <c r="P19" i="7"/>
  <c r="N19" i="7"/>
  <c r="L19" i="7"/>
  <c r="K19" i="7"/>
  <c r="J19" i="7"/>
  <c r="I19" i="7"/>
  <c r="T19" i="7" s="1"/>
  <c r="H19" i="7"/>
  <c r="G19" i="7"/>
  <c r="F19" i="7"/>
  <c r="E19" i="7"/>
  <c r="D19" i="7"/>
  <c r="C19" i="7"/>
  <c r="B19" i="7"/>
  <c r="Y18" i="7"/>
  <c r="M18" i="7" s="1"/>
  <c r="R18" i="7"/>
  <c r="Q18" i="7"/>
  <c r="O18" i="7" s="1"/>
  <c r="P18" i="7"/>
  <c r="N18" i="7"/>
  <c r="L18" i="7"/>
  <c r="K18" i="7"/>
  <c r="J18" i="7"/>
  <c r="I18" i="7"/>
  <c r="T18" i="7" s="1"/>
  <c r="H18" i="7"/>
  <c r="G18" i="7"/>
  <c r="F18" i="7"/>
  <c r="E18" i="7"/>
  <c r="D18" i="7"/>
  <c r="C18" i="7"/>
  <c r="B18" i="7"/>
  <c r="Y17" i="7"/>
  <c r="M17" i="7" s="1"/>
  <c r="R17" i="7"/>
  <c r="Q17" i="7"/>
  <c r="P17" i="7"/>
  <c r="O17" i="7"/>
  <c r="N17" i="7"/>
  <c r="L17" i="7"/>
  <c r="K17" i="7"/>
  <c r="J17" i="7"/>
  <c r="I17" i="7"/>
  <c r="H17" i="7"/>
  <c r="G17" i="7"/>
  <c r="F17" i="7"/>
  <c r="E17" i="7"/>
  <c r="D17" i="7"/>
  <c r="C17" i="7"/>
  <c r="B17" i="7"/>
  <c r="Y16" i="7"/>
  <c r="M16" i="7" s="1"/>
  <c r="R16" i="7"/>
  <c r="Q16" i="7"/>
  <c r="P16" i="7"/>
  <c r="O16" i="7" s="1"/>
  <c r="N16" i="7"/>
  <c r="L16" i="7"/>
  <c r="K16" i="7"/>
  <c r="J16" i="7"/>
  <c r="I16" i="7"/>
  <c r="H16" i="7"/>
  <c r="G16" i="7"/>
  <c r="F16" i="7"/>
  <c r="E16" i="7"/>
  <c r="D16" i="7"/>
  <c r="C16" i="7"/>
  <c r="B16" i="7"/>
  <c r="Y15" i="7"/>
  <c r="M15" i="7" s="1"/>
  <c r="R15" i="7"/>
  <c r="Q15" i="7"/>
  <c r="P15" i="7"/>
  <c r="N15" i="7"/>
  <c r="L15" i="7"/>
  <c r="K15" i="7"/>
  <c r="J15" i="7"/>
  <c r="I15" i="7"/>
  <c r="H15" i="7"/>
  <c r="G15" i="7"/>
  <c r="F15" i="7"/>
  <c r="E15" i="7"/>
  <c r="D15" i="7"/>
  <c r="C15" i="7"/>
  <c r="B15" i="7"/>
  <c r="Y14" i="7"/>
  <c r="M14" i="7" s="1"/>
  <c r="R14" i="7"/>
  <c r="Q14" i="7"/>
  <c r="P14" i="7"/>
  <c r="O14" i="7" s="1"/>
  <c r="N14" i="7"/>
  <c r="L14" i="7"/>
  <c r="K14" i="7"/>
  <c r="J14" i="7"/>
  <c r="I14" i="7"/>
  <c r="H14" i="7"/>
  <c r="G14" i="7"/>
  <c r="F14" i="7"/>
  <c r="E14" i="7"/>
  <c r="D14" i="7"/>
  <c r="C14" i="7"/>
  <c r="B14" i="7"/>
  <c r="Y13" i="7"/>
  <c r="M13" i="7" s="1"/>
  <c r="R13" i="7"/>
  <c r="Q13" i="7"/>
  <c r="P13" i="7"/>
  <c r="O13" i="7" s="1"/>
  <c r="N13" i="7"/>
  <c r="L13" i="7"/>
  <c r="K13" i="7"/>
  <c r="J13" i="7"/>
  <c r="I13" i="7"/>
  <c r="H13" i="7"/>
  <c r="G13" i="7"/>
  <c r="F13" i="7"/>
  <c r="E13" i="7"/>
  <c r="D13" i="7"/>
  <c r="C13" i="7"/>
  <c r="B13" i="7"/>
  <c r="Y12" i="7"/>
  <c r="M12" i="7" s="1"/>
  <c r="R12" i="7"/>
  <c r="Q12" i="7"/>
  <c r="P12" i="7"/>
  <c r="O12" i="7" s="1"/>
  <c r="N12" i="7"/>
  <c r="L12" i="7"/>
  <c r="K12" i="7"/>
  <c r="J12" i="7"/>
  <c r="I12" i="7"/>
  <c r="H12" i="7"/>
  <c r="G12" i="7"/>
  <c r="F12" i="7"/>
  <c r="E12" i="7"/>
  <c r="D12" i="7"/>
  <c r="C12" i="7"/>
  <c r="B12" i="7"/>
  <c r="Y11" i="7"/>
  <c r="M11" i="7" s="1"/>
  <c r="R11" i="7"/>
  <c r="Q11" i="7"/>
  <c r="P11" i="7"/>
  <c r="O11" i="7"/>
  <c r="N11" i="7"/>
  <c r="L11" i="7"/>
  <c r="K11" i="7"/>
  <c r="J11" i="7"/>
  <c r="I11" i="7"/>
  <c r="H11" i="7"/>
  <c r="G11" i="7"/>
  <c r="F11" i="7"/>
  <c r="E11" i="7"/>
  <c r="D11" i="7"/>
  <c r="C11" i="7"/>
  <c r="B11" i="7"/>
  <c r="Y10" i="7"/>
  <c r="M10" i="7" s="1"/>
  <c r="R10" i="7"/>
  <c r="Q10" i="7"/>
  <c r="O10" i="7" s="1"/>
  <c r="P10" i="7"/>
  <c r="N10" i="7"/>
  <c r="L10" i="7"/>
  <c r="K10" i="7"/>
  <c r="J10" i="7"/>
  <c r="I10" i="7"/>
  <c r="T10" i="7" s="1"/>
  <c r="H10" i="7"/>
  <c r="G10" i="7"/>
  <c r="F10" i="7"/>
  <c r="E10" i="7"/>
  <c r="D10" i="7"/>
  <c r="C10" i="7"/>
  <c r="B10" i="7"/>
  <c r="Y9" i="7"/>
  <c r="M9" i="7" s="1"/>
  <c r="R9" i="7"/>
  <c r="Q9" i="7"/>
  <c r="P9" i="7"/>
  <c r="N9" i="7"/>
  <c r="L9" i="7"/>
  <c r="K9" i="7"/>
  <c r="J9" i="7"/>
  <c r="I9" i="7"/>
  <c r="H9" i="7"/>
  <c r="G9" i="7"/>
  <c r="F9" i="7"/>
  <c r="E9" i="7"/>
  <c r="D9" i="7"/>
  <c r="C9" i="7"/>
  <c r="B9" i="7"/>
  <c r="Y8" i="7"/>
  <c r="M8" i="7" s="1"/>
  <c r="R8" i="7"/>
  <c r="Q8" i="7"/>
  <c r="P8" i="7"/>
  <c r="O8" i="7"/>
  <c r="N8" i="7"/>
  <c r="L8" i="7"/>
  <c r="K8" i="7"/>
  <c r="J8" i="7"/>
  <c r="I8" i="7"/>
  <c r="H8" i="7"/>
  <c r="G8" i="7"/>
  <c r="F8" i="7"/>
  <c r="E8" i="7"/>
  <c r="D8" i="7"/>
  <c r="C8" i="7"/>
  <c r="B8" i="7"/>
  <c r="Y7" i="7"/>
  <c r="M7" i="7" s="1"/>
  <c r="R7" i="7"/>
  <c r="Q7" i="7"/>
  <c r="O7" i="7" s="1"/>
  <c r="P7" i="7"/>
  <c r="N7" i="7"/>
  <c r="L7" i="7"/>
  <c r="K7" i="7"/>
  <c r="J7" i="7"/>
  <c r="I7" i="7"/>
  <c r="H7" i="7"/>
  <c r="G7" i="7"/>
  <c r="F7" i="7"/>
  <c r="E7" i="7"/>
  <c r="D7" i="7"/>
  <c r="C7" i="7"/>
  <c r="B7" i="7"/>
  <c r="Y6" i="7"/>
  <c r="M6" i="7" s="1"/>
  <c r="R6" i="7"/>
  <c r="Q6" i="7"/>
  <c r="P6" i="7"/>
  <c r="N6" i="7"/>
  <c r="L6" i="7"/>
  <c r="K6" i="7"/>
  <c r="J6" i="7"/>
  <c r="I6" i="7"/>
  <c r="H6" i="7"/>
  <c r="G6" i="7"/>
  <c r="F6" i="7"/>
  <c r="E6" i="7"/>
  <c r="D6" i="7"/>
  <c r="C6" i="7"/>
  <c r="B6" i="7"/>
  <c r="Y5" i="7"/>
  <c r="M5" i="7" s="1"/>
  <c r="R5" i="7"/>
  <c r="Q5" i="7"/>
  <c r="P5" i="7"/>
  <c r="O5" i="7"/>
  <c r="N5" i="7"/>
  <c r="L5" i="7"/>
  <c r="K5" i="7"/>
  <c r="J5" i="7"/>
  <c r="I5" i="7"/>
  <c r="H5" i="7"/>
  <c r="G5" i="7"/>
  <c r="F5" i="7"/>
  <c r="E5" i="7"/>
  <c r="D5" i="7"/>
  <c r="C5" i="7"/>
  <c r="B5" i="7"/>
  <c r="Y4" i="7"/>
  <c r="M4" i="7" s="1"/>
  <c r="R4" i="7"/>
  <c r="Q4" i="7"/>
  <c r="O4" i="7" s="1"/>
  <c r="P4" i="7"/>
  <c r="N4" i="7"/>
  <c r="L4" i="7"/>
  <c r="K4" i="7"/>
  <c r="J4" i="7"/>
  <c r="I4" i="7"/>
  <c r="H4" i="7"/>
  <c r="G4" i="7"/>
  <c r="F4" i="7"/>
  <c r="E4" i="7"/>
  <c r="D4" i="7"/>
  <c r="C4" i="7"/>
  <c r="B4" i="7"/>
  <c r="Y3" i="7"/>
  <c r="M3" i="7" s="1"/>
  <c r="R3" i="7"/>
  <c r="Q3" i="7"/>
  <c r="P3" i="7"/>
  <c r="N3" i="7"/>
  <c r="L3" i="7"/>
  <c r="K3" i="7"/>
  <c r="J3" i="7"/>
  <c r="I3" i="7"/>
  <c r="H3" i="7"/>
  <c r="G3" i="7"/>
  <c r="F3" i="7"/>
  <c r="E3" i="7"/>
  <c r="D3" i="7"/>
  <c r="C3" i="7"/>
  <c r="B3" i="7"/>
  <c r="Y2" i="7"/>
  <c r="M2" i="7" s="1"/>
  <c r="R2" i="7"/>
  <c r="Q2" i="7"/>
  <c r="P2" i="7"/>
  <c r="N2" i="7"/>
  <c r="L2" i="7"/>
  <c r="K2" i="7"/>
  <c r="J2" i="7"/>
  <c r="I2" i="7"/>
  <c r="H2" i="7"/>
  <c r="G2" i="7"/>
  <c r="F2" i="7"/>
  <c r="E2" i="7"/>
  <c r="D2" i="7"/>
  <c r="C2" i="7"/>
  <c r="B2" i="7"/>
  <c r="Y209" i="6"/>
  <c r="M209" i="6" s="1"/>
  <c r="R209" i="6"/>
  <c r="Q209" i="6"/>
  <c r="P209" i="6"/>
  <c r="O209" i="6" s="1"/>
  <c r="N209" i="6"/>
  <c r="L209" i="6"/>
  <c r="K209" i="6"/>
  <c r="J209" i="6"/>
  <c r="I209" i="6"/>
  <c r="H209" i="6"/>
  <c r="G209" i="6"/>
  <c r="F209" i="6"/>
  <c r="E209" i="6"/>
  <c r="D209" i="6"/>
  <c r="C209" i="6"/>
  <c r="B209" i="6"/>
  <c r="Y208" i="6"/>
  <c r="M208" i="6" s="1"/>
  <c r="R208" i="6"/>
  <c r="Q208" i="6"/>
  <c r="P208" i="6"/>
  <c r="N208" i="6"/>
  <c r="L208" i="6"/>
  <c r="K208" i="6"/>
  <c r="J208" i="6"/>
  <c r="I208" i="6"/>
  <c r="H208" i="6"/>
  <c r="G208" i="6"/>
  <c r="F208" i="6"/>
  <c r="E208" i="6"/>
  <c r="D208" i="6"/>
  <c r="C208" i="6"/>
  <c r="B208" i="6"/>
  <c r="Y207" i="6"/>
  <c r="M207" i="6" s="1"/>
  <c r="R207" i="6"/>
  <c r="Q207" i="6"/>
  <c r="P207" i="6"/>
  <c r="O207" i="6" s="1"/>
  <c r="N207" i="6"/>
  <c r="L207" i="6"/>
  <c r="K207" i="6"/>
  <c r="J207" i="6"/>
  <c r="I207" i="6"/>
  <c r="H207" i="6"/>
  <c r="G207" i="6"/>
  <c r="F207" i="6"/>
  <c r="E207" i="6"/>
  <c r="D207" i="6"/>
  <c r="C207" i="6"/>
  <c r="B207" i="6"/>
  <c r="Y206" i="6"/>
  <c r="M206" i="6" s="1"/>
  <c r="R206" i="6"/>
  <c r="Q206" i="6"/>
  <c r="P206" i="6"/>
  <c r="O206" i="6" s="1"/>
  <c r="N206" i="6"/>
  <c r="L206" i="6"/>
  <c r="K206" i="6"/>
  <c r="J206" i="6"/>
  <c r="I206" i="6"/>
  <c r="H206" i="6"/>
  <c r="G206" i="6"/>
  <c r="F206" i="6"/>
  <c r="E206" i="6"/>
  <c r="D206" i="6"/>
  <c r="C206" i="6"/>
  <c r="B206" i="6"/>
  <c r="Y205" i="6"/>
  <c r="M205" i="6" s="1"/>
  <c r="R205" i="6"/>
  <c r="Q205" i="6"/>
  <c r="P205" i="6"/>
  <c r="O205" i="6" s="1"/>
  <c r="N205" i="6"/>
  <c r="L205" i="6"/>
  <c r="K205" i="6"/>
  <c r="J205" i="6"/>
  <c r="I205" i="6"/>
  <c r="H205" i="6"/>
  <c r="G205" i="6"/>
  <c r="F205" i="6"/>
  <c r="E205" i="6"/>
  <c r="D205" i="6"/>
  <c r="C205" i="6"/>
  <c r="B205" i="6"/>
  <c r="Y204" i="6"/>
  <c r="M204" i="6" s="1"/>
  <c r="R204" i="6"/>
  <c r="Q204" i="6"/>
  <c r="P204" i="6"/>
  <c r="O204" i="6"/>
  <c r="N204" i="6"/>
  <c r="L204" i="6"/>
  <c r="K204" i="6"/>
  <c r="J204" i="6"/>
  <c r="I204" i="6"/>
  <c r="H204" i="6"/>
  <c r="S204" i="6" s="1"/>
  <c r="G204" i="6"/>
  <c r="F204" i="6"/>
  <c r="E204" i="6"/>
  <c r="D204" i="6"/>
  <c r="C204" i="6"/>
  <c r="B204" i="6"/>
  <c r="Y203" i="6"/>
  <c r="M203" i="6" s="1"/>
  <c r="R203" i="6"/>
  <c r="Q203" i="6"/>
  <c r="P203" i="6"/>
  <c r="O203" i="6" s="1"/>
  <c r="N203" i="6"/>
  <c r="L203" i="6"/>
  <c r="K203" i="6"/>
  <c r="J203" i="6"/>
  <c r="I203" i="6"/>
  <c r="H203" i="6"/>
  <c r="G203" i="6"/>
  <c r="F203" i="6"/>
  <c r="E203" i="6"/>
  <c r="D203" i="6"/>
  <c r="C203" i="6"/>
  <c r="B203" i="6"/>
  <c r="Y202" i="6"/>
  <c r="M202" i="6" s="1"/>
  <c r="R202" i="6"/>
  <c r="Q202" i="6"/>
  <c r="P202" i="6"/>
  <c r="O202" i="6" s="1"/>
  <c r="N202" i="6"/>
  <c r="L202" i="6"/>
  <c r="K202" i="6"/>
  <c r="J202" i="6"/>
  <c r="I202" i="6"/>
  <c r="H202" i="6"/>
  <c r="G202" i="6"/>
  <c r="F202" i="6"/>
  <c r="E202" i="6"/>
  <c r="D202" i="6"/>
  <c r="C202" i="6"/>
  <c r="B202" i="6"/>
  <c r="Y201" i="6"/>
  <c r="M201" i="6" s="1"/>
  <c r="R201" i="6"/>
  <c r="Q201" i="6"/>
  <c r="P201" i="6"/>
  <c r="N201" i="6"/>
  <c r="L201" i="6"/>
  <c r="K201" i="6"/>
  <c r="J201" i="6"/>
  <c r="I201" i="6"/>
  <c r="H201" i="6"/>
  <c r="G201" i="6"/>
  <c r="F201" i="6"/>
  <c r="E201" i="6"/>
  <c r="D201" i="6"/>
  <c r="C201" i="6"/>
  <c r="B201" i="6"/>
  <c r="Y200" i="6"/>
  <c r="M200" i="6" s="1"/>
  <c r="R200" i="6"/>
  <c r="Q200" i="6"/>
  <c r="P200" i="6"/>
  <c r="N200" i="6"/>
  <c r="L200" i="6"/>
  <c r="K200" i="6"/>
  <c r="J200" i="6"/>
  <c r="I200" i="6"/>
  <c r="H200" i="6"/>
  <c r="G200" i="6"/>
  <c r="F200" i="6"/>
  <c r="E200" i="6"/>
  <c r="D200" i="6"/>
  <c r="C200" i="6"/>
  <c r="B200" i="6"/>
  <c r="Y199" i="6"/>
  <c r="M199" i="6" s="1"/>
  <c r="R199" i="6"/>
  <c r="Q199" i="6"/>
  <c r="P199" i="6"/>
  <c r="O199" i="6" s="1"/>
  <c r="N199" i="6"/>
  <c r="L199" i="6"/>
  <c r="K199" i="6"/>
  <c r="J199" i="6"/>
  <c r="I199" i="6"/>
  <c r="H199" i="6"/>
  <c r="G199" i="6"/>
  <c r="F199" i="6"/>
  <c r="E199" i="6"/>
  <c r="D199" i="6"/>
  <c r="C199" i="6"/>
  <c r="B199" i="6"/>
  <c r="Y198" i="6"/>
  <c r="M198" i="6" s="1"/>
  <c r="R198" i="6"/>
  <c r="Q198" i="6"/>
  <c r="P198" i="6"/>
  <c r="N198" i="6"/>
  <c r="L198" i="6"/>
  <c r="K198" i="6"/>
  <c r="J198" i="6"/>
  <c r="I198" i="6"/>
  <c r="H198" i="6"/>
  <c r="G198" i="6"/>
  <c r="F198" i="6"/>
  <c r="E198" i="6"/>
  <c r="D198" i="6"/>
  <c r="C198" i="6"/>
  <c r="B198" i="6"/>
  <c r="Y197" i="6"/>
  <c r="M197" i="6" s="1"/>
  <c r="R197" i="6"/>
  <c r="Q197" i="6"/>
  <c r="P197" i="6"/>
  <c r="N197" i="6"/>
  <c r="L197" i="6"/>
  <c r="K197" i="6"/>
  <c r="J197" i="6"/>
  <c r="I197" i="6"/>
  <c r="H197" i="6"/>
  <c r="S197" i="6" s="1"/>
  <c r="G197" i="6"/>
  <c r="F197" i="6"/>
  <c r="E197" i="6"/>
  <c r="D197" i="6"/>
  <c r="C197" i="6"/>
  <c r="B197" i="6"/>
  <c r="Y196" i="6"/>
  <c r="M196" i="6" s="1"/>
  <c r="R196" i="6"/>
  <c r="Q196" i="6"/>
  <c r="P196" i="6"/>
  <c r="O196" i="6" s="1"/>
  <c r="N196" i="6"/>
  <c r="L196" i="6"/>
  <c r="K196" i="6"/>
  <c r="J196" i="6"/>
  <c r="I196" i="6"/>
  <c r="H196" i="6"/>
  <c r="G196" i="6"/>
  <c r="F196" i="6"/>
  <c r="E196" i="6"/>
  <c r="D196" i="6"/>
  <c r="C196" i="6"/>
  <c r="B196" i="6"/>
  <c r="Y195" i="6"/>
  <c r="M195" i="6" s="1"/>
  <c r="R195" i="6"/>
  <c r="Q195" i="6"/>
  <c r="P195" i="6"/>
  <c r="N195" i="6"/>
  <c r="L195" i="6"/>
  <c r="K195" i="6"/>
  <c r="J195" i="6"/>
  <c r="I195" i="6"/>
  <c r="H195" i="6"/>
  <c r="G195" i="6"/>
  <c r="F195" i="6"/>
  <c r="E195" i="6"/>
  <c r="D195" i="6"/>
  <c r="C195" i="6"/>
  <c r="B195" i="6"/>
  <c r="Y194" i="6"/>
  <c r="M194" i="6" s="1"/>
  <c r="R194" i="6"/>
  <c r="Q194" i="6"/>
  <c r="P194" i="6"/>
  <c r="O194" i="6" s="1"/>
  <c r="N194" i="6"/>
  <c r="L194" i="6"/>
  <c r="K194" i="6"/>
  <c r="J194" i="6"/>
  <c r="I194" i="6"/>
  <c r="H194" i="6"/>
  <c r="G194" i="6"/>
  <c r="F194" i="6"/>
  <c r="E194" i="6"/>
  <c r="D194" i="6"/>
  <c r="C194" i="6"/>
  <c r="B194" i="6"/>
  <c r="Y193" i="6"/>
  <c r="M193" i="6" s="1"/>
  <c r="R193" i="6"/>
  <c r="Q193" i="6"/>
  <c r="P193" i="6"/>
  <c r="O193" i="6" s="1"/>
  <c r="N193" i="6"/>
  <c r="L193" i="6"/>
  <c r="K193" i="6"/>
  <c r="J193" i="6"/>
  <c r="I193" i="6"/>
  <c r="H193" i="6"/>
  <c r="G193" i="6"/>
  <c r="F193" i="6"/>
  <c r="E193" i="6"/>
  <c r="D193" i="6"/>
  <c r="C193" i="6"/>
  <c r="B193" i="6"/>
  <c r="Y192" i="6"/>
  <c r="M192" i="6" s="1"/>
  <c r="R192" i="6"/>
  <c r="Q192" i="6"/>
  <c r="P192" i="6"/>
  <c r="O192" i="6" s="1"/>
  <c r="N192" i="6"/>
  <c r="L192" i="6"/>
  <c r="K192" i="6"/>
  <c r="J192" i="6"/>
  <c r="I192" i="6"/>
  <c r="H192" i="6"/>
  <c r="G192" i="6"/>
  <c r="F192" i="6"/>
  <c r="E192" i="6"/>
  <c r="D192" i="6"/>
  <c r="C192" i="6"/>
  <c r="B192" i="6"/>
  <c r="Y191" i="6"/>
  <c r="M191" i="6" s="1"/>
  <c r="R191" i="6"/>
  <c r="Q191" i="6"/>
  <c r="O191" i="6" s="1"/>
  <c r="P191" i="6"/>
  <c r="N191" i="6"/>
  <c r="L191" i="6"/>
  <c r="K191" i="6"/>
  <c r="J191" i="6"/>
  <c r="I191" i="6"/>
  <c r="H191" i="6"/>
  <c r="G191" i="6"/>
  <c r="F191" i="6"/>
  <c r="E191" i="6"/>
  <c r="D191" i="6"/>
  <c r="C191" i="6"/>
  <c r="B191" i="6"/>
  <c r="Y190" i="6"/>
  <c r="M190" i="6" s="1"/>
  <c r="R190" i="6"/>
  <c r="Q190" i="6"/>
  <c r="P190" i="6"/>
  <c r="O190" i="6" s="1"/>
  <c r="N190" i="6"/>
  <c r="L190" i="6"/>
  <c r="K190" i="6"/>
  <c r="J190" i="6"/>
  <c r="I190" i="6"/>
  <c r="H190" i="6"/>
  <c r="G190" i="6"/>
  <c r="F190" i="6"/>
  <c r="E190" i="6"/>
  <c r="D190" i="6"/>
  <c r="C190" i="6"/>
  <c r="B190" i="6"/>
  <c r="Y189" i="6"/>
  <c r="M189" i="6" s="1"/>
  <c r="R189" i="6"/>
  <c r="Q189" i="6"/>
  <c r="P189" i="6"/>
  <c r="N189" i="6"/>
  <c r="L189" i="6"/>
  <c r="K189" i="6"/>
  <c r="J189" i="6"/>
  <c r="I189" i="6"/>
  <c r="H189" i="6"/>
  <c r="G189" i="6"/>
  <c r="F189" i="6"/>
  <c r="E189" i="6"/>
  <c r="D189" i="6"/>
  <c r="C189" i="6"/>
  <c r="B189" i="6"/>
  <c r="Y188" i="6"/>
  <c r="M188" i="6" s="1"/>
  <c r="R188" i="6"/>
  <c r="Q188" i="6"/>
  <c r="P188" i="6"/>
  <c r="O188" i="6" s="1"/>
  <c r="N188" i="6"/>
  <c r="L188" i="6"/>
  <c r="K188" i="6"/>
  <c r="J188" i="6"/>
  <c r="I188" i="6"/>
  <c r="H188" i="6"/>
  <c r="G188" i="6"/>
  <c r="F188" i="6"/>
  <c r="E188" i="6"/>
  <c r="D188" i="6"/>
  <c r="C188" i="6"/>
  <c r="B188" i="6"/>
  <c r="Y187" i="6"/>
  <c r="M187" i="6" s="1"/>
  <c r="R187" i="6"/>
  <c r="Q187" i="6"/>
  <c r="P187" i="6"/>
  <c r="O187" i="6" s="1"/>
  <c r="N187" i="6"/>
  <c r="L187" i="6"/>
  <c r="K187" i="6"/>
  <c r="J187" i="6"/>
  <c r="I187" i="6"/>
  <c r="H187" i="6"/>
  <c r="S187" i="6" s="1"/>
  <c r="G187" i="6"/>
  <c r="F187" i="6"/>
  <c r="E187" i="6"/>
  <c r="D187" i="6"/>
  <c r="C187" i="6"/>
  <c r="B187" i="6"/>
  <c r="Y186" i="6"/>
  <c r="M186" i="6" s="1"/>
  <c r="R186" i="6"/>
  <c r="Q186" i="6"/>
  <c r="P186" i="6"/>
  <c r="O186" i="6" s="1"/>
  <c r="N186" i="6"/>
  <c r="L186" i="6"/>
  <c r="K186" i="6"/>
  <c r="J186" i="6"/>
  <c r="I186" i="6"/>
  <c r="H186" i="6"/>
  <c r="G186" i="6"/>
  <c r="F186" i="6"/>
  <c r="E186" i="6"/>
  <c r="D186" i="6"/>
  <c r="C186" i="6"/>
  <c r="B186" i="6"/>
  <c r="Y185" i="6"/>
  <c r="M185" i="6" s="1"/>
  <c r="R185" i="6"/>
  <c r="Q185" i="6"/>
  <c r="P185" i="6"/>
  <c r="O185" i="6" s="1"/>
  <c r="N185" i="6"/>
  <c r="L185" i="6"/>
  <c r="K185" i="6"/>
  <c r="J185" i="6"/>
  <c r="I185" i="6"/>
  <c r="H185" i="6"/>
  <c r="G185" i="6"/>
  <c r="F185" i="6"/>
  <c r="E185" i="6"/>
  <c r="D185" i="6"/>
  <c r="C185" i="6"/>
  <c r="B185" i="6"/>
  <c r="Y184" i="6"/>
  <c r="M184" i="6" s="1"/>
  <c r="R184" i="6"/>
  <c r="Q184" i="6"/>
  <c r="P184" i="6"/>
  <c r="O184" i="6" s="1"/>
  <c r="N184" i="6"/>
  <c r="L184" i="6"/>
  <c r="K184" i="6"/>
  <c r="J184" i="6"/>
  <c r="I184" i="6"/>
  <c r="H184" i="6"/>
  <c r="G184" i="6"/>
  <c r="F184" i="6"/>
  <c r="E184" i="6"/>
  <c r="D184" i="6"/>
  <c r="C184" i="6"/>
  <c r="B184" i="6"/>
  <c r="Y183" i="6"/>
  <c r="M183" i="6" s="1"/>
  <c r="R183" i="6"/>
  <c r="Q183" i="6"/>
  <c r="P183" i="6"/>
  <c r="O183" i="6" s="1"/>
  <c r="N183" i="6"/>
  <c r="L183" i="6"/>
  <c r="K183" i="6"/>
  <c r="J183" i="6"/>
  <c r="I183" i="6"/>
  <c r="H183" i="6"/>
  <c r="G183" i="6"/>
  <c r="F183" i="6"/>
  <c r="E183" i="6"/>
  <c r="D183" i="6"/>
  <c r="C183" i="6"/>
  <c r="B183" i="6"/>
  <c r="Y182" i="6"/>
  <c r="M182" i="6" s="1"/>
  <c r="R182" i="6"/>
  <c r="Q182" i="6"/>
  <c r="P182" i="6"/>
  <c r="O182" i="6" s="1"/>
  <c r="N182" i="6"/>
  <c r="L182" i="6"/>
  <c r="K182" i="6"/>
  <c r="J182" i="6"/>
  <c r="I182" i="6"/>
  <c r="H182" i="6"/>
  <c r="G182" i="6"/>
  <c r="F182" i="6"/>
  <c r="E182" i="6"/>
  <c r="D182" i="6"/>
  <c r="C182" i="6"/>
  <c r="B182" i="6"/>
  <c r="Y181" i="6"/>
  <c r="M181" i="6" s="1"/>
  <c r="R181" i="6"/>
  <c r="Q181" i="6"/>
  <c r="P181" i="6"/>
  <c r="N181" i="6"/>
  <c r="L181" i="6"/>
  <c r="K181" i="6"/>
  <c r="J181" i="6"/>
  <c r="I181" i="6"/>
  <c r="H181" i="6"/>
  <c r="G181" i="6"/>
  <c r="F181" i="6"/>
  <c r="E181" i="6"/>
  <c r="D181" i="6"/>
  <c r="C181" i="6"/>
  <c r="B181" i="6"/>
  <c r="Y180" i="6"/>
  <c r="M180" i="6" s="1"/>
  <c r="R180" i="6"/>
  <c r="Q180" i="6"/>
  <c r="P180" i="6"/>
  <c r="O180" i="6" s="1"/>
  <c r="N180" i="6"/>
  <c r="L180" i="6"/>
  <c r="K180" i="6"/>
  <c r="J180" i="6"/>
  <c r="I180" i="6"/>
  <c r="H180" i="6"/>
  <c r="G180" i="6"/>
  <c r="F180" i="6"/>
  <c r="E180" i="6"/>
  <c r="D180" i="6"/>
  <c r="C180" i="6"/>
  <c r="B180" i="6"/>
  <c r="Y179" i="6"/>
  <c r="M179" i="6" s="1"/>
  <c r="R179" i="6"/>
  <c r="Q179" i="6"/>
  <c r="P179" i="6"/>
  <c r="N179" i="6"/>
  <c r="L179" i="6"/>
  <c r="K179" i="6"/>
  <c r="J179" i="6"/>
  <c r="I179" i="6"/>
  <c r="H179" i="6"/>
  <c r="G179" i="6"/>
  <c r="F179" i="6"/>
  <c r="E179" i="6"/>
  <c r="D179" i="6"/>
  <c r="C179" i="6"/>
  <c r="B179" i="6"/>
  <c r="Y178" i="6"/>
  <c r="M178" i="6" s="1"/>
  <c r="R178" i="6"/>
  <c r="Q178" i="6"/>
  <c r="P178" i="6"/>
  <c r="N178" i="6"/>
  <c r="L178" i="6"/>
  <c r="K178" i="6"/>
  <c r="J178" i="6"/>
  <c r="I178" i="6"/>
  <c r="H178" i="6"/>
  <c r="G178" i="6"/>
  <c r="F178" i="6"/>
  <c r="E178" i="6"/>
  <c r="D178" i="6"/>
  <c r="C178" i="6"/>
  <c r="B178" i="6"/>
  <c r="Y177" i="6"/>
  <c r="M177" i="6" s="1"/>
  <c r="R177" i="6"/>
  <c r="Q177" i="6"/>
  <c r="P177" i="6"/>
  <c r="O177" i="6" s="1"/>
  <c r="N177" i="6"/>
  <c r="L177" i="6"/>
  <c r="K177" i="6"/>
  <c r="J177" i="6"/>
  <c r="I177" i="6"/>
  <c r="H177" i="6"/>
  <c r="G177" i="6"/>
  <c r="F177" i="6"/>
  <c r="E177" i="6"/>
  <c r="D177" i="6"/>
  <c r="C177" i="6"/>
  <c r="B177" i="6"/>
  <c r="Y176" i="6"/>
  <c r="M176" i="6" s="1"/>
  <c r="R176" i="6"/>
  <c r="Q176" i="6"/>
  <c r="P176" i="6"/>
  <c r="O176" i="6" s="1"/>
  <c r="N176" i="6"/>
  <c r="L176" i="6"/>
  <c r="K176" i="6"/>
  <c r="J176" i="6"/>
  <c r="I176" i="6"/>
  <c r="H176" i="6"/>
  <c r="G176" i="6"/>
  <c r="F176" i="6"/>
  <c r="E176" i="6"/>
  <c r="D176" i="6"/>
  <c r="C176" i="6"/>
  <c r="B176" i="6"/>
  <c r="Y175" i="6"/>
  <c r="M175" i="6" s="1"/>
  <c r="R175" i="6"/>
  <c r="Q175" i="6"/>
  <c r="P175" i="6"/>
  <c r="N175" i="6"/>
  <c r="L175" i="6"/>
  <c r="K175" i="6"/>
  <c r="J175" i="6"/>
  <c r="I175" i="6"/>
  <c r="H175" i="6"/>
  <c r="G175" i="6"/>
  <c r="F175" i="6"/>
  <c r="E175" i="6"/>
  <c r="D175" i="6"/>
  <c r="C175" i="6"/>
  <c r="B175" i="6"/>
  <c r="Y174" i="6"/>
  <c r="M174" i="6" s="1"/>
  <c r="R174" i="6"/>
  <c r="Q174" i="6"/>
  <c r="P174" i="6"/>
  <c r="O174" i="6" s="1"/>
  <c r="N174" i="6"/>
  <c r="L174" i="6"/>
  <c r="K174" i="6"/>
  <c r="J174" i="6"/>
  <c r="I174" i="6"/>
  <c r="H174" i="6"/>
  <c r="G174" i="6"/>
  <c r="F174" i="6"/>
  <c r="E174" i="6"/>
  <c r="D174" i="6"/>
  <c r="C174" i="6"/>
  <c r="B174" i="6"/>
  <c r="Y173" i="6"/>
  <c r="M173" i="6" s="1"/>
  <c r="R173" i="6"/>
  <c r="Q173" i="6"/>
  <c r="P173" i="6"/>
  <c r="O173" i="6" s="1"/>
  <c r="N173" i="6"/>
  <c r="L173" i="6"/>
  <c r="K173" i="6"/>
  <c r="J173" i="6"/>
  <c r="I173" i="6"/>
  <c r="H173" i="6"/>
  <c r="G173" i="6"/>
  <c r="F173" i="6"/>
  <c r="E173" i="6"/>
  <c r="D173" i="6"/>
  <c r="C173" i="6"/>
  <c r="B173" i="6"/>
  <c r="Y172" i="6"/>
  <c r="M172" i="6" s="1"/>
  <c r="R172" i="6"/>
  <c r="Q172" i="6"/>
  <c r="P172" i="6"/>
  <c r="O172" i="6" s="1"/>
  <c r="N172" i="6"/>
  <c r="L172" i="6"/>
  <c r="K172" i="6"/>
  <c r="J172" i="6"/>
  <c r="I172" i="6"/>
  <c r="H172" i="6"/>
  <c r="G172" i="6"/>
  <c r="F172" i="6"/>
  <c r="E172" i="6"/>
  <c r="D172" i="6"/>
  <c r="C172" i="6"/>
  <c r="B172" i="6"/>
  <c r="Y171" i="6"/>
  <c r="M171" i="6" s="1"/>
  <c r="R171" i="6"/>
  <c r="Q171" i="6"/>
  <c r="P171" i="6"/>
  <c r="N171" i="6"/>
  <c r="L171" i="6"/>
  <c r="K171" i="6"/>
  <c r="J171" i="6"/>
  <c r="I171" i="6"/>
  <c r="H171" i="6"/>
  <c r="G171" i="6"/>
  <c r="F171" i="6"/>
  <c r="E171" i="6"/>
  <c r="D171" i="6"/>
  <c r="C171" i="6"/>
  <c r="B171" i="6"/>
  <c r="Y170" i="6"/>
  <c r="M170" i="6" s="1"/>
  <c r="R170" i="6"/>
  <c r="Q170" i="6"/>
  <c r="P170" i="6"/>
  <c r="O170" i="6" s="1"/>
  <c r="N170" i="6"/>
  <c r="L170" i="6"/>
  <c r="K170" i="6"/>
  <c r="J170" i="6"/>
  <c r="I170" i="6"/>
  <c r="H170" i="6"/>
  <c r="G170" i="6"/>
  <c r="F170" i="6"/>
  <c r="E170" i="6"/>
  <c r="D170" i="6"/>
  <c r="C170" i="6"/>
  <c r="B170" i="6"/>
  <c r="Y169" i="6"/>
  <c r="M169" i="6" s="1"/>
  <c r="R169" i="6"/>
  <c r="Q169" i="6"/>
  <c r="P169" i="6"/>
  <c r="N169" i="6"/>
  <c r="L169" i="6"/>
  <c r="K169" i="6"/>
  <c r="J169" i="6"/>
  <c r="I169" i="6"/>
  <c r="H169" i="6"/>
  <c r="G169" i="6"/>
  <c r="F169" i="6"/>
  <c r="E169" i="6"/>
  <c r="D169" i="6"/>
  <c r="C169" i="6"/>
  <c r="B169" i="6"/>
  <c r="Y168" i="6"/>
  <c r="M168" i="6" s="1"/>
  <c r="R168" i="6"/>
  <c r="Q168" i="6"/>
  <c r="P168" i="6"/>
  <c r="N168" i="6"/>
  <c r="L168" i="6"/>
  <c r="K168" i="6"/>
  <c r="J168" i="6"/>
  <c r="I168" i="6"/>
  <c r="H168" i="6"/>
  <c r="G168" i="6"/>
  <c r="F168" i="6"/>
  <c r="E168" i="6"/>
  <c r="D168" i="6"/>
  <c r="C168" i="6"/>
  <c r="B168" i="6"/>
  <c r="Y167" i="6"/>
  <c r="M167" i="6" s="1"/>
  <c r="R167" i="6"/>
  <c r="Q167" i="6"/>
  <c r="P167" i="6"/>
  <c r="O167" i="6" s="1"/>
  <c r="N167" i="6"/>
  <c r="L167" i="6"/>
  <c r="K167" i="6"/>
  <c r="J167" i="6"/>
  <c r="I167" i="6"/>
  <c r="H167" i="6"/>
  <c r="S167" i="6" s="1"/>
  <c r="G167" i="6"/>
  <c r="F167" i="6"/>
  <c r="E167" i="6"/>
  <c r="D167" i="6"/>
  <c r="C167" i="6"/>
  <c r="B167" i="6"/>
  <c r="Y166" i="6"/>
  <c r="M166" i="6" s="1"/>
  <c r="R166" i="6"/>
  <c r="Q166" i="6"/>
  <c r="P166" i="6"/>
  <c r="O166" i="6" s="1"/>
  <c r="N166" i="6"/>
  <c r="L166" i="6"/>
  <c r="K166" i="6"/>
  <c r="J166" i="6"/>
  <c r="I166" i="6"/>
  <c r="H166" i="6"/>
  <c r="G166" i="6"/>
  <c r="F166" i="6"/>
  <c r="E166" i="6"/>
  <c r="D166" i="6"/>
  <c r="C166" i="6"/>
  <c r="B166" i="6"/>
  <c r="Y165" i="6"/>
  <c r="M165" i="6" s="1"/>
  <c r="R165" i="6"/>
  <c r="Q165" i="6"/>
  <c r="P165" i="6"/>
  <c r="N165" i="6"/>
  <c r="L165" i="6"/>
  <c r="K165" i="6"/>
  <c r="J165" i="6"/>
  <c r="I165" i="6"/>
  <c r="H165" i="6"/>
  <c r="G165" i="6"/>
  <c r="F165" i="6"/>
  <c r="E165" i="6"/>
  <c r="D165" i="6"/>
  <c r="C165" i="6"/>
  <c r="B165" i="6"/>
  <c r="Y164" i="6"/>
  <c r="M164" i="6" s="1"/>
  <c r="R164" i="6"/>
  <c r="Q164" i="6"/>
  <c r="P164" i="6"/>
  <c r="O164" i="6" s="1"/>
  <c r="N164" i="6"/>
  <c r="L164" i="6"/>
  <c r="K164" i="6"/>
  <c r="J164" i="6"/>
  <c r="I164" i="6"/>
  <c r="H164" i="6"/>
  <c r="G164" i="6"/>
  <c r="F164" i="6"/>
  <c r="E164" i="6"/>
  <c r="D164" i="6"/>
  <c r="C164" i="6"/>
  <c r="B164" i="6"/>
  <c r="Y163" i="6"/>
  <c r="M163" i="6" s="1"/>
  <c r="R163" i="6"/>
  <c r="Q163" i="6"/>
  <c r="P163" i="6"/>
  <c r="N163" i="6"/>
  <c r="L163" i="6"/>
  <c r="K163" i="6"/>
  <c r="J163" i="6"/>
  <c r="I163" i="6"/>
  <c r="H163" i="6"/>
  <c r="G163" i="6"/>
  <c r="F163" i="6"/>
  <c r="E163" i="6"/>
  <c r="D163" i="6"/>
  <c r="C163" i="6"/>
  <c r="B163" i="6"/>
  <c r="Y162" i="6"/>
  <c r="M162" i="6" s="1"/>
  <c r="R162" i="6"/>
  <c r="Q162" i="6"/>
  <c r="O162" i="6" s="1"/>
  <c r="P162" i="6"/>
  <c r="N162" i="6"/>
  <c r="L162" i="6"/>
  <c r="K162" i="6"/>
  <c r="J162" i="6"/>
  <c r="I162" i="6"/>
  <c r="H162" i="6"/>
  <c r="G162" i="6"/>
  <c r="F162" i="6"/>
  <c r="E162" i="6"/>
  <c r="D162" i="6"/>
  <c r="C162" i="6"/>
  <c r="B162" i="6"/>
  <c r="Y161" i="6"/>
  <c r="M161" i="6" s="1"/>
  <c r="R161" i="6"/>
  <c r="Q161" i="6"/>
  <c r="P161" i="6"/>
  <c r="N161" i="6"/>
  <c r="L161" i="6"/>
  <c r="K161" i="6"/>
  <c r="J161" i="6"/>
  <c r="I161" i="6"/>
  <c r="H161" i="6"/>
  <c r="G161" i="6"/>
  <c r="F161" i="6"/>
  <c r="E161" i="6"/>
  <c r="D161" i="6"/>
  <c r="C161" i="6"/>
  <c r="B161" i="6"/>
  <c r="Y160" i="6"/>
  <c r="M160" i="6" s="1"/>
  <c r="R160" i="6"/>
  <c r="Q160" i="6"/>
  <c r="P160" i="6"/>
  <c r="N160" i="6"/>
  <c r="L160" i="6"/>
  <c r="K160" i="6"/>
  <c r="J160" i="6"/>
  <c r="I160" i="6"/>
  <c r="H160" i="6"/>
  <c r="G160" i="6"/>
  <c r="F160" i="6"/>
  <c r="E160" i="6"/>
  <c r="D160" i="6"/>
  <c r="C160" i="6"/>
  <c r="B160" i="6"/>
  <c r="Y159" i="6"/>
  <c r="M159" i="6" s="1"/>
  <c r="R159" i="6"/>
  <c r="Q159" i="6"/>
  <c r="P159" i="6"/>
  <c r="N159" i="6"/>
  <c r="L159" i="6"/>
  <c r="K159" i="6"/>
  <c r="J159" i="6"/>
  <c r="I159" i="6"/>
  <c r="H159" i="6"/>
  <c r="G159" i="6"/>
  <c r="F159" i="6"/>
  <c r="E159" i="6"/>
  <c r="D159" i="6"/>
  <c r="C159" i="6"/>
  <c r="B159" i="6"/>
  <c r="Y158" i="6"/>
  <c r="M158" i="6" s="1"/>
  <c r="R158" i="6"/>
  <c r="Q158" i="6"/>
  <c r="P158" i="6"/>
  <c r="O158" i="6" s="1"/>
  <c r="N158" i="6"/>
  <c r="L158" i="6"/>
  <c r="K158" i="6"/>
  <c r="J158" i="6"/>
  <c r="I158" i="6"/>
  <c r="H158" i="6"/>
  <c r="G158" i="6"/>
  <c r="F158" i="6"/>
  <c r="E158" i="6"/>
  <c r="D158" i="6"/>
  <c r="C158" i="6"/>
  <c r="B158" i="6"/>
  <c r="Y157" i="6"/>
  <c r="M157" i="6" s="1"/>
  <c r="R157" i="6"/>
  <c r="Q157" i="6"/>
  <c r="P157" i="6"/>
  <c r="N157" i="6"/>
  <c r="L157" i="6"/>
  <c r="K157" i="6"/>
  <c r="J157" i="6"/>
  <c r="I157" i="6"/>
  <c r="H157" i="6"/>
  <c r="G157" i="6"/>
  <c r="F157" i="6"/>
  <c r="E157" i="6"/>
  <c r="D157" i="6"/>
  <c r="C157" i="6"/>
  <c r="B157" i="6"/>
  <c r="Y156" i="6"/>
  <c r="M156" i="6" s="1"/>
  <c r="R156" i="6"/>
  <c r="Q156" i="6"/>
  <c r="P156" i="6"/>
  <c r="O156" i="6" s="1"/>
  <c r="N156" i="6"/>
  <c r="L156" i="6"/>
  <c r="K156" i="6"/>
  <c r="J156" i="6"/>
  <c r="I156" i="6"/>
  <c r="H156" i="6"/>
  <c r="G156" i="6"/>
  <c r="F156" i="6"/>
  <c r="E156" i="6"/>
  <c r="D156" i="6"/>
  <c r="C156" i="6"/>
  <c r="B156" i="6"/>
  <c r="Y155" i="6"/>
  <c r="M155" i="6" s="1"/>
  <c r="R155" i="6"/>
  <c r="Q155" i="6"/>
  <c r="P155" i="6"/>
  <c r="O155" i="6"/>
  <c r="N155" i="6"/>
  <c r="L155" i="6"/>
  <c r="K155" i="6"/>
  <c r="J155" i="6"/>
  <c r="I155" i="6"/>
  <c r="H155" i="6"/>
  <c r="G155" i="6"/>
  <c r="F155" i="6"/>
  <c r="E155" i="6"/>
  <c r="D155" i="6"/>
  <c r="C155" i="6"/>
  <c r="B155" i="6"/>
  <c r="Y154" i="6"/>
  <c r="M154" i="6" s="1"/>
  <c r="R154" i="6"/>
  <c r="Q154" i="6"/>
  <c r="P154" i="6"/>
  <c r="O154" i="6" s="1"/>
  <c r="N154" i="6"/>
  <c r="L154" i="6"/>
  <c r="K154" i="6"/>
  <c r="J154" i="6"/>
  <c r="I154" i="6"/>
  <c r="H154" i="6"/>
  <c r="G154" i="6"/>
  <c r="F154" i="6"/>
  <c r="E154" i="6"/>
  <c r="D154" i="6"/>
  <c r="C154" i="6"/>
  <c r="B154" i="6"/>
  <c r="Y153" i="6"/>
  <c r="M153" i="6" s="1"/>
  <c r="R153" i="6"/>
  <c r="Q153" i="6"/>
  <c r="P153" i="6"/>
  <c r="N153" i="6"/>
  <c r="L153" i="6"/>
  <c r="K153" i="6"/>
  <c r="J153" i="6"/>
  <c r="I153" i="6"/>
  <c r="H153" i="6"/>
  <c r="G153" i="6"/>
  <c r="F153" i="6"/>
  <c r="E153" i="6"/>
  <c r="D153" i="6"/>
  <c r="C153" i="6"/>
  <c r="B153" i="6"/>
  <c r="Y152" i="6"/>
  <c r="M152" i="6" s="1"/>
  <c r="R152" i="6"/>
  <c r="Q152" i="6"/>
  <c r="P152" i="6"/>
  <c r="N152" i="6"/>
  <c r="L152" i="6"/>
  <c r="K152" i="6"/>
  <c r="J152" i="6"/>
  <c r="I152" i="6"/>
  <c r="H152" i="6"/>
  <c r="G152" i="6"/>
  <c r="F152" i="6"/>
  <c r="E152" i="6"/>
  <c r="D152" i="6"/>
  <c r="C152" i="6"/>
  <c r="B152" i="6"/>
  <c r="Y151" i="6"/>
  <c r="M151" i="6" s="1"/>
  <c r="R151" i="6"/>
  <c r="Q151" i="6"/>
  <c r="P151" i="6"/>
  <c r="O151" i="6" s="1"/>
  <c r="N151" i="6"/>
  <c r="L151" i="6"/>
  <c r="K151" i="6"/>
  <c r="J151" i="6"/>
  <c r="I151" i="6"/>
  <c r="H151" i="6"/>
  <c r="G151" i="6"/>
  <c r="F151" i="6"/>
  <c r="E151" i="6"/>
  <c r="D151" i="6"/>
  <c r="C151" i="6"/>
  <c r="B151" i="6"/>
  <c r="Y150" i="6"/>
  <c r="M150" i="6" s="1"/>
  <c r="R150" i="6"/>
  <c r="Q150" i="6"/>
  <c r="P150" i="6"/>
  <c r="O150" i="6" s="1"/>
  <c r="N150" i="6"/>
  <c r="L150" i="6"/>
  <c r="K150" i="6"/>
  <c r="J150" i="6"/>
  <c r="I150" i="6"/>
  <c r="H150" i="6"/>
  <c r="G150" i="6"/>
  <c r="F150" i="6"/>
  <c r="E150" i="6"/>
  <c r="D150" i="6"/>
  <c r="C150" i="6"/>
  <c r="B150" i="6"/>
  <c r="Y149" i="6"/>
  <c r="M149" i="6" s="1"/>
  <c r="R149" i="6"/>
  <c r="Q149" i="6"/>
  <c r="P149" i="6"/>
  <c r="N149" i="6"/>
  <c r="L149" i="6"/>
  <c r="K149" i="6"/>
  <c r="J149" i="6"/>
  <c r="I149" i="6"/>
  <c r="H149" i="6"/>
  <c r="G149" i="6"/>
  <c r="F149" i="6"/>
  <c r="E149" i="6"/>
  <c r="D149" i="6"/>
  <c r="C149" i="6"/>
  <c r="B149" i="6"/>
  <c r="Y148" i="6"/>
  <c r="M148" i="6" s="1"/>
  <c r="R148" i="6"/>
  <c r="Q148" i="6"/>
  <c r="P148" i="6"/>
  <c r="N148" i="6"/>
  <c r="L148" i="6"/>
  <c r="K148" i="6"/>
  <c r="J148" i="6"/>
  <c r="I148" i="6"/>
  <c r="H148" i="6"/>
  <c r="G148" i="6"/>
  <c r="F148" i="6"/>
  <c r="E148" i="6"/>
  <c r="D148" i="6"/>
  <c r="C148" i="6"/>
  <c r="B148" i="6"/>
  <c r="Y147" i="6"/>
  <c r="M147" i="6" s="1"/>
  <c r="R147" i="6"/>
  <c r="Q147" i="6"/>
  <c r="P147" i="6"/>
  <c r="O147" i="6" s="1"/>
  <c r="N147" i="6"/>
  <c r="L147" i="6"/>
  <c r="K147" i="6"/>
  <c r="J147" i="6"/>
  <c r="I147" i="6"/>
  <c r="H147" i="6"/>
  <c r="G147" i="6"/>
  <c r="F147" i="6"/>
  <c r="E147" i="6"/>
  <c r="D147" i="6"/>
  <c r="C147" i="6"/>
  <c r="B147" i="6"/>
  <c r="Y146" i="6"/>
  <c r="M146" i="6" s="1"/>
  <c r="R146" i="6"/>
  <c r="Q146" i="6"/>
  <c r="P146" i="6"/>
  <c r="N146" i="6"/>
  <c r="L146" i="6"/>
  <c r="K146" i="6"/>
  <c r="J146" i="6"/>
  <c r="I146" i="6"/>
  <c r="H146" i="6"/>
  <c r="G146" i="6"/>
  <c r="F146" i="6"/>
  <c r="E146" i="6"/>
  <c r="D146" i="6"/>
  <c r="C146" i="6"/>
  <c r="B146" i="6"/>
  <c r="Y145" i="6"/>
  <c r="M145" i="6" s="1"/>
  <c r="R145" i="6"/>
  <c r="Q145" i="6"/>
  <c r="P145" i="6"/>
  <c r="O145" i="6" s="1"/>
  <c r="N145" i="6"/>
  <c r="L145" i="6"/>
  <c r="K145" i="6"/>
  <c r="J145" i="6"/>
  <c r="I145" i="6"/>
  <c r="H145" i="6"/>
  <c r="G145" i="6"/>
  <c r="F145" i="6"/>
  <c r="E145" i="6"/>
  <c r="D145" i="6"/>
  <c r="C145" i="6"/>
  <c r="B145" i="6"/>
  <c r="Y144" i="6"/>
  <c r="M144" i="6" s="1"/>
  <c r="R144" i="6"/>
  <c r="Q144" i="6"/>
  <c r="P144" i="6"/>
  <c r="O144" i="6" s="1"/>
  <c r="N144" i="6"/>
  <c r="L144" i="6"/>
  <c r="K144" i="6"/>
  <c r="J144" i="6"/>
  <c r="I144" i="6"/>
  <c r="H144" i="6"/>
  <c r="G144" i="6"/>
  <c r="F144" i="6"/>
  <c r="E144" i="6"/>
  <c r="D144" i="6"/>
  <c r="C144" i="6"/>
  <c r="B144" i="6"/>
  <c r="Y143" i="6"/>
  <c r="M143" i="6" s="1"/>
  <c r="R143" i="6"/>
  <c r="Q143" i="6"/>
  <c r="P143" i="6"/>
  <c r="N143" i="6"/>
  <c r="L143" i="6"/>
  <c r="K143" i="6"/>
  <c r="J143" i="6"/>
  <c r="I143" i="6"/>
  <c r="H143" i="6"/>
  <c r="G143" i="6"/>
  <c r="F143" i="6"/>
  <c r="E143" i="6"/>
  <c r="D143" i="6"/>
  <c r="C143" i="6"/>
  <c r="B143" i="6"/>
  <c r="Y142" i="6"/>
  <c r="M142" i="6" s="1"/>
  <c r="R142" i="6"/>
  <c r="Q142" i="6"/>
  <c r="O142" i="6" s="1"/>
  <c r="P142" i="6"/>
  <c r="N142" i="6"/>
  <c r="L142" i="6"/>
  <c r="K142" i="6"/>
  <c r="J142" i="6"/>
  <c r="I142" i="6"/>
  <c r="H142" i="6"/>
  <c r="G142" i="6"/>
  <c r="F142" i="6"/>
  <c r="E142" i="6"/>
  <c r="D142" i="6"/>
  <c r="C142" i="6"/>
  <c r="B142" i="6"/>
  <c r="Y141" i="6"/>
  <c r="M141" i="6" s="1"/>
  <c r="R141" i="6"/>
  <c r="Q141" i="6"/>
  <c r="P141" i="6"/>
  <c r="N141" i="6"/>
  <c r="L141" i="6"/>
  <c r="K141" i="6"/>
  <c r="J141" i="6"/>
  <c r="I141" i="6"/>
  <c r="H141" i="6"/>
  <c r="G141" i="6"/>
  <c r="F141" i="6"/>
  <c r="E141" i="6"/>
  <c r="D141" i="6"/>
  <c r="C141" i="6"/>
  <c r="B141" i="6"/>
  <c r="Y140" i="6"/>
  <c r="M140" i="6" s="1"/>
  <c r="R140" i="6"/>
  <c r="Q140" i="6"/>
  <c r="O140" i="6" s="1"/>
  <c r="P140" i="6"/>
  <c r="N140" i="6"/>
  <c r="L140" i="6"/>
  <c r="K140" i="6"/>
  <c r="J140" i="6"/>
  <c r="I140" i="6"/>
  <c r="H140" i="6"/>
  <c r="G140" i="6"/>
  <c r="F140" i="6"/>
  <c r="E140" i="6"/>
  <c r="D140" i="6"/>
  <c r="C140" i="6"/>
  <c r="B140" i="6"/>
  <c r="Y139" i="6"/>
  <c r="M139" i="6" s="1"/>
  <c r="R139" i="6"/>
  <c r="Q139" i="6"/>
  <c r="P139" i="6"/>
  <c r="O139" i="6" s="1"/>
  <c r="N139" i="6"/>
  <c r="L139" i="6"/>
  <c r="K139" i="6"/>
  <c r="J139" i="6"/>
  <c r="I139" i="6"/>
  <c r="H139" i="6"/>
  <c r="G139" i="6"/>
  <c r="S139" i="6" s="1"/>
  <c r="F139" i="6"/>
  <c r="E139" i="6"/>
  <c r="D139" i="6"/>
  <c r="C139" i="6"/>
  <c r="B139" i="6"/>
  <c r="Y138" i="6"/>
  <c r="M138" i="6" s="1"/>
  <c r="R138" i="6"/>
  <c r="Q138" i="6"/>
  <c r="P138" i="6"/>
  <c r="N138" i="6"/>
  <c r="L138" i="6"/>
  <c r="K138" i="6"/>
  <c r="J138" i="6"/>
  <c r="I138" i="6"/>
  <c r="H138" i="6"/>
  <c r="G138" i="6"/>
  <c r="F138" i="6"/>
  <c r="E138" i="6"/>
  <c r="D138" i="6"/>
  <c r="C138" i="6"/>
  <c r="B138" i="6"/>
  <c r="Y137" i="6"/>
  <c r="M137" i="6" s="1"/>
  <c r="R137" i="6"/>
  <c r="Q137" i="6"/>
  <c r="P137" i="6"/>
  <c r="O137" i="6" s="1"/>
  <c r="N137" i="6"/>
  <c r="L137" i="6"/>
  <c r="K137" i="6"/>
  <c r="J137" i="6"/>
  <c r="I137" i="6"/>
  <c r="H137" i="6"/>
  <c r="G137" i="6"/>
  <c r="F137" i="6"/>
  <c r="E137" i="6"/>
  <c r="D137" i="6"/>
  <c r="C137" i="6"/>
  <c r="B137" i="6"/>
  <c r="Y136" i="6"/>
  <c r="M136" i="6" s="1"/>
  <c r="R136" i="6"/>
  <c r="Q136" i="6"/>
  <c r="P136" i="6"/>
  <c r="O136" i="6" s="1"/>
  <c r="N136" i="6"/>
  <c r="L136" i="6"/>
  <c r="K136" i="6"/>
  <c r="J136" i="6"/>
  <c r="I136" i="6"/>
  <c r="H136" i="6"/>
  <c r="G136" i="6"/>
  <c r="F136" i="6"/>
  <c r="E136" i="6"/>
  <c r="D136" i="6"/>
  <c r="C136" i="6"/>
  <c r="B136" i="6"/>
  <c r="Y135" i="6"/>
  <c r="M135" i="6" s="1"/>
  <c r="R135" i="6"/>
  <c r="Q135" i="6"/>
  <c r="O135" i="6" s="1"/>
  <c r="P135" i="6"/>
  <c r="N135" i="6"/>
  <c r="L135" i="6"/>
  <c r="K135" i="6"/>
  <c r="J135" i="6"/>
  <c r="I135" i="6"/>
  <c r="H135" i="6"/>
  <c r="G135" i="6"/>
  <c r="F135" i="6"/>
  <c r="E135" i="6"/>
  <c r="D135" i="6"/>
  <c r="C135" i="6"/>
  <c r="B135" i="6"/>
  <c r="Y134" i="6"/>
  <c r="M134" i="6" s="1"/>
  <c r="R134" i="6"/>
  <c r="Q134" i="6"/>
  <c r="P134" i="6"/>
  <c r="O134" i="6" s="1"/>
  <c r="N134" i="6"/>
  <c r="L134" i="6"/>
  <c r="K134" i="6"/>
  <c r="J134" i="6"/>
  <c r="I134" i="6"/>
  <c r="H134" i="6"/>
  <c r="G134" i="6"/>
  <c r="F134" i="6"/>
  <c r="E134" i="6"/>
  <c r="D134" i="6"/>
  <c r="C134" i="6"/>
  <c r="B134" i="6"/>
  <c r="Y133" i="6"/>
  <c r="M133" i="6" s="1"/>
  <c r="R133" i="6"/>
  <c r="Q133" i="6"/>
  <c r="P133" i="6"/>
  <c r="O133" i="6" s="1"/>
  <c r="N133" i="6"/>
  <c r="L133" i="6"/>
  <c r="K133" i="6"/>
  <c r="J133" i="6"/>
  <c r="I133" i="6"/>
  <c r="H133" i="6"/>
  <c r="G133" i="6"/>
  <c r="F133" i="6"/>
  <c r="E133" i="6"/>
  <c r="D133" i="6"/>
  <c r="C133" i="6"/>
  <c r="B133" i="6"/>
  <c r="Y132" i="6"/>
  <c r="M132" i="6" s="1"/>
  <c r="R132" i="6"/>
  <c r="Q132" i="6"/>
  <c r="O132" i="6" s="1"/>
  <c r="P132" i="6"/>
  <c r="N132" i="6"/>
  <c r="L132" i="6"/>
  <c r="K132" i="6"/>
  <c r="J132" i="6"/>
  <c r="I132" i="6"/>
  <c r="H132" i="6"/>
  <c r="G132" i="6"/>
  <c r="F132" i="6"/>
  <c r="E132" i="6"/>
  <c r="D132" i="6"/>
  <c r="C132" i="6"/>
  <c r="B132" i="6"/>
  <c r="Y131" i="6"/>
  <c r="M131" i="6" s="1"/>
  <c r="R131" i="6"/>
  <c r="Q131" i="6"/>
  <c r="P131" i="6"/>
  <c r="N131" i="6"/>
  <c r="L131" i="6"/>
  <c r="K131" i="6"/>
  <c r="J131" i="6"/>
  <c r="I131" i="6"/>
  <c r="H131" i="6"/>
  <c r="G131" i="6"/>
  <c r="F131" i="6"/>
  <c r="E131" i="6"/>
  <c r="D131" i="6"/>
  <c r="C131" i="6"/>
  <c r="B131" i="6"/>
  <c r="Y130" i="6"/>
  <c r="M130" i="6" s="1"/>
  <c r="R130" i="6"/>
  <c r="Q130" i="6"/>
  <c r="P130" i="6"/>
  <c r="N130" i="6"/>
  <c r="L130" i="6"/>
  <c r="K130" i="6"/>
  <c r="J130" i="6"/>
  <c r="I130" i="6"/>
  <c r="H130" i="6"/>
  <c r="G130" i="6"/>
  <c r="F130" i="6"/>
  <c r="E130" i="6"/>
  <c r="D130" i="6"/>
  <c r="C130" i="6"/>
  <c r="B130" i="6"/>
  <c r="Y129" i="6"/>
  <c r="M129" i="6" s="1"/>
  <c r="R129" i="6"/>
  <c r="Q129" i="6"/>
  <c r="P129" i="6"/>
  <c r="N129" i="6"/>
  <c r="L129" i="6"/>
  <c r="K129" i="6"/>
  <c r="J129" i="6"/>
  <c r="I129" i="6"/>
  <c r="H129" i="6"/>
  <c r="G129" i="6"/>
  <c r="F129" i="6"/>
  <c r="E129" i="6"/>
  <c r="D129" i="6"/>
  <c r="C129" i="6"/>
  <c r="B129" i="6"/>
  <c r="Y128" i="6"/>
  <c r="M128" i="6" s="1"/>
  <c r="R128" i="6"/>
  <c r="Q128" i="6"/>
  <c r="P128" i="6"/>
  <c r="N128" i="6"/>
  <c r="L128" i="6"/>
  <c r="K128" i="6"/>
  <c r="J128" i="6"/>
  <c r="I128" i="6"/>
  <c r="H128" i="6"/>
  <c r="G128" i="6"/>
  <c r="F128" i="6"/>
  <c r="E128" i="6"/>
  <c r="D128" i="6"/>
  <c r="C128" i="6"/>
  <c r="B128" i="6"/>
  <c r="Y127" i="6"/>
  <c r="M127" i="6" s="1"/>
  <c r="R127" i="6"/>
  <c r="Q127" i="6"/>
  <c r="P127" i="6"/>
  <c r="O127" i="6"/>
  <c r="N127" i="6"/>
  <c r="L127" i="6"/>
  <c r="K127" i="6"/>
  <c r="J127" i="6"/>
  <c r="I127" i="6"/>
  <c r="H127" i="6"/>
  <c r="G127" i="6"/>
  <c r="F127" i="6"/>
  <c r="E127" i="6"/>
  <c r="D127" i="6"/>
  <c r="C127" i="6"/>
  <c r="B127" i="6"/>
  <c r="Y126" i="6"/>
  <c r="M126" i="6" s="1"/>
  <c r="R126" i="6"/>
  <c r="Q126" i="6"/>
  <c r="P126" i="6"/>
  <c r="N126" i="6"/>
  <c r="L126" i="6"/>
  <c r="K126" i="6"/>
  <c r="J126" i="6"/>
  <c r="I126" i="6"/>
  <c r="H126" i="6"/>
  <c r="G126" i="6"/>
  <c r="F126" i="6"/>
  <c r="E126" i="6"/>
  <c r="D126" i="6"/>
  <c r="C126" i="6"/>
  <c r="B126" i="6"/>
  <c r="Y125" i="6"/>
  <c r="M125" i="6" s="1"/>
  <c r="R125" i="6"/>
  <c r="Q125" i="6"/>
  <c r="P125" i="6"/>
  <c r="O125" i="6" s="1"/>
  <c r="N125" i="6"/>
  <c r="L125" i="6"/>
  <c r="K125" i="6"/>
  <c r="J125" i="6"/>
  <c r="I125" i="6"/>
  <c r="H125" i="6"/>
  <c r="G125" i="6"/>
  <c r="F125" i="6"/>
  <c r="E125" i="6"/>
  <c r="D125" i="6"/>
  <c r="C125" i="6"/>
  <c r="B125" i="6"/>
  <c r="Y124" i="6"/>
  <c r="M124" i="6" s="1"/>
  <c r="R124" i="6"/>
  <c r="Q124" i="6"/>
  <c r="O124" i="6" s="1"/>
  <c r="P124" i="6"/>
  <c r="N124" i="6"/>
  <c r="L124" i="6"/>
  <c r="K124" i="6"/>
  <c r="J124" i="6"/>
  <c r="I124" i="6"/>
  <c r="H124" i="6"/>
  <c r="G124" i="6"/>
  <c r="F124" i="6"/>
  <c r="E124" i="6"/>
  <c r="D124" i="6"/>
  <c r="C124" i="6"/>
  <c r="B124" i="6"/>
  <c r="Y123" i="6"/>
  <c r="M123" i="6" s="1"/>
  <c r="R123" i="6"/>
  <c r="Q123" i="6"/>
  <c r="P123" i="6"/>
  <c r="O123" i="6" s="1"/>
  <c r="N123" i="6"/>
  <c r="L123" i="6"/>
  <c r="K123" i="6"/>
  <c r="J123" i="6"/>
  <c r="I123" i="6"/>
  <c r="H123" i="6"/>
  <c r="G123" i="6"/>
  <c r="F123" i="6"/>
  <c r="E123" i="6"/>
  <c r="D123" i="6"/>
  <c r="C123" i="6"/>
  <c r="B123" i="6"/>
  <c r="Y122" i="6"/>
  <c r="M122" i="6" s="1"/>
  <c r="R122" i="6"/>
  <c r="Q122" i="6"/>
  <c r="P122" i="6"/>
  <c r="O122" i="6" s="1"/>
  <c r="N122" i="6"/>
  <c r="L122" i="6"/>
  <c r="K122" i="6"/>
  <c r="J122" i="6"/>
  <c r="I122" i="6"/>
  <c r="H122" i="6"/>
  <c r="G122" i="6"/>
  <c r="F122" i="6"/>
  <c r="E122" i="6"/>
  <c r="D122" i="6"/>
  <c r="C122" i="6"/>
  <c r="B122" i="6"/>
  <c r="Y121" i="6"/>
  <c r="M121" i="6" s="1"/>
  <c r="R121" i="6"/>
  <c r="Q121" i="6"/>
  <c r="P121" i="6"/>
  <c r="O121" i="6" s="1"/>
  <c r="N121" i="6"/>
  <c r="L121" i="6"/>
  <c r="K121" i="6"/>
  <c r="J121" i="6"/>
  <c r="I121" i="6"/>
  <c r="H121" i="6"/>
  <c r="G121" i="6"/>
  <c r="F121" i="6"/>
  <c r="E121" i="6"/>
  <c r="D121" i="6"/>
  <c r="C121" i="6"/>
  <c r="B121" i="6"/>
  <c r="Y120" i="6"/>
  <c r="M120" i="6" s="1"/>
  <c r="R120" i="6"/>
  <c r="Q120" i="6"/>
  <c r="P120" i="6"/>
  <c r="N120" i="6"/>
  <c r="L120" i="6"/>
  <c r="K120" i="6"/>
  <c r="J120" i="6"/>
  <c r="I120" i="6"/>
  <c r="H120" i="6"/>
  <c r="G120" i="6"/>
  <c r="F120" i="6"/>
  <c r="E120" i="6"/>
  <c r="D120" i="6"/>
  <c r="C120" i="6"/>
  <c r="B120" i="6"/>
  <c r="Y119" i="6"/>
  <c r="M119" i="6" s="1"/>
  <c r="R119" i="6"/>
  <c r="Q119" i="6"/>
  <c r="P119" i="6"/>
  <c r="N119" i="6"/>
  <c r="L119" i="6"/>
  <c r="K119" i="6"/>
  <c r="J119" i="6"/>
  <c r="I119" i="6"/>
  <c r="H119" i="6"/>
  <c r="G119" i="6"/>
  <c r="F119" i="6"/>
  <c r="E119" i="6"/>
  <c r="D119" i="6"/>
  <c r="C119" i="6"/>
  <c r="B119" i="6"/>
  <c r="Y118" i="6"/>
  <c r="M118" i="6" s="1"/>
  <c r="R118" i="6"/>
  <c r="Q118" i="6"/>
  <c r="P118" i="6"/>
  <c r="N118" i="6"/>
  <c r="L118" i="6"/>
  <c r="K118" i="6"/>
  <c r="J118" i="6"/>
  <c r="I118" i="6"/>
  <c r="H118" i="6"/>
  <c r="G118" i="6"/>
  <c r="F118" i="6"/>
  <c r="E118" i="6"/>
  <c r="D118" i="6"/>
  <c r="C118" i="6"/>
  <c r="B118" i="6"/>
  <c r="Y117" i="6"/>
  <c r="M117" i="6" s="1"/>
  <c r="R117" i="6"/>
  <c r="Q117" i="6"/>
  <c r="P117" i="6"/>
  <c r="O117" i="6" s="1"/>
  <c r="N117" i="6"/>
  <c r="L117" i="6"/>
  <c r="K117" i="6"/>
  <c r="J117" i="6"/>
  <c r="I117" i="6"/>
  <c r="H117" i="6"/>
  <c r="G117" i="6"/>
  <c r="F117" i="6"/>
  <c r="E117" i="6"/>
  <c r="D117" i="6"/>
  <c r="C117" i="6"/>
  <c r="B117" i="6"/>
  <c r="Y116" i="6"/>
  <c r="M116" i="6" s="1"/>
  <c r="R116" i="6"/>
  <c r="Q116" i="6"/>
  <c r="P116" i="6"/>
  <c r="O116" i="6" s="1"/>
  <c r="N116" i="6"/>
  <c r="L116" i="6"/>
  <c r="K116" i="6"/>
  <c r="J116" i="6"/>
  <c r="I116" i="6"/>
  <c r="H116" i="6"/>
  <c r="G116" i="6"/>
  <c r="F116" i="6"/>
  <c r="E116" i="6"/>
  <c r="D116" i="6"/>
  <c r="C116" i="6"/>
  <c r="B116" i="6"/>
  <c r="Y115" i="6"/>
  <c r="M115" i="6" s="1"/>
  <c r="R115" i="6"/>
  <c r="Q115" i="6"/>
  <c r="O115" i="6" s="1"/>
  <c r="P115" i="6"/>
  <c r="N115" i="6"/>
  <c r="L115" i="6"/>
  <c r="K115" i="6"/>
  <c r="J115" i="6"/>
  <c r="I115" i="6"/>
  <c r="H115" i="6"/>
  <c r="G115" i="6"/>
  <c r="F115" i="6"/>
  <c r="E115" i="6"/>
  <c r="D115" i="6"/>
  <c r="C115" i="6"/>
  <c r="B115" i="6"/>
  <c r="Y114" i="6"/>
  <c r="M114" i="6" s="1"/>
  <c r="R114" i="6"/>
  <c r="Q114" i="6"/>
  <c r="P114" i="6"/>
  <c r="O114" i="6" s="1"/>
  <c r="N114" i="6"/>
  <c r="L114" i="6"/>
  <c r="K114" i="6"/>
  <c r="J114" i="6"/>
  <c r="I114" i="6"/>
  <c r="H114" i="6"/>
  <c r="S114" i="6" s="1"/>
  <c r="G114" i="6"/>
  <c r="F114" i="6"/>
  <c r="E114" i="6"/>
  <c r="D114" i="6"/>
  <c r="C114" i="6"/>
  <c r="B114" i="6"/>
  <c r="Y113" i="6"/>
  <c r="M113" i="6" s="1"/>
  <c r="R113" i="6"/>
  <c r="Q113" i="6"/>
  <c r="P113" i="6"/>
  <c r="N113" i="6"/>
  <c r="L113" i="6"/>
  <c r="K113" i="6"/>
  <c r="J113" i="6"/>
  <c r="I113" i="6"/>
  <c r="H113" i="6"/>
  <c r="G113" i="6"/>
  <c r="F113" i="6"/>
  <c r="E113" i="6"/>
  <c r="D113" i="6"/>
  <c r="C113" i="6"/>
  <c r="B113" i="6"/>
  <c r="Y112" i="6"/>
  <c r="M112" i="6" s="1"/>
  <c r="R112" i="6"/>
  <c r="Q112" i="6"/>
  <c r="O112" i="6" s="1"/>
  <c r="P112" i="6"/>
  <c r="N112" i="6"/>
  <c r="L112" i="6"/>
  <c r="K112" i="6"/>
  <c r="J112" i="6"/>
  <c r="I112" i="6"/>
  <c r="H112" i="6"/>
  <c r="G112" i="6"/>
  <c r="F112" i="6"/>
  <c r="E112" i="6"/>
  <c r="D112" i="6"/>
  <c r="C112" i="6"/>
  <c r="B112" i="6"/>
  <c r="Y111" i="6"/>
  <c r="M111" i="6" s="1"/>
  <c r="R111" i="6"/>
  <c r="Q111" i="6"/>
  <c r="P111" i="6"/>
  <c r="N111" i="6"/>
  <c r="L111" i="6"/>
  <c r="K111" i="6"/>
  <c r="J111" i="6"/>
  <c r="I111" i="6"/>
  <c r="H111" i="6"/>
  <c r="G111" i="6"/>
  <c r="F111" i="6"/>
  <c r="E111" i="6"/>
  <c r="D111" i="6"/>
  <c r="C111" i="6"/>
  <c r="B111" i="6"/>
  <c r="Y110" i="6"/>
  <c r="M110" i="6" s="1"/>
  <c r="R110" i="6"/>
  <c r="Q110" i="6"/>
  <c r="P110" i="6"/>
  <c r="N110" i="6"/>
  <c r="L110" i="6"/>
  <c r="K110" i="6"/>
  <c r="J110" i="6"/>
  <c r="I110" i="6"/>
  <c r="H110" i="6"/>
  <c r="G110" i="6"/>
  <c r="F110" i="6"/>
  <c r="E110" i="6"/>
  <c r="D110" i="6"/>
  <c r="C110" i="6"/>
  <c r="B110" i="6"/>
  <c r="Y109" i="6"/>
  <c r="M109" i="6" s="1"/>
  <c r="R109" i="6"/>
  <c r="Q109" i="6"/>
  <c r="P109" i="6"/>
  <c r="N109" i="6"/>
  <c r="L109" i="6"/>
  <c r="K109" i="6"/>
  <c r="J109" i="6"/>
  <c r="I109" i="6"/>
  <c r="H109" i="6"/>
  <c r="G109" i="6"/>
  <c r="F109" i="6"/>
  <c r="E109" i="6"/>
  <c r="D109" i="6"/>
  <c r="C109" i="6"/>
  <c r="B109" i="6"/>
  <c r="Y108" i="6"/>
  <c r="M108" i="6" s="1"/>
  <c r="R108" i="6"/>
  <c r="Q108" i="6"/>
  <c r="P108" i="6"/>
  <c r="N108" i="6"/>
  <c r="L108" i="6"/>
  <c r="K108" i="6"/>
  <c r="J108" i="6"/>
  <c r="I108" i="6"/>
  <c r="H108" i="6"/>
  <c r="G108" i="6"/>
  <c r="F108" i="6"/>
  <c r="E108" i="6"/>
  <c r="D108" i="6"/>
  <c r="C108" i="6"/>
  <c r="B108" i="6"/>
  <c r="Y107" i="6"/>
  <c r="M107" i="6" s="1"/>
  <c r="R107" i="6"/>
  <c r="Q107" i="6"/>
  <c r="P107" i="6"/>
  <c r="O107" i="6" s="1"/>
  <c r="N107" i="6"/>
  <c r="L107" i="6"/>
  <c r="K107" i="6"/>
  <c r="J107" i="6"/>
  <c r="I107" i="6"/>
  <c r="H107" i="6"/>
  <c r="G107" i="6"/>
  <c r="F107" i="6"/>
  <c r="E107" i="6"/>
  <c r="D107" i="6"/>
  <c r="C107" i="6"/>
  <c r="B107" i="6"/>
  <c r="Y106" i="6"/>
  <c r="M106" i="6" s="1"/>
  <c r="R106" i="6"/>
  <c r="Q106" i="6"/>
  <c r="P106" i="6"/>
  <c r="O106" i="6" s="1"/>
  <c r="N106" i="6"/>
  <c r="L106" i="6"/>
  <c r="K106" i="6"/>
  <c r="J106" i="6"/>
  <c r="I106" i="6"/>
  <c r="H106" i="6"/>
  <c r="G106" i="6"/>
  <c r="F106" i="6"/>
  <c r="E106" i="6"/>
  <c r="D106" i="6"/>
  <c r="C106" i="6"/>
  <c r="B106" i="6"/>
  <c r="Y105" i="6"/>
  <c r="M105" i="6" s="1"/>
  <c r="R105" i="6"/>
  <c r="Q105" i="6"/>
  <c r="P105" i="6"/>
  <c r="O105" i="6" s="1"/>
  <c r="N105" i="6"/>
  <c r="L105" i="6"/>
  <c r="K105" i="6"/>
  <c r="J105" i="6"/>
  <c r="I105" i="6"/>
  <c r="H105" i="6"/>
  <c r="G105" i="6"/>
  <c r="F105" i="6"/>
  <c r="E105" i="6"/>
  <c r="D105" i="6"/>
  <c r="C105" i="6"/>
  <c r="B105" i="6"/>
  <c r="Y104" i="6"/>
  <c r="M104" i="6" s="1"/>
  <c r="R104" i="6"/>
  <c r="Q104" i="6"/>
  <c r="P104" i="6"/>
  <c r="O104" i="6" s="1"/>
  <c r="N104" i="6"/>
  <c r="L104" i="6"/>
  <c r="K104" i="6"/>
  <c r="J104" i="6"/>
  <c r="I104" i="6"/>
  <c r="H104" i="6"/>
  <c r="G104" i="6"/>
  <c r="F104" i="6"/>
  <c r="E104" i="6"/>
  <c r="D104" i="6"/>
  <c r="C104" i="6"/>
  <c r="B104" i="6"/>
  <c r="Y103" i="6"/>
  <c r="M103" i="6" s="1"/>
  <c r="R103" i="6"/>
  <c r="Q103" i="6"/>
  <c r="P103" i="6"/>
  <c r="O103" i="6" s="1"/>
  <c r="N103" i="6"/>
  <c r="L103" i="6"/>
  <c r="K103" i="6"/>
  <c r="J103" i="6"/>
  <c r="I103" i="6"/>
  <c r="H103" i="6"/>
  <c r="G103" i="6"/>
  <c r="F103" i="6"/>
  <c r="E103" i="6"/>
  <c r="D103" i="6"/>
  <c r="C103" i="6"/>
  <c r="B103" i="6"/>
  <c r="Y102" i="6"/>
  <c r="M102" i="6" s="1"/>
  <c r="R102" i="6"/>
  <c r="Q102" i="6"/>
  <c r="O102" i="6" s="1"/>
  <c r="P102" i="6"/>
  <c r="N102" i="6"/>
  <c r="L102" i="6"/>
  <c r="K102" i="6"/>
  <c r="J102" i="6"/>
  <c r="I102" i="6"/>
  <c r="H102" i="6"/>
  <c r="G102" i="6"/>
  <c r="F102" i="6"/>
  <c r="E102" i="6"/>
  <c r="D102" i="6"/>
  <c r="C102" i="6"/>
  <c r="B102" i="6"/>
  <c r="Y101" i="6"/>
  <c r="M101" i="6" s="1"/>
  <c r="R101" i="6"/>
  <c r="Q101" i="6"/>
  <c r="P101" i="6"/>
  <c r="N101" i="6"/>
  <c r="L101" i="6"/>
  <c r="K101" i="6"/>
  <c r="J101" i="6"/>
  <c r="I101" i="6"/>
  <c r="H101" i="6"/>
  <c r="G101" i="6"/>
  <c r="F101" i="6"/>
  <c r="E101" i="6"/>
  <c r="D101" i="6"/>
  <c r="C101" i="6"/>
  <c r="B101" i="6"/>
  <c r="Y100" i="6"/>
  <c r="M100" i="6" s="1"/>
  <c r="R100" i="6"/>
  <c r="Q100" i="6"/>
  <c r="P100" i="6"/>
  <c r="N100" i="6"/>
  <c r="L100" i="6"/>
  <c r="K100" i="6"/>
  <c r="J100" i="6"/>
  <c r="I100" i="6"/>
  <c r="H100" i="6"/>
  <c r="G100" i="6"/>
  <c r="F100" i="6"/>
  <c r="E100" i="6"/>
  <c r="D100" i="6"/>
  <c r="C100" i="6"/>
  <c r="B100" i="6"/>
  <c r="Y99" i="6"/>
  <c r="M99" i="6" s="1"/>
  <c r="R99" i="6"/>
  <c r="Q99" i="6"/>
  <c r="P99" i="6"/>
  <c r="N99" i="6"/>
  <c r="L99" i="6"/>
  <c r="K99" i="6"/>
  <c r="J99" i="6"/>
  <c r="I99" i="6"/>
  <c r="H99" i="6"/>
  <c r="G99" i="6"/>
  <c r="F99" i="6"/>
  <c r="E99" i="6"/>
  <c r="D99" i="6"/>
  <c r="C99" i="6"/>
  <c r="B99" i="6"/>
  <c r="Y98" i="6"/>
  <c r="M98" i="6" s="1"/>
  <c r="R98" i="6"/>
  <c r="Q98" i="6"/>
  <c r="P98" i="6"/>
  <c r="N98" i="6"/>
  <c r="L98" i="6"/>
  <c r="K98" i="6"/>
  <c r="J98" i="6"/>
  <c r="I98" i="6"/>
  <c r="H98" i="6"/>
  <c r="G98" i="6"/>
  <c r="F98" i="6"/>
  <c r="E98" i="6"/>
  <c r="D98" i="6"/>
  <c r="C98" i="6"/>
  <c r="B98" i="6"/>
  <c r="Y97" i="6"/>
  <c r="M97" i="6" s="1"/>
  <c r="R97" i="6"/>
  <c r="Q97" i="6"/>
  <c r="P97" i="6"/>
  <c r="N97" i="6"/>
  <c r="L97" i="6"/>
  <c r="K97" i="6"/>
  <c r="J97" i="6"/>
  <c r="I97" i="6"/>
  <c r="H97" i="6"/>
  <c r="G97" i="6"/>
  <c r="F97" i="6"/>
  <c r="E97" i="6"/>
  <c r="D97" i="6"/>
  <c r="C97" i="6"/>
  <c r="B97" i="6"/>
  <c r="Y96" i="6"/>
  <c r="M96" i="6" s="1"/>
  <c r="R96" i="6"/>
  <c r="Q96" i="6"/>
  <c r="P96" i="6"/>
  <c r="N96" i="6"/>
  <c r="L96" i="6"/>
  <c r="K96" i="6"/>
  <c r="J96" i="6"/>
  <c r="I96" i="6"/>
  <c r="H96" i="6"/>
  <c r="G96" i="6"/>
  <c r="F96" i="6"/>
  <c r="E96" i="6"/>
  <c r="D96" i="6"/>
  <c r="C96" i="6"/>
  <c r="B96" i="6"/>
  <c r="Y95" i="6"/>
  <c r="M95" i="6" s="1"/>
  <c r="R95" i="6"/>
  <c r="Q95" i="6"/>
  <c r="P95" i="6"/>
  <c r="O95" i="6" s="1"/>
  <c r="N95" i="6"/>
  <c r="L95" i="6"/>
  <c r="K95" i="6"/>
  <c r="J95" i="6"/>
  <c r="I95" i="6"/>
  <c r="H95" i="6"/>
  <c r="G95" i="6"/>
  <c r="F95" i="6"/>
  <c r="E95" i="6"/>
  <c r="D95" i="6"/>
  <c r="C95" i="6"/>
  <c r="B95" i="6"/>
  <c r="Y94" i="6"/>
  <c r="M94" i="6" s="1"/>
  <c r="R94" i="6"/>
  <c r="Q94" i="6"/>
  <c r="P94" i="6"/>
  <c r="O94" i="6" s="1"/>
  <c r="N94" i="6"/>
  <c r="L94" i="6"/>
  <c r="K94" i="6"/>
  <c r="J94" i="6"/>
  <c r="I94" i="6"/>
  <c r="H94" i="6"/>
  <c r="G94" i="6"/>
  <c r="F94" i="6"/>
  <c r="E94" i="6"/>
  <c r="D94" i="6"/>
  <c r="C94" i="6"/>
  <c r="B94" i="6"/>
  <c r="Y93" i="6"/>
  <c r="M93" i="6" s="1"/>
  <c r="R93" i="6"/>
  <c r="Q93" i="6"/>
  <c r="P93" i="6"/>
  <c r="N93" i="6"/>
  <c r="L93" i="6"/>
  <c r="K93" i="6"/>
  <c r="J93" i="6"/>
  <c r="I93" i="6"/>
  <c r="H93" i="6"/>
  <c r="G93" i="6"/>
  <c r="F93" i="6"/>
  <c r="E93" i="6"/>
  <c r="D93" i="6"/>
  <c r="C93" i="6"/>
  <c r="B93" i="6"/>
  <c r="Y92" i="6"/>
  <c r="M92" i="6" s="1"/>
  <c r="R92" i="6"/>
  <c r="Q92" i="6"/>
  <c r="P92" i="6"/>
  <c r="N92" i="6"/>
  <c r="L92" i="6"/>
  <c r="K92" i="6"/>
  <c r="J92" i="6"/>
  <c r="I92" i="6"/>
  <c r="H92" i="6"/>
  <c r="G92" i="6"/>
  <c r="F92" i="6"/>
  <c r="E92" i="6"/>
  <c r="D92" i="6"/>
  <c r="C92" i="6"/>
  <c r="B92" i="6"/>
  <c r="Y91" i="6"/>
  <c r="M91" i="6" s="1"/>
  <c r="R91" i="6"/>
  <c r="Q91" i="6"/>
  <c r="P91" i="6"/>
  <c r="O91" i="6" s="1"/>
  <c r="N91" i="6"/>
  <c r="L91" i="6"/>
  <c r="K91" i="6"/>
  <c r="J91" i="6"/>
  <c r="I91" i="6"/>
  <c r="H91" i="6"/>
  <c r="G91" i="6"/>
  <c r="F91" i="6"/>
  <c r="E91" i="6"/>
  <c r="D91" i="6"/>
  <c r="C91" i="6"/>
  <c r="B91" i="6"/>
  <c r="Y90" i="6"/>
  <c r="M90" i="6" s="1"/>
  <c r="R90" i="6"/>
  <c r="Q90" i="6"/>
  <c r="P90" i="6"/>
  <c r="O90" i="6" s="1"/>
  <c r="N90" i="6"/>
  <c r="L90" i="6"/>
  <c r="K90" i="6"/>
  <c r="J90" i="6"/>
  <c r="I90" i="6"/>
  <c r="H90" i="6"/>
  <c r="G90" i="6"/>
  <c r="F90" i="6"/>
  <c r="E90" i="6"/>
  <c r="D90" i="6"/>
  <c r="C90" i="6"/>
  <c r="B90" i="6"/>
  <c r="Y89" i="6"/>
  <c r="M89" i="6" s="1"/>
  <c r="R89" i="6"/>
  <c r="Q89" i="6"/>
  <c r="P89" i="6"/>
  <c r="O89" i="6" s="1"/>
  <c r="N89" i="6"/>
  <c r="L89" i="6"/>
  <c r="K89" i="6"/>
  <c r="J89" i="6"/>
  <c r="I89" i="6"/>
  <c r="H89" i="6"/>
  <c r="G89" i="6"/>
  <c r="F89" i="6"/>
  <c r="E89" i="6"/>
  <c r="D89" i="6"/>
  <c r="C89" i="6"/>
  <c r="B89" i="6"/>
  <c r="Y88" i="6"/>
  <c r="M88" i="6" s="1"/>
  <c r="R88" i="6"/>
  <c r="Q88" i="6"/>
  <c r="P88" i="6"/>
  <c r="N88" i="6"/>
  <c r="L88" i="6"/>
  <c r="K88" i="6"/>
  <c r="J88" i="6"/>
  <c r="I88" i="6"/>
  <c r="H88" i="6"/>
  <c r="G88" i="6"/>
  <c r="F88" i="6"/>
  <c r="E88" i="6"/>
  <c r="D88" i="6"/>
  <c r="C88" i="6"/>
  <c r="B88" i="6"/>
  <c r="Y87" i="6"/>
  <c r="M87" i="6" s="1"/>
  <c r="R87" i="6"/>
  <c r="Q87" i="6"/>
  <c r="O87" i="6" s="1"/>
  <c r="P87" i="6"/>
  <c r="N87" i="6"/>
  <c r="L87" i="6"/>
  <c r="K87" i="6"/>
  <c r="J87" i="6"/>
  <c r="I87" i="6"/>
  <c r="H87" i="6"/>
  <c r="G87" i="6"/>
  <c r="F87" i="6"/>
  <c r="E87" i="6"/>
  <c r="D87" i="6"/>
  <c r="C87" i="6"/>
  <c r="B87" i="6"/>
  <c r="Y86" i="6"/>
  <c r="M86" i="6" s="1"/>
  <c r="R86" i="6"/>
  <c r="Q86" i="6"/>
  <c r="P86" i="6"/>
  <c r="O86" i="6"/>
  <c r="N86" i="6"/>
  <c r="L86" i="6"/>
  <c r="K86" i="6"/>
  <c r="J86" i="6"/>
  <c r="I86" i="6"/>
  <c r="H86" i="6"/>
  <c r="G86" i="6"/>
  <c r="F86" i="6"/>
  <c r="E86" i="6"/>
  <c r="D86" i="6"/>
  <c r="C86" i="6"/>
  <c r="B86" i="6"/>
  <c r="Y85" i="6"/>
  <c r="M85" i="6" s="1"/>
  <c r="R85" i="6"/>
  <c r="Q85" i="6"/>
  <c r="P85" i="6"/>
  <c r="N85" i="6"/>
  <c r="L85" i="6"/>
  <c r="K85" i="6"/>
  <c r="J85" i="6"/>
  <c r="I85" i="6"/>
  <c r="H85" i="6"/>
  <c r="G85" i="6"/>
  <c r="F85" i="6"/>
  <c r="E85" i="6"/>
  <c r="D85" i="6"/>
  <c r="C85" i="6"/>
  <c r="B85" i="6"/>
  <c r="Y84" i="6"/>
  <c r="M84" i="6" s="1"/>
  <c r="R84" i="6"/>
  <c r="S84" i="6" s="1"/>
  <c r="Q84" i="6"/>
  <c r="P84" i="6"/>
  <c r="N84" i="6"/>
  <c r="L84" i="6"/>
  <c r="K84" i="6"/>
  <c r="J84" i="6"/>
  <c r="I84" i="6"/>
  <c r="H84" i="6"/>
  <c r="G84" i="6"/>
  <c r="F84" i="6"/>
  <c r="E84" i="6"/>
  <c r="D84" i="6"/>
  <c r="C84" i="6"/>
  <c r="B84" i="6"/>
  <c r="Y83" i="6"/>
  <c r="M83" i="6" s="1"/>
  <c r="R83" i="6"/>
  <c r="Q83" i="6"/>
  <c r="P83" i="6"/>
  <c r="O83" i="6" s="1"/>
  <c r="N83" i="6"/>
  <c r="L83" i="6"/>
  <c r="K83" i="6"/>
  <c r="J83" i="6"/>
  <c r="I83" i="6"/>
  <c r="T83" i="6" s="1"/>
  <c r="H83" i="6"/>
  <c r="G83" i="6"/>
  <c r="F83" i="6"/>
  <c r="E83" i="6"/>
  <c r="D83" i="6"/>
  <c r="C83" i="6"/>
  <c r="B83" i="6"/>
  <c r="Y82" i="6"/>
  <c r="M82" i="6" s="1"/>
  <c r="R82" i="6"/>
  <c r="Q82" i="6"/>
  <c r="P82" i="6"/>
  <c r="N82" i="6"/>
  <c r="L82" i="6"/>
  <c r="K82" i="6"/>
  <c r="J82" i="6"/>
  <c r="I82" i="6"/>
  <c r="H82" i="6"/>
  <c r="G82" i="6"/>
  <c r="F82" i="6"/>
  <c r="E82" i="6"/>
  <c r="D82" i="6"/>
  <c r="C82" i="6"/>
  <c r="B82" i="6"/>
  <c r="Y81" i="6"/>
  <c r="M81" i="6" s="1"/>
  <c r="R81" i="6"/>
  <c r="Q81" i="6"/>
  <c r="P81" i="6"/>
  <c r="O81" i="6" s="1"/>
  <c r="N81" i="6"/>
  <c r="L81" i="6"/>
  <c r="K81" i="6"/>
  <c r="J81" i="6"/>
  <c r="I81" i="6"/>
  <c r="H81" i="6"/>
  <c r="G81" i="6"/>
  <c r="F81" i="6"/>
  <c r="E81" i="6"/>
  <c r="D81" i="6"/>
  <c r="C81" i="6"/>
  <c r="B81" i="6"/>
  <c r="Y80" i="6"/>
  <c r="M80" i="6" s="1"/>
  <c r="R80" i="6"/>
  <c r="Q80" i="6"/>
  <c r="P80" i="6"/>
  <c r="O80" i="6"/>
  <c r="N80" i="6"/>
  <c r="L80" i="6"/>
  <c r="K80" i="6"/>
  <c r="J80" i="6"/>
  <c r="I80" i="6"/>
  <c r="H80" i="6"/>
  <c r="G80" i="6"/>
  <c r="F80" i="6"/>
  <c r="E80" i="6"/>
  <c r="D80" i="6"/>
  <c r="C80" i="6"/>
  <c r="B80" i="6"/>
  <c r="Y79" i="6"/>
  <c r="M79" i="6" s="1"/>
  <c r="R79" i="6"/>
  <c r="Q79" i="6"/>
  <c r="P79" i="6"/>
  <c r="O79" i="6" s="1"/>
  <c r="N79" i="6"/>
  <c r="L79" i="6"/>
  <c r="K79" i="6"/>
  <c r="J79" i="6"/>
  <c r="I79" i="6"/>
  <c r="H79" i="6"/>
  <c r="G79" i="6"/>
  <c r="F79" i="6"/>
  <c r="E79" i="6"/>
  <c r="D79" i="6"/>
  <c r="C79" i="6"/>
  <c r="B79" i="6"/>
  <c r="Y78" i="6"/>
  <c r="M78" i="6" s="1"/>
  <c r="R78" i="6"/>
  <c r="Q78" i="6"/>
  <c r="P78" i="6"/>
  <c r="O78" i="6" s="1"/>
  <c r="N78" i="6"/>
  <c r="L78" i="6"/>
  <c r="K78" i="6"/>
  <c r="J78" i="6"/>
  <c r="I78" i="6"/>
  <c r="H78" i="6"/>
  <c r="G78" i="6"/>
  <c r="F78" i="6"/>
  <c r="E78" i="6"/>
  <c r="D78" i="6"/>
  <c r="C78" i="6"/>
  <c r="B78" i="6"/>
  <c r="Y77" i="6"/>
  <c r="M77" i="6" s="1"/>
  <c r="R77" i="6"/>
  <c r="Q77" i="6"/>
  <c r="P77" i="6"/>
  <c r="N77" i="6"/>
  <c r="L77" i="6"/>
  <c r="K77" i="6"/>
  <c r="J77" i="6"/>
  <c r="I77" i="6"/>
  <c r="H77" i="6"/>
  <c r="G77" i="6"/>
  <c r="F77" i="6"/>
  <c r="E77" i="6"/>
  <c r="D77" i="6"/>
  <c r="C77" i="6"/>
  <c r="B77" i="6"/>
  <c r="Y76" i="6"/>
  <c r="M76" i="6" s="1"/>
  <c r="R76" i="6"/>
  <c r="Q76" i="6"/>
  <c r="P76" i="6"/>
  <c r="O76" i="6" s="1"/>
  <c r="N76" i="6"/>
  <c r="L76" i="6"/>
  <c r="K76" i="6"/>
  <c r="J76" i="6"/>
  <c r="I76" i="6"/>
  <c r="H76" i="6"/>
  <c r="G76" i="6"/>
  <c r="F76" i="6"/>
  <c r="E76" i="6"/>
  <c r="D76" i="6"/>
  <c r="C76" i="6"/>
  <c r="B76" i="6"/>
  <c r="Y75" i="6"/>
  <c r="M75" i="6" s="1"/>
  <c r="R75" i="6"/>
  <c r="Q75" i="6"/>
  <c r="P75" i="6"/>
  <c r="O75" i="6" s="1"/>
  <c r="N75" i="6"/>
  <c r="L75" i="6"/>
  <c r="K75" i="6"/>
  <c r="J75" i="6"/>
  <c r="I75" i="6"/>
  <c r="H75" i="6"/>
  <c r="G75" i="6"/>
  <c r="F75" i="6"/>
  <c r="E75" i="6"/>
  <c r="D75" i="6"/>
  <c r="C75" i="6"/>
  <c r="B75" i="6"/>
  <c r="Y74" i="6"/>
  <c r="M74" i="6" s="1"/>
  <c r="R74" i="6"/>
  <c r="Q74" i="6"/>
  <c r="P74" i="6"/>
  <c r="O74" i="6" s="1"/>
  <c r="N74" i="6"/>
  <c r="L74" i="6"/>
  <c r="K74" i="6"/>
  <c r="J74" i="6"/>
  <c r="I74" i="6"/>
  <c r="H74" i="6"/>
  <c r="G74" i="6"/>
  <c r="F74" i="6"/>
  <c r="E74" i="6"/>
  <c r="D74" i="6"/>
  <c r="C74" i="6"/>
  <c r="B74" i="6"/>
  <c r="Y73" i="6"/>
  <c r="M73" i="6" s="1"/>
  <c r="R73" i="6"/>
  <c r="Q73" i="6"/>
  <c r="P73" i="6"/>
  <c r="O73" i="6"/>
  <c r="N73" i="6"/>
  <c r="L73" i="6"/>
  <c r="K73" i="6"/>
  <c r="J73" i="6"/>
  <c r="I73" i="6"/>
  <c r="T73" i="6" s="1"/>
  <c r="H73" i="6"/>
  <c r="G73" i="6"/>
  <c r="F73" i="6"/>
  <c r="E73" i="6"/>
  <c r="D73" i="6"/>
  <c r="C73" i="6"/>
  <c r="B73" i="6"/>
  <c r="Y72" i="6"/>
  <c r="M72" i="6" s="1"/>
  <c r="R72" i="6"/>
  <c r="Q72" i="6"/>
  <c r="P72" i="6"/>
  <c r="N72" i="6"/>
  <c r="L72" i="6"/>
  <c r="K72" i="6"/>
  <c r="J72" i="6"/>
  <c r="I72" i="6"/>
  <c r="H72" i="6"/>
  <c r="G72" i="6"/>
  <c r="F72" i="6"/>
  <c r="E72" i="6"/>
  <c r="D72" i="6"/>
  <c r="C72" i="6"/>
  <c r="B72" i="6"/>
  <c r="Y71" i="6"/>
  <c r="M71" i="6" s="1"/>
  <c r="R71" i="6"/>
  <c r="Q71" i="6"/>
  <c r="P71" i="6"/>
  <c r="O71" i="6"/>
  <c r="N71" i="6"/>
  <c r="L71" i="6"/>
  <c r="K71" i="6"/>
  <c r="J71" i="6"/>
  <c r="I71" i="6"/>
  <c r="H71" i="6"/>
  <c r="G71" i="6"/>
  <c r="F71" i="6"/>
  <c r="E71" i="6"/>
  <c r="D71" i="6"/>
  <c r="C71" i="6"/>
  <c r="B71" i="6"/>
  <c r="Y70" i="6"/>
  <c r="M70" i="6" s="1"/>
  <c r="R70" i="6"/>
  <c r="Q70" i="6"/>
  <c r="P70" i="6"/>
  <c r="O70" i="6"/>
  <c r="N70" i="6"/>
  <c r="L70" i="6"/>
  <c r="K70" i="6"/>
  <c r="J70" i="6"/>
  <c r="I70" i="6"/>
  <c r="H70" i="6"/>
  <c r="G70" i="6"/>
  <c r="F70" i="6"/>
  <c r="E70" i="6"/>
  <c r="D70" i="6"/>
  <c r="C70" i="6"/>
  <c r="B70" i="6"/>
  <c r="Y69" i="6"/>
  <c r="M69" i="6" s="1"/>
  <c r="R69" i="6"/>
  <c r="Q69" i="6"/>
  <c r="O69" i="6" s="1"/>
  <c r="P69" i="6"/>
  <c r="N69" i="6"/>
  <c r="L69" i="6"/>
  <c r="K69" i="6"/>
  <c r="J69" i="6"/>
  <c r="I69" i="6"/>
  <c r="H69" i="6"/>
  <c r="G69" i="6"/>
  <c r="F69" i="6"/>
  <c r="E69" i="6"/>
  <c r="D69" i="6"/>
  <c r="C69" i="6"/>
  <c r="B69" i="6"/>
  <c r="Y68" i="6"/>
  <c r="M68" i="6" s="1"/>
  <c r="R68" i="6"/>
  <c r="Q68" i="6"/>
  <c r="P68" i="6"/>
  <c r="O68" i="6"/>
  <c r="N68" i="6"/>
  <c r="L68" i="6"/>
  <c r="K68" i="6"/>
  <c r="J68" i="6"/>
  <c r="I68" i="6"/>
  <c r="H68" i="6"/>
  <c r="G68" i="6"/>
  <c r="F68" i="6"/>
  <c r="E68" i="6"/>
  <c r="D68" i="6"/>
  <c r="C68" i="6"/>
  <c r="B68" i="6"/>
  <c r="Y67" i="6"/>
  <c r="M67" i="6" s="1"/>
  <c r="R67" i="6"/>
  <c r="Q67" i="6"/>
  <c r="O67" i="6" s="1"/>
  <c r="P67" i="6"/>
  <c r="N67" i="6"/>
  <c r="L67" i="6"/>
  <c r="K67" i="6"/>
  <c r="J67" i="6"/>
  <c r="I67" i="6"/>
  <c r="H67" i="6"/>
  <c r="G67" i="6"/>
  <c r="F67" i="6"/>
  <c r="E67" i="6"/>
  <c r="D67" i="6"/>
  <c r="C67" i="6"/>
  <c r="B67" i="6"/>
  <c r="Y66" i="6"/>
  <c r="M66" i="6" s="1"/>
  <c r="R66" i="6"/>
  <c r="Q66" i="6"/>
  <c r="P66" i="6"/>
  <c r="N66" i="6"/>
  <c r="L66" i="6"/>
  <c r="K66" i="6"/>
  <c r="J66" i="6"/>
  <c r="I66" i="6"/>
  <c r="H66" i="6"/>
  <c r="G66" i="6"/>
  <c r="F66" i="6"/>
  <c r="E66" i="6"/>
  <c r="D66" i="6"/>
  <c r="C66" i="6"/>
  <c r="B66" i="6"/>
  <c r="Y65" i="6"/>
  <c r="M65" i="6" s="1"/>
  <c r="R65" i="6"/>
  <c r="Q65" i="6"/>
  <c r="P65" i="6"/>
  <c r="O65" i="6"/>
  <c r="N65" i="6"/>
  <c r="L65" i="6"/>
  <c r="K65" i="6"/>
  <c r="J65" i="6"/>
  <c r="I65" i="6"/>
  <c r="H65" i="6"/>
  <c r="G65" i="6"/>
  <c r="F65" i="6"/>
  <c r="E65" i="6"/>
  <c r="D65" i="6"/>
  <c r="C65" i="6"/>
  <c r="B65" i="6"/>
  <c r="Y64" i="6"/>
  <c r="M64" i="6" s="1"/>
  <c r="R64" i="6"/>
  <c r="Q64" i="6"/>
  <c r="P64" i="6"/>
  <c r="O64" i="6" s="1"/>
  <c r="N64" i="6"/>
  <c r="L64" i="6"/>
  <c r="K64" i="6"/>
  <c r="J64" i="6"/>
  <c r="I64" i="6"/>
  <c r="H64" i="6"/>
  <c r="G64" i="6"/>
  <c r="F64" i="6"/>
  <c r="E64" i="6"/>
  <c r="D64" i="6"/>
  <c r="C64" i="6"/>
  <c r="B64" i="6"/>
  <c r="Y63" i="6"/>
  <c r="M63" i="6" s="1"/>
  <c r="R63" i="6"/>
  <c r="Q63" i="6"/>
  <c r="P63" i="6"/>
  <c r="N63" i="6"/>
  <c r="L63" i="6"/>
  <c r="K63" i="6"/>
  <c r="J63" i="6"/>
  <c r="I63" i="6"/>
  <c r="H63" i="6"/>
  <c r="G63" i="6"/>
  <c r="F63" i="6"/>
  <c r="E63" i="6"/>
  <c r="D63" i="6"/>
  <c r="C63" i="6"/>
  <c r="B63" i="6"/>
  <c r="Y62" i="6"/>
  <c r="M62" i="6" s="1"/>
  <c r="R62" i="6"/>
  <c r="Q62" i="6"/>
  <c r="P62" i="6"/>
  <c r="N62" i="6"/>
  <c r="L62" i="6"/>
  <c r="K62" i="6"/>
  <c r="J62" i="6"/>
  <c r="I62" i="6"/>
  <c r="H62" i="6"/>
  <c r="G62" i="6"/>
  <c r="F62" i="6"/>
  <c r="E62" i="6"/>
  <c r="D62" i="6"/>
  <c r="C62" i="6"/>
  <c r="B62" i="6"/>
  <c r="Y61" i="6"/>
  <c r="M61" i="6" s="1"/>
  <c r="R61" i="6"/>
  <c r="Q61" i="6"/>
  <c r="P61" i="6"/>
  <c r="O61" i="6" s="1"/>
  <c r="N61" i="6"/>
  <c r="L61" i="6"/>
  <c r="K61" i="6"/>
  <c r="J61" i="6"/>
  <c r="I61" i="6"/>
  <c r="H61" i="6"/>
  <c r="G61" i="6"/>
  <c r="F61" i="6"/>
  <c r="E61" i="6"/>
  <c r="D61" i="6"/>
  <c r="C61" i="6"/>
  <c r="B61" i="6"/>
  <c r="Y60" i="6"/>
  <c r="M60" i="6" s="1"/>
  <c r="R60" i="6"/>
  <c r="Q60" i="6"/>
  <c r="P60" i="6"/>
  <c r="O60" i="6" s="1"/>
  <c r="N60" i="6"/>
  <c r="L60" i="6"/>
  <c r="K60" i="6"/>
  <c r="J60" i="6"/>
  <c r="I60" i="6"/>
  <c r="H60" i="6"/>
  <c r="G60" i="6"/>
  <c r="F60" i="6"/>
  <c r="E60" i="6"/>
  <c r="D60" i="6"/>
  <c r="C60" i="6"/>
  <c r="B60" i="6"/>
  <c r="Y59" i="6"/>
  <c r="M59" i="6" s="1"/>
  <c r="R59" i="6"/>
  <c r="Q59" i="6"/>
  <c r="O59" i="6" s="1"/>
  <c r="P59" i="6"/>
  <c r="N59" i="6"/>
  <c r="L59" i="6"/>
  <c r="K59" i="6"/>
  <c r="J59" i="6"/>
  <c r="I59" i="6"/>
  <c r="H59" i="6"/>
  <c r="G59" i="6"/>
  <c r="F59" i="6"/>
  <c r="E59" i="6"/>
  <c r="D59" i="6"/>
  <c r="C59" i="6"/>
  <c r="B59" i="6"/>
  <c r="Y58" i="6"/>
  <c r="M58" i="6" s="1"/>
  <c r="R58" i="6"/>
  <c r="Q58" i="6"/>
  <c r="P58" i="6"/>
  <c r="O58" i="6" s="1"/>
  <c r="N58" i="6"/>
  <c r="L58" i="6"/>
  <c r="K58" i="6"/>
  <c r="J58" i="6"/>
  <c r="I58" i="6"/>
  <c r="H58" i="6"/>
  <c r="G58" i="6"/>
  <c r="F58" i="6"/>
  <c r="E58" i="6"/>
  <c r="D58" i="6"/>
  <c r="C58" i="6"/>
  <c r="B58" i="6"/>
  <c r="Y57" i="6"/>
  <c r="M57" i="6" s="1"/>
  <c r="R57" i="6"/>
  <c r="Q57" i="6"/>
  <c r="O57" i="6" s="1"/>
  <c r="P57" i="6"/>
  <c r="N57" i="6"/>
  <c r="L57" i="6"/>
  <c r="K57" i="6"/>
  <c r="J57" i="6"/>
  <c r="I57" i="6"/>
  <c r="H57" i="6"/>
  <c r="G57" i="6"/>
  <c r="F57" i="6"/>
  <c r="E57" i="6"/>
  <c r="D57" i="6"/>
  <c r="C57" i="6"/>
  <c r="B57" i="6"/>
  <c r="Y56" i="6"/>
  <c r="M56" i="6" s="1"/>
  <c r="R56" i="6"/>
  <c r="Q56" i="6"/>
  <c r="P56" i="6"/>
  <c r="O56" i="6" s="1"/>
  <c r="N56" i="6"/>
  <c r="L56" i="6"/>
  <c r="K56" i="6"/>
  <c r="J56" i="6"/>
  <c r="I56" i="6"/>
  <c r="H56" i="6"/>
  <c r="G56" i="6"/>
  <c r="F56" i="6"/>
  <c r="E56" i="6"/>
  <c r="D56" i="6"/>
  <c r="C56" i="6"/>
  <c r="B56" i="6"/>
  <c r="Y55" i="6"/>
  <c r="M55" i="6" s="1"/>
  <c r="R55" i="6"/>
  <c r="Q55" i="6"/>
  <c r="P55" i="6"/>
  <c r="N55" i="6"/>
  <c r="L55" i="6"/>
  <c r="K55" i="6"/>
  <c r="J55" i="6"/>
  <c r="I55" i="6"/>
  <c r="H55" i="6"/>
  <c r="G55" i="6"/>
  <c r="F55" i="6"/>
  <c r="E55" i="6"/>
  <c r="D55" i="6"/>
  <c r="C55" i="6"/>
  <c r="B55" i="6"/>
  <c r="Y54" i="6"/>
  <c r="M54" i="6" s="1"/>
  <c r="R54" i="6"/>
  <c r="Q54" i="6"/>
  <c r="P54" i="6"/>
  <c r="O54" i="6" s="1"/>
  <c r="N54" i="6"/>
  <c r="L54" i="6"/>
  <c r="K54" i="6"/>
  <c r="J54" i="6"/>
  <c r="I54" i="6"/>
  <c r="H54" i="6"/>
  <c r="G54" i="6"/>
  <c r="F54" i="6"/>
  <c r="E54" i="6"/>
  <c r="D54" i="6"/>
  <c r="C54" i="6"/>
  <c r="B54" i="6"/>
  <c r="Y53" i="6"/>
  <c r="M53" i="6" s="1"/>
  <c r="R53" i="6"/>
  <c r="Q53" i="6"/>
  <c r="P53" i="6"/>
  <c r="O53" i="6"/>
  <c r="N53" i="6"/>
  <c r="L53" i="6"/>
  <c r="K53" i="6"/>
  <c r="J53" i="6"/>
  <c r="I53" i="6"/>
  <c r="T53" i="6" s="1"/>
  <c r="H53" i="6"/>
  <c r="G53" i="6"/>
  <c r="F53" i="6"/>
  <c r="E53" i="6"/>
  <c r="D53" i="6"/>
  <c r="C53" i="6"/>
  <c r="B53" i="6"/>
  <c r="Y52" i="6"/>
  <c r="M52" i="6" s="1"/>
  <c r="R52" i="6"/>
  <c r="Q52" i="6"/>
  <c r="P52" i="6"/>
  <c r="O52" i="6" s="1"/>
  <c r="N52" i="6"/>
  <c r="L52" i="6"/>
  <c r="K52" i="6"/>
  <c r="J52" i="6"/>
  <c r="I52" i="6"/>
  <c r="H52" i="6"/>
  <c r="G52" i="6"/>
  <c r="F52" i="6"/>
  <c r="E52" i="6"/>
  <c r="D52" i="6"/>
  <c r="C52" i="6"/>
  <c r="B52" i="6"/>
  <c r="Y51" i="6"/>
  <c r="M51" i="6" s="1"/>
  <c r="R51" i="6"/>
  <c r="Q51" i="6"/>
  <c r="P51" i="6"/>
  <c r="O51" i="6" s="1"/>
  <c r="N51" i="6"/>
  <c r="L51" i="6"/>
  <c r="K51" i="6"/>
  <c r="J51" i="6"/>
  <c r="I51" i="6"/>
  <c r="H51" i="6"/>
  <c r="G51" i="6"/>
  <c r="F51" i="6"/>
  <c r="E51" i="6"/>
  <c r="D51" i="6"/>
  <c r="C51" i="6"/>
  <c r="B51" i="6"/>
  <c r="Y50" i="6"/>
  <c r="M50" i="6" s="1"/>
  <c r="R50" i="6"/>
  <c r="Q50" i="6"/>
  <c r="P50" i="6"/>
  <c r="O50" i="6" s="1"/>
  <c r="N50" i="6"/>
  <c r="L50" i="6"/>
  <c r="K50" i="6"/>
  <c r="J50" i="6"/>
  <c r="I50" i="6"/>
  <c r="H50" i="6"/>
  <c r="G50" i="6"/>
  <c r="F50" i="6"/>
  <c r="E50" i="6"/>
  <c r="D50" i="6"/>
  <c r="C50" i="6"/>
  <c r="B50" i="6"/>
  <c r="Y49" i="6"/>
  <c r="M49" i="6" s="1"/>
  <c r="R49" i="6"/>
  <c r="Q49" i="6"/>
  <c r="P49" i="6"/>
  <c r="N49" i="6"/>
  <c r="L49" i="6"/>
  <c r="K49" i="6"/>
  <c r="J49" i="6"/>
  <c r="I49" i="6"/>
  <c r="H49" i="6"/>
  <c r="G49" i="6"/>
  <c r="F49" i="6"/>
  <c r="E49" i="6"/>
  <c r="D49" i="6"/>
  <c r="C49" i="6"/>
  <c r="B49" i="6"/>
  <c r="Y48" i="6"/>
  <c r="M48" i="6" s="1"/>
  <c r="R48" i="6"/>
  <c r="Q48" i="6"/>
  <c r="P48" i="6"/>
  <c r="N48" i="6"/>
  <c r="L48" i="6"/>
  <c r="K48" i="6"/>
  <c r="J48" i="6"/>
  <c r="I48" i="6"/>
  <c r="H48" i="6"/>
  <c r="G48" i="6"/>
  <c r="F48" i="6"/>
  <c r="E48" i="6"/>
  <c r="D48" i="6"/>
  <c r="C48" i="6"/>
  <c r="B48" i="6"/>
  <c r="Y47" i="6"/>
  <c r="M47" i="6" s="1"/>
  <c r="R47" i="6"/>
  <c r="Q47" i="6"/>
  <c r="P47" i="6"/>
  <c r="N47" i="6"/>
  <c r="L47" i="6"/>
  <c r="K47" i="6"/>
  <c r="J47" i="6"/>
  <c r="I47" i="6"/>
  <c r="H47" i="6"/>
  <c r="G47" i="6"/>
  <c r="F47" i="6"/>
  <c r="E47" i="6"/>
  <c r="D47" i="6"/>
  <c r="C47" i="6"/>
  <c r="B47" i="6"/>
  <c r="Y46" i="6"/>
  <c r="M46" i="6" s="1"/>
  <c r="R46" i="6"/>
  <c r="Q46" i="6"/>
  <c r="P46" i="6"/>
  <c r="O46" i="6" s="1"/>
  <c r="N46" i="6"/>
  <c r="L46" i="6"/>
  <c r="K46" i="6"/>
  <c r="J46" i="6"/>
  <c r="I46" i="6"/>
  <c r="H46" i="6"/>
  <c r="G46" i="6"/>
  <c r="F46" i="6"/>
  <c r="E46" i="6"/>
  <c r="D46" i="6"/>
  <c r="C46" i="6"/>
  <c r="B46" i="6"/>
  <c r="Y45" i="6"/>
  <c r="M45" i="6" s="1"/>
  <c r="R45" i="6"/>
  <c r="Q45" i="6"/>
  <c r="P45" i="6"/>
  <c r="O45" i="6" s="1"/>
  <c r="N45" i="6"/>
  <c r="L45" i="6"/>
  <c r="K45" i="6"/>
  <c r="J45" i="6"/>
  <c r="I45" i="6"/>
  <c r="H45" i="6"/>
  <c r="G45" i="6"/>
  <c r="F45" i="6"/>
  <c r="E45" i="6"/>
  <c r="D45" i="6"/>
  <c r="C45" i="6"/>
  <c r="B45" i="6"/>
  <c r="Y44" i="6"/>
  <c r="M44" i="6" s="1"/>
  <c r="R44" i="6"/>
  <c r="Q44" i="6"/>
  <c r="P44" i="6"/>
  <c r="N44" i="6"/>
  <c r="L44" i="6"/>
  <c r="K44" i="6"/>
  <c r="J44" i="6"/>
  <c r="I44" i="6"/>
  <c r="H44" i="6"/>
  <c r="G44" i="6"/>
  <c r="F44" i="6"/>
  <c r="E44" i="6"/>
  <c r="D44" i="6"/>
  <c r="C44" i="6"/>
  <c r="B44" i="6"/>
  <c r="Y43" i="6"/>
  <c r="M43" i="6" s="1"/>
  <c r="R43" i="6"/>
  <c r="Q43" i="6"/>
  <c r="P43" i="6"/>
  <c r="O43" i="6" s="1"/>
  <c r="N43" i="6"/>
  <c r="L43" i="6"/>
  <c r="K43" i="6"/>
  <c r="J43" i="6"/>
  <c r="I43" i="6"/>
  <c r="H43" i="6"/>
  <c r="G43" i="6"/>
  <c r="F43" i="6"/>
  <c r="E43" i="6"/>
  <c r="D43" i="6"/>
  <c r="C43" i="6"/>
  <c r="B43" i="6"/>
  <c r="Y42" i="6"/>
  <c r="M42" i="6" s="1"/>
  <c r="R42" i="6"/>
  <c r="Q42" i="6"/>
  <c r="O42" i="6" s="1"/>
  <c r="P42" i="6"/>
  <c r="N42" i="6"/>
  <c r="L42" i="6"/>
  <c r="K42" i="6"/>
  <c r="J42" i="6"/>
  <c r="I42" i="6"/>
  <c r="H42" i="6"/>
  <c r="G42" i="6"/>
  <c r="F42" i="6"/>
  <c r="E42" i="6"/>
  <c r="D42" i="6"/>
  <c r="C42" i="6"/>
  <c r="B42" i="6"/>
  <c r="Y41" i="6"/>
  <c r="M41" i="6" s="1"/>
  <c r="R41" i="6"/>
  <c r="Q41" i="6"/>
  <c r="P41" i="6"/>
  <c r="O41" i="6"/>
  <c r="N41" i="6"/>
  <c r="L41" i="6"/>
  <c r="K41" i="6"/>
  <c r="J41" i="6"/>
  <c r="I41" i="6"/>
  <c r="H41" i="6"/>
  <c r="G41" i="6"/>
  <c r="F41" i="6"/>
  <c r="E41" i="6"/>
  <c r="D41" i="6"/>
  <c r="C41" i="6"/>
  <c r="B41" i="6"/>
  <c r="Y40" i="6"/>
  <c r="M40" i="6" s="1"/>
  <c r="R40" i="6"/>
  <c r="Q40" i="6"/>
  <c r="P40" i="6"/>
  <c r="O40" i="6" s="1"/>
  <c r="N40" i="6"/>
  <c r="L40" i="6"/>
  <c r="K40" i="6"/>
  <c r="J40" i="6"/>
  <c r="I40" i="6"/>
  <c r="H40" i="6"/>
  <c r="G40" i="6"/>
  <c r="F40" i="6"/>
  <c r="E40" i="6"/>
  <c r="D40" i="6"/>
  <c r="C40" i="6"/>
  <c r="B40" i="6"/>
  <c r="Y39" i="6"/>
  <c r="M39" i="6" s="1"/>
  <c r="R39" i="6"/>
  <c r="Q39" i="6"/>
  <c r="P39" i="6"/>
  <c r="O39" i="6" s="1"/>
  <c r="N39" i="6"/>
  <c r="L39" i="6"/>
  <c r="K39" i="6"/>
  <c r="J39" i="6"/>
  <c r="I39" i="6"/>
  <c r="H39" i="6"/>
  <c r="G39" i="6"/>
  <c r="F39" i="6"/>
  <c r="E39" i="6"/>
  <c r="D39" i="6"/>
  <c r="C39" i="6"/>
  <c r="B39" i="6"/>
  <c r="Y38" i="6"/>
  <c r="M38" i="6" s="1"/>
  <c r="R38" i="6"/>
  <c r="Q38" i="6"/>
  <c r="P38" i="6"/>
  <c r="O38" i="6" s="1"/>
  <c r="N38" i="6"/>
  <c r="L38" i="6"/>
  <c r="K38" i="6"/>
  <c r="J38" i="6"/>
  <c r="I38" i="6"/>
  <c r="H38" i="6"/>
  <c r="G38" i="6"/>
  <c r="F38" i="6"/>
  <c r="E38" i="6"/>
  <c r="D38" i="6"/>
  <c r="C38" i="6"/>
  <c r="B38" i="6"/>
  <c r="Y37" i="6"/>
  <c r="M37" i="6" s="1"/>
  <c r="R37" i="6"/>
  <c r="Q37" i="6"/>
  <c r="P37" i="6"/>
  <c r="N37" i="6"/>
  <c r="L37" i="6"/>
  <c r="K37" i="6"/>
  <c r="J37" i="6"/>
  <c r="I37" i="6"/>
  <c r="H37" i="6"/>
  <c r="G37" i="6"/>
  <c r="F37" i="6"/>
  <c r="E37" i="6"/>
  <c r="D37" i="6"/>
  <c r="C37" i="6"/>
  <c r="B37" i="6"/>
  <c r="Y36" i="6"/>
  <c r="M36" i="6" s="1"/>
  <c r="R36" i="6"/>
  <c r="Q36" i="6"/>
  <c r="O36" i="6" s="1"/>
  <c r="P36" i="6"/>
  <c r="N36" i="6"/>
  <c r="L36" i="6"/>
  <c r="K36" i="6"/>
  <c r="J36" i="6"/>
  <c r="I36" i="6"/>
  <c r="H36" i="6"/>
  <c r="G36" i="6"/>
  <c r="F36" i="6"/>
  <c r="E36" i="6"/>
  <c r="D36" i="6"/>
  <c r="C36" i="6"/>
  <c r="B36" i="6"/>
  <c r="Y35" i="6"/>
  <c r="M35" i="6" s="1"/>
  <c r="R35" i="6"/>
  <c r="Q35" i="6"/>
  <c r="P35" i="6"/>
  <c r="O35" i="6"/>
  <c r="N35" i="6"/>
  <c r="L35" i="6"/>
  <c r="K35" i="6"/>
  <c r="J35" i="6"/>
  <c r="I35" i="6"/>
  <c r="H35" i="6"/>
  <c r="G35" i="6"/>
  <c r="F35" i="6"/>
  <c r="E35" i="6"/>
  <c r="D35" i="6"/>
  <c r="C35" i="6"/>
  <c r="B35" i="6"/>
  <c r="Y34" i="6"/>
  <c r="M34" i="6" s="1"/>
  <c r="R34" i="6"/>
  <c r="Q34" i="6"/>
  <c r="P34" i="6"/>
  <c r="N34" i="6"/>
  <c r="L34" i="6"/>
  <c r="K34" i="6"/>
  <c r="J34" i="6"/>
  <c r="I34" i="6"/>
  <c r="H34" i="6"/>
  <c r="G34" i="6"/>
  <c r="F34" i="6"/>
  <c r="E34" i="6"/>
  <c r="D34" i="6"/>
  <c r="C34" i="6"/>
  <c r="B34" i="6"/>
  <c r="Y33" i="6"/>
  <c r="M33" i="6" s="1"/>
  <c r="R33" i="6"/>
  <c r="Q33" i="6"/>
  <c r="P33" i="6"/>
  <c r="O33" i="6" s="1"/>
  <c r="N33" i="6"/>
  <c r="L33" i="6"/>
  <c r="K33" i="6"/>
  <c r="J33" i="6"/>
  <c r="I33" i="6"/>
  <c r="H33" i="6"/>
  <c r="G33" i="6"/>
  <c r="F33" i="6"/>
  <c r="E33" i="6"/>
  <c r="D33" i="6"/>
  <c r="C33" i="6"/>
  <c r="B33" i="6"/>
  <c r="Y32" i="6"/>
  <c r="M32" i="6" s="1"/>
  <c r="R32" i="6"/>
  <c r="Q32" i="6"/>
  <c r="P32" i="6"/>
  <c r="O32" i="6" s="1"/>
  <c r="N32" i="6"/>
  <c r="L32" i="6"/>
  <c r="K32" i="6"/>
  <c r="J32" i="6"/>
  <c r="I32" i="6"/>
  <c r="H32" i="6"/>
  <c r="G32" i="6"/>
  <c r="F32" i="6"/>
  <c r="E32" i="6"/>
  <c r="D32" i="6"/>
  <c r="C32" i="6"/>
  <c r="B32" i="6"/>
  <c r="Y31" i="6"/>
  <c r="M31" i="6" s="1"/>
  <c r="R31" i="6"/>
  <c r="Q31" i="6"/>
  <c r="O31" i="6" s="1"/>
  <c r="P31" i="6"/>
  <c r="N31" i="6"/>
  <c r="L31" i="6"/>
  <c r="K31" i="6"/>
  <c r="J31" i="6"/>
  <c r="I31" i="6"/>
  <c r="H31" i="6"/>
  <c r="G31" i="6"/>
  <c r="F31" i="6"/>
  <c r="E31" i="6"/>
  <c r="D31" i="6"/>
  <c r="C31" i="6"/>
  <c r="B31" i="6"/>
  <c r="Y30" i="6"/>
  <c r="M30" i="6" s="1"/>
  <c r="R30" i="6"/>
  <c r="Q30" i="6"/>
  <c r="P30" i="6"/>
  <c r="O30" i="6" s="1"/>
  <c r="N30" i="6"/>
  <c r="L30" i="6"/>
  <c r="K30" i="6"/>
  <c r="J30" i="6"/>
  <c r="I30" i="6"/>
  <c r="H30" i="6"/>
  <c r="G30" i="6"/>
  <c r="F30" i="6"/>
  <c r="E30" i="6"/>
  <c r="D30" i="6"/>
  <c r="C30" i="6"/>
  <c r="B30" i="6"/>
  <c r="Y29" i="6"/>
  <c r="M29" i="6" s="1"/>
  <c r="R29" i="6"/>
  <c r="Q29" i="6"/>
  <c r="P29" i="6"/>
  <c r="O29" i="6"/>
  <c r="N29" i="6"/>
  <c r="L29" i="6"/>
  <c r="K29" i="6"/>
  <c r="J29" i="6"/>
  <c r="I29" i="6"/>
  <c r="H29" i="6"/>
  <c r="G29" i="6"/>
  <c r="F29" i="6"/>
  <c r="E29" i="6"/>
  <c r="D29" i="6"/>
  <c r="C29" i="6"/>
  <c r="B29" i="6"/>
  <c r="Y28" i="6"/>
  <c r="M28" i="6" s="1"/>
  <c r="R28" i="6"/>
  <c r="Q28" i="6"/>
  <c r="O28" i="6" s="1"/>
  <c r="P28" i="6"/>
  <c r="N28" i="6"/>
  <c r="L28" i="6"/>
  <c r="K28" i="6"/>
  <c r="J28" i="6"/>
  <c r="I28" i="6"/>
  <c r="H28" i="6"/>
  <c r="G28" i="6"/>
  <c r="F28" i="6"/>
  <c r="E28" i="6"/>
  <c r="D28" i="6"/>
  <c r="C28" i="6"/>
  <c r="B28" i="6"/>
  <c r="Y27" i="6"/>
  <c r="M27" i="6" s="1"/>
  <c r="R27" i="6"/>
  <c r="Q27" i="6"/>
  <c r="P27" i="6"/>
  <c r="O27" i="6" s="1"/>
  <c r="N27" i="6"/>
  <c r="L27" i="6"/>
  <c r="K27" i="6"/>
  <c r="J27" i="6"/>
  <c r="I27" i="6"/>
  <c r="H27" i="6"/>
  <c r="G27" i="6"/>
  <c r="F27" i="6"/>
  <c r="E27" i="6"/>
  <c r="D27" i="6"/>
  <c r="C27" i="6"/>
  <c r="B27" i="6"/>
  <c r="Y26" i="6"/>
  <c r="M26" i="6" s="1"/>
  <c r="R26" i="6"/>
  <c r="Q26" i="6"/>
  <c r="P26" i="6"/>
  <c r="O26" i="6"/>
  <c r="N26" i="6"/>
  <c r="L26" i="6"/>
  <c r="K26" i="6"/>
  <c r="J26" i="6"/>
  <c r="I26" i="6"/>
  <c r="H26" i="6"/>
  <c r="G26" i="6"/>
  <c r="F26" i="6"/>
  <c r="E26" i="6"/>
  <c r="D26" i="6"/>
  <c r="C26" i="6"/>
  <c r="B26" i="6"/>
  <c r="Y25" i="6"/>
  <c r="M25" i="6" s="1"/>
  <c r="R25" i="6"/>
  <c r="Q25" i="6"/>
  <c r="O25" i="6" s="1"/>
  <c r="P25" i="6"/>
  <c r="N25" i="6"/>
  <c r="L25" i="6"/>
  <c r="K25" i="6"/>
  <c r="J25" i="6"/>
  <c r="I25" i="6"/>
  <c r="H25" i="6"/>
  <c r="G25" i="6"/>
  <c r="F25" i="6"/>
  <c r="E25" i="6"/>
  <c r="D25" i="6"/>
  <c r="C25" i="6"/>
  <c r="B25" i="6"/>
  <c r="Y24" i="6"/>
  <c r="M24" i="6" s="1"/>
  <c r="R24" i="6"/>
  <c r="Q24" i="6"/>
  <c r="P24" i="6"/>
  <c r="N24" i="6"/>
  <c r="L24" i="6"/>
  <c r="K24" i="6"/>
  <c r="J24" i="6"/>
  <c r="I24" i="6"/>
  <c r="H24" i="6"/>
  <c r="G24" i="6"/>
  <c r="F24" i="6"/>
  <c r="E24" i="6"/>
  <c r="D24" i="6"/>
  <c r="C24" i="6"/>
  <c r="B24" i="6"/>
  <c r="Y23" i="6"/>
  <c r="M23" i="6" s="1"/>
  <c r="R23" i="6"/>
  <c r="Q23" i="6"/>
  <c r="P23" i="6"/>
  <c r="O23" i="6"/>
  <c r="N23" i="6"/>
  <c r="L23" i="6"/>
  <c r="K23" i="6"/>
  <c r="J23" i="6"/>
  <c r="I23" i="6"/>
  <c r="T23" i="6" s="1"/>
  <c r="H23" i="6"/>
  <c r="G23" i="6"/>
  <c r="F23" i="6"/>
  <c r="E23" i="6"/>
  <c r="D23" i="6"/>
  <c r="C23" i="6"/>
  <c r="B23" i="6"/>
  <c r="Y22" i="6"/>
  <c r="M22" i="6" s="1"/>
  <c r="R22" i="6"/>
  <c r="Q22" i="6"/>
  <c r="O22" i="6" s="1"/>
  <c r="P22" i="6"/>
  <c r="N22" i="6"/>
  <c r="L22" i="6"/>
  <c r="K22" i="6"/>
  <c r="J22" i="6"/>
  <c r="I22" i="6"/>
  <c r="H22" i="6"/>
  <c r="G22" i="6"/>
  <c r="F22" i="6"/>
  <c r="E22" i="6"/>
  <c r="D22" i="6"/>
  <c r="C22" i="6"/>
  <c r="B22" i="6"/>
  <c r="Y21" i="6"/>
  <c r="M21" i="6" s="1"/>
  <c r="R21" i="6"/>
  <c r="Q21" i="6"/>
  <c r="P21" i="6"/>
  <c r="O21" i="6" s="1"/>
  <c r="N21" i="6"/>
  <c r="L21" i="6"/>
  <c r="K21" i="6"/>
  <c r="J21" i="6"/>
  <c r="I21" i="6"/>
  <c r="H21" i="6"/>
  <c r="G21" i="6"/>
  <c r="F21" i="6"/>
  <c r="E21" i="6"/>
  <c r="D21" i="6"/>
  <c r="C21" i="6"/>
  <c r="B21" i="6"/>
  <c r="Y20" i="6"/>
  <c r="M20" i="6" s="1"/>
  <c r="R20" i="6"/>
  <c r="Q20" i="6"/>
  <c r="P20" i="6"/>
  <c r="O20" i="6" s="1"/>
  <c r="N20" i="6"/>
  <c r="L20" i="6"/>
  <c r="K20" i="6"/>
  <c r="J20" i="6"/>
  <c r="I20" i="6"/>
  <c r="H20" i="6"/>
  <c r="G20" i="6"/>
  <c r="F20" i="6"/>
  <c r="E20" i="6"/>
  <c r="D20" i="6"/>
  <c r="C20" i="6"/>
  <c r="B20" i="6"/>
  <c r="Y19" i="6"/>
  <c r="M19" i="6" s="1"/>
  <c r="R19" i="6"/>
  <c r="Q19" i="6"/>
  <c r="P19" i="6"/>
  <c r="O19" i="6" s="1"/>
  <c r="N19" i="6"/>
  <c r="L19" i="6"/>
  <c r="K19" i="6"/>
  <c r="J19" i="6"/>
  <c r="I19" i="6"/>
  <c r="H19" i="6"/>
  <c r="G19" i="6"/>
  <c r="F19" i="6"/>
  <c r="E19" i="6"/>
  <c r="D19" i="6"/>
  <c r="C19" i="6"/>
  <c r="B19" i="6"/>
  <c r="Y18" i="6"/>
  <c r="M18" i="6" s="1"/>
  <c r="R18" i="6"/>
  <c r="Q18" i="6"/>
  <c r="P18" i="6"/>
  <c r="O18" i="6" s="1"/>
  <c r="N18" i="6"/>
  <c r="L18" i="6"/>
  <c r="K18" i="6"/>
  <c r="J18" i="6"/>
  <c r="I18" i="6"/>
  <c r="H18" i="6"/>
  <c r="G18" i="6"/>
  <c r="F18" i="6"/>
  <c r="E18" i="6"/>
  <c r="D18" i="6"/>
  <c r="C18" i="6"/>
  <c r="B18" i="6"/>
  <c r="Y17" i="6"/>
  <c r="M17" i="6" s="1"/>
  <c r="R17" i="6"/>
  <c r="Q17" i="6"/>
  <c r="O17" i="6" s="1"/>
  <c r="P17" i="6"/>
  <c r="N17" i="6"/>
  <c r="L17" i="6"/>
  <c r="K17" i="6"/>
  <c r="J17" i="6"/>
  <c r="I17" i="6"/>
  <c r="H17" i="6"/>
  <c r="G17" i="6"/>
  <c r="F17" i="6"/>
  <c r="E17" i="6"/>
  <c r="D17" i="6"/>
  <c r="C17" i="6"/>
  <c r="B17" i="6"/>
  <c r="Y16" i="6"/>
  <c r="M16" i="6" s="1"/>
  <c r="R16" i="6"/>
  <c r="Q16" i="6"/>
  <c r="P16" i="6"/>
  <c r="O16" i="6" s="1"/>
  <c r="N16" i="6"/>
  <c r="L16" i="6"/>
  <c r="K16" i="6"/>
  <c r="J16" i="6"/>
  <c r="I16" i="6"/>
  <c r="H16" i="6"/>
  <c r="G16" i="6"/>
  <c r="F16" i="6"/>
  <c r="E16" i="6"/>
  <c r="D16" i="6"/>
  <c r="C16" i="6"/>
  <c r="B16" i="6"/>
  <c r="Y15" i="6"/>
  <c r="M15" i="6" s="1"/>
  <c r="R15" i="6"/>
  <c r="Q15" i="6"/>
  <c r="P15" i="6"/>
  <c r="N15" i="6"/>
  <c r="L15" i="6"/>
  <c r="K15" i="6"/>
  <c r="J15" i="6"/>
  <c r="I15" i="6"/>
  <c r="H15" i="6"/>
  <c r="G15" i="6"/>
  <c r="F15" i="6"/>
  <c r="E15" i="6"/>
  <c r="D15" i="6"/>
  <c r="C15" i="6"/>
  <c r="B15" i="6"/>
  <c r="Y14" i="6"/>
  <c r="M14" i="6" s="1"/>
  <c r="R14" i="6"/>
  <c r="Q14" i="6"/>
  <c r="P14" i="6"/>
  <c r="N14" i="6"/>
  <c r="L14" i="6"/>
  <c r="K14" i="6"/>
  <c r="J14" i="6"/>
  <c r="I14" i="6"/>
  <c r="H14" i="6"/>
  <c r="G14" i="6"/>
  <c r="F14" i="6"/>
  <c r="E14" i="6"/>
  <c r="D14" i="6"/>
  <c r="C14" i="6"/>
  <c r="B14" i="6"/>
  <c r="Y13" i="6"/>
  <c r="M13" i="6" s="1"/>
  <c r="R13" i="6"/>
  <c r="Q13" i="6"/>
  <c r="P13" i="6"/>
  <c r="O13" i="6" s="1"/>
  <c r="N13" i="6"/>
  <c r="L13" i="6"/>
  <c r="K13" i="6"/>
  <c r="J13" i="6"/>
  <c r="I13" i="6"/>
  <c r="H13" i="6"/>
  <c r="G13" i="6"/>
  <c r="F13" i="6"/>
  <c r="E13" i="6"/>
  <c r="D13" i="6"/>
  <c r="C13" i="6"/>
  <c r="B13" i="6"/>
  <c r="Y12" i="6"/>
  <c r="M12" i="6" s="1"/>
  <c r="R12" i="6"/>
  <c r="Q12" i="6"/>
  <c r="P12" i="6"/>
  <c r="O12" i="6" s="1"/>
  <c r="N12" i="6"/>
  <c r="L12" i="6"/>
  <c r="K12" i="6"/>
  <c r="J12" i="6"/>
  <c r="I12" i="6"/>
  <c r="H12" i="6"/>
  <c r="G12" i="6"/>
  <c r="F12" i="6"/>
  <c r="E12" i="6"/>
  <c r="D12" i="6"/>
  <c r="C12" i="6"/>
  <c r="B12" i="6"/>
  <c r="Y11" i="6"/>
  <c r="M11" i="6" s="1"/>
  <c r="R11" i="6"/>
  <c r="Q11" i="6"/>
  <c r="P11" i="6"/>
  <c r="O11" i="6" s="1"/>
  <c r="N11" i="6"/>
  <c r="L11" i="6"/>
  <c r="K11" i="6"/>
  <c r="J11" i="6"/>
  <c r="I11" i="6"/>
  <c r="H11" i="6"/>
  <c r="G11" i="6"/>
  <c r="F11" i="6"/>
  <c r="E11" i="6"/>
  <c r="D11" i="6"/>
  <c r="C11" i="6"/>
  <c r="B11" i="6"/>
  <c r="Y10" i="6"/>
  <c r="M10" i="6" s="1"/>
  <c r="R10" i="6"/>
  <c r="Q10" i="6"/>
  <c r="P10" i="6"/>
  <c r="O10" i="6"/>
  <c r="N10" i="6"/>
  <c r="L10" i="6"/>
  <c r="K10" i="6"/>
  <c r="J10" i="6"/>
  <c r="I10" i="6"/>
  <c r="H10" i="6"/>
  <c r="G10" i="6"/>
  <c r="F10" i="6"/>
  <c r="E10" i="6"/>
  <c r="D10" i="6"/>
  <c r="C10" i="6"/>
  <c r="B10" i="6"/>
  <c r="Y9" i="6"/>
  <c r="M9" i="6" s="1"/>
  <c r="R9" i="6"/>
  <c r="Q9" i="6"/>
  <c r="P9" i="6"/>
  <c r="O9" i="6"/>
  <c r="N9" i="6"/>
  <c r="L9" i="6"/>
  <c r="K9" i="6"/>
  <c r="J9" i="6"/>
  <c r="I9" i="6"/>
  <c r="H9" i="6"/>
  <c r="G9" i="6"/>
  <c r="F9" i="6"/>
  <c r="E9" i="6"/>
  <c r="D9" i="6"/>
  <c r="C9" i="6"/>
  <c r="B9" i="6"/>
  <c r="Y8" i="6"/>
  <c r="M8" i="6" s="1"/>
  <c r="R8" i="6"/>
  <c r="Q8" i="6"/>
  <c r="P8" i="6"/>
  <c r="O8" i="6" s="1"/>
  <c r="N8" i="6"/>
  <c r="L8" i="6"/>
  <c r="K8" i="6"/>
  <c r="J8" i="6"/>
  <c r="I8" i="6"/>
  <c r="H8" i="6"/>
  <c r="G8" i="6"/>
  <c r="F8" i="6"/>
  <c r="E8" i="6"/>
  <c r="D8" i="6"/>
  <c r="C8" i="6"/>
  <c r="B8" i="6"/>
  <c r="Y7" i="6"/>
  <c r="M7" i="6" s="1"/>
  <c r="R7" i="6"/>
  <c r="Q7" i="6"/>
  <c r="P7" i="6"/>
  <c r="N7" i="6"/>
  <c r="L7" i="6"/>
  <c r="K7" i="6"/>
  <c r="J7" i="6"/>
  <c r="I7" i="6"/>
  <c r="H7" i="6"/>
  <c r="G7" i="6"/>
  <c r="F7" i="6"/>
  <c r="E7" i="6"/>
  <c r="D7" i="6"/>
  <c r="C7" i="6"/>
  <c r="B7" i="6"/>
  <c r="Y6" i="6"/>
  <c r="M6" i="6" s="1"/>
  <c r="R6" i="6"/>
  <c r="Q6" i="6"/>
  <c r="P6" i="6"/>
  <c r="N6" i="6"/>
  <c r="L6" i="6"/>
  <c r="K6" i="6"/>
  <c r="J6" i="6"/>
  <c r="I6" i="6"/>
  <c r="H6" i="6"/>
  <c r="G6" i="6"/>
  <c r="F6" i="6"/>
  <c r="E6" i="6"/>
  <c r="D6" i="6"/>
  <c r="C6" i="6"/>
  <c r="B6" i="6"/>
  <c r="Y5" i="6"/>
  <c r="M5" i="6" s="1"/>
  <c r="R5" i="6"/>
  <c r="Q5" i="6"/>
  <c r="O5" i="6" s="1"/>
  <c r="P5" i="6"/>
  <c r="N5" i="6"/>
  <c r="L5" i="6"/>
  <c r="K5" i="6"/>
  <c r="J5" i="6"/>
  <c r="I5" i="6"/>
  <c r="H5" i="6"/>
  <c r="G5" i="6"/>
  <c r="F5" i="6"/>
  <c r="E5" i="6"/>
  <c r="D5" i="6"/>
  <c r="C5" i="6"/>
  <c r="B5" i="6"/>
  <c r="Y4" i="6"/>
  <c r="M4" i="6" s="1"/>
  <c r="R4" i="6"/>
  <c r="Q4" i="6"/>
  <c r="P4" i="6"/>
  <c r="O4" i="6" s="1"/>
  <c r="N4" i="6"/>
  <c r="L4" i="6"/>
  <c r="K4" i="6"/>
  <c r="J4" i="6"/>
  <c r="I4" i="6"/>
  <c r="H4" i="6"/>
  <c r="G4" i="6"/>
  <c r="F4" i="6"/>
  <c r="E4" i="6"/>
  <c r="D4" i="6"/>
  <c r="C4" i="6"/>
  <c r="B4" i="6"/>
  <c r="Y3" i="6"/>
  <c r="M3" i="6" s="1"/>
  <c r="R3" i="6"/>
  <c r="Q3" i="6"/>
  <c r="P3" i="6"/>
  <c r="N3" i="6"/>
  <c r="L3" i="6"/>
  <c r="K3" i="6"/>
  <c r="J3" i="6"/>
  <c r="I3" i="6"/>
  <c r="H3" i="6"/>
  <c r="G3" i="6"/>
  <c r="F3" i="6"/>
  <c r="E3" i="6"/>
  <c r="D3" i="6"/>
  <c r="C3" i="6"/>
  <c r="B3" i="6"/>
  <c r="Y2" i="6"/>
  <c r="M2" i="6" s="1"/>
  <c r="R2" i="6"/>
  <c r="Q2" i="6"/>
  <c r="P2" i="6"/>
  <c r="N2" i="6"/>
  <c r="L2" i="6"/>
  <c r="K2" i="6"/>
  <c r="J2" i="6"/>
  <c r="I2" i="6"/>
  <c r="H2" i="6"/>
  <c r="G2" i="6"/>
  <c r="F2" i="6"/>
  <c r="E2" i="6"/>
  <c r="D2" i="6"/>
  <c r="C2" i="6"/>
  <c r="B2" i="6"/>
  <c r="Y209" i="5"/>
  <c r="M209" i="5" s="1"/>
  <c r="R209" i="5"/>
  <c r="Q209" i="5"/>
  <c r="P209" i="5"/>
  <c r="O209" i="5" s="1"/>
  <c r="N209" i="5"/>
  <c r="L209" i="5"/>
  <c r="K209" i="5"/>
  <c r="J209" i="5"/>
  <c r="I209" i="5"/>
  <c r="H209" i="5"/>
  <c r="G209" i="5"/>
  <c r="F209" i="5"/>
  <c r="E209" i="5"/>
  <c r="D209" i="5"/>
  <c r="C209" i="5"/>
  <c r="B209" i="5"/>
  <c r="Y208" i="5"/>
  <c r="M208" i="5" s="1"/>
  <c r="R208" i="5"/>
  <c r="Q208" i="5"/>
  <c r="P208" i="5"/>
  <c r="N208" i="5"/>
  <c r="L208" i="5"/>
  <c r="K208" i="5"/>
  <c r="J208" i="5"/>
  <c r="I208" i="5"/>
  <c r="T208" i="5" s="1"/>
  <c r="H208" i="5"/>
  <c r="G208" i="5"/>
  <c r="F208" i="5"/>
  <c r="E208" i="5"/>
  <c r="D208" i="5"/>
  <c r="C208" i="5"/>
  <c r="B208" i="5"/>
  <c r="Y207" i="5"/>
  <c r="M207" i="5" s="1"/>
  <c r="R207" i="5"/>
  <c r="Q207" i="5"/>
  <c r="P207" i="5"/>
  <c r="O207" i="5" s="1"/>
  <c r="N207" i="5"/>
  <c r="L207" i="5"/>
  <c r="K207" i="5"/>
  <c r="J207" i="5"/>
  <c r="I207" i="5"/>
  <c r="H207" i="5"/>
  <c r="G207" i="5"/>
  <c r="F207" i="5"/>
  <c r="E207" i="5"/>
  <c r="D207" i="5"/>
  <c r="C207" i="5"/>
  <c r="B207" i="5"/>
  <c r="Y206" i="5"/>
  <c r="M206" i="5" s="1"/>
  <c r="R206" i="5"/>
  <c r="Q206" i="5"/>
  <c r="P206" i="5"/>
  <c r="O206" i="5" s="1"/>
  <c r="N206" i="5"/>
  <c r="L206" i="5"/>
  <c r="K206" i="5"/>
  <c r="J206" i="5"/>
  <c r="I206" i="5"/>
  <c r="H206" i="5"/>
  <c r="G206" i="5"/>
  <c r="F206" i="5"/>
  <c r="E206" i="5"/>
  <c r="D206" i="5"/>
  <c r="C206" i="5"/>
  <c r="B206" i="5"/>
  <c r="Y205" i="5"/>
  <c r="M205" i="5" s="1"/>
  <c r="R205" i="5"/>
  <c r="Q205" i="5"/>
  <c r="P205" i="5"/>
  <c r="O205" i="5" s="1"/>
  <c r="N205" i="5"/>
  <c r="L205" i="5"/>
  <c r="K205" i="5"/>
  <c r="J205" i="5"/>
  <c r="I205" i="5"/>
  <c r="H205" i="5"/>
  <c r="G205" i="5"/>
  <c r="F205" i="5"/>
  <c r="E205" i="5"/>
  <c r="D205" i="5"/>
  <c r="C205" i="5"/>
  <c r="B205" i="5"/>
  <c r="Y204" i="5"/>
  <c r="M204" i="5" s="1"/>
  <c r="R204" i="5"/>
  <c r="Q204" i="5"/>
  <c r="P204" i="5"/>
  <c r="O204" i="5"/>
  <c r="N204" i="5"/>
  <c r="L204" i="5"/>
  <c r="K204" i="5"/>
  <c r="J204" i="5"/>
  <c r="I204" i="5"/>
  <c r="H204" i="5"/>
  <c r="G204" i="5"/>
  <c r="F204" i="5"/>
  <c r="E204" i="5"/>
  <c r="D204" i="5"/>
  <c r="C204" i="5"/>
  <c r="B204" i="5"/>
  <c r="Y203" i="5"/>
  <c r="M203" i="5" s="1"/>
  <c r="R203" i="5"/>
  <c r="Q203" i="5"/>
  <c r="P203" i="5"/>
  <c r="N203" i="5"/>
  <c r="L203" i="5"/>
  <c r="K203" i="5"/>
  <c r="J203" i="5"/>
  <c r="I203" i="5"/>
  <c r="H203" i="5"/>
  <c r="G203" i="5"/>
  <c r="F203" i="5"/>
  <c r="E203" i="5"/>
  <c r="D203" i="5"/>
  <c r="C203" i="5"/>
  <c r="B203" i="5"/>
  <c r="Y202" i="5"/>
  <c r="M202" i="5" s="1"/>
  <c r="R202" i="5"/>
  <c r="Q202" i="5"/>
  <c r="P202" i="5"/>
  <c r="N202" i="5"/>
  <c r="L202" i="5"/>
  <c r="K202" i="5"/>
  <c r="J202" i="5"/>
  <c r="I202" i="5"/>
  <c r="H202" i="5"/>
  <c r="G202" i="5"/>
  <c r="F202" i="5"/>
  <c r="E202" i="5"/>
  <c r="D202" i="5"/>
  <c r="C202" i="5"/>
  <c r="B202" i="5"/>
  <c r="Y201" i="5"/>
  <c r="M201" i="5" s="1"/>
  <c r="R201" i="5"/>
  <c r="Q201" i="5"/>
  <c r="P201" i="5"/>
  <c r="N201" i="5"/>
  <c r="L201" i="5"/>
  <c r="K201" i="5"/>
  <c r="J201" i="5"/>
  <c r="I201" i="5"/>
  <c r="H201" i="5"/>
  <c r="G201" i="5"/>
  <c r="F201" i="5"/>
  <c r="E201" i="5"/>
  <c r="D201" i="5"/>
  <c r="C201" i="5"/>
  <c r="B201" i="5"/>
  <c r="Y200" i="5"/>
  <c r="M200" i="5" s="1"/>
  <c r="R200" i="5"/>
  <c r="Q200" i="5"/>
  <c r="P200" i="5"/>
  <c r="O200" i="5" s="1"/>
  <c r="N200" i="5"/>
  <c r="L200" i="5"/>
  <c r="K200" i="5"/>
  <c r="J200" i="5"/>
  <c r="I200" i="5"/>
  <c r="H200" i="5"/>
  <c r="G200" i="5"/>
  <c r="F200" i="5"/>
  <c r="E200" i="5"/>
  <c r="D200" i="5"/>
  <c r="C200" i="5"/>
  <c r="B200" i="5"/>
  <c r="Y199" i="5"/>
  <c r="M199" i="5" s="1"/>
  <c r="R199" i="5"/>
  <c r="Q199" i="5"/>
  <c r="P199" i="5"/>
  <c r="O199" i="5" s="1"/>
  <c r="N199" i="5"/>
  <c r="L199" i="5"/>
  <c r="K199" i="5"/>
  <c r="J199" i="5"/>
  <c r="I199" i="5"/>
  <c r="H199" i="5"/>
  <c r="G199" i="5"/>
  <c r="F199" i="5"/>
  <c r="E199" i="5"/>
  <c r="D199" i="5"/>
  <c r="C199" i="5"/>
  <c r="B199" i="5"/>
  <c r="Y198" i="5"/>
  <c r="M198" i="5" s="1"/>
  <c r="R198" i="5"/>
  <c r="Q198" i="5"/>
  <c r="P198" i="5"/>
  <c r="N198" i="5"/>
  <c r="L198" i="5"/>
  <c r="K198" i="5"/>
  <c r="J198" i="5"/>
  <c r="I198" i="5"/>
  <c r="H198" i="5"/>
  <c r="S198" i="5" s="1"/>
  <c r="G198" i="5"/>
  <c r="F198" i="5"/>
  <c r="E198" i="5"/>
  <c r="D198" i="5"/>
  <c r="C198" i="5"/>
  <c r="B198" i="5"/>
  <c r="Y197" i="5"/>
  <c r="M197" i="5" s="1"/>
  <c r="R197" i="5"/>
  <c r="Q197" i="5"/>
  <c r="P197" i="5"/>
  <c r="O197" i="5" s="1"/>
  <c r="N197" i="5"/>
  <c r="L197" i="5"/>
  <c r="K197" i="5"/>
  <c r="J197" i="5"/>
  <c r="I197" i="5"/>
  <c r="H197" i="5"/>
  <c r="G197" i="5"/>
  <c r="F197" i="5"/>
  <c r="E197" i="5"/>
  <c r="D197" i="5"/>
  <c r="C197" i="5"/>
  <c r="B197" i="5"/>
  <c r="Y196" i="5"/>
  <c r="M196" i="5" s="1"/>
  <c r="R196" i="5"/>
  <c r="Q196" i="5"/>
  <c r="P196" i="5"/>
  <c r="O196" i="5"/>
  <c r="N196" i="5"/>
  <c r="L196" i="5"/>
  <c r="K196" i="5"/>
  <c r="J196" i="5"/>
  <c r="I196" i="5"/>
  <c r="H196" i="5"/>
  <c r="G196" i="5"/>
  <c r="F196" i="5"/>
  <c r="E196" i="5"/>
  <c r="D196" i="5"/>
  <c r="C196" i="5"/>
  <c r="B196" i="5"/>
  <c r="Y195" i="5"/>
  <c r="M195" i="5" s="1"/>
  <c r="R195" i="5"/>
  <c r="Q195" i="5"/>
  <c r="P195" i="5"/>
  <c r="O195" i="5" s="1"/>
  <c r="N195" i="5"/>
  <c r="L195" i="5"/>
  <c r="K195" i="5"/>
  <c r="J195" i="5"/>
  <c r="I195" i="5"/>
  <c r="H195" i="5"/>
  <c r="G195" i="5"/>
  <c r="F195" i="5"/>
  <c r="E195" i="5"/>
  <c r="D195" i="5"/>
  <c r="C195" i="5"/>
  <c r="B195" i="5"/>
  <c r="Y194" i="5"/>
  <c r="M194" i="5" s="1"/>
  <c r="R194" i="5"/>
  <c r="Q194" i="5"/>
  <c r="P194" i="5"/>
  <c r="O194" i="5" s="1"/>
  <c r="N194" i="5"/>
  <c r="L194" i="5"/>
  <c r="K194" i="5"/>
  <c r="J194" i="5"/>
  <c r="I194" i="5"/>
  <c r="H194" i="5"/>
  <c r="G194" i="5"/>
  <c r="F194" i="5"/>
  <c r="E194" i="5"/>
  <c r="D194" i="5"/>
  <c r="C194" i="5"/>
  <c r="B194" i="5"/>
  <c r="Y193" i="5"/>
  <c r="M193" i="5" s="1"/>
  <c r="R193" i="5"/>
  <c r="Q193" i="5"/>
  <c r="P193" i="5"/>
  <c r="O193" i="5" s="1"/>
  <c r="N193" i="5"/>
  <c r="L193" i="5"/>
  <c r="K193" i="5"/>
  <c r="J193" i="5"/>
  <c r="I193" i="5"/>
  <c r="H193" i="5"/>
  <c r="G193" i="5"/>
  <c r="F193" i="5"/>
  <c r="E193" i="5"/>
  <c r="D193" i="5"/>
  <c r="C193" i="5"/>
  <c r="B193" i="5"/>
  <c r="Y192" i="5"/>
  <c r="M192" i="5" s="1"/>
  <c r="R192" i="5"/>
  <c r="Q192" i="5"/>
  <c r="P192" i="5"/>
  <c r="N192" i="5"/>
  <c r="L192" i="5"/>
  <c r="K192" i="5"/>
  <c r="J192" i="5"/>
  <c r="I192" i="5"/>
  <c r="H192" i="5"/>
  <c r="G192" i="5"/>
  <c r="F192" i="5"/>
  <c r="E192" i="5"/>
  <c r="D192" i="5"/>
  <c r="C192" i="5"/>
  <c r="B192" i="5"/>
  <c r="Y191" i="5"/>
  <c r="M191" i="5" s="1"/>
  <c r="R191" i="5"/>
  <c r="Q191" i="5"/>
  <c r="P191" i="5"/>
  <c r="N191" i="5"/>
  <c r="L191" i="5"/>
  <c r="K191" i="5"/>
  <c r="J191" i="5"/>
  <c r="I191" i="5"/>
  <c r="H191" i="5"/>
  <c r="G191" i="5"/>
  <c r="F191" i="5"/>
  <c r="E191" i="5"/>
  <c r="D191" i="5"/>
  <c r="C191" i="5"/>
  <c r="B191" i="5"/>
  <c r="Y190" i="5"/>
  <c r="M190" i="5" s="1"/>
  <c r="R190" i="5"/>
  <c r="Q190" i="5"/>
  <c r="P190" i="5"/>
  <c r="N190" i="5"/>
  <c r="L190" i="5"/>
  <c r="K190" i="5"/>
  <c r="J190" i="5"/>
  <c r="I190" i="5"/>
  <c r="H190" i="5"/>
  <c r="G190" i="5"/>
  <c r="F190" i="5"/>
  <c r="E190" i="5"/>
  <c r="D190" i="5"/>
  <c r="C190" i="5"/>
  <c r="B190" i="5"/>
  <c r="Y189" i="5"/>
  <c r="M189" i="5" s="1"/>
  <c r="R189" i="5"/>
  <c r="Q189" i="5"/>
  <c r="P189" i="5"/>
  <c r="O189" i="5" s="1"/>
  <c r="N189" i="5"/>
  <c r="L189" i="5"/>
  <c r="K189" i="5"/>
  <c r="J189" i="5"/>
  <c r="I189" i="5"/>
  <c r="H189" i="5"/>
  <c r="G189" i="5"/>
  <c r="F189" i="5"/>
  <c r="E189" i="5"/>
  <c r="D189" i="5"/>
  <c r="C189" i="5"/>
  <c r="B189" i="5"/>
  <c r="Y188" i="5"/>
  <c r="M188" i="5" s="1"/>
  <c r="R188" i="5"/>
  <c r="Q188" i="5"/>
  <c r="P188" i="5"/>
  <c r="N188" i="5"/>
  <c r="L188" i="5"/>
  <c r="K188" i="5"/>
  <c r="J188" i="5"/>
  <c r="I188" i="5"/>
  <c r="H188" i="5"/>
  <c r="G188" i="5"/>
  <c r="F188" i="5"/>
  <c r="E188" i="5"/>
  <c r="D188" i="5"/>
  <c r="C188" i="5"/>
  <c r="B188" i="5"/>
  <c r="Y187" i="5"/>
  <c r="M187" i="5" s="1"/>
  <c r="R187" i="5"/>
  <c r="Q187" i="5"/>
  <c r="P187" i="5"/>
  <c r="O187" i="5" s="1"/>
  <c r="N187" i="5"/>
  <c r="L187" i="5"/>
  <c r="K187" i="5"/>
  <c r="J187" i="5"/>
  <c r="I187" i="5"/>
  <c r="H187" i="5"/>
  <c r="G187" i="5"/>
  <c r="F187" i="5"/>
  <c r="E187" i="5"/>
  <c r="D187" i="5"/>
  <c r="C187" i="5"/>
  <c r="B187" i="5"/>
  <c r="Y186" i="5"/>
  <c r="M186" i="5" s="1"/>
  <c r="R186" i="5"/>
  <c r="Q186" i="5"/>
  <c r="P186" i="5"/>
  <c r="O186" i="5" s="1"/>
  <c r="N186" i="5"/>
  <c r="L186" i="5"/>
  <c r="K186" i="5"/>
  <c r="J186" i="5"/>
  <c r="I186" i="5"/>
  <c r="H186" i="5"/>
  <c r="G186" i="5"/>
  <c r="F186" i="5"/>
  <c r="E186" i="5"/>
  <c r="D186" i="5"/>
  <c r="C186" i="5"/>
  <c r="B186" i="5"/>
  <c r="Y185" i="5"/>
  <c r="M185" i="5" s="1"/>
  <c r="R185" i="5"/>
  <c r="Q185" i="5"/>
  <c r="P185" i="5"/>
  <c r="O185" i="5" s="1"/>
  <c r="N185" i="5"/>
  <c r="L185" i="5"/>
  <c r="K185" i="5"/>
  <c r="J185" i="5"/>
  <c r="I185" i="5"/>
  <c r="T185" i="5" s="1"/>
  <c r="H185" i="5"/>
  <c r="G185" i="5"/>
  <c r="F185" i="5"/>
  <c r="E185" i="5"/>
  <c r="D185" i="5"/>
  <c r="C185" i="5"/>
  <c r="B185" i="5"/>
  <c r="Y184" i="5"/>
  <c r="M184" i="5" s="1"/>
  <c r="R184" i="5"/>
  <c r="Q184" i="5"/>
  <c r="P184" i="5"/>
  <c r="N184" i="5"/>
  <c r="L184" i="5"/>
  <c r="K184" i="5"/>
  <c r="J184" i="5"/>
  <c r="I184" i="5"/>
  <c r="H184" i="5"/>
  <c r="G184" i="5"/>
  <c r="F184" i="5"/>
  <c r="E184" i="5"/>
  <c r="D184" i="5"/>
  <c r="C184" i="5"/>
  <c r="B184" i="5"/>
  <c r="Y183" i="5"/>
  <c r="M183" i="5" s="1"/>
  <c r="R183" i="5"/>
  <c r="Q183" i="5"/>
  <c r="P183" i="5"/>
  <c r="O183" i="5" s="1"/>
  <c r="N183" i="5"/>
  <c r="L183" i="5"/>
  <c r="K183" i="5"/>
  <c r="J183" i="5"/>
  <c r="I183" i="5"/>
  <c r="H183" i="5"/>
  <c r="G183" i="5"/>
  <c r="S183" i="5" s="1"/>
  <c r="F183" i="5"/>
  <c r="E183" i="5"/>
  <c r="D183" i="5"/>
  <c r="C183" i="5"/>
  <c r="B183" i="5"/>
  <c r="Y182" i="5"/>
  <c r="M182" i="5" s="1"/>
  <c r="R182" i="5"/>
  <c r="Q182" i="5"/>
  <c r="P182" i="5"/>
  <c r="N182" i="5"/>
  <c r="L182" i="5"/>
  <c r="K182" i="5"/>
  <c r="J182" i="5"/>
  <c r="I182" i="5"/>
  <c r="H182" i="5"/>
  <c r="G182" i="5"/>
  <c r="F182" i="5"/>
  <c r="E182" i="5"/>
  <c r="D182" i="5"/>
  <c r="C182" i="5"/>
  <c r="B182" i="5"/>
  <c r="Y181" i="5"/>
  <c r="M181" i="5" s="1"/>
  <c r="R181" i="5"/>
  <c r="Q181" i="5"/>
  <c r="O181" i="5" s="1"/>
  <c r="P181" i="5"/>
  <c r="N181" i="5"/>
  <c r="L181" i="5"/>
  <c r="K181" i="5"/>
  <c r="J181" i="5"/>
  <c r="I181" i="5"/>
  <c r="H181" i="5"/>
  <c r="G181" i="5"/>
  <c r="F181" i="5"/>
  <c r="E181" i="5"/>
  <c r="D181" i="5"/>
  <c r="C181" i="5"/>
  <c r="B181" i="5"/>
  <c r="Y180" i="5"/>
  <c r="M180" i="5" s="1"/>
  <c r="R180" i="5"/>
  <c r="Q180" i="5"/>
  <c r="P180" i="5"/>
  <c r="O180" i="5" s="1"/>
  <c r="N180" i="5"/>
  <c r="L180" i="5"/>
  <c r="K180" i="5"/>
  <c r="J180" i="5"/>
  <c r="I180" i="5"/>
  <c r="H180" i="5"/>
  <c r="G180" i="5"/>
  <c r="F180" i="5"/>
  <c r="E180" i="5"/>
  <c r="D180" i="5"/>
  <c r="C180" i="5"/>
  <c r="B180" i="5"/>
  <c r="Y179" i="5"/>
  <c r="M179" i="5" s="1"/>
  <c r="R179" i="5"/>
  <c r="Q179" i="5"/>
  <c r="P179" i="5"/>
  <c r="N179" i="5"/>
  <c r="L179" i="5"/>
  <c r="K179" i="5"/>
  <c r="J179" i="5"/>
  <c r="I179" i="5"/>
  <c r="H179" i="5"/>
  <c r="G179" i="5"/>
  <c r="F179" i="5"/>
  <c r="E179" i="5"/>
  <c r="D179" i="5"/>
  <c r="C179" i="5"/>
  <c r="B179" i="5"/>
  <c r="Y178" i="5"/>
  <c r="M178" i="5" s="1"/>
  <c r="R178" i="5"/>
  <c r="Q178" i="5"/>
  <c r="P178" i="5"/>
  <c r="N178" i="5"/>
  <c r="L178" i="5"/>
  <c r="K178" i="5"/>
  <c r="J178" i="5"/>
  <c r="I178" i="5"/>
  <c r="H178" i="5"/>
  <c r="G178" i="5"/>
  <c r="F178" i="5"/>
  <c r="E178" i="5"/>
  <c r="D178" i="5"/>
  <c r="C178" i="5"/>
  <c r="B178" i="5"/>
  <c r="Y177" i="5"/>
  <c r="M177" i="5" s="1"/>
  <c r="R177" i="5"/>
  <c r="Q177" i="5"/>
  <c r="P177" i="5"/>
  <c r="O177" i="5" s="1"/>
  <c r="N177" i="5"/>
  <c r="L177" i="5"/>
  <c r="K177" i="5"/>
  <c r="J177" i="5"/>
  <c r="I177" i="5"/>
  <c r="H177" i="5"/>
  <c r="G177" i="5"/>
  <c r="F177" i="5"/>
  <c r="E177" i="5"/>
  <c r="D177" i="5"/>
  <c r="C177" i="5"/>
  <c r="B177" i="5"/>
  <c r="Y176" i="5"/>
  <c r="M176" i="5" s="1"/>
  <c r="R176" i="5"/>
  <c r="Q176" i="5"/>
  <c r="P176" i="5"/>
  <c r="O176" i="5" s="1"/>
  <c r="N176" i="5"/>
  <c r="L176" i="5"/>
  <c r="K176" i="5"/>
  <c r="J176" i="5"/>
  <c r="I176" i="5"/>
  <c r="H176" i="5"/>
  <c r="G176" i="5"/>
  <c r="F176" i="5"/>
  <c r="E176" i="5"/>
  <c r="D176" i="5"/>
  <c r="C176" i="5"/>
  <c r="B176" i="5"/>
  <c r="Y175" i="5"/>
  <c r="M175" i="5" s="1"/>
  <c r="R175" i="5"/>
  <c r="Q175" i="5"/>
  <c r="P175" i="5"/>
  <c r="O175" i="5" s="1"/>
  <c r="N175" i="5"/>
  <c r="L175" i="5"/>
  <c r="K175" i="5"/>
  <c r="J175" i="5"/>
  <c r="I175" i="5"/>
  <c r="H175" i="5"/>
  <c r="G175" i="5"/>
  <c r="F175" i="5"/>
  <c r="E175" i="5"/>
  <c r="D175" i="5"/>
  <c r="C175" i="5"/>
  <c r="B175" i="5"/>
  <c r="Y174" i="5"/>
  <c r="M174" i="5" s="1"/>
  <c r="R174" i="5"/>
  <c r="Q174" i="5"/>
  <c r="P174" i="5"/>
  <c r="O174" i="5" s="1"/>
  <c r="N174" i="5"/>
  <c r="L174" i="5"/>
  <c r="K174" i="5"/>
  <c r="J174" i="5"/>
  <c r="I174" i="5"/>
  <c r="H174" i="5"/>
  <c r="G174" i="5"/>
  <c r="F174" i="5"/>
  <c r="E174" i="5"/>
  <c r="D174" i="5"/>
  <c r="C174" i="5"/>
  <c r="B174" i="5"/>
  <c r="Y173" i="5"/>
  <c r="M173" i="5" s="1"/>
  <c r="R173" i="5"/>
  <c r="Q173" i="5"/>
  <c r="P173" i="5"/>
  <c r="N173" i="5"/>
  <c r="L173" i="5"/>
  <c r="K173" i="5"/>
  <c r="J173" i="5"/>
  <c r="I173" i="5"/>
  <c r="H173" i="5"/>
  <c r="G173" i="5"/>
  <c r="F173" i="5"/>
  <c r="E173" i="5"/>
  <c r="D173" i="5"/>
  <c r="C173" i="5"/>
  <c r="B173" i="5"/>
  <c r="Y172" i="5"/>
  <c r="M172" i="5" s="1"/>
  <c r="R172" i="5"/>
  <c r="Q172" i="5"/>
  <c r="P172" i="5"/>
  <c r="N172" i="5"/>
  <c r="L172" i="5"/>
  <c r="K172" i="5"/>
  <c r="J172" i="5"/>
  <c r="I172" i="5"/>
  <c r="H172" i="5"/>
  <c r="G172" i="5"/>
  <c r="F172" i="5"/>
  <c r="E172" i="5"/>
  <c r="D172" i="5"/>
  <c r="C172" i="5"/>
  <c r="B172" i="5"/>
  <c r="Y171" i="5"/>
  <c r="M171" i="5" s="1"/>
  <c r="R171" i="5"/>
  <c r="Q171" i="5"/>
  <c r="O171" i="5" s="1"/>
  <c r="P171" i="5"/>
  <c r="N171" i="5"/>
  <c r="L171" i="5"/>
  <c r="K171" i="5"/>
  <c r="J171" i="5"/>
  <c r="I171" i="5"/>
  <c r="H171" i="5"/>
  <c r="G171" i="5"/>
  <c r="F171" i="5"/>
  <c r="E171" i="5"/>
  <c r="D171" i="5"/>
  <c r="C171" i="5"/>
  <c r="B171" i="5"/>
  <c r="Y170" i="5"/>
  <c r="M170" i="5" s="1"/>
  <c r="R170" i="5"/>
  <c r="Q170" i="5"/>
  <c r="P170" i="5"/>
  <c r="N170" i="5"/>
  <c r="L170" i="5"/>
  <c r="K170" i="5"/>
  <c r="J170" i="5"/>
  <c r="I170" i="5"/>
  <c r="H170" i="5"/>
  <c r="G170" i="5"/>
  <c r="F170" i="5"/>
  <c r="E170" i="5"/>
  <c r="D170" i="5"/>
  <c r="C170" i="5"/>
  <c r="B170" i="5"/>
  <c r="Y169" i="5"/>
  <c r="M169" i="5" s="1"/>
  <c r="R169" i="5"/>
  <c r="Q169" i="5"/>
  <c r="P169" i="5"/>
  <c r="O169" i="5" s="1"/>
  <c r="N169" i="5"/>
  <c r="L169" i="5"/>
  <c r="K169" i="5"/>
  <c r="J169" i="5"/>
  <c r="I169" i="5"/>
  <c r="H169" i="5"/>
  <c r="G169" i="5"/>
  <c r="F169" i="5"/>
  <c r="E169" i="5"/>
  <c r="D169" i="5"/>
  <c r="C169" i="5"/>
  <c r="B169" i="5"/>
  <c r="Y168" i="5"/>
  <c r="M168" i="5" s="1"/>
  <c r="R168" i="5"/>
  <c r="Q168" i="5"/>
  <c r="P168" i="5"/>
  <c r="N168" i="5"/>
  <c r="L168" i="5"/>
  <c r="K168" i="5"/>
  <c r="J168" i="5"/>
  <c r="I168" i="5"/>
  <c r="T168" i="5" s="1"/>
  <c r="H168" i="5"/>
  <c r="G168" i="5"/>
  <c r="S168" i="5" s="1"/>
  <c r="F168" i="5"/>
  <c r="E168" i="5"/>
  <c r="D168" i="5"/>
  <c r="C168" i="5"/>
  <c r="B168" i="5"/>
  <c r="Y167" i="5"/>
  <c r="M167" i="5" s="1"/>
  <c r="R167" i="5"/>
  <c r="Q167" i="5"/>
  <c r="P167" i="5"/>
  <c r="O167" i="5" s="1"/>
  <c r="N167" i="5"/>
  <c r="L167" i="5"/>
  <c r="K167" i="5"/>
  <c r="J167" i="5"/>
  <c r="I167" i="5"/>
  <c r="H167" i="5"/>
  <c r="G167" i="5"/>
  <c r="F167" i="5"/>
  <c r="E167" i="5"/>
  <c r="D167" i="5"/>
  <c r="C167" i="5"/>
  <c r="B167" i="5"/>
  <c r="Y166" i="5"/>
  <c r="M166" i="5" s="1"/>
  <c r="R166" i="5"/>
  <c r="Q166" i="5"/>
  <c r="P166" i="5"/>
  <c r="O166" i="5" s="1"/>
  <c r="N166" i="5"/>
  <c r="L166" i="5"/>
  <c r="K166" i="5"/>
  <c r="J166" i="5"/>
  <c r="I166" i="5"/>
  <c r="H166" i="5"/>
  <c r="G166" i="5"/>
  <c r="F166" i="5"/>
  <c r="E166" i="5"/>
  <c r="D166" i="5"/>
  <c r="C166" i="5"/>
  <c r="B166" i="5"/>
  <c r="Y165" i="5"/>
  <c r="M165" i="5" s="1"/>
  <c r="R165" i="5"/>
  <c r="Q165" i="5"/>
  <c r="P165" i="5"/>
  <c r="O165" i="5" s="1"/>
  <c r="N165" i="5"/>
  <c r="L165" i="5"/>
  <c r="K165" i="5"/>
  <c r="J165" i="5"/>
  <c r="I165" i="5"/>
  <c r="H165" i="5"/>
  <c r="G165" i="5"/>
  <c r="F165" i="5"/>
  <c r="E165" i="5"/>
  <c r="D165" i="5"/>
  <c r="C165" i="5"/>
  <c r="B165" i="5"/>
  <c r="Y164" i="5"/>
  <c r="M164" i="5" s="1"/>
  <c r="R164" i="5"/>
  <c r="Q164" i="5"/>
  <c r="P164" i="5"/>
  <c r="N164" i="5"/>
  <c r="L164" i="5"/>
  <c r="K164" i="5"/>
  <c r="J164" i="5"/>
  <c r="I164" i="5"/>
  <c r="H164" i="5"/>
  <c r="G164" i="5"/>
  <c r="F164" i="5"/>
  <c r="E164" i="5"/>
  <c r="D164" i="5"/>
  <c r="C164" i="5"/>
  <c r="B164" i="5"/>
  <c r="Y163" i="5"/>
  <c r="M163" i="5" s="1"/>
  <c r="R163" i="5"/>
  <c r="Q163" i="5"/>
  <c r="P163" i="5"/>
  <c r="N163" i="5"/>
  <c r="L163" i="5"/>
  <c r="K163" i="5"/>
  <c r="J163" i="5"/>
  <c r="I163" i="5"/>
  <c r="H163" i="5"/>
  <c r="G163" i="5"/>
  <c r="F163" i="5"/>
  <c r="E163" i="5"/>
  <c r="D163" i="5"/>
  <c r="C163" i="5"/>
  <c r="B163" i="5"/>
  <c r="Y162" i="5"/>
  <c r="M162" i="5" s="1"/>
  <c r="R162" i="5"/>
  <c r="Q162" i="5"/>
  <c r="P162" i="5"/>
  <c r="O162" i="5" s="1"/>
  <c r="N162" i="5"/>
  <c r="L162" i="5"/>
  <c r="K162" i="5"/>
  <c r="J162" i="5"/>
  <c r="I162" i="5"/>
  <c r="H162" i="5"/>
  <c r="G162" i="5"/>
  <c r="F162" i="5"/>
  <c r="E162" i="5"/>
  <c r="D162" i="5"/>
  <c r="C162" i="5"/>
  <c r="B162" i="5"/>
  <c r="Y161" i="5"/>
  <c r="M161" i="5" s="1"/>
  <c r="R161" i="5"/>
  <c r="Q161" i="5"/>
  <c r="P161" i="5"/>
  <c r="N161" i="5"/>
  <c r="L161" i="5"/>
  <c r="K161" i="5"/>
  <c r="J161" i="5"/>
  <c r="I161" i="5"/>
  <c r="H161" i="5"/>
  <c r="G161" i="5"/>
  <c r="F161" i="5"/>
  <c r="E161" i="5"/>
  <c r="D161" i="5"/>
  <c r="C161" i="5"/>
  <c r="B161" i="5"/>
  <c r="Y160" i="5"/>
  <c r="M160" i="5" s="1"/>
  <c r="R160" i="5"/>
  <c r="Q160" i="5"/>
  <c r="P160" i="5"/>
  <c r="N160" i="5"/>
  <c r="L160" i="5"/>
  <c r="K160" i="5"/>
  <c r="J160" i="5"/>
  <c r="I160" i="5"/>
  <c r="T160" i="5" s="1"/>
  <c r="H160" i="5"/>
  <c r="G160" i="5"/>
  <c r="F160" i="5"/>
  <c r="E160" i="5"/>
  <c r="D160" i="5"/>
  <c r="C160" i="5"/>
  <c r="B160" i="5"/>
  <c r="Y159" i="5"/>
  <c r="M159" i="5" s="1"/>
  <c r="R159" i="5"/>
  <c r="Q159" i="5"/>
  <c r="P159" i="5"/>
  <c r="O159" i="5" s="1"/>
  <c r="N159" i="5"/>
  <c r="L159" i="5"/>
  <c r="K159" i="5"/>
  <c r="J159" i="5"/>
  <c r="I159" i="5"/>
  <c r="H159" i="5"/>
  <c r="G159" i="5"/>
  <c r="F159" i="5"/>
  <c r="E159" i="5"/>
  <c r="D159" i="5"/>
  <c r="C159" i="5"/>
  <c r="B159" i="5"/>
  <c r="Y158" i="5"/>
  <c r="M158" i="5" s="1"/>
  <c r="R158" i="5"/>
  <c r="Q158" i="5"/>
  <c r="P158" i="5"/>
  <c r="N158" i="5"/>
  <c r="L158" i="5"/>
  <c r="K158" i="5"/>
  <c r="J158" i="5"/>
  <c r="I158" i="5"/>
  <c r="H158" i="5"/>
  <c r="G158" i="5"/>
  <c r="F158" i="5"/>
  <c r="E158" i="5"/>
  <c r="D158" i="5"/>
  <c r="C158" i="5"/>
  <c r="B158" i="5"/>
  <c r="Y157" i="5"/>
  <c r="M157" i="5" s="1"/>
  <c r="R157" i="5"/>
  <c r="Q157" i="5"/>
  <c r="P157" i="5"/>
  <c r="N157" i="5"/>
  <c r="L157" i="5"/>
  <c r="K157" i="5"/>
  <c r="J157" i="5"/>
  <c r="I157" i="5"/>
  <c r="H157" i="5"/>
  <c r="G157" i="5"/>
  <c r="F157" i="5"/>
  <c r="E157" i="5"/>
  <c r="D157" i="5"/>
  <c r="C157" i="5"/>
  <c r="B157" i="5"/>
  <c r="Y156" i="5"/>
  <c r="M156" i="5" s="1"/>
  <c r="R156" i="5"/>
  <c r="Q156" i="5"/>
  <c r="P156" i="5"/>
  <c r="O156" i="5" s="1"/>
  <c r="N156" i="5"/>
  <c r="L156" i="5"/>
  <c r="K156" i="5"/>
  <c r="J156" i="5"/>
  <c r="I156" i="5"/>
  <c r="H156" i="5"/>
  <c r="G156" i="5"/>
  <c r="F156" i="5"/>
  <c r="E156" i="5"/>
  <c r="D156" i="5"/>
  <c r="C156" i="5"/>
  <c r="B156" i="5"/>
  <c r="Y155" i="5"/>
  <c r="M155" i="5" s="1"/>
  <c r="R155" i="5"/>
  <c r="Q155" i="5"/>
  <c r="P155" i="5"/>
  <c r="O155" i="5" s="1"/>
  <c r="N155" i="5"/>
  <c r="L155" i="5"/>
  <c r="K155" i="5"/>
  <c r="J155" i="5"/>
  <c r="I155" i="5"/>
  <c r="H155" i="5"/>
  <c r="G155" i="5"/>
  <c r="F155" i="5"/>
  <c r="E155" i="5"/>
  <c r="D155" i="5"/>
  <c r="C155" i="5"/>
  <c r="B155" i="5"/>
  <c r="Y154" i="5"/>
  <c r="M154" i="5" s="1"/>
  <c r="R154" i="5"/>
  <c r="Q154" i="5"/>
  <c r="P154" i="5"/>
  <c r="N154" i="5"/>
  <c r="L154" i="5"/>
  <c r="K154" i="5"/>
  <c r="J154" i="5"/>
  <c r="I154" i="5"/>
  <c r="H154" i="5"/>
  <c r="G154" i="5"/>
  <c r="F154" i="5"/>
  <c r="E154" i="5"/>
  <c r="D154" i="5"/>
  <c r="C154" i="5"/>
  <c r="B154" i="5"/>
  <c r="Y153" i="5"/>
  <c r="M153" i="5" s="1"/>
  <c r="R153" i="5"/>
  <c r="Q153" i="5"/>
  <c r="P153" i="5"/>
  <c r="O153" i="5" s="1"/>
  <c r="N153" i="5"/>
  <c r="L153" i="5"/>
  <c r="K153" i="5"/>
  <c r="J153" i="5"/>
  <c r="I153" i="5"/>
  <c r="T153" i="5" s="1"/>
  <c r="H153" i="5"/>
  <c r="G153" i="5"/>
  <c r="F153" i="5"/>
  <c r="E153" i="5"/>
  <c r="D153" i="5"/>
  <c r="C153" i="5"/>
  <c r="B153" i="5"/>
  <c r="Y152" i="5"/>
  <c r="M152" i="5" s="1"/>
  <c r="R152" i="5"/>
  <c r="Q152" i="5"/>
  <c r="P152" i="5"/>
  <c r="O152" i="5" s="1"/>
  <c r="N152" i="5"/>
  <c r="L152" i="5"/>
  <c r="K152" i="5"/>
  <c r="J152" i="5"/>
  <c r="I152" i="5"/>
  <c r="H152" i="5"/>
  <c r="G152" i="5"/>
  <c r="F152" i="5"/>
  <c r="E152" i="5"/>
  <c r="D152" i="5"/>
  <c r="C152" i="5"/>
  <c r="B152" i="5"/>
  <c r="Y151" i="5"/>
  <c r="M151" i="5" s="1"/>
  <c r="R151" i="5"/>
  <c r="Q151" i="5"/>
  <c r="O151" i="5" s="1"/>
  <c r="P151" i="5"/>
  <c r="N151" i="5"/>
  <c r="L151" i="5"/>
  <c r="K151" i="5"/>
  <c r="J151" i="5"/>
  <c r="I151" i="5"/>
  <c r="H151" i="5"/>
  <c r="G151" i="5"/>
  <c r="F151" i="5"/>
  <c r="E151" i="5"/>
  <c r="D151" i="5"/>
  <c r="C151" i="5"/>
  <c r="B151" i="5"/>
  <c r="Y150" i="5"/>
  <c r="M150" i="5" s="1"/>
  <c r="R150" i="5"/>
  <c r="Q150" i="5"/>
  <c r="P150" i="5"/>
  <c r="O150" i="5" s="1"/>
  <c r="N150" i="5"/>
  <c r="L150" i="5"/>
  <c r="K150" i="5"/>
  <c r="J150" i="5"/>
  <c r="I150" i="5"/>
  <c r="H150" i="5"/>
  <c r="G150" i="5"/>
  <c r="F150" i="5"/>
  <c r="E150" i="5"/>
  <c r="D150" i="5"/>
  <c r="C150" i="5"/>
  <c r="B150" i="5"/>
  <c r="Y149" i="5"/>
  <c r="M149" i="5" s="1"/>
  <c r="R149" i="5"/>
  <c r="Q149" i="5"/>
  <c r="P149" i="5"/>
  <c r="N149" i="5"/>
  <c r="L149" i="5"/>
  <c r="K149" i="5"/>
  <c r="J149" i="5"/>
  <c r="I149" i="5"/>
  <c r="H149" i="5"/>
  <c r="G149" i="5"/>
  <c r="F149" i="5"/>
  <c r="E149" i="5"/>
  <c r="D149" i="5"/>
  <c r="C149" i="5"/>
  <c r="B149" i="5"/>
  <c r="Y148" i="5"/>
  <c r="M148" i="5" s="1"/>
  <c r="R148" i="5"/>
  <c r="Q148" i="5"/>
  <c r="P148" i="5"/>
  <c r="O148" i="5" s="1"/>
  <c r="N148" i="5"/>
  <c r="L148" i="5"/>
  <c r="K148" i="5"/>
  <c r="J148" i="5"/>
  <c r="I148" i="5"/>
  <c r="H148" i="5"/>
  <c r="G148" i="5"/>
  <c r="F148" i="5"/>
  <c r="E148" i="5"/>
  <c r="D148" i="5"/>
  <c r="C148" i="5"/>
  <c r="B148" i="5"/>
  <c r="Y147" i="5"/>
  <c r="M147" i="5" s="1"/>
  <c r="R147" i="5"/>
  <c r="Q147" i="5"/>
  <c r="P147" i="5"/>
  <c r="N147" i="5"/>
  <c r="L147" i="5"/>
  <c r="K147" i="5"/>
  <c r="J147" i="5"/>
  <c r="I147" i="5"/>
  <c r="T147" i="5" s="1"/>
  <c r="H147" i="5"/>
  <c r="G147" i="5"/>
  <c r="S147" i="5" s="1"/>
  <c r="F147" i="5"/>
  <c r="E147" i="5"/>
  <c r="D147" i="5"/>
  <c r="C147" i="5"/>
  <c r="B147" i="5"/>
  <c r="Y146" i="5"/>
  <c r="M146" i="5" s="1"/>
  <c r="R146" i="5"/>
  <c r="Q146" i="5"/>
  <c r="O146" i="5" s="1"/>
  <c r="P146" i="5"/>
  <c r="N146" i="5"/>
  <c r="L146" i="5"/>
  <c r="K146" i="5"/>
  <c r="J146" i="5"/>
  <c r="I146" i="5"/>
  <c r="H146" i="5"/>
  <c r="G146" i="5"/>
  <c r="F146" i="5"/>
  <c r="E146" i="5"/>
  <c r="D146" i="5"/>
  <c r="C146" i="5"/>
  <c r="B146" i="5"/>
  <c r="Y145" i="5"/>
  <c r="M145" i="5" s="1"/>
  <c r="R145" i="5"/>
  <c r="Q145" i="5"/>
  <c r="P145" i="5"/>
  <c r="O145" i="5"/>
  <c r="N145" i="5"/>
  <c r="L145" i="5"/>
  <c r="K145" i="5"/>
  <c r="J145" i="5"/>
  <c r="I145" i="5"/>
  <c r="H145" i="5"/>
  <c r="G145" i="5"/>
  <c r="F145" i="5"/>
  <c r="E145" i="5"/>
  <c r="D145" i="5"/>
  <c r="C145" i="5"/>
  <c r="B145" i="5"/>
  <c r="Y144" i="5"/>
  <c r="M144" i="5" s="1"/>
  <c r="R144" i="5"/>
  <c r="Q144" i="5"/>
  <c r="P144" i="5"/>
  <c r="N144" i="5"/>
  <c r="L144" i="5"/>
  <c r="K144" i="5"/>
  <c r="J144" i="5"/>
  <c r="I144" i="5"/>
  <c r="H144" i="5"/>
  <c r="G144" i="5"/>
  <c r="F144" i="5"/>
  <c r="E144" i="5"/>
  <c r="D144" i="5"/>
  <c r="C144" i="5"/>
  <c r="B144" i="5"/>
  <c r="Y143" i="5"/>
  <c r="M143" i="5" s="1"/>
  <c r="R143" i="5"/>
  <c r="Q143" i="5"/>
  <c r="O143" i="5" s="1"/>
  <c r="P143" i="5"/>
  <c r="N143" i="5"/>
  <c r="L143" i="5"/>
  <c r="K143" i="5"/>
  <c r="J143" i="5"/>
  <c r="I143" i="5"/>
  <c r="H143" i="5"/>
  <c r="G143" i="5"/>
  <c r="F143" i="5"/>
  <c r="E143" i="5"/>
  <c r="D143" i="5"/>
  <c r="C143" i="5"/>
  <c r="B143" i="5"/>
  <c r="Y142" i="5"/>
  <c r="M142" i="5" s="1"/>
  <c r="R142" i="5"/>
  <c r="Q142" i="5"/>
  <c r="P142" i="5"/>
  <c r="O142" i="5"/>
  <c r="N142" i="5"/>
  <c r="L142" i="5"/>
  <c r="K142" i="5"/>
  <c r="J142" i="5"/>
  <c r="I142" i="5"/>
  <c r="H142" i="5"/>
  <c r="G142" i="5"/>
  <c r="F142" i="5"/>
  <c r="E142" i="5"/>
  <c r="D142" i="5"/>
  <c r="C142" i="5"/>
  <c r="B142" i="5"/>
  <c r="Y141" i="5"/>
  <c r="M141" i="5" s="1"/>
  <c r="R141" i="5"/>
  <c r="Q141" i="5"/>
  <c r="P141" i="5"/>
  <c r="N141" i="5"/>
  <c r="L141" i="5"/>
  <c r="K141" i="5"/>
  <c r="J141" i="5"/>
  <c r="I141" i="5"/>
  <c r="H141" i="5"/>
  <c r="G141" i="5"/>
  <c r="F141" i="5"/>
  <c r="E141" i="5"/>
  <c r="D141" i="5"/>
  <c r="C141" i="5"/>
  <c r="B141" i="5"/>
  <c r="Y140" i="5"/>
  <c r="M140" i="5" s="1"/>
  <c r="R140" i="5"/>
  <c r="Q140" i="5"/>
  <c r="P140" i="5"/>
  <c r="N140" i="5"/>
  <c r="L140" i="5"/>
  <c r="K140" i="5"/>
  <c r="J140" i="5"/>
  <c r="I140" i="5"/>
  <c r="H140" i="5"/>
  <c r="G140" i="5"/>
  <c r="F140" i="5"/>
  <c r="E140" i="5"/>
  <c r="D140" i="5"/>
  <c r="C140" i="5"/>
  <c r="B140" i="5"/>
  <c r="Y139" i="5"/>
  <c r="M139" i="5" s="1"/>
  <c r="R139" i="5"/>
  <c r="Q139" i="5"/>
  <c r="P139" i="5"/>
  <c r="O139" i="5" s="1"/>
  <c r="N139" i="5"/>
  <c r="L139" i="5"/>
  <c r="K139" i="5"/>
  <c r="J139" i="5"/>
  <c r="I139" i="5"/>
  <c r="H139" i="5"/>
  <c r="G139" i="5"/>
  <c r="F139" i="5"/>
  <c r="E139" i="5"/>
  <c r="D139" i="5"/>
  <c r="C139" i="5"/>
  <c r="B139" i="5"/>
  <c r="Y138" i="5"/>
  <c r="M138" i="5" s="1"/>
  <c r="R138" i="5"/>
  <c r="Q138" i="5"/>
  <c r="P138" i="5"/>
  <c r="N138" i="5"/>
  <c r="L138" i="5"/>
  <c r="K138" i="5"/>
  <c r="J138" i="5"/>
  <c r="I138" i="5"/>
  <c r="H138" i="5"/>
  <c r="G138" i="5"/>
  <c r="F138" i="5"/>
  <c r="E138" i="5"/>
  <c r="D138" i="5"/>
  <c r="C138" i="5"/>
  <c r="B138" i="5"/>
  <c r="Y137" i="5"/>
  <c r="M137" i="5" s="1"/>
  <c r="R137" i="5"/>
  <c r="Q137" i="5"/>
  <c r="P137" i="5"/>
  <c r="O137" i="5" s="1"/>
  <c r="N137" i="5"/>
  <c r="L137" i="5"/>
  <c r="K137" i="5"/>
  <c r="J137" i="5"/>
  <c r="I137" i="5"/>
  <c r="H137" i="5"/>
  <c r="G137" i="5"/>
  <c r="F137" i="5"/>
  <c r="E137" i="5"/>
  <c r="D137" i="5"/>
  <c r="C137" i="5"/>
  <c r="B137" i="5"/>
  <c r="Y136" i="5"/>
  <c r="M136" i="5" s="1"/>
  <c r="R136" i="5"/>
  <c r="Q136" i="5"/>
  <c r="P136" i="5"/>
  <c r="O136" i="5" s="1"/>
  <c r="N136" i="5"/>
  <c r="L136" i="5"/>
  <c r="K136" i="5"/>
  <c r="J136" i="5"/>
  <c r="I136" i="5"/>
  <c r="H136" i="5"/>
  <c r="G136" i="5"/>
  <c r="F136" i="5"/>
  <c r="E136" i="5"/>
  <c r="D136" i="5"/>
  <c r="C136" i="5"/>
  <c r="B136" i="5"/>
  <c r="Y135" i="5"/>
  <c r="M135" i="5" s="1"/>
  <c r="R135" i="5"/>
  <c r="Q135" i="5"/>
  <c r="P135" i="5"/>
  <c r="O135" i="5" s="1"/>
  <c r="N135" i="5"/>
  <c r="L135" i="5"/>
  <c r="K135" i="5"/>
  <c r="J135" i="5"/>
  <c r="I135" i="5"/>
  <c r="H135" i="5"/>
  <c r="G135" i="5"/>
  <c r="F135" i="5"/>
  <c r="E135" i="5"/>
  <c r="D135" i="5"/>
  <c r="C135" i="5"/>
  <c r="B135" i="5"/>
  <c r="Y134" i="5"/>
  <c r="M134" i="5" s="1"/>
  <c r="R134" i="5"/>
  <c r="Q134" i="5"/>
  <c r="P134" i="5"/>
  <c r="O134" i="5" s="1"/>
  <c r="N134" i="5"/>
  <c r="L134" i="5"/>
  <c r="K134" i="5"/>
  <c r="J134" i="5"/>
  <c r="I134" i="5"/>
  <c r="H134" i="5"/>
  <c r="G134" i="5"/>
  <c r="F134" i="5"/>
  <c r="E134" i="5"/>
  <c r="D134" i="5"/>
  <c r="C134" i="5"/>
  <c r="B134" i="5"/>
  <c r="Y133" i="5"/>
  <c r="M133" i="5" s="1"/>
  <c r="R133" i="5"/>
  <c r="Q133" i="5"/>
  <c r="P133" i="5"/>
  <c r="O133" i="5" s="1"/>
  <c r="N133" i="5"/>
  <c r="L133" i="5"/>
  <c r="K133" i="5"/>
  <c r="J133" i="5"/>
  <c r="I133" i="5"/>
  <c r="H133" i="5"/>
  <c r="G133" i="5"/>
  <c r="F133" i="5"/>
  <c r="E133" i="5"/>
  <c r="D133" i="5"/>
  <c r="C133" i="5"/>
  <c r="B133" i="5"/>
  <c r="Y132" i="5"/>
  <c r="M132" i="5" s="1"/>
  <c r="R132" i="5"/>
  <c r="Q132" i="5"/>
  <c r="O132" i="5" s="1"/>
  <c r="P132" i="5"/>
  <c r="N132" i="5"/>
  <c r="L132" i="5"/>
  <c r="K132" i="5"/>
  <c r="J132" i="5"/>
  <c r="I132" i="5"/>
  <c r="H132" i="5"/>
  <c r="G132" i="5"/>
  <c r="F132" i="5"/>
  <c r="E132" i="5"/>
  <c r="D132" i="5"/>
  <c r="C132" i="5"/>
  <c r="B132" i="5"/>
  <c r="Y131" i="5"/>
  <c r="M131" i="5" s="1"/>
  <c r="R131" i="5"/>
  <c r="Q131" i="5"/>
  <c r="P131" i="5"/>
  <c r="N131" i="5"/>
  <c r="L131" i="5"/>
  <c r="K131" i="5"/>
  <c r="J131" i="5"/>
  <c r="I131" i="5"/>
  <c r="H131" i="5"/>
  <c r="G131" i="5"/>
  <c r="F131" i="5"/>
  <c r="E131" i="5"/>
  <c r="D131" i="5"/>
  <c r="C131" i="5"/>
  <c r="B131" i="5"/>
  <c r="Y130" i="5"/>
  <c r="M130" i="5" s="1"/>
  <c r="R130" i="5"/>
  <c r="Q130" i="5"/>
  <c r="P130" i="5"/>
  <c r="N130" i="5"/>
  <c r="L130" i="5"/>
  <c r="K130" i="5"/>
  <c r="J130" i="5"/>
  <c r="I130" i="5"/>
  <c r="T130" i="5" s="1"/>
  <c r="H130" i="5"/>
  <c r="G130" i="5"/>
  <c r="F130" i="5"/>
  <c r="E130" i="5"/>
  <c r="D130" i="5"/>
  <c r="C130" i="5"/>
  <c r="B130" i="5"/>
  <c r="Y129" i="5"/>
  <c r="M129" i="5" s="1"/>
  <c r="R129" i="5"/>
  <c r="Q129" i="5"/>
  <c r="P129" i="5"/>
  <c r="O129" i="5" s="1"/>
  <c r="N129" i="5"/>
  <c r="L129" i="5"/>
  <c r="K129" i="5"/>
  <c r="J129" i="5"/>
  <c r="I129" i="5"/>
  <c r="H129" i="5"/>
  <c r="G129" i="5"/>
  <c r="F129" i="5"/>
  <c r="E129" i="5"/>
  <c r="D129" i="5"/>
  <c r="C129" i="5"/>
  <c r="B129" i="5"/>
  <c r="Y128" i="5"/>
  <c r="M128" i="5" s="1"/>
  <c r="R128" i="5"/>
  <c r="Q128" i="5"/>
  <c r="P128" i="5"/>
  <c r="N128" i="5"/>
  <c r="L128" i="5"/>
  <c r="K128" i="5"/>
  <c r="J128" i="5"/>
  <c r="I128" i="5"/>
  <c r="H128" i="5"/>
  <c r="G128" i="5"/>
  <c r="F128" i="5"/>
  <c r="E128" i="5"/>
  <c r="D128" i="5"/>
  <c r="C128" i="5"/>
  <c r="B128" i="5"/>
  <c r="Y127" i="5"/>
  <c r="M127" i="5" s="1"/>
  <c r="R127" i="5"/>
  <c r="Q127" i="5"/>
  <c r="P127" i="5"/>
  <c r="O127" i="5" s="1"/>
  <c r="N127" i="5"/>
  <c r="L127" i="5"/>
  <c r="K127" i="5"/>
  <c r="J127" i="5"/>
  <c r="I127" i="5"/>
  <c r="H127" i="5"/>
  <c r="G127" i="5"/>
  <c r="F127" i="5"/>
  <c r="E127" i="5"/>
  <c r="D127" i="5"/>
  <c r="C127" i="5"/>
  <c r="B127" i="5"/>
  <c r="Y126" i="5"/>
  <c r="M126" i="5" s="1"/>
  <c r="R126" i="5"/>
  <c r="Q126" i="5"/>
  <c r="P126" i="5"/>
  <c r="O126" i="5"/>
  <c r="N126" i="5"/>
  <c r="L126" i="5"/>
  <c r="K126" i="5"/>
  <c r="J126" i="5"/>
  <c r="I126" i="5"/>
  <c r="H126" i="5"/>
  <c r="G126" i="5"/>
  <c r="F126" i="5"/>
  <c r="E126" i="5"/>
  <c r="D126" i="5"/>
  <c r="C126" i="5"/>
  <c r="B126" i="5"/>
  <c r="Y125" i="5"/>
  <c r="M125" i="5" s="1"/>
  <c r="R125" i="5"/>
  <c r="Q125" i="5"/>
  <c r="P125" i="5"/>
  <c r="O125" i="5" s="1"/>
  <c r="N125" i="5"/>
  <c r="L125" i="5"/>
  <c r="K125" i="5"/>
  <c r="J125" i="5"/>
  <c r="I125" i="5"/>
  <c r="H125" i="5"/>
  <c r="G125" i="5"/>
  <c r="F125" i="5"/>
  <c r="E125" i="5"/>
  <c r="D125" i="5"/>
  <c r="C125" i="5"/>
  <c r="B125" i="5"/>
  <c r="Y124" i="5"/>
  <c r="M124" i="5" s="1"/>
  <c r="R124" i="5"/>
  <c r="Q124" i="5"/>
  <c r="P124" i="5"/>
  <c r="N124" i="5"/>
  <c r="L124" i="5"/>
  <c r="K124" i="5"/>
  <c r="J124" i="5"/>
  <c r="I124" i="5"/>
  <c r="H124" i="5"/>
  <c r="G124" i="5"/>
  <c r="F124" i="5"/>
  <c r="E124" i="5"/>
  <c r="D124" i="5"/>
  <c r="C124" i="5"/>
  <c r="B124" i="5"/>
  <c r="Y123" i="5"/>
  <c r="M123" i="5" s="1"/>
  <c r="R123" i="5"/>
  <c r="Q123" i="5"/>
  <c r="P123" i="5"/>
  <c r="O123" i="5" s="1"/>
  <c r="N123" i="5"/>
  <c r="L123" i="5"/>
  <c r="K123" i="5"/>
  <c r="J123" i="5"/>
  <c r="I123" i="5"/>
  <c r="H123" i="5"/>
  <c r="G123" i="5"/>
  <c r="F123" i="5"/>
  <c r="E123" i="5"/>
  <c r="D123" i="5"/>
  <c r="C123" i="5"/>
  <c r="B123" i="5"/>
  <c r="Y122" i="5"/>
  <c r="M122" i="5" s="1"/>
  <c r="R122" i="5"/>
  <c r="Q122" i="5"/>
  <c r="O122" i="5" s="1"/>
  <c r="P122" i="5"/>
  <c r="N122" i="5"/>
  <c r="L122" i="5"/>
  <c r="K122" i="5"/>
  <c r="J122" i="5"/>
  <c r="I122" i="5"/>
  <c r="T122" i="5" s="1"/>
  <c r="H122" i="5"/>
  <c r="G122" i="5"/>
  <c r="F122" i="5"/>
  <c r="E122" i="5"/>
  <c r="D122" i="5"/>
  <c r="C122" i="5"/>
  <c r="B122" i="5"/>
  <c r="Y121" i="5"/>
  <c r="M121" i="5" s="1"/>
  <c r="R121" i="5"/>
  <c r="Q121" i="5"/>
  <c r="P121" i="5"/>
  <c r="N121" i="5"/>
  <c r="L121" i="5"/>
  <c r="K121" i="5"/>
  <c r="J121" i="5"/>
  <c r="I121" i="5"/>
  <c r="H121" i="5"/>
  <c r="G121" i="5"/>
  <c r="F121" i="5"/>
  <c r="E121" i="5"/>
  <c r="D121" i="5"/>
  <c r="C121" i="5"/>
  <c r="B121" i="5"/>
  <c r="Y120" i="5"/>
  <c r="M120" i="5" s="1"/>
  <c r="R120" i="5"/>
  <c r="Q120" i="5"/>
  <c r="P120" i="5"/>
  <c r="O120" i="5" s="1"/>
  <c r="N120" i="5"/>
  <c r="L120" i="5"/>
  <c r="K120" i="5"/>
  <c r="J120" i="5"/>
  <c r="I120" i="5"/>
  <c r="H120" i="5"/>
  <c r="G120" i="5"/>
  <c r="F120" i="5"/>
  <c r="E120" i="5"/>
  <c r="D120" i="5"/>
  <c r="C120" i="5"/>
  <c r="B120" i="5"/>
  <c r="Y119" i="5"/>
  <c r="M119" i="5" s="1"/>
  <c r="R119" i="5"/>
  <c r="Q119" i="5"/>
  <c r="P119" i="5"/>
  <c r="N119" i="5"/>
  <c r="L119" i="5"/>
  <c r="K119" i="5"/>
  <c r="J119" i="5"/>
  <c r="I119" i="5"/>
  <c r="H119" i="5"/>
  <c r="G119" i="5"/>
  <c r="F119" i="5"/>
  <c r="E119" i="5"/>
  <c r="D119" i="5"/>
  <c r="C119" i="5"/>
  <c r="B119" i="5"/>
  <c r="Y118" i="5"/>
  <c r="M118" i="5" s="1"/>
  <c r="R118" i="5"/>
  <c r="Q118" i="5"/>
  <c r="P118" i="5"/>
  <c r="N118" i="5"/>
  <c r="L118" i="5"/>
  <c r="K118" i="5"/>
  <c r="J118" i="5"/>
  <c r="I118" i="5"/>
  <c r="H118" i="5"/>
  <c r="G118" i="5"/>
  <c r="F118" i="5"/>
  <c r="E118" i="5"/>
  <c r="D118" i="5"/>
  <c r="C118" i="5"/>
  <c r="B118" i="5"/>
  <c r="Y117" i="5"/>
  <c r="M117" i="5" s="1"/>
  <c r="R117" i="5"/>
  <c r="Q117" i="5"/>
  <c r="P117" i="5"/>
  <c r="N117" i="5"/>
  <c r="L117" i="5"/>
  <c r="K117" i="5"/>
  <c r="J117" i="5"/>
  <c r="I117" i="5"/>
  <c r="H117" i="5"/>
  <c r="G117" i="5"/>
  <c r="F117" i="5"/>
  <c r="E117" i="5"/>
  <c r="D117" i="5"/>
  <c r="C117" i="5"/>
  <c r="B117" i="5"/>
  <c r="Y116" i="5"/>
  <c r="M116" i="5" s="1"/>
  <c r="R116" i="5"/>
  <c r="Q116" i="5"/>
  <c r="P116" i="5"/>
  <c r="O116" i="5"/>
  <c r="N116" i="5"/>
  <c r="L116" i="5"/>
  <c r="K116" i="5"/>
  <c r="J116" i="5"/>
  <c r="I116" i="5"/>
  <c r="H116" i="5"/>
  <c r="G116" i="5"/>
  <c r="F116" i="5"/>
  <c r="E116" i="5"/>
  <c r="D116" i="5"/>
  <c r="C116" i="5"/>
  <c r="B116" i="5"/>
  <c r="Y115" i="5"/>
  <c r="M115" i="5" s="1"/>
  <c r="R115" i="5"/>
  <c r="Q115" i="5"/>
  <c r="P115" i="5"/>
  <c r="O115" i="5"/>
  <c r="N115" i="5"/>
  <c r="L115" i="5"/>
  <c r="K115" i="5"/>
  <c r="J115" i="5"/>
  <c r="I115" i="5"/>
  <c r="H115" i="5"/>
  <c r="G115" i="5"/>
  <c r="F115" i="5"/>
  <c r="E115" i="5"/>
  <c r="D115" i="5"/>
  <c r="C115" i="5"/>
  <c r="B115" i="5"/>
  <c r="Y114" i="5"/>
  <c r="M114" i="5" s="1"/>
  <c r="R114" i="5"/>
  <c r="Q114" i="5"/>
  <c r="P114" i="5"/>
  <c r="N114" i="5"/>
  <c r="L114" i="5"/>
  <c r="K114" i="5"/>
  <c r="J114" i="5"/>
  <c r="I114" i="5"/>
  <c r="H114" i="5"/>
  <c r="G114" i="5"/>
  <c r="F114" i="5"/>
  <c r="E114" i="5"/>
  <c r="D114" i="5"/>
  <c r="C114" i="5"/>
  <c r="B114" i="5"/>
  <c r="Y113" i="5"/>
  <c r="M113" i="5" s="1"/>
  <c r="R113" i="5"/>
  <c r="Q113" i="5"/>
  <c r="P113" i="5"/>
  <c r="O113" i="5" s="1"/>
  <c r="N113" i="5"/>
  <c r="L113" i="5"/>
  <c r="K113" i="5"/>
  <c r="J113" i="5"/>
  <c r="I113" i="5"/>
  <c r="H113" i="5"/>
  <c r="G113" i="5"/>
  <c r="F113" i="5"/>
  <c r="E113" i="5"/>
  <c r="D113" i="5"/>
  <c r="C113" i="5"/>
  <c r="B113" i="5"/>
  <c r="Y112" i="5"/>
  <c r="M112" i="5" s="1"/>
  <c r="R112" i="5"/>
  <c r="Q112" i="5"/>
  <c r="P112" i="5"/>
  <c r="N112" i="5"/>
  <c r="L112" i="5"/>
  <c r="K112" i="5"/>
  <c r="J112" i="5"/>
  <c r="I112" i="5"/>
  <c r="H112" i="5"/>
  <c r="G112" i="5"/>
  <c r="F112" i="5"/>
  <c r="E112" i="5"/>
  <c r="D112" i="5"/>
  <c r="C112" i="5"/>
  <c r="B112" i="5"/>
  <c r="Y111" i="5"/>
  <c r="M111" i="5" s="1"/>
  <c r="R111" i="5"/>
  <c r="Q111" i="5"/>
  <c r="O111" i="5" s="1"/>
  <c r="P111" i="5"/>
  <c r="N111" i="5"/>
  <c r="L111" i="5"/>
  <c r="K111" i="5"/>
  <c r="J111" i="5"/>
  <c r="I111" i="5"/>
  <c r="H111" i="5"/>
  <c r="G111" i="5"/>
  <c r="F111" i="5"/>
  <c r="E111" i="5"/>
  <c r="D111" i="5"/>
  <c r="C111" i="5"/>
  <c r="B111" i="5"/>
  <c r="Y110" i="5"/>
  <c r="M110" i="5" s="1"/>
  <c r="R110" i="5"/>
  <c r="Q110" i="5"/>
  <c r="P110" i="5"/>
  <c r="O110" i="5" s="1"/>
  <c r="N110" i="5"/>
  <c r="L110" i="5"/>
  <c r="K110" i="5"/>
  <c r="J110" i="5"/>
  <c r="I110" i="5"/>
  <c r="H110" i="5"/>
  <c r="G110" i="5"/>
  <c r="F110" i="5"/>
  <c r="E110" i="5"/>
  <c r="D110" i="5"/>
  <c r="C110" i="5"/>
  <c r="B110" i="5"/>
  <c r="Y109" i="5"/>
  <c r="M109" i="5" s="1"/>
  <c r="R109" i="5"/>
  <c r="Q109" i="5"/>
  <c r="P109" i="5"/>
  <c r="N109" i="5"/>
  <c r="L109" i="5"/>
  <c r="K109" i="5"/>
  <c r="J109" i="5"/>
  <c r="I109" i="5"/>
  <c r="H109" i="5"/>
  <c r="G109" i="5"/>
  <c r="F109" i="5"/>
  <c r="E109" i="5"/>
  <c r="D109" i="5"/>
  <c r="C109" i="5"/>
  <c r="B109" i="5"/>
  <c r="Y108" i="5"/>
  <c r="M108" i="5" s="1"/>
  <c r="R108" i="5"/>
  <c r="Q108" i="5"/>
  <c r="P108" i="5"/>
  <c r="N108" i="5"/>
  <c r="L108" i="5"/>
  <c r="K108" i="5"/>
  <c r="J108" i="5"/>
  <c r="I108" i="5"/>
  <c r="H108" i="5"/>
  <c r="G108" i="5"/>
  <c r="F108" i="5"/>
  <c r="E108" i="5"/>
  <c r="D108" i="5"/>
  <c r="C108" i="5"/>
  <c r="B108" i="5"/>
  <c r="Y107" i="5"/>
  <c r="M107" i="5" s="1"/>
  <c r="R107" i="5"/>
  <c r="Q107" i="5"/>
  <c r="P107" i="5"/>
  <c r="N107" i="5"/>
  <c r="L107" i="5"/>
  <c r="K107" i="5"/>
  <c r="J107" i="5"/>
  <c r="I107" i="5"/>
  <c r="H107" i="5"/>
  <c r="G107" i="5"/>
  <c r="F107" i="5"/>
  <c r="E107" i="5"/>
  <c r="D107" i="5"/>
  <c r="C107" i="5"/>
  <c r="B107" i="5"/>
  <c r="Y106" i="5"/>
  <c r="M106" i="5" s="1"/>
  <c r="R106" i="5"/>
  <c r="Q106" i="5"/>
  <c r="O106" i="5" s="1"/>
  <c r="P106" i="5"/>
  <c r="N106" i="5"/>
  <c r="L106" i="5"/>
  <c r="K106" i="5"/>
  <c r="J106" i="5"/>
  <c r="I106" i="5"/>
  <c r="H106" i="5"/>
  <c r="G106" i="5"/>
  <c r="F106" i="5"/>
  <c r="E106" i="5"/>
  <c r="D106" i="5"/>
  <c r="C106" i="5"/>
  <c r="B106" i="5"/>
  <c r="Y105" i="5"/>
  <c r="M105" i="5" s="1"/>
  <c r="R105" i="5"/>
  <c r="Q105" i="5"/>
  <c r="P105" i="5"/>
  <c r="O105" i="5"/>
  <c r="N105" i="5"/>
  <c r="L105" i="5"/>
  <c r="K105" i="5"/>
  <c r="J105" i="5"/>
  <c r="I105" i="5"/>
  <c r="H105" i="5"/>
  <c r="G105" i="5"/>
  <c r="F105" i="5"/>
  <c r="E105" i="5"/>
  <c r="D105" i="5"/>
  <c r="C105" i="5"/>
  <c r="B105" i="5"/>
  <c r="Y104" i="5"/>
  <c r="M104" i="5" s="1"/>
  <c r="R104" i="5"/>
  <c r="Q104" i="5"/>
  <c r="P104" i="5"/>
  <c r="N104" i="5"/>
  <c r="L104" i="5"/>
  <c r="K104" i="5"/>
  <c r="J104" i="5"/>
  <c r="I104" i="5"/>
  <c r="T104" i="5" s="1"/>
  <c r="H104" i="5"/>
  <c r="G104" i="5"/>
  <c r="F104" i="5"/>
  <c r="E104" i="5"/>
  <c r="D104" i="5"/>
  <c r="C104" i="5"/>
  <c r="B104" i="5"/>
  <c r="Y103" i="5"/>
  <c r="M103" i="5" s="1"/>
  <c r="R103" i="5"/>
  <c r="Q103" i="5"/>
  <c r="P103" i="5"/>
  <c r="N103" i="5"/>
  <c r="L103" i="5"/>
  <c r="K103" i="5"/>
  <c r="J103" i="5"/>
  <c r="I103" i="5"/>
  <c r="H103" i="5"/>
  <c r="G103" i="5"/>
  <c r="F103" i="5"/>
  <c r="E103" i="5"/>
  <c r="D103" i="5"/>
  <c r="C103" i="5"/>
  <c r="B103" i="5"/>
  <c r="Y102" i="5"/>
  <c r="M102" i="5" s="1"/>
  <c r="R102" i="5"/>
  <c r="Q102" i="5"/>
  <c r="P102" i="5"/>
  <c r="N102" i="5"/>
  <c r="L102" i="5"/>
  <c r="K102" i="5"/>
  <c r="J102" i="5"/>
  <c r="I102" i="5"/>
  <c r="H102" i="5"/>
  <c r="G102" i="5"/>
  <c r="F102" i="5"/>
  <c r="E102" i="5"/>
  <c r="D102" i="5"/>
  <c r="C102" i="5"/>
  <c r="B102" i="5"/>
  <c r="Y101" i="5"/>
  <c r="M101" i="5" s="1"/>
  <c r="R101" i="5"/>
  <c r="Q101" i="5"/>
  <c r="O101" i="5" s="1"/>
  <c r="P101" i="5"/>
  <c r="N101" i="5"/>
  <c r="L101" i="5"/>
  <c r="K101" i="5"/>
  <c r="J101" i="5"/>
  <c r="I101" i="5"/>
  <c r="T101" i="5" s="1"/>
  <c r="H101" i="5"/>
  <c r="G101" i="5"/>
  <c r="F101" i="5"/>
  <c r="E101" i="5"/>
  <c r="D101" i="5"/>
  <c r="C101" i="5"/>
  <c r="B101" i="5"/>
  <c r="Y100" i="5"/>
  <c r="M100" i="5" s="1"/>
  <c r="R100" i="5"/>
  <c r="Q100" i="5"/>
  <c r="P100" i="5"/>
  <c r="O100" i="5" s="1"/>
  <c r="N100" i="5"/>
  <c r="L100" i="5"/>
  <c r="K100" i="5"/>
  <c r="J100" i="5"/>
  <c r="I100" i="5"/>
  <c r="H100" i="5"/>
  <c r="G100" i="5"/>
  <c r="F100" i="5"/>
  <c r="E100" i="5"/>
  <c r="D100" i="5"/>
  <c r="C100" i="5"/>
  <c r="B100" i="5"/>
  <c r="Y99" i="5"/>
  <c r="M99" i="5" s="1"/>
  <c r="R99" i="5"/>
  <c r="Q99" i="5"/>
  <c r="P99" i="5"/>
  <c r="N99" i="5"/>
  <c r="L99" i="5"/>
  <c r="K99" i="5"/>
  <c r="J99" i="5"/>
  <c r="I99" i="5"/>
  <c r="T99" i="5" s="1"/>
  <c r="H99" i="5"/>
  <c r="G99" i="5"/>
  <c r="F99" i="5"/>
  <c r="E99" i="5"/>
  <c r="D99" i="5"/>
  <c r="C99" i="5"/>
  <c r="B99" i="5"/>
  <c r="Y98" i="5"/>
  <c r="M98" i="5" s="1"/>
  <c r="R98" i="5"/>
  <c r="Q98" i="5"/>
  <c r="P98" i="5"/>
  <c r="N98" i="5"/>
  <c r="L98" i="5"/>
  <c r="K98" i="5"/>
  <c r="J98" i="5"/>
  <c r="I98" i="5"/>
  <c r="H98" i="5"/>
  <c r="G98" i="5"/>
  <c r="F98" i="5"/>
  <c r="E98" i="5"/>
  <c r="D98" i="5"/>
  <c r="C98" i="5"/>
  <c r="B98" i="5"/>
  <c r="Y97" i="5"/>
  <c r="M97" i="5" s="1"/>
  <c r="R97" i="5"/>
  <c r="Q97" i="5"/>
  <c r="P97" i="5"/>
  <c r="O97" i="5" s="1"/>
  <c r="N97" i="5"/>
  <c r="L97" i="5"/>
  <c r="K97" i="5"/>
  <c r="J97" i="5"/>
  <c r="I97" i="5"/>
  <c r="H97" i="5"/>
  <c r="S97" i="5" s="1"/>
  <c r="G97" i="5"/>
  <c r="F97" i="5"/>
  <c r="E97" i="5"/>
  <c r="D97" i="5"/>
  <c r="C97" i="5"/>
  <c r="B97" i="5"/>
  <c r="Y96" i="5"/>
  <c r="M96" i="5" s="1"/>
  <c r="R96" i="5"/>
  <c r="Q96" i="5"/>
  <c r="P96" i="5"/>
  <c r="O96" i="5" s="1"/>
  <c r="N96" i="5"/>
  <c r="L96" i="5"/>
  <c r="K96" i="5"/>
  <c r="J96" i="5"/>
  <c r="I96" i="5"/>
  <c r="T96" i="5" s="1"/>
  <c r="H96" i="5"/>
  <c r="G96" i="5"/>
  <c r="F96" i="5"/>
  <c r="E96" i="5"/>
  <c r="D96" i="5"/>
  <c r="C96" i="5"/>
  <c r="B96" i="5"/>
  <c r="Y95" i="5"/>
  <c r="M95" i="5" s="1"/>
  <c r="R95" i="5"/>
  <c r="Q95" i="5"/>
  <c r="P95" i="5"/>
  <c r="O95" i="5" s="1"/>
  <c r="N95" i="5"/>
  <c r="L95" i="5"/>
  <c r="K95" i="5"/>
  <c r="J95" i="5"/>
  <c r="I95" i="5"/>
  <c r="H95" i="5"/>
  <c r="G95" i="5"/>
  <c r="F95" i="5"/>
  <c r="E95" i="5"/>
  <c r="D95" i="5"/>
  <c r="C95" i="5"/>
  <c r="B95" i="5"/>
  <c r="Y94" i="5"/>
  <c r="M94" i="5" s="1"/>
  <c r="R94" i="5"/>
  <c r="Q94" i="5"/>
  <c r="P94" i="5"/>
  <c r="O94" i="5"/>
  <c r="N94" i="5"/>
  <c r="L94" i="5"/>
  <c r="K94" i="5"/>
  <c r="J94" i="5"/>
  <c r="I94" i="5"/>
  <c r="H94" i="5"/>
  <c r="G94" i="5"/>
  <c r="F94" i="5"/>
  <c r="E94" i="5"/>
  <c r="D94" i="5"/>
  <c r="C94" i="5"/>
  <c r="B94" i="5"/>
  <c r="Y93" i="5"/>
  <c r="M93" i="5" s="1"/>
  <c r="R93" i="5"/>
  <c r="Q93" i="5"/>
  <c r="O93" i="5" s="1"/>
  <c r="P93" i="5"/>
  <c r="N93" i="5"/>
  <c r="L93" i="5"/>
  <c r="K93" i="5"/>
  <c r="J93" i="5"/>
  <c r="I93" i="5"/>
  <c r="H93" i="5"/>
  <c r="G93" i="5"/>
  <c r="F93" i="5"/>
  <c r="E93" i="5"/>
  <c r="D93" i="5"/>
  <c r="C93" i="5"/>
  <c r="B93" i="5"/>
  <c r="Y92" i="5"/>
  <c r="M92" i="5" s="1"/>
  <c r="R92" i="5"/>
  <c r="Q92" i="5"/>
  <c r="P92" i="5"/>
  <c r="O92" i="5" s="1"/>
  <c r="N92" i="5"/>
  <c r="L92" i="5"/>
  <c r="K92" i="5"/>
  <c r="J92" i="5"/>
  <c r="I92" i="5"/>
  <c r="H92" i="5"/>
  <c r="G92" i="5"/>
  <c r="F92" i="5"/>
  <c r="E92" i="5"/>
  <c r="D92" i="5"/>
  <c r="C92" i="5"/>
  <c r="B92" i="5"/>
  <c r="Y91" i="5"/>
  <c r="M91" i="5" s="1"/>
  <c r="R91" i="5"/>
  <c r="Q91" i="5"/>
  <c r="P91" i="5"/>
  <c r="O91" i="5"/>
  <c r="N91" i="5"/>
  <c r="L91" i="5"/>
  <c r="K91" i="5"/>
  <c r="J91" i="5"/>
  <c r="I91" i="5"/>
  <c r="T91" i="5" s="1"/>
  <c r="H91" i="5"/>
  <c r="G91" i="5"/>
  <c r="F91" i="5"/>
  <c r="E91" i="5"/>
  <c r="D91" i="5"/>
  <c r="C91" i="5"/>
  <c r="B91" i="5"/>
  <c r="Y90" i="5"/>
  <c r="M90" i="5" s="1"/>
  <c r="R90" i="5"/>
  <c r="Q90" i="5"/>
  <c r="P90" i="5"/>
  <c r="N90" i="5"/>
  <c r="L90" i="5"/>
  <c r="K90" i="5"/>
  <c r="J90" i="5"/>
  <c r="I90" i="5"/>
  <c r="H90" i="5"/>
  <c r="G90" i="5"/>
  <c r="F90" i="5"/>
  <c r="E90" i="5"/>
  <c r="D90" i="5"/>
  <c r="C90" i="5"/>
  <c r="B90" i="5"/>
  <c r="Y89" i="5"/>
  <c r="M89" i="5" s="1"/>
  <c r="R89" i="5"/>
  <c r="Q89" i="5"/>
  <c r="P89" i="5"/>
  <c r="O89" i="5" s="1"/>
  <c r="N89" i="5"/>
  <c r="L89" i="5"/>
  <c r="K89" i="5"/>
  <c r="J89" i="5"/>
  <c r="I89" i="5"/>
  <c r="H89" i="5"/>
  <c r="G89" i="5"/>
  <c r="F89" i="5"/>
  <c r="E89" i="5"/>
  <c r="D89" i="5"/>
  <c r="C89" i="5"/>
  <c r="B89" i="5"/>
  <c r="Y88" i="5"/>
  <c r="M88" i="5" s="1"/>
  <c r="R88" i="5"/>
  <c r="Q88" i="5"/>
  <c r="P88" i="5"/>
  <c r="O88" i="5" s="1"/>
  <c r="N88" i="5"/>
  <c r="L88" i="5"/>
  <c r="K88" i="5"/>
  <c r="J88" i="5"/>
  <c r="I88" i="5"/>
  <c r="H88" i="5"/>
  <c r="G88" i="5"/>
  <c r="F88" i="5"/>
  <c r="E88" i="5"/>
  <c r="D88" i="5"/>
  <c r="C88" i="5"/>
  <c r="B88" i="5"/>
  <c r="Y87" i="5"/>
  <c r="M87" i="5" s="1"/>
  <c r="R87" i="5"/>
  <c r="Q87" i="5"/>
  <c r="P87" i="5"/>
  <c r="N87" i="5"/>
  <c r="L87" i="5"/>
  <c r="K87" i="5"/>
  <c r="J87" i="5"/>
  <c r="I87" i="5"/>
  <c r="H87" i="5"/>
  <c r="G87" i="5"/>
  <c r="F87" i="5"/>
  <c r="E87" i="5"/>
  <c r="D87" i="5"/>
  <c r="C87" i="5"/>
  <c r="B87" i="5"/>
  <c r="Y86" i="5"/>
  <c r="M86" i="5" s="1"/>
  <c r="R86" i="5"/>
  <c r="Q86" i="5"/>
  <c r="P86" i="5"/>
  <c r="O86" i="5"/>
  <c r="N86" i="5"/>
  <c r="L86" i="5"/>
  <c r="K86" i="5"/>
  <c r="J86" i="5"/>
  <c r="I86" i="5"/>
  <c r="H86" i="5"/>
  <c r="G86" i="5"/>
  <c r="F86" i="5"/>
  <c r="E86" i="5"/>
  <c r="D86" i="5"/>
  <c r="C86" i="5"/>
  <c r="B86" i="5"/>
  <c r="Y85" i="5"/>
  <c r="M85" i="5" s="1"/>
  <c r="R85" i="5"/>
  <c r="Q85" i="5"/>
  <c r="P85" i="5"/>
  <c r="O85" i="5"/>
  <c r="N85" i="5"/>
  <c r="L85" i="5"/>
  <c r="K85" i="5"/>
  <c r="J85" i="5"/>
  <c r="I85" i="5"/>
  <c r="H85" i="5"/>
  <c r="G85" i="5"/>
  <c r="F85" i="5"/>
  <c r="E85" i="5"/>
  <c r="D85" i="5"/>
  <c r="C85" i="5"/>
  <c r="B85" i="5"/>
  <c r="Y84" i="5"/>
  <c r="M84" i="5" s="1"/>
  <c r="R84" i="5"/>
  <c r="Q84" i="5"/>
  <c r="P84" i="5"/>
  <c r="O84" i="5" s="1"/>
  <c r="N84" i="5"/>
  <c r="L84" i="5"/>
  <c r="K84" i="5"/>
  <c r="J84" i="5"/>
  <c r="I84" i="5"/>
  <c r="H84" i="5"/>
  <c r="G84" i="5"/>
  <c r="F84" i="5"/>
  <c r="E84" i="5"/>
  <c r="D84" i="5"/>
  <c r="C84" i="5"/>
  <c r="B84" i="5"/>
  <c r="Y83" i="5"/>
  <c r="M83" i="5" s="1"/>
  <c r="R83" i="5"/>
  <c r="Q83" i="5"/>
  <c r="P83" i="5"/>
  <c r="N83" i="5"/>
  <c r="L83" i="5"/>
  <c r="K83" i="5"/>
  <c r="J83" i="5"/>
  <c r="I83" i="5"/>
  <c r="H83" i="5"/>
  <c r="G83" i="5"/>
  <c r="F83" i="5"/>
  <c r="E83" i="5"/>
  <c r="D83" i="5"/>
  <c r="C83" i="5"/>
  <c r="B83" i="5"/>
  <c r="Y82" i="5"/>
  <c r="M82" i="5" s="1"/>
  <c r="R82" i="5"/>
  <c r="Q82" i="5"/>
  <c r="P82" i="5"/>
  <c r="O82" i="5"/>
  <c r="N82" i="5"/>
  <c r="L82" i="5"/>
  <c r="K82" i="5"/>
  <c r="J82" i="5"/>
  <c r="I82" i="5"/>
  <c r="H82" i="5"/>
  <c r="G82" i="5"/>
  <c r="F82" i="5"/>
  <c r="E82" i="5"/>
  <c r="D82" i="5"/>
  <c r="C82" i="5"/>
  <c r="B82" i="5"/>
  <c r="Y81" i="5"/>
  <c r="M81" i="5" s="1"/>
  <c r="R81" i="5"/>
  <c r="Q81" i="5"/>
  <c r="P81" i="5"/>
  <c r="O81" i="5" s="1"/>
  <c r="N81" i="5"/>
  <c r="L81" i="5"/>
  <c r="K81" i="5"/>
  <c r="J81" i="5"/>
  <c r="I81" i="5"/>
  <c r="T81" i="5" s="1"/>
  <c r="W81" i="5" s="1"/>
  <c r="H81" i="5"/>
  <c r="G81" i="5"/>
  <c r="F81" i="5"/>
  <c r="E81" i="5"/>
  <c r="D81" i="5"/>
  <c r="C81" i="5"/>
  <c r="B81" i="5"/>
  <c r="Y80" i="5"/>
  <c r="M80" i="5" s="1"/>
  <c r="R80" i="5"/>
  <c r="Q80" i="5"/>
  <c r="P80" i="5"/>
  <c r="O80" i="5" s="1"/>
  <c r="N80" i="5"/>
  <c r="L80" i="5"/>
  <c r="K80" i="5"/>
  <c r="J80" i="5"/>
  <c r="I80" i="5"/>
  <c r="H80" i="5"/>
  <c r="G80" i="5"/>
  <c r="F80" i="5"/>
  <c r="E80" i="5"/>
  <c r="D80" i="5"/>
  <c r="C80" i="5"/>
  <c r="B80" i="5"/>
  <c r="Y79" i="5"/>
  <c r="M79" i="5" s="1"/>
  <c r="R79" i="5"/>
  <c r="Q79" i="5"/>
  <c r="P79" i="5"/>
  <c r="N79" i="5"/>
  <c r="L79" i="5"/>
  <c r="K79" i="5"/>
  <c r="J79" i="5"/>
  <c r="I79" i="5"/>
  <c r="H79" i="5"/>
  <c r="G79" i="5"/>
  <c r="F79" i="5"/>
  <c r="E79" i="5"/>
  <c r="D79" i="5"/>
  <c r="C79" i="5"/>
  <c r="B79" i="5"/>
  <c r="Y78" i="5"/>
  <c r="M78" i="5" s="1"/>
  <c r="R78" i="5"/>
  <c r="Q78" i="5"/>
  <c r="P78" i="5"/>
  <c r="O78" i="5" s="1"/>
  <c r="N78" i="5"/>
  <c r="L78" i="5"/>
  <c r="K78" i="5"/>
  <c r="J78" i="5"/>
  <c r="I78" i="5"/>
  <c r="H78" i="5"/>
  <c r="G78" i="5"/>
  <c r="F78" i="5"/>
  <c r="E78" i="5"/>
  <c r="D78" i="5"/>
  <c r="C78" i="5"/>
  <c r="B78" i="5"/>
  <c r="Y77" i="5"/>
  <c r="M77" i="5" s="1"/>
  <c r="R77" i="5"/>
  <c r="Q77" i="5"/>
  <c r="P77" i="5"/>
  <c r="O77" i="5" s="1"/>
  <c r="N77" i="5"/>
  <c r="L77" i="5"/>
  <c r="K77" i="5"/>
  <c r="J77" i="5"/>
  <c r="I77" i="5"/>
  <c r="H77" i="5"/>
  <c r="G77" i="5"/>
  <c r="F77" i="5"/>
  <c r="E77" i="5"/>
  <c r="D77" i="5"/>
  <c r="C77" i="5"/>
  <c r="B77" i="5"/>
  <c r="Y76" i="5"/>
  <c r="M76" i="5" s="1"/>
  <c r="R76" i="5"/>
  <c r="Q76" i="5"/>
  <c r="P76" i="5"/>
  <c r="N76" i="5"/>
  <c r="L76" i="5"/>
  <c r="K76" i="5"/>
  <c r="J76" i="5"/>
  <c r="I76" i="5"/>
  <c r="H76" i="5"/>
  <c r="G76" i="5"/>
  <c r="F76" i="5"/>
  <c r="E76" i="5"/>
  <c r="D76" i="5"/>
  <c r="C76" i="5"/>
  <c r="B76" i="5"/>
  <c r="Y75" i="5"/>
  <c r="M75" i="5" s="1"/>
  <c r="R75" i="5"/>
  <c r="Q75" i="5"/>
  <c r="P75" i="5"/>
  <c r="O75" i="5" s="1"/>
  <c r="N75" i="5"/>
  <c r="L75" i="5"/>
  <c r="K75" i="5"/>
  <c r="J75" i="5"/>
  <c r="I75" i="5"/>
  <c r="H75" i="5"/>
  <c r="G75" i="5"/>
  <c r="F75" i="5"/>
  <c r="E75" i="5"/>
  <c r="D75" i="5"/>
  <c r="C75" i="5"/>
  <c r="B75" i="5"/>
  <c r="Y74" i="5"/>
  <c r="M74" i="5" s="1"/>
  <c r="R74" i="5"/>
  <c r="Q74" i="5"/>
  <c r="P74" i="5"/>
  <c r="O74" i="5" s="1"/>
  <c r="N74" i="5"/>
  <c r="L74" i="5"/>
  <c r="K74" i="5"/>
  <c r="J74" i="5"/>
  <c r="I74" i="5"/>
  <c r="H74" i="5"/>
  <c r="G74" i="5"/>
  <c r="F74" i="5"/>
  <c r="E74" i="5"/>
  <c r="D74" i="5"/>
  <c r="C74" i="5"/>
  <c r="B74" i="5"/>
  <c r="Y73" i="5"/>
  <c r="M73" i="5" s="1"/>
  <c r="R73" i="5"/>
  <c r="Q73" i="5"/>
  <c r="O73" i="5" s="1"/>
  <c r="P73" i="5"/>
  <c r="N73" i="5"/>
  <c r="L73" i="5"/>
  <c r="K73" i="5"/>
  <c r="J73" i="5"/>
  <c r="I73" i="5"/>
  <c r="H73" i="5"/>
  <c r="G73" i="5"/>
  <c r="F73" i="5"/>
  <c r="E73" i="5"/>
  <c r="D73" i="5"/>
  <c r="C73" i="5"/>
  <c r="B73" i="5"/>
  <c r="Y72" i="5"/>
  <c r="M72" i="5" s="1"/>
  <c r="R72" i="5"/>
  <c r="Q72" i="5"/>
  <c r="P72" i="5"/>
  <c r="O72" i="5"/>
  <c r="N72" i="5"/>
  <c r="L72" i="5"/>
  <c r="K72" i="5"/>
  <c r="J72" i="5"/>
  <c r="I72" i="5"/>
  <c r="T72" i="5" s="1"/>
  <c r="H72" i="5"/>
  <c r="G72" i="5"/>
  <c r="F72" i="5"/>
  <c r="E72" i="5"/>
  <c r="D72" i="5"/>
  <c r="C72" i="5"/>
  <c r="B72" i="5"/>
  <c r="Y71" i="5"/>
  <c r="M71" i="5" s="1"/>
  <c r="R71" i="5"/>
  <c r="Q71" i="5"/>
  <c r="O71" i="5" s="1"/>
  <c r="P71" i="5"/>
  <c r="N71" i="5"/>
  <c r="L71" i="5"/>
  <c r="K71" i="5"/>
  <c r="J71" i="5"/>
  <c r="I71" i="5"/>
  <c r="H71" i="5"/>
  <c r="G71" i="5"/>
  <c r="F71" i="5"/>
  <c r="E71" i="5"/>
  <c r="D71" i="5"/>
  <c r="C71" i="5"/>
  <c r="B71" i="5"/>
  <c r="Y70" i="5"/>
  <c r="M70" i="5" s="1"/>
  <c r="R70" i="5"/>
  <c r="Q70" i="5"/>
  <c r="P70" i="5"/>
  <c r="N70" i="5"/>
  <c r="L70" i="5"/>
  <c r="K70" i="5"/>
  <c r="J70" i="5"/>
  <c r="I70" i="5"/>
  <c r="H70" i="5"/>
  <c r="G70" i="5"/>
  <c r="F70" i="5"/>
  <c r="E70" i="5"/>
  <c r="D70" i="5"/>
  <c r="C70" i="5"/>
  <c r="B70" i="5"/>
  <c r="Y69" i="5"/>
  <c r="M69" i="5" s="1"/>
  <c r="R69" i="5"/>
  <c r="Q69" i="5"/>
  <c r="P69" i="5"/>
  <c r="O69" i="5" s="1"/>
  <c r="N69" i="5"/>
  <c r="L69" i="5"/>
  <c r="K69" i="5"/>
  <c r="J69" i="5"/>
  <c r="I69" i="5"/>
  <c r="H69" i="5"/>
  <c r="G69" i="5"/>
  <c r="F69" i="5"/>
  <c r="E69" i="5"/>
  <c r="D69" i="5"/>
  <c r="C69" i="5"/>
  <c r="B69" i="5"/>
  <c r="Y68" i="5"/>
  <c r="M68" i="5" s="1"/>
  <c r="R68" i="5"/>
  <c r="Q68" i="5"/>
  <c r="P68" i="5"/>
  <c r="O68" i="5" s="1"/>
  <c r="N68" i="5"/>
  <c r="L68" i="5"/>
  <c r="K68" i="5"/>
  <c r="J68" i="5"/>
  <c r="I68" i="5"/>
  <c r="H68" i="5"/>
  <c r="G68" i="5"/>
  <c r="F68" i="5"/>
  <c r="E68" i="5"/>
  <c r="D68" i="5"/>
  <c r="C68" i="5"/>
  <c r="B68" i="5"/>
  <c r="Y67" i="5"/>
  <c r="M67" i="5" s="1"/>
  <c r="R67" i="5"/>
  <c r="Q67" i="5"/>
  <c r="O67" i="5" s="1"/>
  <c r="P67" i="5"/>
  <c r="N67" i="5"/>
  <c r="L67" i="5"/>
  <c r="K67" i="5"/>
  <c r="J67" i="5"/>
  <c r="I67" i="5"/>
  <c r="H67" i="5"/>
  <c r="G67" i="5"/>
  <c r="F67" i="5"/>
  <c r="E67" i="5"/>
  <c r="D67" i="5"/>
  <c r="C67" i="5"/>
  <c r="B67" i="5"/>
  <c r="Y66" i="5"/>
  <c r="M66" i="5" s="1"/>
  <c r="R66" i="5"/>
  <c r="Q66" i="5"/>
  <c r="P66" i="5"/>
  <c r="O66" i="5"/>
  <c r="N66" i="5"/>
  <c r="L66" i="5"/>
  <c r="K66" i="5"/>
  <c r="J66" i="5"/>
  <c r="I66" i="5"/>
  <c r="H66" i="5"/>
  <c r="G66" i="5"/>
  <c r="F66" i="5"/>
  <c r="E66" i="5"/>
  <c r="D66" i="5"/>
  <c r="C66" i="5"/>
  <c r="B66" i="5"/>
  <c r="Y65" i="5"/>
  <c r="M65" i="5" s="1"/>
  <c r="R65" i="5"/>
  <c r="Q65" i="5"/>
  <c r="P65" i="5"/>
  <c r="O65" i="5" s="1"/>
  <c r="N65" i="5"/>
  <c r="L65" i="5"/>
  <c r="K65" i="5"/>
  <c r="J65" i="5"/>
  <c r="I65" i="5"/>
  <c r="H65" i="5"/>
  <c r="G65" i="5"/>
  <c r="F65" i="5"/>
  <c r="E65" i="5"/>
  <c r="D65" i="5"/>
  <c r="C65" i="5"/>
  <c r="B65" i="5"/>
  <c r="Y64" i="5"/>
  <c r="M64" i="5" s="1"/>
  <c r="R64" i="5"/>
  <c r="Q64" i="5"/>
  <c r="P64" i="5"/>
  <c r="O64" i="5" s="1"/>
  <c r="N64" i="5"/>
  <c r="L64" i="5"/>
  <c r="K64" i="5"/>
  <c r="J64" i="5"/>
  <c r="I64" i="5"/>
  <c r="H64" i="5"/>
  <c r="G64" i="5"/>
  <c r="F64" i="5"/>
  <c r="E64" i="5"/>
  <c r="D64" i="5"/>
  <c r="C64" i="5"/>
  <c r="B64" i="5"/>
  <c r="Y63" i="5"/>
  <c r="M63" i="5" s="1"/>
  <c r="R63" i="5"/>
  <c r="Q63" i="5"/>
  <c r="P63" i="5"/>
  <c r="N63" i="5"/>
  <c r="L63" i="5"/>
  <c r="K63" i="5"/>
  <c r="J63" i="5"/>
  <c r="I63" i="5"/>
  <c r="H63" i="5"/>
  <c r="G63" i="5"/>
  <c r="F63" i="5"/>
  <c r="E63" i="5"/>
  <c r="D63" i="5"/>
  <c r="C63" i="5"/>
  <c r="B63" i="5"/>
  <c r="Y62" i="5"/>
  <c r="M62" i="5" s="1"/>
  <c r="R62" i="5"/>
  <c r="Q62" i="5"/>
  <c r="O62" i="5" s="1"/>
  <c r="P62" i="5"/>
  <c r="N62" i="5"/>
  <c r="L62" i="5"/>
  <c r="K62" i="5"/>
  <c r="J62" i="5"/>
  <c r="I62" i="5"/>
  <c r="H62" i="5"/>
  <c r="G62" i="5"/>
  <c r="F62" i="5"/>
  <c r="E62" i="5"/>
  <c r="D62" i="5"/>
  <c r="C62" i="5"/>
  <c r="B62" i="5"/>
  <c r="Y61" i="5"/>
  <c r="M61" i="5" s="1"/>
  <c r="R61" i="5"/>
  <c r="Q61" i="5"/>
  <c r="P61" i="5"/>
  <c r="O61" i="5" s="1"/>
  <c r="N61" i="5"/>
  <c r="L61" i="5"/>
  <c r="K61" i="5"/>
  <c r="J61" i="5"/>
  <c r="I61" i="5"/>
  <c r="H61" i="5"/>
  <c r="G61" i="5"/>
  <c r="F61" i="5"/>
  <c r="E61" i="5"/>
  <c r="D61" i="5"/>
  <c r="C61" i="5"/>
  <c r="B61" i="5"/>
  <c r="Y60" i="5"/>
  <c r="M60" i="5" s="1"/>
  <c r="R60" i="5"/>
  <c r="Q60" i="5"/>
  <c r="P60" i="5"/>
  <c r="O60" i="5" s="1"/>
  <c r="N60" i="5"/>
  <c r="L60" i="5"/>
  <c r="K60" i="5"/>
  <c r="J60" i="5"/>
  <c r="I60" i="5"/>
  <c r="H60" i="5"/>
  <c r="G60" i="5"/>
  <c r="F60" i="5"/>
  <c r="E60" i="5"/>
  <c r="D60" i="5"/>
  <c r="C60" i="5"/>
  <c r="B60" i="5"/>
  <c r="Y59" i="5"/>
  <c r="M59" i="5" s="1"/>
  <c r="R59" i="5"/>
  <c r="Q59" i="5"/>
  <c r="P59" i="5"/>
  <c r="N59" i="5"/>
  <c r="L59" i="5"/>
  <c r="K59" i="5"/>
  <c r="J59" i="5"/>
  <c r="I59" i="5"/>
  <c r="H59" i="5"/>
  <c r="G59" i="5"/>
  <c r="F59" i="5"/>
  <c r="E59" i="5"/>
  <c r="D59" i="5"/>
  <c r="C59" i="5"/>
  <c r="B59" i="5"/>
  <c r="Y58" i="5"/>
  <c r="M58" i="5" s="1"/>
  <c r="R58" i="5"/>
  <c r="Q58" i="5"/>
  <c r="P58" i="5"/>
  <c r="O58" i="5" s="1"/>
  <c r="N58" i="5"/>
  <c r="L58" i="5"/>
  <c r="K58" i="5"/>
  <c r="J58" i="5"/>
  <c r="I58" i="5"/>
  <c r="H58" i="5"/>
  <c r="G58" i="5"/>
  <c r="F58" i="5"/>
  <c r="E58" i="5"/>
  <c r="D58" i="5"/>
  <c r="C58" i="5"/>
  <c r="B58" i="5"/>
  <c r="Y57" i="5"/>
  <c r="M57" i="5" s="1"/>
  <c r="R57" i="5"/>
  <c r="Q57" i="5"/>
  <c r="P57" i="5"/>
  <c r="O57" i="5" s="1"/>
  <c r="N57" i="5"/>
  <c r="L57" i="5"/>
  <c r="K57" i="5"/>
  <c r="J57" i="5"/>
  <c r="I57" i="5"/>
  <c r="T57" i="5" s="1"/>
  <c r="H57" i="5"/>
  <c r="G57" i="5"/>
  <c r="F57" i="5"/>
  <c r="E57" i="5"/>
  <c r="D57" i="5"/>
  <c r="C57" i="5"/>
  <c r="B57" i="5"/>
  <c r="Y56" i="5"/>
  <c r="M56" i="5" s="1"/>
  <c r="R56" i="5"/>
  <c r="Q56" i="5"/>
  <c r="P56" i="5"/>
  <c r="N56" i="5"/>
  <c r="L56" i="5"/>
  <c r="K56" i="5"/>
  <c r="J56" i="5"/>
  <c r="I56" i="5"/>
  <c r="H56" i="5"/>
  <c r="G56" i="5"/>
  <c r="F56" i="5"/>
  <c r="E56" i="5"/>
  <c r="D56" i="5"/>
  <c r="C56" i="5"/>
  <c r="B56" i="5"/>
  <c r="Y55" i="5"/>
  <c r="M55" i="5" s="1"/>
  <c r="R55" i="5"/>
  <c r="Q55" i="5"/>
  <c r="P55" i="5"/>
  <c r="O55" i="5" s="1"/>
  <c r="N55" i="5"/>
  <c r="L55" i="5"/>
  <c r="K55" i="5"/>
  <c r="J55" i="5"/>
  <c r="I55" i="5"/>
  <c r="H55" i="5"/>
  <c r="G55" i="5"/>
  <c r="F55" i="5"/>
  <c r="E55" i="5"/>
  <c r="D55" i="5"/>
  <c r="C55" i="5"/>
  <c r="B55" i="5"/>
  <c r="Y54" i="5"/>
  <c r="M54" i="5" s="1"/>
  <c r="R54" i="5"/>
  <c r="Q54" i="5"/>
  <c r="P54" i="5"/>
  <c r="O54" i="5"/>
  <c r="N54" i="5"/>
  <c r="L54" i="5"/>
  <c r="K54" i="5"/>
  <c r="J54" i="5"/>
  <c r="I54" i="5"/>
  <c r="T54" i="5" s="1"/>
  <c r="H54" i="5"/>
  <c r="G54" i="5"/>
  <c r="F54" i="5"/>
  <c r="E54" i="5"/>
  <c r="D54" i="5"/>
  <c r="C54" i="5"/>
  <c r="B54" i="5"/>
  <c r="Y53" i="5"/>
  <c r="M53" i="5" s="1"/>
  <c r="R53" i="5"/>
  <c r="Q53" i="5"/>
  <c r="O53" i="5" s="1"/>
  <c r="P53" i="5"/>
  <c r="N53" i="5"/>
  <c r="L53" i="5"/>
  <c r="K53" i="5"/>
  <c r="J53" i="5"/>
  <c r="I53" i="5"/>
  <c r="H53" i="5"/>
  <c r="G53" i="5"/>
  <c r="F53" i="5"/>
  <c r="E53" i="5"/>
  <c r="D53" i="5"/>
  <c r="C53" i="5"/>
  <c r="B53" i="5"/>
  <c r="Y52" i="5"/>
  <c r="M52" i="5" s="1"/>
  <c r="R52" i="5"/>
  <c r="Q52" i="5"/>
  <c r="P52" i="5"/>
  <c r="N52" i="5"/>
  <c r="L52" i="5"/>
  <c r="K52" i="5"/>
  <c r="J52" i="5"/>
  <c r="I52" i="5"/>
  <c r="H52" i="5"/>
  <c r="G52" i="5"/>
  <c r="F52" i="5"/>
  <c r="E52" i="5"/>
  <c r="D52" i="5"/>
  <c r="C52" i="5"/>
  <c r="B52" i="5"/>
  <c r="Y51" i="5"/>
  <c r="M51" i="5" s="1"/>
  <c r="R51" i="5"/>
  <c r="Q51" i="5"/>
  <c r="P51" i="5"/>
  <c r="O51" i="5" s="1"/>
  <c r="N51" i="5"/>
  <c r="L51" i="5"/>
  <c r="K51" i="5"/>
  <c r="J51" i="5"/>
  <c r="I51" i="5"/>
  <c r="H51" i="5"/>
  <c r="G51" i="5"/>
  <c r="F51" i="5"/>
  <c r="E51" i="5"/>
  <c r="D51" i="5"/>
  <c r="C51" i="5"/>
  <c r="B51" i="5"/>
  <c r="Y50" i="5"/>
  <c r="M50" i="5" s="1"/>
  <c r="R50" i="5"/>
  <c r="Q50" i="5"/>
  <c r="P50" i="5"/>
  <c r="O50" i="5" s="1"/>
  <c r="N50" i="5"/>
  <c r="L50" i="5"/>
  <c r="K50" i="5"/>
  <c r="J50" i="5"/>
  <c r="I50" i="5"/>
  <c r="H50" i="5"/>
  <c r="G50" i="5"/>
  <c r="F50" i="5"/>
  <c r="E50" i="5"/>
  <c r="D50" i="5"/>
  <c r="C50" i="5"/>
  <c r="B50" i="5"/>
  <c r="Y49" i="5"/>
  <c r="M49" i="5" s="1"/>
  <c r="R49" i="5"/>
  <c r="Q49" i="5"/>
  <c r="P49" i="5"/>
  <c r="N49" i="5"/>
  <c r="L49" i="5"/>
  <c r="K49" i="5"/>
  <c r="J49" i="5"/>
  <c r="I49" i="5"/>
  <c r="H49" i="5"/>
  <c r="G49" i="5"/>
  <c r="F49" i="5"/>
  <c r="E49" i="5"/>
  <c r="D49" i="5"/>
  <c r="C49" i="5"/>
  <c r="B49" i="5"/>
  <c r="Y48" i="5"/>
  <c r="M48" i="5" s="1"/>
  <c r="R48" i="5"/>
  <c r="Q48" i="5"/>
  <c r="P48" i="5"/>
  <c r="O48" i="5" s="1"/>
  <c r="N48" i="5"/>
  <c r="L48" i="5"/>
  <c r="K48" i="5"/>
  <c r="J48" i="5"/>
  <c r="I48" i="5"/>
  <c r="H48" i="5"/>
  <c r="G48" i="5"/>
  <c r="F48" i="5"/>
  <c r="E48" i="5"/>
  <c r="D48" i="5"/>
  <c r="C48" i="5"/>
  <c r="B48" i="5"/>
  <c r="Y47" i="5"/>
  <c r="M47" i="5" s="1"/>
  <c r="R47" i="5"/>
  <c r="Q47" i="5"/>
  <c r="P47" i="5"/>
  <c r="O47" i="5"/>
  <c r="N47" i="5"/>
  <c r="L47" i="5"/>
  <c r="K47" i="5"/>
  <c r="J47" i="5"/>
  <c r="I47" i="5"/>
  <c r="H47" i="5"/>
  <c r="G47" i="5"/>
  <c r="F47" i="5"/>
  <c r="E47" i="5"/>
  <c r="D47" i="5"/>
  <c r="C47" i="5"/>
  <c r="B47" i="5"/>
  <c r="Y46" i="5"/>
  <c r="M46" i="5" s="1"/>
  <c r="R46" i="5"/>
  <c r="Q46" i="5"/>
  <c r="P46" i="5"/>
  <c r="O46" i="5" s="1"/>
  <c r="N46" i="5"/>
  <c r="L46" i="5"/>
  <c r="K46" i="5"/>
  <c r="J46" i="5"/>
  <c r="I46" i="5"/>
  <c r="H46" i="5"/>
  <c r="G46" i="5"/>
  <c r="F46" i="5"/>
  <c r="E46" i="5"/>
  <c r="D46" i="5"/>
  <c r="C46" i="5"/>
  <c r="B46" i="5"/>
  <c r="Y45" i="5"/>
  <c r="M45" i="5" s="1"/>
  <c r="R45" i="5"/>
  <c r="Q45" i="5"/>
  <c r="P45" i="5"/>
  <c r="O45" i="5" s="1"/>
  <c r="N45" i="5"/>
  <c r="L45" i="5"/>
  <c r="K45" i="5"/>
  <c r="J45" i="5"/>
  <c r="I45" i="5"/>
  <c r="H45" i="5"/>
  <c r="G45" i="5"/>
  <c r="F45" i="5"/>
  <c r="E45" i="5"/>
  <c r="D45" i="5"/>
  <c r="C45" i="5"/>
  <c r="B45" i="5"/>
  <c r="Y44" i="5"/>
  <c r="M44" i="5" s="1"/>
  <c r="R44" i="5"/>
  <c r="Q44" i="5"/>
  <c r="P44" i="5"/>
  <c r="O44" i="5"/>
  <c r="N44" i="5"/>
  <c r="L44" i="5"/>
  <c r="K44" i="5"/>
  <c r="J44" i="5"/>
  <c r="I44" i="5"/>
  <c r="H44" i="5"/>
  <c r="G44" i="5"/>
  <c r="F44" i="5"/>
  <c r="E44" i="5"/>
  <c r="D44" i="5"/>
  <c r="C44" i="5"/>
  <c r="B44" i="5"/>
  <c r="Y43" i="5"/>
  <c r="M43" i="5" s="1"/>
  <c r="R43" i="5"/>
  <c r="Q43" i="5"/>
  <c r="O43" i="5" s="1"/>
  <c r="P43" i="5"/>
  <c r="N43" i="5"/>
  <c r="L43" i="5"/>
  <c r="K43" i="5"/>
  <c r="J43" i="5"/>
  <c r="I43" i="5"/>
  <c r="H43" i="5"/>
  <c r="G43" i="5"/>
  <c r="F43" i="5"/>
  <c r="E43" i="5"/>
  <c r="D43" i="5"/>
  <c r="C43" i="5"/>
  <c r="B43" i="5"/>
  <c r="Y42" i="5"/>
  <c r="M42" i="5" s="1"/>
  <c r="R42" i="5"/>
  <c r="Q42" i="5"/>
  <c r="P42" i="5"/>
  <c r="N42" i="5"/>
  <c r="L42" i="5"/>
  <c r="K42" i="5"/>
  <c r="J42" i="5"/>
  <c r="I42" i="5"/>
  <c r="H42" i="5"/>
  <c r="G42" i="5"/>
  <c r="F42" i="5"/>
  <c r="E42" i="5"/>
  <c r="D42" i="5"/>
  <c r="C42" i="5"/>
  <c r="B42" i="5"/>
  <c r="Y41" i="5"/>
  <c r="M41" i="5" s="1"/>
  <c r="R41" i="5"/>
  <c r="Q41" i="5"/>
  <c r="P41" i="5"/>
  <c r="O41" i="5"/>
  <c r="N41" i="5"/>
  <c r="L41" i="5"/>
  <c r="K41" i="5"/>
  <c r="J41" i="5"/>
  <c r="I41" i="5"/>
  <c r="H41" i="5"/>
  <c r="G41" i="5"/>
  <c r="F41" i="5"/>
  <c r="E41" i="5"/>
  <c r="D41" i="5"/>
  <c r="C41" i="5"/>
  <c r="B41" i="5"/>
  <c r="Y40" i="5"/>
  <c r="M40" i="5" s="1"/>
  <c r="R40" i="5"/>
  <c r="Q40" i="5"/>
  <c r="P40" i="5"/>
  <c r="N40" i="5"/>
  <c r="L40" i="5"/>
  <c r="K40" i="5"/>
  <c r="J40" i="5"/>
  <c r="I40" i="5"/>
  <c r="H40" i="5"/>
  <c r="G40" i="5"/>
  <c r="F40" i="5"/>
  <c r="E40" i="5"/>
  <c r="D40" i="5"/>
  <c r="C40" i="5"/>
  <c r="B40" i="5"/>
  <c r="Y39" i="5"/>
  <c r="M39" i="5" s="1"/>
  <c r="R39" i="5"/>
  <c r="Q39" i="5"/>
  <c r="P39" i="5"/>
  <c r="N39" i="5"/>
  <c r="L39" i="5"/>
  <c r="K39" i="5"/>
  <c r="J39" i="5"/>
  <c r="I39" i="5"/>
  <c r="H39" i="5"/>
  <c r="G39" i="5"/>
  <c r="F39" i="5"/>
  <c r="E39" i="5"/>
  <c r="D39" i="5"/>
  <c r="C39" i="5"/>
  <c r="B39" i="5"/>
  <c r="Y38" i="5"/>
  <c r="M38" i="5" s="1"/>
  <c r="R38" i="5"/>
  <c r="Q38" i="5"/>
  <c r="P38" i="5"/>
  <c r="O38" i="5" s="1"/>
  <c r="N38" i="5"/>
  <c r="L38" i="5"/>
  <c r="K38" i="5"/>
  <c r="J38" i="5"/>
  <c r="I38" i="5"/>
  <c r="H38" i="5"/>
  <c r="G38" i="5"/>
  <c r="F38" i="5"/>
  <c r="E38" i="5"/>
  <c r="D38" i="5"/>
  <c r="C38" i="5"/>
  <c r="B38" i="5"/>
  <c r="Y37" i="5"/>
  <c r="M37" i="5" s="1"/>
  <c r="R37" i="5"/>
  <c r="Q37" i="5"/>
  <c r="O37" i="5" s="1"/>
  <c r="P37" i="5"/>
  <c r="N37" i="5"/>
  <c r="L37" i="5"/>
  <c r="K37" i="5"/>
  <c r="J37" i="5"/>
  <c r="I37" i="5"/>
  <c r="H37" i="5"/>
  <c r="G37" i="5"/>
  <c r="F37" i="5"/>
  <c r="E37" i="5"/>
  <c r="D37" i="5"/>
  <c r="C37" i="5"/>
  <c r="B37" i="5"/>
  <c r="Y36" i="5"/>
  <c r="M36" i="5" s="1"/>
  <c r="R36" i="5"/>
  <c r="Q36" i="5"/>
  <c r="P36" i="5"/>
  <c r="N36" i="5"/>
  <c r="L36" i="5"/>
  <c r="K36" i="5"/>
  <c r="J36" i="5"/>
  <c r="I36" i="5"/>
  <c r="H36" i="5"/>
  <c r="G36" i="5"/>
  <c r="F36" i="5"/>
  <c r="E36" i="5"/>
  <c r="D36" i="5"/>
  <c r="C36" i="5"/>
  <c r="B36" i="5"/>
  <c r="Y35" i="5"/>
  <c r="M35" i="5" s="1"/>
  <c r="R35" i="5"/>
  <c r="Q35" i="5"/>
  <c r="P35" i="5"/>
  <c r="O35" i="5" s="1"/>
  <c r="N35" i="5"/>
  <c r="L35" i="5"/>
  <c r="K35" i="5"/>
  <c r="J35" i="5"/>
  <c r="I35" i="5"/>
  <c r="H35" i="5"/>
  <c r="G35" i="5"/>
  <c r="F35" i="5"/>
  <c r="E35" i="5"/>
  <c r="D35" i="5"/>
  <c r="C35" i="5"/>
  <c r="B35" i="5"/>
  <c r="Y34" i="5"/>
  <c r="M34" i="5" s="1"/>
  <c r="R34" i="5"/>
  <c r="Q34" i="5"/>
  <c r="O34" i="5" s="1"/>
  <c r="P34" i="5"/>
  <c r="N34" i="5"/>
  <c r="L34" i="5"/>
  <c r="K34" i="5"/>
  <c r="J34" i="5"/>
  <c r="I34" i="5"/>
  <c r="H34" i="5"/>
  <c r="G34" i="5"/>
  <c r="F34" i="5"/>
  <c r="E34" i="5"/>
  <c r="D34" i="5"/>
  <c r="C34" i="5"/>
  <c r="B34" i="5"/>
  <c r="Y33" i="5"/>
  <c r="M33" i="5" s="1"/>
  <c r="R33" i="5"/>
  <c r="Q33" i="5"/>
  <c r="O33" i="5" s="1"/>
  <c r="P33" i="5"/>
  <c r="N33" i="5"/>
  <c r="L33" i="5"/>
  <c r="K33" i="5"/>
  <c r="J33" i="5"/>
  <c r="I33" i="5"/>
  <c r="H33" i="5"/>
  <c r="G33" i="5"/>
  <c r="F33" i="5"/>
  <c r="E33" i="5"/>
  <c r="D33" i="5"/>
  <c r="C33" i="5"/>
  <c r="B33" i="5"/>
  <c r="Y32" i="5"/>
  <c r="M32" i="5" s="1"/>
  <c r="R32" i="5"/>
  <c r="Q32" i="5"/>
  <c r="P32" i="5"/>
  <c r="N32" i="5"/>
  <c r="L32" i="5"/>
  <c r="K32" i="5"/>
  <c r="J32" i="5"/>
  <c r="I32" i="5"/>
  <c r="H32" i="5"/>
  <c r="G32" i="5"/>
  <c r="F32" i="5"/>
  <c r="E32" i="5"/>
  <c r="D32" i="5"/>
  <c r="C32" i="5"/>
  <c r="B32" i="5"/>
  <c r="Y31" i="5"/>
  <c r="M31" i="5" s="1"/>
  <c r="R31" i="5"/>
  <c r="Q31" i="5"/>
  <c r="P31" i="5"/>
  <c r="O31" i="5" s="1"/>
  <c r="N31" i="5"/>
  <c r="L31" i="5"/>
  <c r="K31" i="5"/>
  <c r="J31" i="5"/>
  <c r="I31" i="5"/>
  <c r="T31" i="5" s="1"/>
  <c r="W31" i="5" s="1"/>
  <c r="H31" i="5"/>
  <c r="G31" i="5"/>
  <c r="F31" i="5"/>
  <c r="E31" i="5"/>
  <c r="D31" i="5"/>
  <c r="C31" i="5"/>
  <c r="B31" i="5"/>
  <c r="Y30" i="5"/>
  <c r="M30" i="5" s="1"/>
  <c r="R30" i="5"/>
  <c r="Q30" i="5"/>
  <c r="P30" i="5"/>
  <c r="O30" i="5" s="1"/>
  <c r="N30" i="5"/>
  <c r="L30" i="5"/>
  <c r="K30" i="5"/>
  <c r="J30" i="5"/>
  <c r="I30" i="5"/>
  <c r="H30" i="5"/>
  <c r="G30" i="5"/>
  <c r="F30" i="5"/>
  <c r="E30" i="5"/>
  <c r="D30" i="5"/>
  <c r="C30" i="5"/>
  <c r="B30" i="5"/>
  <c r="Y29" i="5"/>
  <c r="M29" i="5" s="1"/>
  <c r="R29" i="5"/>
  <c r="Q29" i="5"/>
  <c r="P29" i="5"/>
  <c r="N29" i="5"/>
  <c r="L29" i="5"/>
  <c r="K29" i="5"/>
  <c r="J29" i="5"/>
  <c r="I29" i="5"/>
  <c r="H29" i="5"/>
  <c r="G29" i="5"/>
  <c r="F29" i="5"/>
  <c r="E29" i="5"/>
  <c r="D29" i="5"/>
  <c r="C29" i="5"/>
  <c r="B29" i="5"/>
  <c r="Y28" i="5"/>
  <c r="M28" i="5" s="1"/>
  <c r="R28" i="5"/>
  <c r="Q28" i="5"/>
  <c r="P28" i="5"/>
  <c r="O28" i="5" s="1"/>
  <c r="N28" i="5"/>
  <c r="L28" i="5"/>
  <c r="K28" i="5"/>
  <c r="J28" i="5"/>
  <c r="I28" i="5"/>
  <c r="H28" i="5"/>
  <c r="G28" i="5"/>
  <c r="F28" i="5"/>
  <c r="E28" i="5"/>
  <c r="D28" i="5"/>
  <c r="C28" i="5"/>
  <c r="B28" i="5"/>
  <c r="Y27" i="5"/>
  <c r="M27" i="5" s="1"/>
  <c r="R27" i="5"/>
  <c r="Q27" i="5"/>
  <c r="P27" i="5"/>
  <c r="N27" i="5"/>
  <c r="L27" i="5"/>
  <c r="K27" i="5"/>
  <c r="J27" i="5"/>
  <c r="I27" i="5"/>
  <c r="H27" i="5"/>
  <c r="G27" i="5"/>
  <c r="F27" i="5"/>
  <c r="E27" i="5"/>
  <c r="D27" i="5"/>
  <c r="C27" i="5"/>
  <c r="B27" i="5"/>
  <c r="Y26" i="5"/>
  <c r="M26" i="5" s="1"/>
  <c r="R26" i="5"/>
  <c r="Q26" i="5"/>
  <c r="P26" i="5"/>
  <c r="O26" i="5" s="1"/>
  <c r="N26" i="5"/>
  <c r="L26" i="5"/>
  <c r="K26" i="5"/>
  <c r="J26" i="5"/>
  <c r="I26" i="5"/>
  <c r="H26" i="5"/>
  <c r="G26" i="5"/>
  <c r="F26" i="5"/>
  <c r="E26" i="5"/>
  <c r="D26" i="5"/>
  <c r="C26" i="5"/>
  <c r="B26" i="5"/>
  <c r="Y25" i="5"/>
  <c r="M25" i="5" s="1"/>
  <c r="R25" i="5"/>
  <c r="Q25" i="5"/>
  <c r="P25" i="5"/>
  <c r="O25" i="5" s="1"/>
  <c r="N25" i="5"/>
  <c r="L25" i="5"/>
  <c r="K25" i="5"/>
  <c r="J25" i="5"/>
  <c r="I25" i="5"/>
  <c r="H25" i="5"/>
  <c r="G25" i="5"/>
  <c r="F25" i="5"/>
  <c r="E25" i="5"/>
  <c r="D25" i="5"/>
  <c r="C25" i="5"/>
  <c r="B25" i="5"/>
  <c r="Y24" i="5"/>
  <c r="M24" i="5" s="1"/>
  <c r="R24" i="5"/>
  <c r="Q24" i="5"/>
  <c r="P24" i="5"/>
  <c r="N24" i="5"/>
  <c r="L24" i="5"/>
  <c r="K24" i="5"/>
  <c r="J24" i="5"/>
  <c r="I24" i="5"/>
  <c r="H24" i="5"/>
  <c r="G24" i="5"/>
  <c r="F24" i="5"/>
  <c r="E24" i="5"/>
  <c r="D24" i="5"/>
  <c r="C24" i="5"/>
  <c r="B24" i="5"/>
  <c r="Y23" i="5"/>
  <c r="M23" i="5" s="1"/>
  <c r="R23" i="5"/>
  <c r="Q23" i="5"/>
  <c r="P23" i="5"/>
  <c r="N23" i="5"/>
  <c r="L23" i="5"/>
  <c r="K23" i="5"/>
  <c r="J23" i="5"/>
  <c r="I23" i="5"/>
  <c r="H23" i="5"/>
  <c r="G23" i="5"/>
  <c r="F23" i="5"/>
  <c r="E23" i="5"/>
  <c r="D23" i="5"/>
  <c r="C23" i="5"/>
  <c r="B23" i="5"/>
  <c r="Y22" i="5"/>
  <c r="M22" i="5" s="1"/>
  <c r="R22" i="5"/>
  <c r="Q22" i="5"/>
  <c r="P22" i="5"/>
  <c r="N22" i="5"/>
  <c r="L22" i="5"/>
  <c r="K22" i="5"/>
  <c r="J22" i="5"/>
  <c r="I22" i="5"/>
  <c r="H22" i="5"/>
  <c r="G22" i="5"/>
  <c r="F22" i="5"/>
  <c r="E22" i="5"/>
  <c r="D22" i="5"/>
  <c r="C22" i="5"/>
  <c r="B22" i="5"/>
  <c r="Y21" i="5"/>
  <c r="M21" i="5" s="1"/>
  <c r="R21" i="5"/>
  <c r="Q21" i="5"/>
  <c r="P21" i="5"/>
  <c r="O21" i="5" s="1"/>
  <c r="N21" i="5"/>
  <c r="L21" i="5"/>
  <c r="K21" i="5"/>
  <c r="J21" i="5"/>
  <c r="I21" i="5"/>
  <c r="T21" i="5" s="1"/>
  <c r="H21" i="5"/>
  <c r="G21" i="5"/>
  <c r="F21" i="5"/>
  <c r="E21" i="5"/>
  <c r="D21" i="5"/>
  <c r="C21" i="5"/>
  <c r="B21" i="5"/>
  <c r="Y20" i="5"/>
  <c r="M20" i="5" s="1"/>
  <c r="R20" i="5"/>
  <c r="Q20" i="5"/>
  <c r="P20" i="5"/>
  <c r="O20" i="5" s="1"/>
  <c r="N20" i="5"/>
  <c r="L20" i="5"/>
  <c r="K20" i="5"/>
  <c r="J20" i="5"/>
  <c r="I20" i="5"/>
  <c r="H20" i="5"/>
  <c r="G20" i="5"/>
  <c r="F20" i="5"/>
  <c r="E20" i="5"/>
  <c r="D20" i="5"/>
  <c r="C20" i="5"/>
  <c r="B20" i="5"/>
  <c r="Y19" i="5"/>
  <c r="M19" i="5" s="1"/>
  <c r="R19" i="5"/>
  <c r="Q19" i="5"/>
  <c r="P19" i="5"/>
  <c r="O19" i="5" s="1"/>
  <c r="N19" i="5"/>
  <c r="L19" i="5"/>
  <c r="K19" i="5"/>
  <c r="J19" i="5"/>
  <c r="I19" i="5"/>
  <c r="H19" i="5"/>
  <c r="G19" i="5"/>
  <c r="F19" i="5"/>
  <c r="E19" i="5"/>
  <c r="D19" i="5"/>
  <c r="C19" i="5"/>
  <c r="B19" i="5"/>
  <c r="Y18" i="5"/>
  <c r="M18" i="5" s="1"/>
  <c r="R18" i="5"/>
  <c r="Q18" i="5"/>
  <c r="P18" i="5"/>
  <c r="O18" i="5"/>
  <c r="N18" i="5"/>
  <c r="L18" i="5"/>
  <c r="K18" i="5"/>
  <c r="J18" i="5"/>
  <c r="I18" i="5"/>
  <c r="H18" i="5"/>
  <c r="G18" i="5"/>
  <c r="F18" i="5"/>
  <c r="E18" i="5"/>
  <c r="D18" i="5"/>
  <c r="C18" i="5"/>
  <c r="B18" i="5"/>
  <c r="Y17" i="5"/>
  <c r="M17" i="5" s="1"/>
  <c r="R17" i="5"/>
  <c r="Q17" i="5"/>
  <c r="O17" i="5" s="1"/>
  <c r="P17" i="5"/>
  <c r="N17" i="5"/>
  <c r="L17" i="5"/>
  <c r="K17" i="5"/>
  <c r="J17" i="5"/>
  <c r="I17" i="5"/>
  <c r="H17" i="5"/>
  <c r="G17" i="5"/>
  <c r="F17" i="5"/>
  <c r="E17" i="5"/>
  <c r="D17" i="5"/>
  <c r="C17" i="5"/>
  <c r="B17" i="5"/>
  <c r="Y16" i="5"/>
  <c r="M16" i="5" s="1"/>
  <c r="R16" i="5"/>
  <c r="Q16" i="5"/>
  <c r="P16" i="5"/>
  <c r="O16" i="5" s="1"/>
  <c r="N16" i="5"/>
  <c r="L16" i="5"/>
  <c r="K16" i="5"/>
  <c r="J16" i="5"/>
  <c r="I16" i="5"/>
  <c r="H16" i="5"/>
  <c r="G16" i="5"/>
  <c r="F16" i="5"/>
  <c r="E16" i="5"/>
  <c r="D16" i="5"/>
  <c r="C16" i="5"/>
  <c r="B16" i="5"/>
  <c r="Y15" i="5"/>
  <c r="M15" i="5" s="1"/>
  <c r="R15" i="5"/>
  <c r="Q15" i="5"/>
  <c r="P15" i="5"/>
  <c r="O15" i="5" s="1"/>
  <c r="N15" i="5"/>
  <c r="L15" i="5"/>
  <c r="K15" i="5"/>
  <c r="J15" i="5"/>
  <c r="I15" i="5"/>
  <c r="T15" i="5" s="1"/>
  <c r="H15" i="5"/>
  <c r="G15" i="5"/>
  <c r="F15" i="5"/>
  <c r="E15" i="5"/>
  <c r="D15" i="5"/>
  <c r="C15" i="5"/>
  <c r="B15" i="5"/>
  <c r="Y14" i="5"/>
  <c r="M14" i="5" s="1"/>
  <c r="R14" i="5"/>
  <c r="Q14" i="5"/>
  <c r="P14" i="5"/>
  <c r="O14" i="5" s="1"/>
  <c r="N14" i="5"/>
  <c r="L14" i="5"/>
  <c r="K14" i="5"/>
  <c r="J14" i="5"/>
  <c r="I14" i="5"/>
  <c r="H14" i="5"/>
  <c r="G14" i="5"/>
  <c r="F14" i="5"/>
  <c r="E14" i="5"/>
  <c r="D14" i="5"/>
  <c r="C14" i="5"/>
  <c r="B14" i="5"/>
  <c r="Y13" i="5"/>
  <c r="M13" i="5" s="1"/>
  <c r="R13" i="5"/>
  <c r="Q13" i="5"/>
  <c r="P13" i="5"/>
  <c r="N13" i="5"/>
  <c r="L13" i="5"/>
  <c r="K13" i="5"/>
  <c r="J13" i="5"/>
  <c r="I13" i="5"/>
  <c r="H13" i="5"/>
  <c r="G13" i="5"/>
  <c r="F13" i="5"/>
  <c r="E13" i="5"/>
  <c r="D13" i="5"/>
  <c r="C13" i="5"/>
  <c r="B13" i="5"/>
  <c r="Y12" i="5"/>
  <c r="M12" i="5" s="1"/>
  <c r="R12" i="5"/>
  <c r="Q12" i="5"/>
  <c r="P12" i="5"/>
  <c r="N12" i="5"/>
  <c r="L12" i="5"/>
  <c r="K12" i="5"/>
  <c r="J12" i="5"/>
  <c r="I12" i="5"/>
  <c r="H12" i="5"/>
  <c r="G12" i="5"/>
  <c r="F12" i="5"/>
  <c r="E12" i="5"/>
  <c r="D12" i="5"/>
  <c r="C12" i="5"/>
  <c r="B12" i="5"/>
  <c r="Y11" i="5"/>
  <c r="M11" i="5" s="1"/>
  <c r="R11" i="5"/>
  <c r="Q11" i="5"/>
  <c r="P11" i="5"/>
  <c r="N11" i="5"/>
  <c r="L11" i="5"/>
  <c r="K11" i="5"/>
  <c r="J11" i="5"/>
  <c r="I11" i="5"/>
  <c r="H11" i="5"/>
  <c r="G11" i="5"/>
  <c r="F11" i="5"/>
  <c r="E11" i="5"/>
  <c r="D11" i="5"/>
  <c r="C11" i="5"/>
  <c r="B11" i="5"/>
  <c r="Y10" i="5"/>
  <c r="M10" i="5" s="1"/>
  <c r="R10" i="5"/>
  <c r="Q10" i="5"/>
  <c r="P10" i="5"/>
  <c r="N10" i="5"/>
  <c r="L10" i="5"/>
  <c r="K10" i="5"/>
  <c r="J10" i="5"/>
  <c r="I10" i="5"/>
  <c r="H10" i="5"/>
  <c r="G10" i="5"/>
  <c r="F10" i="5"/>
  <c r="E10" i="5"/>
  <c r="D10" i="5"/>
  <c r="C10" i="5"/>
  <c r="B10" i="5"/>
  <c r="Y9" i="5"/>
  <c r="M9" i="5" s="1"/>
  <c r="R9" i="5"/>
  <c r="Q9" i="5"/>
  <c r="P9" i="5"/>
  <c r="O9" i="5" s="1"/>
  <c r="N9" i="5"/>
  <c r="L9" i="5"/>
  <c r="K9" i="5"/>
  <c r="J9" i="5"/>
  <c r="I9" i="5"/>
  <c r="H9" i="5"/>
  <c r="G9" i="5"/>
  <c r="F9" i="5"/>
  <c r="E9" i="5"/>
  <c r="D9" i="5"/>
  <c r="C9" i="5"/>
  <c r="B9" i="5"/>
  <c r="Y8" i="5"/>
  <c r="M8" i="5" s="1"/>
  <c r="R8" i="5"/>
  <c r="Q8" i="5"/>
  <c r="P8" i="5"/>
  <c r="O8" i="5" s="1"/>
  <c r="N8" i="5"/>
  <c r="L8" i="5"/>
  <c r="K8" i="5"/>
  <c r="J8" i="5"/>
  <c r="I8" i="5"/>
  <c r="H8" i="5"/>
  <c r="G8" i="5"/>
  <c r="F8" i="5"/>
  <c r="E8" i="5"/>
  <c r="D8" i="5"/>
  <c r="C8" i="5"/>
  <c r="B8" i="5"/>
  <c r="Y7" i="5"/>
  <c r="M7" i="5" s="1"/>
  <c r="R7" i="5"/>
  <c r="Q7" i="5"/>
  <c r="P7" i="5"/>
  <c r="N7" i="5"/>
  <c r="L7" i="5"/>
  <c r="K7" i="5"/>
  <c r="J7" i="5"/>
  <c r="I7" i="5"/>
  <c r="H7" i="5"/>
  <c r="G7" i="5"/>
  <c r="F7" i="5"/>
  <c r="E7" i="5"/>
  <c r="D7" i="5"/>
  <c r="C7" i="5"/>
  <c r="B7" i="5"/>
  <c r="Y6" i="5"/>
  <c r="M6" i="5" s="1"/>
  <c r="R6" i="5"/>
  <c r="Q6" i="5"/>
  <c r="P6" i="5"/>
  <c r="O6" i="5" s="1"/>
  <c r="N6" i="5"/>
  <c r="L6" i="5"/>
  <c r="K6" i="5"/>
  <c r="J6" i="5"/>
  <c r="I6" i="5"/>
  <c r="H6" i="5"/>
  <c r="G6" i="5"/>
  <c r="F6" i="5"/>
  <c r="E6" i="5"/>
  <c r="D6" i="5"/>
  <c r="C6" i="5"/>
  <c r="B6" i="5"/>
  <c r="Y5" i="5"/>
  <c r="M5" i="5" s="1"/>
  <c r="R5" i="5"/>
  <c r="Q5" i="5"/>
  <c r="P5" i="5"/>
  <c r="O5" i="5"/>
  <c r="N5" i="5"/>
  <c r="L5" i="5"/>
  <c r="K5" i="5"/>
  <c r="J5" i="5"/>
  <c r="I5" i="5"/>
  <c r="H5" i="5"/>
  <c r="G5" i="5"/>
  <c r="F5" i="5"/>
  <c r="E5" i="5"/>
  <c r="D5" i="5"/>
  <c r="C5" i="5"/>
  <c r="B5" i="5"/>
  <c r="Y4" i="5"/>
  <c r="M4" i="5" s="1"/>
  <c r="R4" i="5"/>
  <c r="Q4" i="5"/>
  <c r="P4" i="5"/>
  <c r="O4" i="5"/>
  <c r="N4" i="5"/>
  <c r="L4" i="5"/>
  <c r="K4" i="5"/>
  <c r="J4" i="5"/>
  <c r="I4" i="5"/>
  <c r="H4" i="5"/>
  <c r="G4" i="5"/>
  <c r="F4" i="5"/>
  <c r="E4" i="5"/>
  <c r="D4" i="5"/>
  <c r="C4" i="5"/>
  <c r="B4" i="5"/>
  <c r="Y3" i="5"/>
  <c r="M3" i="5" s="1"/>
  <c r="R3" i="5"/>
  <c r="Q3" i="5"/>
  <c r="O3" i="5" s="1"/>
  <c r="P3" i="5"/>
  <c r="N3" i="5"/>
  <c r="L3" i="5"/>
  <c r="K3" i="5"/>
  <c r="J3" i="5"/>
  <c r="I3" i="5"/>
  <c r="H3" i="5"/>
  <c r="G3" i="5"/>
  <c r="F3" i="5"/>
  <c r="E3" i="5"/>
  <c r="D3" i="5"/>
  <c r="C3" i="5"/>
  <c r="B3" i="5"/>
  <c r="Y2" i="5"/>
  <c r="M2" i="5" s="1"/>
  <c r="R2" i="5"/>
  <c r="Q2" i="5"/>
  <c r="P2" i="5"/>
  <c r="O2" i="5" s="1"/>
  <c r="N2" i="5"/>
  <c r="L2" i="5"/>
  <c r="K2" i="5"/>
  <c r="J2" i="5"/>
  <c r="I2" i="5"/>
  <c r="H2" i="5"/>
  <c r="G2" i="5"/>
  <c r="F2" i="5"/>
  <c r="E2" i="5"/>
  <c r="D2" i="5"/>
  <c r="C2" i="5"/>
  <c r="B2" i="5"/>
  <c r="Y209" i="4"/>
  <c r="M209" i="4" s="1"/>
  <c r="R209" i="4"/>
  <c r="Q209" i="4"/>
  <c r="P209" i="4"/>
  <c r="O209" i="4"/>
  <c r="N209" i="4"/>
  <c r="L209" i="4"/>
  <c r="K209" i="4"/>
  <c r="J209" i="4"/>
  <c r="I209" i="4"/>
  <c r="H209" i="4"/>
  <c r="G209" i="4"/>
  <c r="F209" i="4"/>
  <c r="E209" i="4"/>
  <c r="D209" i="4"/>
  <c r="C209" i="4"/>
  <c r="B209" i="4"/>
  <c r="Y208" i="4"/>
  <c r="M208" i="4" s="1"/>
  <c r="R208" i="4"/>
  <c r="Q208" i="4"/>
  <c r="P208" i="4"/>
  <c r="O208" i="4" s="1"/>
  <c r="N208" i="4"/>
  <c r="L208" i="4"/>
  <c r="K208" i="4"/>
  <c r="J208" i="4"/>
  <c r="I208" i="4"/>
  <c r="H208" i="4"/>
  <c r="G208" i="4"/>
  <c r="F208" i="4"/>
  <c r="E208" i="4"/>
  <c r="D208" i="4"/>
  <c r="C208" i="4"/>
  <c r="B208" i="4"/>
  <c r="Y207" i="4"/>
  <c r="M207" i="4" s="1"/>
  <c r="R207" i="4"/>
  <c r="Q207" i="4"/>
  <c r="P207" i="4"/>
  <c r="N207" i="4"/>
  <c r="L207" i="4"/>
  <c r="K207" i="4"/>
  <c r="J207" i="4"/>
  <c r="I207" i="4"/>
  <c r="H207" i="4"/>
  <c r="G207" i="4"/>
  <c r="F207" i="4"/>
  <c r="E207" i="4"/>
  <c r="D207" i="4"/>
  <c r="C207" i="4"/>
  <c r="B207" i="4"/>
  <c r="Y206" i="4"/>
  <c r="M206" i="4" s="1"/>
  <c r="R206" i="4"/>
  <c r="Q206" i="4"/>
  <c r="P206" i="4"/>
  <c r="O206" i="4" s="1"/>
  <c r="N206" i="4"/>
  <c r="L206" i="4"/>
  <c r="K206" i="4"/>
  <c r="J206" i="4"/>
  <c r="I206" i="4"/>
  <c r="H206" i="4"/>
  <c r="G206" i="4"/>
  <c r="F206" i="4"/>
  <c r="E206" i="4"/>
  <c r="D206" i="4"/>
  <c r="C206" i="4"/>
  <c r="B206" i="4"/>
  <c r="Y205" i="4"/>
  <c r="M205" i="4" s="1"/>
  <c r="R205" i="4"/>
  <c r="Q205" i="4"/>
  <c r="P205" i="4"/>
  <c r="O205" i="4" s="1"/>
  <c r="N205" i="4"/>
  <c r="L205" i="4"/>
  <c r="K205" i="4"/>
  <c r="J205" i="4"/>
  <c r="I205" i="4"/>
  <c r="T205" i="4" s="1"/>
  <c r="H205" i="4"/>
  <c r="G205" i="4"/>
  <c r="F205" i="4"/>
  <c r="E205" i="4"/>
  <c r="D205" i="4"/>
  <c r="C205" i="4"/>
  <c r="B205" i="4"/>
  <c r="Y204" i="4"/>
  <c r="M204" i="4" s="1"/>
  <c r="R204" i="4"/>
  <c r="Q204" i="4"/>
  <c r="O204" i="4" s="1"/>
  <c r="P204" i="4"/>
  <c r="N204" i="4"/>
  <c r="L204" i="4"/>
  <c r="K204" i="4"/>
  <c r="J204" i="4"/>
  <c r="I204" i="4"/>
  <c r="H204" i="4"/>
  <c r="G204" i="4"/>
  <c r="F204" i="4"/>
  <c r="E204" i="4"/>
  <c r="D204" i="4"/>
  <c r="C204" i="4"/>
  <c r="B204" i="4"/>
  <c r="Y203" i="4"/>
  <c r="M203" i="4" s="1"/>
  <c r="R203" i="4"/>
  <c r="Q203" i="4"/>
  <c r="P203" i="4"/>
  <c r="N203" i="4"/>
  <c r="L203" i="4"/>
  <c r="K203" i="4"/>
  <c r="J203" i="4"/>
  <c r="I203" i="4"/>
  <c r="H203" i="4"/>
  <c r="G203" i="4"/>
  <c r="F203" i="4"/>
  <c r="E203" i="4"/>
  <c r="D203" i="4"/>
  <c r="C203" i="4"/>
  <c r="B203" i="4"/>
  <c r="Y202" i="4"/>
  <c r="M202" i="4" s="1"/>
  <c r="R202" i="4"/>
  <c r="Q202" i="4"/>
  <c r="P202" i="4"/>
  <c r="O202" i="4" s="1"/>
  <c r="N202" i="4"/>
  <c r="L202" i="4"/>
  <c r="K202" i="4"/>
  <c r="J202" i="4"/>
  <c r="I202" i="4"/>
  <c r="H202" i="4"/>
  <c r="G202" i="4"/>
  <c r="F202" i="4"/>
  <c r="E202" i="4"/>
  <c r="D202" i="4"/>
  <c r="C202" i="4"/>
  <c r="B202" i="4"/>
  <c r="Y201" i="4"/>
  <c r="M201" i="4" s="1"/>
  <c r="R201" i="4"/>
  <c r="Q201" i="4"/>
  <c r="P201" i="4"/>
  <c r="O201" i="4" s="1"/>
  <c r="N201" i="4"/>
  <c r="L201" i="4"/>
  <c r="K201" i="4"/>
  <c r="J201" i="4"/>
  <c r="I201" i="4"/>
  <c r="H201" i="4"/>
  <c r="G201" i="4"/>
  <c r="F201" i="4"/>
  <c r="E201" i="4"/>
  <c r="D201" i="4"/>
  <c r="C201" i="4"/>
  <c r="B201" i="4"/>
  <c r="Y200" i="4"/>
  <c r="M200" i="4" s="1"/>
  <c r="R200" i="4"/>
  <c r="Q200" i="4"/>
  <c r="P200" i="4"/>
  <c r="O200" i="4" s="1"/>
  <c r="N200" i="4"/>
  <c r="L200" i="4"/>
  <c r="K200" i="4"/>
  <c r="J200" i="4"/>
  <c r="I200" i="4"/>
  <c r="H200" i="4"/>
  <c r="G200" i="4"/>
  <c r="F200" i="4"/>
  <c r="E200" i="4"/>
  <c r="D200" i="4"/>
  <c r="C200" i="4"/>
  <c r="B200" i="4"/>
  <c r="Y199" i="4"/>
  <c r="M199" i="4" s="1"/>
  <c r="R199" i="4"/>
  <c r="Q199" i="4"/>
  <c r="P199" i="4"/>
  <c r="N199" i="4"/>
  <c r="L199" i="4"/>
  <c r="K199" i="4"/>
  <c r="J199" i="4"/>
  <c r="I199" i="4"/>
  <c r="H199" i="4"/>
  <c r="G199" i="4"/>
  <c r="F199" i="4"/>
  <c r="E199" i="4"/>
  <c r="D199" i="4"/>
  <c r="C199" i="4"/>
  <c r="B199" i="4"/>
  <c r="Y198" i="4"/>
  <c r="M198" i="4" s="1"/>
  <c r="R198" i="4"/>
  <c r="Q198" i="4"/>
  <c r="P198" i="4"/>
  <c r="N198" i="4"/>
  <c r="L198" i="4"/>
  <c r="K198" i="4"/>
  <c r="J198" i="4"/>
  <c r="I198" i="4"/>
  <c r="H198" i="4"/>
  <c r="G198" i="4"/>
  <c r="F198" i="4"/>
  <c r="E198" i="4"/>
  <c r="D198" i="4"/>
  <c r="C198" i="4"/>
  <c r="B198" i="4"/>
  <c r="Y197" i="4"/>
  <c r="M197" i="4" s="1"/>
  <c r="R197" i="4"/>
  <c r="Q197" i="4"/>
  <c r="O197" i="4" s="1"/>
  <c r="P197" i="4"/>
  <c r="N197" i="4"/>
  <c r="L197" i="4"/>
  <c r="K197" i="4"/>
  <c r="J197" i="4"/>
  <c r="I197" i="4"/>
  <c r="T197" i="4" s="1"/>
  <c r="H197" i="4"/>
  <c r="G197" i="4"/>
  <c r="F197" i="4"/>
  <c r="E197" i="4"/>
  <c r="D197" i="4"/>
  <c r="C197" i="4"/>
  <c r="B197" i="4"/>
  <c r="Y196" i="4"/>
  <c r="M196" i="4" s="1"/>
  <c r="R196" i="4"/>
  <c r="Q196" i="4"/>
  <c r="P196" i="4"/>
  <c r="O196" i="4" s="1"/>
  <c r="N196" i="4"/>
  <c r="L196" i="4"/>
  <c r="K196" i="4"/>
  <c r="J196" i="4"/>
  <c r="I196" i="4"/>
  <c r="H196" i="4"/>
  <c r="G196" i="4"/>
  <c r="F196" i="4"/>
  <c r="E196" i="4"/>
  <c r="D196" i="4"/>
  <c r="C196" i="4"/>
  <c r="B196" i="4"/>
  <c r="Y195" i="4"/>
  <c r="M195" i="4" s="1"/>
  <c r="R195" i="4"/>
  <c r="Q195" i="4"/>
  <c r="P195" i="4"/>
  <c r="O195" i="4" s="1"/>
  <c r="N195" i="4"/>
  <c r="L195" i="4"/>
  <c r="K195" i="4"/>
  <c r="J195" i="4"/>
  <c r="I195" i="4"/>
  <c r="H195" i="4"/>
  <c r="G195" i="4"/>
  <c r="F195" i="4"/>
  <c r="E195" i="4"/>
  <c r="D195" i="4"/>
  <c r="C195" i="4"/>
  <c r="B195" i="4"/>
  <c r="Y194" i="4"/>
  <c r="M194" i="4" s="1"/>
  <c r="R194" i="4"/>
  <c r="Q194" i="4"/>
  <c r="O194" i="4" s="1"/>
  <c r="P194" i="4"/>
  <c r="N194" i="4"/>
  <c r="L194" i="4"/>
  <c r="K194" i="4"/>
  <c r="J194" i="4"/>
  <c r="I194" i="4"/>
  <c r="H194" i="4"/>
  <c r="G194" i="4"/>
  <c r="F194" i="4"/>
  <c r="E194" i="4"/>
  <c r="D194" i="4"/>
  <c r="C194" i="4"/>
  <c r="B194" i="4"/>
  <c r="Y193" i="4"/>
  <c r="M193" i="4" s="1"/>
  <c r="R193" i="4"/>
  <c r="Q193" i="4"/>
  <c r="P193" i="4"/>
  <c r="N193" i="4"/>
  <c r="L193" i="4"/>
  <c r="K193" i="4"/>
  <c r="J193" i="4"/>
  <c r="I193" i="4"/>
  <c r="H193" i="4"/>
  <c r="G193" i="4"/>
  <c r="F193" i="4"/>
  <c r="E193" i="4"/>
  <c r="D193" i="4"/>
  <c r="C193" i="4"/>
  <c r="B193" i="4"/>
  <c r="Y192" i="4"/>
  <c r="M192" i="4" s="1"/>
  <c r="R192" i="4"/>
  <c r="Q192" i="4"/>
  <c r="P192" i="4"/>
  <c r="O192" i="4"/>
  <c r="N192" i="4"/>
  <c r="L192" i="4"/>
  <c r="K192" i="4"/>
  <c r="J192" i="4"/>
  <c r="I192" i="4"/>
  <c r="H192" i="4"/>
  <c r="G192" i="4"/>
  <c r="F192" i="4"/>
  <c r="E192" i="4"/>
  <c r="D192" i="4"/>
  <c r="C192" i="4"/>
  <c r="B192" i="4"/>
  <c r="Y191" i="4"/>
  <c r="M191" i="4" s="1"/>
  <c r="R191" i="4"/>
  <c r="Q191" i="4"/>
  <c r="P191" i="4"/>
  <c r="O191" i="4" s="1"/>
  <c r="N191" i="4"/>
  <c r="L191" i="4"/>
  <c r="K191" i="4"/>
  <c r="J191" i="4"/>
  <c r="I191" i="4"/>
  <c r="H191" i="4"/>
  <c r="G191" i="4"/>
  <c r="F191" i="4"/>
  <c r="E191" i="4"/>
  <c r="D191" i="4"/>
  <c r="C191" i="4"/>
  <c r="B191" i="4"/>
  <c r="Y190" i="4"/>
  <c r="M190" i="4" s="1"/>
  <c r="R190" i="4"/>
  <c r="Q190" i="4"/>
  <c r="P190" i="4"/>
  <c r="N190" i="4"/>
  <c r="L190" i="4"/>
  <c r="K190" i="4"/>
  <c r="J190" i="4"/>
  <c r="I190" i="4"/>
  <c r="H190" i="4"/>
  <c r="G190" i="4"/>
  <c r="F190" i="4"/>
  <c r="E190" i="4"/>
  <c r="D190" i="4"/>
  <c r="C190" i="4"/>
  <c r="B190" i="4"/>
  <c r="Y189" i="4"/>
  <c r="M189" i="4" s="1"/>
  <c r="R189" i="4"/>
  <c r="Q189" i="4"/>
  <c r="P189" i="4"/>
  <c r="O189" i="4"/>
  <c r="N189" i="4"/>
  <c r="L189" i="4"/>
  <c r="K189" i="4"/>
  <c r="J189" i="4"/>
  <c r="I189" i="4"/>
  <c r="H189" i="4"/>
  <c r="G189" i="4"/>
  <c r="F189" i="4"/>
  <c r="E189" i="4"/>
  <c r="D189" i="4"/>
  <c r="C189" i="4"/>
  <c r="B189" i="4"/>
  <c r="Y188" i="4"/>
  <c r="M188" i="4" s="1"/>
  <c r="R188" i="4"/>
  <c r="Q188" i="4"/>
  <c r="O188" i="4" s="1"/>
  <c r="P188" i="4"/>
  <c r="N188" i="4"/>
  <c r="L188" i="4"/>
  <c r="K188" i="4"/>
  <c r="J188" i="4"/>
  <c r="I188" i="4"/>
  <c r="H188" i="4"/>
  <c r="G188" i="4"/>
  <c r="F188" i="4"/>
  <c r="E188" i="4"/>
  <c r="D188" i="4"/>
  <c r="C188" i="4"/>
  <c r="B188" i="4"/>
  <c r="Y187" i="4"/>
  <c r="M187" i="4" s="1"/>
  <c r="R187" i="4"/>
  <c r="Q187" i="4"/>
  <c r="P187" i="4"/>
  <c r="O187" i="4" s="1"/>
  <c r="N187" i="4"/>
  <c r="L187" i="4"/>
  <c r="K187" i="4"/>
  <c r="J187" i="4"/>
  <c r="I187" i="4"/>
  <c r="T187" i="4" s="1"/>
  <c r="H187" i="4"/>
  <c r="G187" i="4"/>
  <c r="F187" i="4"/>
  <c r="E187" i="4"/>
  <c r="D187" i="4"/>
  <c r="C187" i="4"/>
  <c r="B187" i="4"/>
  <c r="Y186" i="4"/>
  <c r="M186" i="4" s="1"/>
  <c r="R186" i="4"/>
  <c r="Q186" i="4"/>
  <c r="O186" i="4" s="1"/>
  <c r="P186" i="4"/>
  <c r="N186" i="4"/>
  <c r="L186" i="4"/>
  <c r="K186" i="4"/>
  <c r="J186" i="4"/>
  <c r="I186" i="4"/>
  <c r="H186" i="4"/>
  <c r="G186" i="4"/>
  <c r="F186" i="4"/>
  <c r="E186" i="4"/>
  <c r="D186" i="4"/>
  <c r="C186" i="4"/>
  <c r="B186" i="4"/>
  <c r="Y185" i="4"/>
  <c r="M185" i="4" s="1"/>
  <c r="R185" i="4"/>
  <c r="Q185" i="4"/>
  <c r="P185" i="4"/>
  <c r="N185" i="4"/>
  <c r="L185" i="4"/>
  <c r="K185" i="4"/>
  <c r="J185" i="4"/>
  <c r="I185" i="4"/>
  <c r="H185" i="4"/>
  <c r="G185" i="4"/>
  <c r="F185" i="4"/>
  <c r="E185" i="4"/>
  <c r="D185" i="4"/>
  <c r="C185" i="4"/>
  <c r="B185" i="4"/>
  <c r="Y184" i="4"/>
  <c r="M184" i="4" s="1"/>
  <c r="R184" i="4"/>
  <c r="Q184" i="4"/>
  <c r="P184" i="4"/>
  <c r="O184" i="4" s="1"/>
  <c r="N184" i="4"/>
  <c r="L184" i="4"/>
  <c r="K184" i="4"/>
  <c r="J184" i="4"/>
  <c r="I184" i="4"/>
  <c r="H184" i="4"/>
  <c r="G184" i="4"/>
  <c r="F184" i="4"/>
  <c r="E184" i="4"/>
  <c r="D184" i="4"/>
  <c r="C184" i="4"/>
  <c r="B184" i="4"/>
  <c r="Y183" i="4"/>
  <c r="M183" i="4" s="1"/>
  <c r="R183" i="4"/>
  <c r="Q183" i="4"/>
  <c r="P183" i="4"/>
  <c r="N183" i="4"/>
  <c r="L183" i="4"/>
  <c r="K183" i="4"/>
  <c r="J183" i="4"/>
  <c r="I183" i="4"/>
  <c r="H183" i="4"/>
  <c r="G183" i="4"/>
  <c r="F183" i="4"/>
  <c r="E183" i="4"/>
  <c r="D183" i="4"/>
  <c r="C183" i="4"/>
  <c r="B183" i="4"/>
  <c r="Y182" i="4"/>
  <c r="M182" i="4" s="1"/>
  <c r="R182" i="4"/>
  <c r="Q182" i="4"/>
  <c r="P182" i="4"/>
  <c r="O182" i="4"/>
  <c r="N182" i="4"/>
  <c r="L182" i="4"/>
  <c r="K182" i="4"/>
  <c r="J182" i="4"/>
  <c r="I182" i="4"/>
  <c r="T182" i="4" s="1"/>
  <c r="H182" i="4"/>
  <c r="G182" i="4"/>
  <c r="F182" i="4"/>
  <c r="E182" i="4"/>
  <c r="D182" i="4"/>
  <c r="C182" i="4"/>
  <c r="B182" i="4"/>
  <c r="Y181" i="4"/>
  <c r="M181" i="4" s="1"/>
  <c r="R181" i="4"/>
  <c r="Q181" i="4"/>
  <c r="P181" i="4"/>
  <c r="O181" i="4" s="1"/>
  <c r="N181" i="4"/>
  <c r="L181" i="4"/>
  <c r="K181" i="4"/>
  <c r="J181" i="4"/>
  <c r="I181" i="4"/>
  <c r="H181" i="4"/>
  <c r="G181" i="4"/>
  <c r="F181" i="4"/>
  <c r="E181" i="4"/>
  <c r="D181" i="4"/>
  <c r="C181" i="4"/>
  <c r="B181" i="4"/>
  <c r="Y180" i="4"/>
  <c r="M180" i="4" s="1"/>
  <c r="R180" i="4"/>
  <c r="Q180" i="4"/>
  <c r="P180" i="4"/>
  <c r="N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M179" i="4" s="1"/>
  <c r="R179" i="4"/>
  <c r="Q179" i="4"/>
  <c r="P179" i="4"/>
  <c r="O179" i="4" s="1"/>
  <c r="N179" i="4"/>
  <c r="L179" i="4"/>
  <c r="K179" i="4"/>
  <c r="J179" i="4"/>
  <c r="I179" i="4"/>
  <c r="H179" i="4"/>
  <c r="G179" i="4"/>
  <c r="F179" i="4"/>
  <c r="E179" i="4"/>
  <c r="D179" i="4"/>
  <c r="C179" i="4"/>
  <c r="B179" i="4"/>
  <c r="Y178" i="4"/>
  <c r="M178" i="4" s="1"/>
  <c r="R178" i="4"/>
  <c r="Q178" i="4"/>
  <c r="O178" i="4" s="1"/>
  <c r="P178" i="4"/>
  <c r="N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M177" i="4" s="1"/>
  <c r="R177" i="4"/>
  <c r="Q177" i="4"/>
  <c r="P177" i="4"/>
  <c r="N177" i="4"/>
  <c r="L177" i="4"/>
  <c r="K177" i="4"/>
  <c r="J177" i="4"/>
  <c r="I177" i="4"/>
  <c r="T177" i="4" s="1"/>
  <c r="H177" i="4"/>
  <c r="G177" i="4"/>
  <c r="F177" i="4"/>
  <c r="E177" i="4"/>
  <c r="D177" i="4"/>
  <c r="C177" i="4"/>
  <c r="B177" i="4"/>
  <c r="Y176" i="4"/>
  <c r="M176" i="4" s="1"/>
  <c r="R176" i="4"/>
  <c r="Q176" i="4"/>
  <c r="P176" i="4"/>
  <c r="O176" i="4"/>
  <c r="N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M175" i="4" s="1"/>
  <c r="R175" i="4"/>
  <c r="Q175" i="4"/>
  <c r="P175" i="4"/>
  <c r="N175" i="4"/>
  <c r="L175" i="4"/>
  <c r="K175" i="4"/>
  <c r="T175" i="4" s="1"/>
  <c r="J175" i="4"/>
  <c r="I175" i="4"/>
  <c r="H175" i="4"/>
  <c r="G175" i="4"/>
  <c r="F175" i="4"/>
  <c r="E175" i="4"/>
  <c r="D175" i="4"/>
  <c r="C175" i="4"/>
  <c r="B175" i="4"/>
  <c r="Y174" i="4"/>
  <c r="M174" i="4" s="1"/>
  <c r="R174" i="4"/>
  <c r="Q174" i="4"/>
  <c r="P174" i="4"/>
  <c r="O174" i="4" s="1"/>
  <c r="N174" i="4"/>
  <c r="L174" i="4"/>
  <c r="K174" i="4"/>
  <c r="J174" i="4"/>
  <c r="I174" i="4"/>
  <c r="H174" i="4"/>
  <c r="G174" i="4"/>
  <c r="F174" i="4"/>
  <c r="E174" i="4"/>
  <c r="D174" i="4"/>
  <c r="C174" i="4"/>
  <c r="B174" i="4"/>
  <c r="Y173" i="4"/>
  <c r="M173" i="4" s="1"/>
  <c r="R173" i="4"/>
  <c r="Q173" i="4"/>
  <c r="P173" i="4"/>
  <c r="N173" i="4"/>
  <c r="L173" i="4"/>
  <c r="K173" i="4"/>
  <c r="J173" i="4"/>
  <c r="I173" i="4"/>
  <c r="H173" i="4"/>
  <c r="G173" i="4"/>
  <c r="F173" i="4"/>
  <c r="E173" i="4"/>
  <c r="D173" i="4"/>
  <c r="C173" i="4"/>
  <c r="B173" i="4"/>
  <c r="Y172" i="4"/>
  <c r="M172" i="4" s="1"/>
  <c r="R172" i="4"/>
  <c r="Q172" i="4"/>
  <c r="P172" i="4"/>
  <c r="O172" i="4"/>
  <c r="N172" i="4"/>
  <c r="L172" i="4"/>
  <c r="K172" i="4"/>
  <c r="J172" i="4"/>
  <c r="I172" i="4"/>
  <c r="H172" i="4"/>
  <c r="G172" i="4"/>
  <c r="F172" i="4"/>
  <c r="E172" i="4"/>
  <c r="D172" i="4"/>
  <c r="C172" i="4"/>
  <c r="B172" i="4"/>
  <c r="Y171" i="4"/>
  <c r="M171" i="4" s="1"/>
  <c r="R171" i="4"/>
  <c r="Q171" i="4"/>
  <c r="P171" i="4"/>
  <c r="N171" i="4"/>
  <c r="L171" i="4"/>
  <c r="K171" i="4"/>
  <c r="J171" i="4"/>
  <c r="I171" i="4"/>
  <c r="H171" i="4"/>
  <c r="G171" i="4"/>
  <c r="F171" i="4"/>
  <c r="E171" i="4"/>
  <c r="D171" i="4"/>
  <c r="C171" i="4"/>
  <c r="B171" i="4"/>
  <c r="Y170" i="4"/>
  <c r="M170" i="4" s="1"/>
  <c r="R170" i="4"/>
  <c r="Q170" i="4"/>
  <c r="P170" i="4"/>
  <c r="N170" i="4"/>
  <c r="L170" i="4"/>
  <c r="K170" i="4"/>
  <c r="J170" i="4"/>
  <c r="I170" i="4"/>
  <c r="T170" i="4" s="1"/>
  <c r="H170" i="4"/>
  <c r="G170" i="4"/>
  <c r="F170" i="4"/>
  <c r="E170" i="4"/>
  <c r="D170" i="4"/>
  <c r="C170" i="4"/>
  <c r="B170" i="4"/>
  <c r="Y169" i="4"/>
  <c r="M169" i="4" s="1"/>
  <c r="R169" i="4"/>
  <c r="Q169" i="4"/>
  <c r="P169" i="4"/>
  <c r="N169" i="4"/>
  <c r="L169" i="4"/>
  <c r="K169" i="4"/>
  <c r="J169" i="4"/>
  <c r="I169" i="4"/>
  <c r="H169" i="4"/>
  <c r="G169" i="4"/>
  <c r="F169" i="4"/>
  <c r="E169" i="4"/>
  <c r="D169" i="4"/>
  <c r="C169" i="4"/>
  <c r="B169" i="4"/>
  <c r="Y168" i="4"/>
  <c r="M168" i="4" s="1"/>
  <c r="R168" i="4"/>
  <c r="Q168" i="4"/>
  <c r="P168" i="4"/>
  <c r="N168" i="4"/>
  <c r="L168" i="4"/>
  <c r="K168" i="4"/>
  <c r="J168" i="4"/>
  <c r="I168" i="4"/>
  <c r="H168" i="4"/>
  <c r="G168" i="4"/>
  <c r="F168" i="4"/>
  <c r="E168" i="4"/>
  <c r="D168" i="4"/>
  <c r="C168" i="4"/>
  <c r="B168" i="4"/>
  <c r="Y167" i="4"/>
  <c r="M167" i="4" s="1"/>
  <c r="R167" i="4"/>
  <c r="Q167" i="4"/>
  <c r="P167" i="4"/>
  <c r="N167" i="4"/>
  <c r="L167" i="4"/>
  <c r="K167" i="4"/>
  <c r="J167" i="4"/>
  <c r="I167" i="4"/>
  <c r="H167" i="4"/>
  <c r="G167" i="4"/>
  <c r="F167" i="4"/>
  <c r="E167" i="4"/>
  <c r="D167" i="4"/>
  <c r="C167" i="4"/>
  <c r="B167" i="4"/>
  <c r="Y166" i="4"/>
  <c r="M166" i="4" s="1"/>
  <c r="R166" i="4"/>
  <c r="Q166" i="4"/>
  <c r="P166" i="4"/>
  <c r="O166" i="4" s="1"/>
  <c r="N166" i="4"/>
  <c r="L166" i="4"/>
  <c r="K166" i="4"/>
  <c r="J166" i="4"/>
  <c r="I166" i="4"/>
  <c r="H166" i="4"/>
  <c r="G166" i="4"/>
  <c r="F166" i="4"/>
  <c r="E166" i="4"/>
  <c r="D166" i="4"/>
  <c r="C166" i="4"/>
  <c r="B166" i="4"/>
  <c r="Y165" i="4"/>
  <c r="M165" i="4" s="1"/>
  <c r="R165" i="4"/>
  <c r="Q165" i="4"/>
  <c r="P165" i="4"/>
  <c r="O165" i="4" s="1"/>
  <c r="N165" i="4"/>
  <c r="L165" i="4"/>
  <c r="K165" i="4"/>
  <c r="J165" i="4"/>
  <c r="I165" i="4"/>
  <c r="H165" i="4"/>
  <c r="G165" i="4"/>
  <c r="F165" i="4"/>
  <c r="E165" i="4"/>
  <c r="D165" i="4"/>
  <c r="C165" i="4"/>
  <c r="B165" i="4"/>
  <c r="Y164" i="4"/>
  <c r="M164" i="4" s="1"/>
  <c r="R164" i="4"/>
  <c r="Q164" i="4"/>
  <c r="P164" i="4"/>
  <c r="O164" i="4" s="1"/>
  <c r="N164" i="4"/>
  <c r="L164" i="4"/>
  <c r="K164" i="4"/>
  <c r="J164" i="4"/>
  <c r="I164" i="4"/>
  <c r="T164" i="4" s="1"/>
  <c r="H164" i="4"/>
  <c r="G164" i="4"/>
  <c r="F164" i="4"/>
  <c r="E164" i="4"/>
  <c r="D164" i="4"/>
  <c r="C164" i="4"/>
  <c r="B164" i="4"/>
  <c r="Y163" i="4"/>
  <c r="M163" i="4" s="1"/>
  <c r="R163" i="4"/>
  <c r="Q163" i="4"/>
  <c r="O163" i="4" s="1"/>
  <c r="P163" i="4"/>
  <c r="N163" i="4"/>
  <c r="L163" i="4"/>
  <c r="K163" i="4"/>
  <c r="J163" i="4"/>
  <c r="I163" i="4"/>
  <c r="H163" i="4"/>
  <c r="G163" i="4"/>
  <c r="F163" i="4"/>
  <c r="E163" i="4"/>
  <c r="D163" i="4"/>
  <c r="C163" i="4"/>
  <c r="B163" i="4"/>
  <c r="Y162" i="4"/>
  <c r="M162" i="4" s="1"/>
  <c r="R162" i="4"/>
  <c r="Q162" i="4"/>
  <c r="P162" i="4"/>
  <c r="O162" i="4"/>
  <c r="N162" i="4"/>
  <c r="L162" i="4"/>
  <c r="K162" i="4"/>
  <c r="J162" i="4"/>
  <c r="I162" i="4"/>
  <c r="H162" i="4"/>
  <c r="G162" i="4"/>
  <c r="F162" i="4"/>
  <c r="E162" i="4"/>
  <c r="D162" i="4"/>
  <c r="C162" i="4"/>
  <c r="B162" i="4"/>
  <c r="Y161" i="4"/>
  <c r="M161" i="4" s="1"/>
  <c r="R161" i="4"/>
  <c r="Q161" i="4"/>
  <c r="P161" i="4"/>
  <c r="O161" i="4" s="1"/>
  <c r="N161" i="4"/>
  <c r="L161" i="4"/>
  <c r="K161" i="4"/>
  <c r="J161" i="4"/>
  <c r="I161" i="4"/>
  <c r="H161" i="4"/>
  <c r="G161" i="4"/>
  <c r="F161" i="4"/>
  <c r="E161" i="4"/>
  <c r="D161" i="4"/>
  <c r="C161" i="4"/>
  <c r="B161" i="4"/>
  <c r="Y160" i="4"/>
  <c r="M160" i="4" s="1"/>
  <c r="R160" i="4"/>
  <c r="Q160" i="4"/>
  <c r="P160" i="4"/>
  <c r="O160" i="4" s="1"/>
  <c r="N160" i="4"/>
  <c r="L160" i="4"/>
  <c r="K160" i="4"/>
  <c r="J160" i="4"/>
  <c r="I160" i="4"/>
  <c r="H160" i="4"/>
  <c r="G160" i="4"/>
  <c r="F160" i="4"/>
  <c r="E160" i="4"/>
  <c r="D160" i="4"/>
  <c r="C160" i="4"/>
  <c r="B160" i="4"/>
  <c r="Y159" i="4"/>
  <c r="M159" i="4" s="1"/>
  <c r="R159" i="4"/>
  <c r="Q159" i="4"/>
  <c r="P159" i="4"/>
  <c r="O159" i="4" s="1"/>
  <c r="N159" i="4"/>
  <c r="L159" i="4"/>
  <c r="K159" i="4"/>
  <c r="J159" i="4"/>
  <c r="I159" i="4"/>
  <c r="T159" i="4" s="1"/>
  <c r="V159" i="4" s="1"/>
  <c r="H159" i="4"/>
  <c r="G159" i="4"/>
  <c r="F159" i="4"/>
  <c r="E159" i="4"/>
  <c r="D159" i="4"/>
  <c r="C159" i="4"/>
  <c r="B159" i="4"/>
  <c r="Y158" i="4"/>
  <c r="M158" i="4" s="1"/>
  <c r="R158" i="4"/>
  <c r="Q158" i="4"/>
  <c r="P158" i="4"/>
  <c r="O158" i="4" s="1"/>
  <c r="N158" i="4"/>
  <c r="L158" i="4"/>
  <c r="K158" i="4"/>
  <c r="J158" i="4"/>
  <c r="I158" i="4"/>
  <c r="H158" i="4"/>
  <c r="G158" i="4"/>
  <c r="F158" i="4"/>
  <c r="E158" i="4"/>
  <c r="D158" i="4"/>
  <c r="C158" i="4"/>
  <c r="B158" i="4"/>
  <c r="Y157" i="4"/>
  <c r="M157" i="4" s="1"/>
  <c r="R157" i="4"/>
  <c r="Q157" i="4"/>
  <c r="P157" i="4"/>
  <c r="O157" i="4" s="1"/>
  <c r="N157" i="4"/>
  <c r="L157" i="4"/>
  <c r="K157" i="4"/>
  <c r="J157" i="4"/>
  <c r="I157" i="4"/>
  <c r="H157" i="4"/>
  <c r="G157" i="4"/>
  <c r="F157" i="4"/>
  <c r="E157" i="4"/>
  <c r="D157" i="4"/>
  <c r="C157" i="4"/>
  <c r="B157" i="4"/>
  <c r="Y156" i="4"/>
  <c r="M156" i="4" s="1"/>
  <c r="R156" i="4"/>
  <c r="Q156" i="4"/>
  <c r="P156" i="4"/>
  <c r="N156" i="4"/>
  <c r="L156" i="4"/>
  <c r="K156" i="4"/>
  <c r="J156" i="4"/>
  <c r="I156" i="4"/>
  <c r="H156" i="4"/>
  <c r="G156" i="4"/>
  <c r="F156" i="4"/>
  <c r="E156" i="4"/>
  <c r="D156" i="4"/>
  <c r="C156" i="4"/>
  <c r="B156" i="4"/>
  <c r="Y155" i="4"/>
  <c r="M155" i="4" s="1"/>
  <c r="R155" i="4"/>
  <c r="Q155" i="4"/>
  <c r="P155" i="4"/>
  <c r="N155" i="4"/>
  <c r="L155" i="4"/>
  <c r="K155" i="4"/>
  <c r="J155" i="4"/>
  <c r="I155" i="4"/>
  <c r="H155" i="4"/>
  <c r="G155" i="4"/>
  <c r="F155" i="4"/>
  <c r="E155" i="4"/>
  <c r="D155" i="4"/>
  <c r="C155" i="4"/>
  <c r="B155" i="4"/>
  <c r="Y154" i="4"/>
  <c r="M154" i="4" s="1"/>
  <c r="R154" i="4"/>
  <c r="Q154" i="4"/>
  <c r="P154" i="4"/>
  <c r="N154" i="4"/>
  <c r="L154" i="4"/>
  <c r="K154" i="4"/>
  <c r="J154" i="4"/>
  <c r="I154" i="4"/>
  <c r="H154" i="4"/>
  <c r="G154" i="4"/>
  <c r="F154" i="4"/>
  <c r="E154" i="4"/>
  <c r="D154" i="4"/>
  <c r="C154" i="4"/>
  <c r="B154" i="4"/>
  <c r="Y153" i="4"/>
  <c r="M153" i="4" s="1"/>
  <c r="R153" i="4"/>
  <c r="Q153" i="4"/>
  <c r="P153" i="4"/>
  <c r="O153" i="4" s="1"/>
  <c r="N153" i="4"/>
  <c r="L153" i="4"/>
  <c r="K153" i="4"/>
  <c r="J153" i="4"/>
  <c r="I153" i="4"/>
  <c r="H153" i="4"/>
  <c r="G153" i="4"/>
  <c r="F153" i="4"/>
  <c r="E153" i="4"/>
  <c r="D153" i="4"/>
  <c r="C153" i="4"/>
  <c r="B153" i="4"/>
  <c r="Y152" i="4"/>
  <c r="M152" i="4" s="1"/>
  <c r="R152" i="4"/>
  <c r="Q152" i="4"/>
  <c r="P152" i="4"/>
  <c r="O152" i="4" s="1"/>
  <c r="N152" i="4"/>
  <c r="L152" i="4"/>
  <c r="K152" i="4"/>
  <c r="J152" i="4"/>
  <c r="I152" i="4"/>
  <c r="H152" i="4"/>
  <c r="G152" i="4"/>
  <c r="F152" i="4"/>
  <c r="E152" i="4"/>
  <c r="D152" i="4"/>
  <c r="C152" i="4"/>
  <c r="B152" i="4"/>
  <c r="Y151" i="4"/>
  <c r="M151" i="4" s="1"/>
  <c r="R151" i="4"/>
  <c r="Q151" i="4"/>
  <c r="P151" i="4"/>
  <c r="O151" i="4" s="1"/>
  <c r="N151" i="4"/>
  <c r="L151" i="4"/>
  <c r="K151" i="4"/>
  <c r="J151" i="4"/>
  <c r="I151" i="4"/>
  <c r="H151" i="4"/>
  <c r="G151" i="4"/>
  <c r="F151" i="4"/>
  <c r="E151" i="4"/>
  <c r="D151" i="4"/>
  <c r="C151" i="4"/>
  <c r="B151" i="4"/>
  <c r="Y150" i="4"/>
  <c r="M150" i="4" s="1"/>
  <c r="R150" i="4"/>
  <c r="Q150" i="4"/>
  <c r="P150" i="4"/>
  <c r="O150" i="4" s="1"/>
  <c r="N150" i="4"/>
  <c r="L150" i="4"/>
  <c r="K150" i="4"/>
  <c r="J150" i="4"/>
  <c r="I150" i="4"/>
  <c r="H150" i="4"/>
  <c r="G150" i="4"/>
  <c r="F150" i="4"/>
  <c r="E150" i="4"/>
  <c r="D150" i="4"/>
  <c r="C150" i="4"/>
  <c r="B150" i="4"/>
  <c r="Y149" i="4"/>
  <c r="M149" i="4" s="1"/>
  <c r="R149" i="4"/>
  <c r="Q149" i="4"/>
  <c r="P149" i="4"/>
  <c r="O149" i="4"/>
  <c r="N149" i="4"/>
  <c r="L149" i="4"/>
  <c r="K149" i="4"/>
  <c r="J149" i="4"/>
  <c r="I149" i="4"/>
  <c r="H149" i="4"/>
  <c r="G149" i="4"/>
  <c r="F149" i="4"/>
  <c r="E149" i="4"/>
  <c r="D149" i="4"/>
  <c r="C149" i="4"/>
  <c r="B149" i="4"/>
  <c r="Y148" i="4"/>
  <c r="M148" i="4" s="1"/>
  <c r="R148" i="4"/>
  <c r="Q148" i="4"/>
  <c r="P148" i="4"/>
  <c r="N148" i="4"/>
  <c r="L148" i="4"/>
  <c r="K148" i="4"/>
  <c r="J148" i="4"/>
  <c r="I148" i="4"/>
  <c r="H148" i="4"/>
  <c r="G148" i="4"/>
  <c r="F148" i="4"/>
  <c r="E148" i="4"/>
  <c r="D148" i="4"/>
  <c r="C148" i="4"/>
  <c r="B148" i="4"/>
  <c r="Y147" i="4"/>
  <c r="M147" i="4" s="1"/>
  <c r="R147" i="4"/>
  <c r="Q147" i="4"/>
  <c r="P147" i="4"/>
  <c r="O147" i="4"/>
  <c r="N147" i="4"/>
  <c r="L147" i="4"/>
  <c r="K147" i="4"/>
  <c r="J147" i="4"/>
  <c r="I147" i="4"/>
  <c r="H147" i="4"/>
  <c r="G147" i="4"/>
  <c r="F147" i="4"/>
  <c r="E147" i="4"/>
  <c r="D147" i="4"/>
  <c r="C147" i="4"/>
  <c r="B147" i="4"/>
  <c r="Y146" i="4"/>
  <c r="M146" i="4" s="1"/>
  <c r="R146" i="4"/>
  <c r="Q146" i="4"/>
  <c r="P146" i="4"/>
  <c r="O146" i="4"/>
  <c r="N146" i="4"/>
  <c r="L146" i="4"/>
  <c r="K146" i="4"/>
  <c r="J146" i="4"/>
  <c r="I146" i="4"/>
  <c r="H146" i="4"/>
  <c r="G146" i="4"/>
  <c r="F146" i="4"/>
  <c r="E146" i="4"/>
  <c r="D146" i="4"/>
  <c r="C146" i="4"/>
  <c r="B146" i="4"/>
  <c r="Y145" i="4"/>
  <c r="M145" i="4" s="1"/>
  <c r="R145" i="4"/>
  <c r="Q145" i="4"/>
  <c r="P145" i="4"/>
  <c r="O145" i="4" s="1"/>
  <c r="N145" i="4"/>
  <c r="L145" i="4"/>
  <c r="K145" i="4"/>
  <c r="J145" i="4"/>
  <c r="I145" i="4"/>
  <c r="H145" i="4"/>
  <c r="G145" i="4"/>
  <c r="F145" i="4"/>
  <c r="E145" i="4"/>
  <c r="D145" i="4"/>
  <c r="C145" i="4"/>
  <c r="B145" i="4"/>
  <c r="Y144" i="4"/>
  <c r="M144" i="4" s="1"/>
  <c r="R144" i="4"/>
  <c r="Q144" i="4"/>
  <c r="P144" i="4"/>
  <c r="N144" i="4"/>
  <c r="L144" i="4"/>
  <c r="K144" i="4"/>
  <c r="J144" i="4"/>
  <c r="I144" i="4"/>
  <c r="H144" i="4"/>
  <c r="G144" i="4"/>
  <c r="F144" i="4"/>
  <c r="E144" i="4"/>
  <c r="D144" i="4"/>
  <c r="C144" i="4"/>
  <c r="B144" i="4"/>
  <c r="Y143" i="4"/>
  <c r="M143" i="4" s="1"/>
  <c r="R143" i="4"/>
  <c r="Q143" i="4"/>
  <c r="P143" i="4"/>
  <c r="N143" i="4"/>
  <c r="L143" i="4"/>
  <c r="K143" i="4"/>
  <c r="J143" i="4"/>
  <c r="I143" i="4"/>
  <c r="T143" i="4" s="1"/>
  <c r="H143" i="4"/>
  <c r="G143" i="4"/>
  <c r="F143" i="4"/>
  <c r="E143" i="4"/>
  <c r="D143" i="4"/>
  <c r="C143" i="4"/>
  <c r="B143" i="4"/>
  <c r="Y142" i="4"/>
  <c r="M142" i="4" s="1"/>
  <c r="R142" i="4"/>
  <c r="T142" i="4" s="1"/>
  <c r="W142" i="4" s="1"/>
  <c r="Q142" i="4"/>
  <c r="P142" i="4"/>
  <c r="O142" i="4"/>
  <c r="N142" i="4"/>
  <c r="L142" i="4"/>
  <c r="K142" i="4"/>
  <c r="J142" i="4"/>
  <c r="I142" i="4"/>
  <c r="H142" i="4"/>
  <c r="G142" i="4"/>
  <c r="F142" i="4"/>
  <c r="E142" i="4"/>
  <c r="D142" i="4"/>
  <c r="C142" i="4"/>
  <c r="B142" i="4"/>
  <c r="Y141" i="4"/>
  <c r="M141" i="4" s="1"/>
  <c r="R141" i="4"/>
  <c r="Q141" i="4"/>
  <c r="P141" i="4"/>
  <c r="N141" i="4"/>
  <c r="L141" i="4"/>
  <c r="K141" i="4"/>
  <c r="J141" i="4"/>
  <c r="I141" i="4"/>
  <c r="H141" i="4"/>
  <c r="G141" i="4"/>
  <c r="F141" i="4"/>
  <c r="E141" i="4"/>
  <c r="D141" i="4"/>
  <c r="C141" i="4"/>
  <c r="B141" i="4"/>
  <c r="Y140" i="4"/>
  <c r="M140" i="4" s="1"/>
  <c r="R140" i="4"/>
  <c r="Q140" i="4"/>
  <c r="P140" i="4"/>
  <c r="O140" i="4" s="1"/>
  <c r="N140" i="4"/>
  <c r="L140" i="4"/>
  <c r="K140" i="4"/>
  <c r="J140" i="4"/>
  <c r="I140" i="4"/>
  <c r="T140" i="4" s="1"/>
  <c r="U140" i="4" s="1"/>
  <c r="H140" i="4"/>
  <c r="G140" i="4"/>
  <c r="F140" i="4"/>
  <c r="E140" i="4"/>
  <c r="D140" i="4"/>
  <c r="C140" i="4"/>
  <c r="B140" i="4"/>
  <c r="Y139" i="4"/>
  <c r="M139" i="4" s="1"/>
  <c r="R139" i="4"/>
  <c r="Q139" i="4"/>
  <c r="P139" i="4"/>
  <c r="O139" i="4" s="1"/>
  <c r="N139" i="4"/>
  <c r="L139" i="4"/>
  <c r="K139" i="4"/>
  <c r="J139" i="4"/>
  <c r="I139" i="4"/>
  <c r="H139" i="4"/>
  <c r="G139" i="4"/>
  <c r="F139" i="4"/>
  <c r="E139" i="4"/>
  <c r="D139" i="4"/>
  <c r="C139" i="4"/>
  <c r="B139" i="4"/>
  <c r="Y138" i="4"/>
  <c r="M138" i="4" s="1"/>
  <c r="R138" i="4"/>
  <c r="Q138" i="4"/>
  <c r="P138" i="4"/>
  <c r="O138" i="4" s="1"/>
  <c r="N138" i="4"/>
  <c r="L138" i="4"/>
  <c r="K138" i="4"/>
  <c r="J138" i="4"/>
  <c r="I138" i="4"/>
  <c r="T138" i="4" s="1"/>
  <c r="H138" i="4"/>
  <c r="G138" i="4"/>
  <c r="F138" i="4"/>
  <c r="E138" i="4"/>
  <c r="D138" i="4"/>
  <c r="C138" i="4"/>
  <c r="B138" i="4"/>
  <c r="Y137" i="4"/>
  <c r="M137" i="4" s="1"/>
  <c r="R137" i="4"/>
  <c r="Q137" i="4"/>
  <c r="P137" i="4"/>
  <c r="O137" i="4" s="1"/>
  <c r="N137" i="4"/>
  <c r="L137" i="4"/>
  <c r="K137" i="4"/>
  <c r="J137" i="4"/>
  <c r="I137" i="4"/>
  <c r="H137" i="4"/>
  <c r="G137" i="4"/>
  <c r="F137" i="4"/>
  <c r="E137" i="4"/>
  <c r="D137" i="4"/>
  <c r="C137" i="4"/>
  <c r="B137" i="4"/>
  <c r="Y136" i="4"/>
  <c r="M136" i="4" s="1"/>
  <c r="R136" i="4"/>
  <c r="Q136" i="4"/>
  <c r="P136" i="4"/>
  <c r="N136" i="4"/>
  <c r="L136" i="4"/>
  <c r="K136" i="4"/>
  <c r="J136" i="4"/>
  <c r="I136" i="4"/>
  <c r="H136" i="4"/>
  <c r="G136" i="4"/>
  <c r="F136" i="4"/>
  <c r="E136" i="4"/>
  <c r="D136" i="4"/>
  <c r="C136" i="4"/>
  <c r="B136" i="4"/>
  <c r="Y135" i="4"/>
  <c r="M135" i="4" s="1"/>
  <c r="R135" i="4"/>
  <c r="Q135" i="4"/>
  <c r="P135" i="4"/>
  <c r="O135" i="4" s="1"/>
  <c r="N135" i="4"/>
  <c r="L135" i="4"/>
  <c r="K135" i="4"/>
  <c r="J135" i="4"/>
  <c r="I135" i="4"/>
  <c r="H135" i="4"/>
  <c r="G135" i="4"/>
  <c r="F135" i="4"/>
  <c r="E135" i="4"/>
  <c r="D135" i="4"/>
  <c r="C135" i="4"/>
  <c r="B135" i="4"/>
  <c r="Y134" i="4"/>
  <c r="M134" i="4" s="1"/>
  <c r="R134" i="4"/>
  <c r="Q134" i="4"/>
  <c r="P134" i="4"/>
  <c r="O134" i="4" s="1"/>
  <c r="N134" i="4"/>
  <c r="L134" i="4"/>
  <c r="K134" i="4"/>
  <c r="J134" i="4"/>
  <c r="I134" i="4"/>
  <c r="H134" i="4"/>
  <c r="G134" i="4"/>
  <c r="F134" i="4"/>
  <c r="E134" i="4"/>
  <c r="D134" i="4"/>
  <c r="C134" i="4"/>
  <c r="B134" i="4"/>
  <c r="Y133" i="4"/>
  <c r="M133" i="4" s="1"/>
  <c r="R133" i="4"/>
  <c r="Q133" i="4"/>
  <c r="O133" i="4" s="1"/>
  <c r="P133" i="4"/>
  <c r="N133" i="4"/>
  <c r="L133" i="4"/>
  <c r="K133" i="4"/>
  <c r="J133" i="4"/>
  <c r="I133" i="4"/>
  <c r="H133" i="4"/>
  <c r="G133" i="4"/>
  <c r="F133" i="4"/>
  <c r="E133" i="4"/>
  <c r="D133" i="4"/>
  <c r="C133" i="4"/>
  <c r="B133" i="4"/>
  <c r="Y132" i="4"/>
  <c r="M132" i="4" s="1"/>
  <c r="R132" i="4"/>
  <c r="Q132" i="4"/>
  <c r="P132" i="4"/>
  <c r="O132" i="4" s="1"/>
  <c r="N132" i="4"/>
  <c r="L132" i="4"/>
  <c r="K132" i="4"/>
  <c r="J132" i="4"/>
  <c r="I132" i="4"/>
  <c r="H132" i="4"/>
  <c r="G132" i="4"/>
  <c r="F132" i="4"/>
  <c r="E132" i="4"/>
  <c r="D132" i="4"/>
  <c r="C132" i="4"/>
  <c r="B132" i="4"/>
  <c r="Y131" i="4"/>
  <c r="M131" i="4" s="1"/>
  <c r="R131" i="4"/>
  <c r="Q131" i="4"/>
  <c r="P131" i="4"/>
  <c r="N131" i="4"/>
  <c r="L131" i="4"/>
  <c r="K131" i="4"/>
  <c r="J131" i="4"/>
  <c r="I131" i="4"/>
  <c r="H131" i="4"/>
  <c r="G131" i="4"/>
  <c r="F131" i="4"/>
  <c r="E131" i="4"/>
  <c r="D131" i="4"/>
  <c r="C131" i="4"/>
  <c r="B131" i="4"/>
  <c r="Y130" i="4"/>
  <c r="M130" i="4" s="1"/>
  <c r="R130" i="4"/>
  <c r="Q130" i="4"/>
  <c r="P130" i="4"/>
  <c r="N130" i="4"/>
  <c r="L130" i="4"/>
  <c r="K130" i="4"/>
  <c r="J130" i="4"/>
  <c r="I130" i="4"/>
  <c r="H130" i="4"/>
  <c r="G130" i="4"/>
  <c r="F130" i="4"/>
  <c r="E130" i="4"/>
  <c r="D130" i="4"/>
  <c r="C130" i="4"/>
  <c r="B130" i="4"/>
  <c r="Y129" i="4"/>
  <c r="M129" i="4" s="1"/>
  <c r="R129" i="4"/>
  <c r="Q129" i="4"/>
  <c r="P129" i="4"/>
  <c r="O129" i="4" s="1"/>
  <c r="N129" i="4"/>
  <c r="L129" i="4"/>
  <c r="K129" i="4"/>
  <c r="J129" i="4"/>
  <c r="I129" i="4"/>
  <c r="H129" i="4"/>
  <c r="G129" i="4"/>
  <c r="F129" i="4"/>
  <c r="E129" i="4"/>
  <c r="D129" i="4"/>
  <c r="C129" i="4"/>
  <c r="B129" i="4"/>
  <c r="Y128" i="4"/>
  <c r="M128" i="4" s="1"/>
  <c r="R128" i="4"/>
  <c r="Q128" i="4"/>
  <c r="O128" i="4" s="1"/>
  <c r="P128" i="4"/>
  <c r="N128" i="4"/>
  <c r="L128" i="4"/>
  <c r="K128" i="4"/>
  <c r="J128" i="4"/>
  <c r="I128" i="4"/>
  <c r="H128" i="4"/>
  <c r="G128" i="4"/>
  <c r="F128" i="4"/>
  <c r="E128" i="4"/>
  <c r="D128" i="4"/>
  <c r="C128" i="4"/>
  <c r="B128" i="4"/>
  <c r="Y127" i="4"/>
  <c r="M127" i="4" s="1"/>
  <c r="R127" i="4"/>
  <c r="Q127" i="4"/>
  <c r="P127" i="4"/>
  <c r="O127" i="4" s="1"/>
  <c r="N127" i="4"/>
  <c r="L127" i="4"/>
  <c r="K127" i="4"/>
  <c r="J127" i="4"/>
  <c r="I127" i="4"/>
  <c r="H127" i="4"/>
  <c r="G127" i="4"/>
  <c r="F127" i="4"/>
  <c r="E127" i="4"/>
  <c r="D127" i="4"/>
  <c r="C127" i="4"/>
  <c r="B127" i="4"/>
  <c r="Y126" i="4"/>
  <c r="M126" i="4" s="1"/>
  <c r="R126" i="4"/>
  <c r="Q126" i="4"/>
  <c r="P126" i="4"/>
  <c r="O126" i="4"/>
  <c r="N126" i="4"/>
  <c r="L126" i="4"/>
  <c r="K126" i="4"/>
  <c r="J126" i="4"/>
  <c r="I126" i="4"/>
  <c r="T126" i="4" s="1"/>
  <c r="H126" i="4"/>
  <c r="G126" i="4"/>
  <c r="F126" i="4"/>
  <c r="E126" i="4"/>
  <c r="D126" i="4"/>
  <c r="C126" i="4"/>
  <c r="B126" i="4"/>
  <c r="Y125" i="4"/>
  <c r="M125" i="4" s="1"/>
  <c r="R125" i="4"/>
  <c r="Q125" i="4"/>
  <c r="P125" i="4"/>
  <c r="N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M124" i="4" s="1"/>
  <c r="R124" i="4"/>
  <c r="Q124" i="4"/>
  <c r="P124" i="4"/>
  <c r="N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M123" i="4" s="1"/>
  <c r="R123" i="4"/>
  <c r="Q123" i="4"/>
  <c r="P123" i="4"/>
  <c r="N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M122" i="4" s="1"/>
  <c r="R122" i="4"/>
  <c r="Q122" i="4"/>
  <c r="P122" i="4"/>
  <c r="O122" i="4"/>
  <c r="N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M121" i="4" s="1"/>
  <c r="R121" i="4"/>
  <c r="Q121" i="4"/>
  <c r="P121" i="4"/>
  <c r="N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M120" i="4" s="1"/>
  <c r="R120" i="4"/>
  <c r="Q120" i="4"/>
  <c r="P120" i="4"/>
  <c r="N120" i="4"/>
  <c r="L120" i="4"/>
  <c r="K120" i="4"/>
  <c r="J120" i="4"/>
  <c r="I120" i="4"/>
  <c r="T120" i="4" s="1"/>
  <c r="U120" i="4" s="1"/>
  <c r="H120" i="4"/>
  <c r="G120" i="4"/>
  <c r="F120" i="4"/>
  <c r="E120" i="4"/>
  <c r="D120" i="4"/>
  <c r="C120" i="4"/>
  <c r="B120" i="4"/>
  <c r="Y119" i="4"/>
  <c r="M119" i="4" s="1"/>
  <c r="R119" i="4"/>
  <c r="Q119" i="4"/>
  <c r="O119" i="4" s="1"/>
  <c r="P119" i="4"/>
  <c r="N119" i="4"/>
  <c r="L119" i="4"/>
  <c r="K119" i="4"/>
  <c r="J119" i="4"/>
  <c r="I119" i="4"/>
  <c r="T119" i="4" s="1"/>
  <c r="H119" i="4"/>
  <c r="G119" i="4"/>
  <c r="F119" i="4"/>
  <c r="E119" i="4"/>
  <c r="D119" i="4"/>
  <c r="C119" i="4"/>
  <c r="B119" i="4"/>
  <c r="Y118" i="4"/>
  <c r="M118" i="4" s="1"/>
  <c r="R118" i="4"/>
  <c r="Q118" i="4"/>
  <c r="P118" i="4"/>
  <c r="O118" i="4"/>
  <c r="N118" i="4"/>
  <c r="L118" i="4"/>
  <c r="K118" i="4"/>
  <c r="J118" i="4"/>
  <c r="I118" i="4"/>
  <c r="T118" i="4" s="1"/>
  <c r="H118" i="4"/>
  <c r="G118" i="4"/>
  <c r="F118" i="4"/>
  <c r="E118" i="4"/>
  <c r="D118" i="4"/>
  <c r="C118" i="4"/>
  <c r="B118" i="4"/>
  <c r="Y117" i="4"/>
  <c r="M117" i="4" s="1"/>
  <c r="R117" i="4"/>
  <c r="Q117" i="4"/>
  <c r="P117" i="4"/>
  <c r="N117" i="4"/>
  <c r="L117" i="4"/>
  <c r="K117" i="4"/>
  <c r="J117" i="4"/>
  <c r="I117" i="4"/>
  <c r="H117" i="4"/>
  <c r="G117" i="4"/>
  <c r="F117" i="4"/>
  <c r="E117" i="4"/>
  <c r="D117" i="4"/>
  <c r="C117" i="4"/>
  <c r="B117" i="4"/>
  <c r="Y116" i="4"/>
  <c r="M116" i="4" s="1"/>
  <c r="R116" i="4"/>
  <c r="Q116" i="4"/>
  <c r="P116" i="4"/>
  <c r="O116" i="4" s="1"/>
  <c r="N116" i="4"/>
  <c r="L116" i="4"/>
  <c r="K116" i="4"/>
  <c r="J116" i="4"/>
  <c r="I116" i="4"/>
  <c r="H116" i="4"/>
  <c r="G116" i="4"/>
  <c r="F116" i="4"/>
  <c r="E116" i="4"/>
  <c r="D116" i="4"/>
  <c r="C116" i="4"/>
  <c r="B116" i="4"/>
  <c r="Y115" i="4"/>
  <c r="M115" i="4" s="1"/>
  <c r="R115" i="4"/>
  <c r="Q115" i="4"/>
  <c r="P115" i="4"/>
  <c r="O115" i="4" s="1"/>
  <c r="N115" i="4"/>
  <c r="L115" i="4"/>
  <c r="K115" i="4"/>
  <c r="J115" i="4"/>
  <c r="I115" i="4"/>
  <c r="H115" i="4"/>
  <c r="G115" i="4"/>
  <c r="F115" i="4"/>
  <c r="E115" i="4"/>
  <c r="D115" i="4"/>
  <c r="C115" i="4"/>
  <c r="B115" i="4"/>
  <c r="Y114" i="4"/>
  <c r="M114" i="4" s="1"/>
  <c r="R114" i="4"/>
  <c r="Q114" i="4"/>
  <c r="O114" i="4" s="1"/>
  <c r="P114" i="4"/>
  <c r="N114" i="4"/>
  <c r="L114" i="4"/>
  <c r="K114" i="4"/>
  <c r="J114" i="4"/>
  <c r="I114" i="4"/>
  <c r="H114" i="4"/>
  <c r="G114" i="4"/>
  <c r="F114" i="4"/>
  <c r="E114" i="4"/>
  <c r="D114" i="4"/>
  <c r="C114" i="4"/>
  <c r="B114" i="4"/>
  <c r="Y113" i="4"/>
  <c r="M113" i="4" s="1"/>
  <c r="R113" i="4"/>
  <c r="Q113" i="4"/>
  <c r="P113" i="4"/>
  <c r="N113" i="4"/>
  <c r="L113" i="4"/>
  <c r="K113" i="4"/>
  <c r="J113" i="4"/>
  <c r="I113" i="4"/>
  <c r="T113" i="4" s="1"/>
  <c r="H113" i="4"/>
  <c r="G113" i="4"/>
  <c r="F113" i="4"/>
  <c r="E113" i="4"/>
  <c r="D113" i="4"/>
  <c r="C113" i="4"/>
  <c r="B113" i="4"/>
  <c r="Y112" i="4"/>
  <c r="M112" i="4" s="1"/>
  <c r="R112" i="4"/>
  <c r="Q112" i="4"/>
  <c r="P112" i="4"/>
  <c r="O112" i="4" s="1"/>
  <c r="N112" i="4"/>
  <c r="L112" i="4"/>
  <c r="K112" i="4"/>
  <c r="J112" i="4"/>
  <c r="I112" i="4"/>
  <c r="H112" i="4"/>
  <c r="G112" i="4"/>
  <c r="F112" i="4"/>
  <c r="E112" i="4"/>
  <c r="D112" i="4"/>
  <c r="C112" i="4"/>
  <c r="B112" i="4"/>
  <c r="Y111" i="4"/>
  <c r="M111" i="4" s="1"/>
  <c r="R111" i="4"/>
  <c r="Q111" i="4"/>
  <c r="P111" i="4"/>
  <c r="N111" i="4"/>
  <c r="L111" i="4"/>
  <c r="K111" i="4"/>
  <c r="J111" i="4"/>
  <c r="I111" i="4"/>
  <c r="H111" i="4"/>
  <c r="G111" i="4"/>
  <c r="F111" i="4"/>
  <c r="E111" i="4"/>
  <c r="D111" i="4"/>
  <c r="C111" i="4"/>
  <c r="B111" i="4"/>
  <c r="Y110" i="4"/>
  <c r="M110" i="4" s="1"/>
  <c r="R110" i="4"/>
  <c r="Q110" i="4"/>
  <c r="P110" i="4"/>
  <c r="O110" i="4" s="1"/>
  <c r="N110" i="4"/>
  <c r="L110" i="4"/>
  <c r="K110" i="4"/>
  <c r="J110" i="4"/>
  <c r="I110" i="4"/>
  <c r="H110" i="4"/>
  <c r="G110" i="4"/>
  <c r="F110" i="4"/>
  <c r="E110" i="4"/>
  <c r="D110" i="4"/>
  <c r="C110" i="4"/>
  <c r="B110" i="4"/>
  <c r="Y109" i="4"/>
  <c r="M109" i="4" s="1"/>
  <c r="R109" i="4"/>
  <c r="Q109" i="4"/>
  <c r="P109" i="4"/>
  <c r="O109" i="4" s="1"/>
  <c r="N109" i="4"/>
  <c r="L109" i="4"/>
  <c r="K109" i="4"/>
  <c r="J109" i="4"/>
  <c r="I109" i="4"/>
  <c r="H109" i="4"/>
  <c r="G109" i="4"/>
  <c r="F109" i="4"/>
  <c r="E109" i="4"/>
  <c r="D109" i="4"/>
  <c r="C109" i="4"/>
  <c r="B109" i="4"/>
  <c r="Y108" i="4"/>
  <c r="M108" i="4" s="1"/>
  <c r="R108" i="4"/>
  <c r="Q108" i="4"/>
  <c r="O108" i="4" s="1"/>
  <c r="P108" i="4"/>
  <c r="N108" i="4"/>
  <c r="L108" i="4"/>
  <c r="K108" i="4"/>
  <c r="J108" i="4"/>
  <c r="I108" i="4"/>
  <c r="H108" i="4"/>
  <c r="G108" i="4"/>
  <c r="F108" i="4"/>
  <c r="E108" i="4"/>
  <c r="D108" i="4"/>
  <c r="C108" i="4"/>
  <c r="B108" i="4"/>
  <c r="Y107" i="4"/>
  <c r="M107" i="4" s="1"/>
  <c r="R107" i="4"/>
  <c r="Q107" i="4"/>
  <c r="O107" i="4" s="1"/>
  <c r="P107" i="4"/>
  <c r="N107" i="4"/>
  <c r="L107" i="4"/>
  <c r="K107" i="4"/>
  <c r="J107" i="4"/>
  <c r="I107" i="4"/>
  <c r="H107" i="4"/>
  <c r="G107" i="4"/>
  <c r="F107" i="4"/>
  <c r="E107" i="4"/>
  <c r="D107" i="4"/>
  <c r="C107" i="4"/>
  <c r="B107" i="4"/>
  <c r="Y106" i="4"/>
  <c r="M106" i="4" s="1"/>
  <c r="R106" i="4"/>
  <c r="Q106" i="4"/>
  <c r="P106" i="4"/>
  <c r="O106" i="4"/>
  <c r="N106" i="4"/>
  <c r="L106" i="4"/>
  <c r="K106" i="4"/>
  <c r="J106" i="4"/>
  <c r="I106" i="4"/>
  <c r="H106" i="4"/>
  <c r="G106" i="4"/>
  <c r="F106" i="4"/>
  <c r="E106" i="4"/>
  <c r="D106" i="4"/>
  <c r="C106" i="4"/>
  <c r="B106" i="4"/>
  <c r="Y105" i="4"/>
  <c r="M105" i="4" s="1"/>
  <c r="R105" i="4"/>
  <c r="Q105" i="4"/>
  <c r="P105" i="4"/>
  <c r="N105" i="4"/>
  <c r="L105" i="4"/>
  <c r="K105" i="4"/>
  <c r="J105" i="4"/>
  <c r="I105" i="4"/>
  <c r="H105" i="4"/>
  <c r="G105" i="4"/>
  <c r="F105" i="4"/>
  <c r="E105" i="4"/>
  <c r="D105" i="4"/>
  <c r="C105" i="4"/>
  <c r="B105" i="4"/>
  <c r="Y104" i="4"/>
  <c r="M104" i="4" s="1"/>
  <c r="R104" i="4"/>
  <c r="Q104" i="4"/>
  <c r="P104" i="4"/>
  <c r="N104" i="4"/>
  <c r="L104" i="4"/>
  <c r="K104" i="4"/>
  <c r="J104" i="4"/>
  <c r="I104" i="4"/>
  <c r="H104" i="4"/>
  <c r="G104" i="4"/>
  <c r="F104" i="4"/>
  <c r="E104" i="4"/>
  <c r="D104" i="4"/>
  <c r="C104" i="4"/>
  <c r="B104" i="4"/>
  <c r="Y103" i="4"/>
  <c r="M103" i="4" s="1"/>
  <c r="R103" i="4"/>
  <c r="Q103" i="4"/>
  <c r="P103" i="4"/>
  <c r="O103" i="4" s="1"/>
  <c r="N103" i="4"/>
  <c r="L103" i="4"/>
  <c r="K103" i="4"/>
  <c r="J103" i="4"/>
  <c r="I103" i="4"/>
  <c r="H103" i="4"/>
  <c r="G103" i="4"/>
  <c r="F103" i="4"/>
  <c r="E103" i="4"/>
  <c r="D103" i="4"/>
  <c r="C103" i="4"/>
  <c r="B103" i="4"/>
  <c r="Y102" i="4"/>
  <c r="M102" i="4" s="1"/>
  <c r="R102" i="4"/>
  <c r="Q102" i="4"/>
  <c r="P102" i="4"/>
  <c r="O102" i="4" s="1"/>
  <c r="N102" i="4"/>
  <c r="L102" i="4"/>
  <c r="K102" i="4"/>
  <c r="J102" i="4"/>
  <c r="I102" i="4"/>
  <c r="H102" i="4"/>
  <c r="G102" i="4"/>
  <c r="F102" i="4"/>
  <c r="E102" i="4"/>
  <c r="D102" i="4"/>
  <c r="C102" i="4"/>
  <c r="B102" i="4"/>
  <c r="Y101" i="4"/>
  <c r="M101" i="4" s="1"/>
  <c r="R101" i="4"/>
  <c r="Q101" i="4"/>
  <c r="P101" i="4"/>
  <c r="N101" i="4"/>
  <c r="L101" i="4"/>
  <c r="K101" i="4"/>
  <c r="J101" i="4"/>
  <c r="I101" i="4"/>
  <c r="T101" i="4" s="1"/>
  <c r="H101" i="4"/>
  <c r="G101" i="4"/>
  <c r="F101" i="4"/>
  <c r="E101" i="4"/>
  <c r="D101" i="4"/>
  <c r="C101" i="4"/>
  <c r="B101" i="4"/>
  <c r="Y100" i="4"/>
  <c r="M100" i="4" s="1"/>
  <c r="R100" i="4"/>
  <c r="Q100" i="4"/>
  <c r="P100" i="4"/>
  <c r="N100" i="4"/>
  <c r="L100" i="4"/>
  <c r="K100" i="4"/>
  <c r="J100" i="4"/>
  <c r="I100" i="4"/>
  <c r="H100" i="4"/>
  <c r="G100" i="4"/>
  <c r="F100" i="4"/>
  <c r="E100" i="4"/>
  <c r="D100" i="4"/>
  <c r="C100" i="4"/>
  <c r="B100" i="4"/>
  <c r="Y99" i="4"/>
  <c r="M99" i="4" s="1"/>
  <c r="R99" i="4"/>
  <c r="Q99" i="4"/>
  <c r="P99" i="4"/>
  <c r="O99" i="4" s="1"/>
  <c r="N99" i="4"/>
  <c r="L99" i="4"/>
  <c r="K99" i="4"/>
  <c r="J99" i="4"/>
  <c r="I99" i="4"/>
  <c r="H99" i="4"/>
  <c r="G99" i="4"/>
  <c r="F99" i="4"/>
  <c r="E99" i="4"/>
  <c r="D99" i="4"/>
  <c r="C99" i="4"/>
  <c r="B99" i="4"/>
  <c r="Y98" i="4"/>
  <c r="M98" i="4" s="1"/>
  <c r="R98" i="4"/>
  <c r="Q98" i="4"/>
  <c r="O98" i="4" s="1"/>
  <c r="P98" i="4"/>
  <c r="N98" i="4"/>
  <c r="L98" i="4"/>
  <c r="K98" i="4"/>
  <c r="J98" i="4"/>
  <c r="I98" i="4"/>
  <c r="H98" i="4"/>
  <c r="G98" i="4"/>
  <c r="F98" i="4"/>
  <c r="E98" i="4"/>
  <c r="D98" i="4"/>
  <c r="C98" i="4"/>
  <c r="B98" i="4"/>
  <c r="Y97" i="4"/>
  <c r="M97" i="4" s="1"/>
  <c r="R97" i="4"/>
  <c r="Q97" i="4"/>
  <c r="P97" i="4"/>
  <c r="O97" i="4" s="1"/>
  <c r="N97" i="4"/>
  <c r="L97" i="4"/>
  <c r="K97" i="4"/>
  <c r="J97" i="4"/>
  <c r="I97" i="4"/>
  <c r="H97" i="4"/>
  <c r="G97" i="4"/>
  <c r="F97" i="4"/>
  <c r="E97" i="4"/>
  <c r="D97" i="4"/>
  <c r="C97" i="4"/>
  <c r="B97" i="4"/>
  <c r="Y96" i="4"/>
  <c r="M96" i="4" s="1"/>
  <c r="R96" i="4"/>
  <c r="Q96" i="4"/>
  <c r="P96" i="4"/>
  <c r="O96" i="4"/>
  <c r="N96" i="4"/>
  <c r="L96" i="4"/>
  <c r="K96" i="4"/>
  <c r="J96" i="4"/>
  <c r="I96" i="4"/>
  <c r="H96" i="4"/>
  <c r="G96" i="4"/>
  <c r="F96" i="4"/>
  <c r="E96" i="4"/>
  <c r="D96" i="4"/>
  <c r="C96" i="4"/>
  <c r="B96" i="4"/>
  <c r="Y95" i="4"/>
  <c r="M95" i="4" s="1"/>
  <c r="R95" i="4"/>
  <c r="Q95" i="4"/>
  <c r="P95" i="4"/>
  <c r="O95" i="4" s="1"/>
  <c r="N95" i="4"/>
  <c r="L95" i="4"/>
  <c r="K95" i="4"/>
  <c r="J95" i="4"/>
  <c r="I95" i="4"/>
  <c r="H95" i="4"/>
  <c r="G95" i="4"/>
  <c r="F95" i="4"/>
  <c r="E95" i="4"/>
  <c r="D95" i="4"/>
  <c r="C95" i="4"/>
  <c r="B95" i="4"/>
  <c r="Y94" i="4"/>
  <c r="M94" i="4" s="1"/>
  <c r="R94" i="4"/>
  <c r="Q94" i="4"/>
  <c r="O94" i="4" s="1"/>
  <c r="P94" i="4"/>
  <c r="N94" i="4"/>
  <c r="L94" i="4"/>
  <c r="K94" i="4"/>
  <c r="J94" i="4"/>
  <c r="I94" i="4"/>
  <c r="H94" i="4"/>
  <c r="G94" i="4"/>
  <c r="F94" i="4"/>
  <c r="E94" i="4"/>
  <c r="D94" i="4"/>
  <c r="C94" i="4"/>
  <c r="B94" i="4"/>
  <c r="Y93" i="4"/>
  <c r="M93" i="4" s="1"/>
  <c r="R93" i="4"/>
  <c r="Q93" i="4"/>
  <c r="P93" i="4"/>
  <c r="O93" i="4"/>
  <c r="N93" i="4"/>
  <c r="L93" i="4"/>
  <c r="K93" i="4"/>
  <c r="J93" i="4"/>
  <c r="I93" i="4"/>
  <c r="H93" i="4"/>
  <c r="G93" i="4"/>
  <c r="F93" i="4"/>
  <c r="E93" i="4"/>
  <c r="D93" i="4"/>
  <c r="C93" i="4"/>
  <c r="B93" i="4"/>
  <c r="Y92" i="4"/>
  <c r="M92" i="4" s="1"/>
  <c r="R92" i="4"/>
  <c r="Q92" i="4"/>
  <c r="P92" i="4"/>
  <c r="O92" i="4" s="1"/>
  <c r="N92" i="4"/>
  <c r="L92" i="4"/>
  <c r="K92" i="4"/>
  <c r="J92" i="4"/>
  <c r="I92" i="4"/>
  <c r="H92" i="4"/>
  <c r="G92" i="4"/>
  <c r="F92" i="4"/>
  <c r="E92" i="4"/>
  <c r="D92" i="4"/>
  <c r="C92" i="4"/>
  <c r="B92" i="4"/>
  <c r="Y91" i="4"/>
  <c r="M91" i="4" s="1"/>
  <c r="R91" i="4"/>
  <c r="Q91" i="4"/>
  <c r="P91" i="4"/>
  <c r="N91" i="4"/>
  <c r="L91" i="4"/>
  <c r="K91" i="4"/>
  <c r="J91" i="4"/>
  <c r="I91" i="4"/>
  <c r="H91" i="4"/>
  <c r="G91" i="4"/>
  <c r="F91" i="4"/>
  <c r="E91" i="4"/>
  <c r="D91" i="4"/>
  <c r="C91" i="4"/>
  <c r="B91" i="4"/>
  <c r="Y90" i="4"/>
  <c r="M90" i="4" s="1"/>
  <c r="R90" i="4"/>
  <c r="Q90" i="4"/>
  <c r="P90" i="4"/>
  <c r="N90" i="4"/>
  <c r="L90" i="4"/>
  <c r="K90" i="4"/>
  <c r="J90" i="4"/>
  <c r="I90" i="4"/>
  <c r="H90" i="4"/>
  <c r="G90" i="4"/>
  <c r="F90" i="4"/>
  <c r="E90" i="4"/>
  <c r="D90" i="4"/>
  <c r="C90" i="4"/>
  <c r="B90" i="4"/>
  <c r="Y89" i="4"/>
  <c r="M89" i="4" s="1"/>
  <c r="R89" i="4"/>
  <c r="Q89" i="4"/>
  <c r="P89" i="4"/>
  <c r="N89" i="4"/>
  <c r="L89" i="4"/>
  <c r="K89" i="4"/>
  <c r="J89" i="4"/>
  <c r="I89" i="4"/>
  <c r="T89" i="4" s="1"/>
  <c r="H89" i="4"/>
  <c r="G89" i="4"/>
  <c r="F89" i="4"/>
  <c r="E89" i="4"/>
  <c r="D89" i="4"/>
  <c r="C89" i="4"/>
  <c r="B89" i="4"/>
  <c r="Y88" i="4"/>
  <c r="M88" i="4" s="1"/>
  <c r="R88" i="4"/>
  <c r="Q88" i="4"/>
  <c r="P88" i="4"/>
  <c r="O88" i="4"/>
  <c r="N88" i="4"/>
  <c r="L88" i="4"/>
  <c r="K88" i="4"/>
  <c r="J88" i="4"/>
  <c r="I88" i="4"/>
  <c r="H88" i="4"/>
  <c r="G88" i="4"/>
  <c r="F88" i="4"/>
  <c r="E88" i="4"/>
  <c r="D88" i="4"/>
  <c r="C88" i="4"/>
  <c r="B88" i="4"/>
  <c r="Y87" i="4"/>
  <c r="M87" i="4" s="1"/>
  <c r="R87" i="4"/>
  <c r="Q87" i="4"/>
  <c r="P87" i="4"/>
  <c r="O87" i="4" s="1"/>
  <c r="N87" i="4"/>
  <c r="L87" i="4"/>
  <c r="K87" i="4"/>
  <c r="J87" i="4"/>
  <c r="I87" i="4"/>
  <c r="H87" i="4"/>
  <c r="G87" i="4"/>
  <c r="F87" i="4"/>
  <c r="E87" i="4"/>
  <c r="D87" i="4"/>
  <c r="C87" i="4"/>
  <c r="B87" i="4"/>
  <c r="Y86" i="4"/>
  <c r="M86" i="4" s="1"/>
  <c r="R86" i="4"/>
  <c r="Q86" i="4"/>
  <c r="P86" i="4"/>
  <c r="O86" i="4" s="1"/>
  <c r="N86" i="4"/>
  <c r="L86" i="4"/>
  <c r="K86" i="4"/>
  <c r="J86" i="4"/>
  <c r="I86" i="4"/>
  <c r="H86" i="4"/>
  <c r="G86" i="4"/>
  <c r="F86" i="4"/>
  <c r="E86" i="4"/>
  <c r="D86" i="4"/>
  <c r="C86" i="4"/>
  <c r="B86" i="4"/>
  <c r="Y85" i="4"/>
  <c r="M85" i="4" s="1"/>
  <c r="R85" i="4"/>
  <c r="Q85" i="4"/>
  <c r="P85" i="4"/>
  <c r="O85" i="4" s="1"/>
  <c r="N85" i="4"/>
  <c r="L85" i="4"/>
  <c r="K85" i="4"/>
  <c r="J85" i="4"/>
  <c r="I85" i="4"/>
  <c r="H85" i="4"/>
  <c r="G85" i="4"/>
  <c r="F85" i="4"/>
  <c r="E85" i="4"/>
  <c r="D85" i="4"/>
  <c r="C85" i="4"/>
  <c r="B85" i="4"/>
  <c r="Y84" i="4"/>
  <c r="M84" i="4" s="1"/>
  <c r="R84" i="4"/>
  <c r="Q84" i="4"/>
  <c r="O84" i="4" s="1"/>
  <c r="P84" i="4"/>
  <c r="N84" i="4"/>
  <c r="L84" i="4"/>
  <c r="K84" i="4"/>
  <c r="J84" i="4"/>
  <c r="I84" i="4"/>
  <c r="H84" i="4"/>
  <c r="G84" i="4"/>
  <c r="F84" i="4"/>
  <c r="E84" i="4"/>
  <c r="D84" i="4"/>
  <c r="C84" i="4"/>
  <c r="B84" i="4"/>
  <c r="Y83" i="4"/>
  <c r="M83" i="4" s="1"/>
  <c r="R83" i="4"/>
  <c r="Q83" i="4"/>
  <c r="P83" i="4"/>
  <c r="O83" i="4" s="1"/>
  <c r="N83" i="4"/>
  <c r="L83" i="4"/>
  <c r="K83" i="4"/>
  <c r="J83" i="4"/>
  <c r="I83" i="4"/>
  <c r="H83" i="4"/>
  <c r="G83" i="4"/>
  <c r="F83" i="4"/>
  <c r="E83" i="4"/>
  <c r="D83" i="4"/>
  <c r="C83" i="4"/>
  <c r="B83" i="4"/>
  <c r="Y82" i="4"/>
  <c r="M82" i="4" s="1"/>
  <c r="R82" i="4"/>
  <c r="Q82" i="4"/>
  <c r="P82" i="4"/>
  <c r="O82" i="4" s="1"/>
  <c r="N82" i="4"/>
  <c r="L82" i="4"/>
  <c r="K82" i="4"/>
  <c r="J82" i="4"/>
  <c r="I82" i="4"/>
  <c r="T82" i="4" s="1"/>
  <c r="H82" i="4"/>
  <c r="G82" i="4"/>
  <c r="F82" i="4"/>
  <c r="E82" i="4"/>
  <c r="D82" i="4"/>
  <c r="C82" i="4"/>
  <c r="B82" i="4"/>
  <c r="Y81" i="4"/>
  <c r="M81" i="4" s="1"/>
  <c r="R81" i="4"/>
  <c r="Q81" i="4"/>
  <c r="P81" i="4"/>
  <c r="N81" i="4"/>
  <c r="L81" i="4"/>
  <c r="K81" i="4"/>
  <c r="J81" i="4"/>
  <c r="I81" i="4"/>
  <c r="H81" i="4"/>
  <c r="G81" i="4"/>
  <c r="F81" i="4"/>
  <c r="E81" i="4"/>
  <c r="D81" i="4"/>
  <c r="C81" i="4"/>
  <c r="B81" i="4"/>
  <c r="Y80" i="4"/>
  <c r="M80" i="4" s="1"/>
  <c r="R80" i="4"/>
  <c r="Q80" i="4"/>
  <c r="O80" i="4" s="1"/>
  <c r="P80" i="4"/>
  <c r="N80" i="4"/>
  <c r="L80" i="4"/>
  <c r="K80" i="4"/>
  <c r="J80" i="4"/>
  <c r="I80" i="4"/>
  <c r="H80" i="4"/>
  <c r="G80" i="4"/>
  <c r="F80" i="4"/>
  <c r="E80" i="4"/>
  <c r="D80" i="4"/>
  <c r="C80" i="4"/>
  <c r="B80" i="4"/>
  <c r="Y79" i="4"/>
  <c r="M79" i="4" s="1"/>
  <c r="R79" i="4"/>
  <c r="Q79" i="4"/>
  <c r="P79" i="4"/>
  <c r="N79" i="4"/>
  <c r="L79" i="4"/>
  <c r="K79" i="4"/>
  <c r="J79" i="4"/>
  <c r="I79" i="4"/>
  <c r="H79" i="4"/>
  <c r="G79" i="4"/>
  <c r="F79" i="4"/>
  <c r="E79" i="4"/>
  <c r="D79" i="4"/>
  <c r="C79" i="4"/>
  <c r="B79" i="4"/>
  <c r="Y78" i="4"/>
  <c r="M78" i="4" s="1"/>
  <c r="R78" i="4"/>
  <c r="Q78" i="4"/>
  <c r="P78" i="4"/>
  <c r="O78" i="4" s="1"/>
  <c r="N78" i="4"/>
  <c r="L78" i="4"/>
  <c r="K78" i="4"/>
  <c r="J78" i="4"/>
  <c r="I78" i="4"/>
  <c r="H78" i="4"/>
  <c r="G78" i="4"/>
  <c r="F78" i="4"/>
  <c r="E78" i="4"/>
  <c r="D78" i="4"/>
  <c r="C78" i="4"/>
  <c r="B78" i="4"/>
  <c r="Y77" i="4"/>
  <c r="M77" i="4" s="1"/>
  <c r="R77" i="4"/>
  <c r="Q77" i="4"/>
  <c r="P77" i="4"/>
  <c r="O77" i="4" s="1"/>
  <c r="N77" i="4"/>
  <c r="L77" i="4"/>
  <c r="K77" i="4"/>
  <c r="J77" i="4"/>
  <c r="I77" i="4"/>
  <c r="H77" i="4"/>
  <c r="G77" i="4"/>
  <c r="F77" i="4"/>
  <c r="E77" i="4"/>
  <c r="D77" i="4"/>
  <c r="C77" i="4"/>
  <c r="B77" i="4"/>
  <c r="Y76" i="4"/>
  <c r="M76" i="4" s="1"/>
  <c r="R76" i="4"/>
  <c r="Q76" i="4"/>
  <c r="P76" i="4"/>
  <c r="O76" i="4" s="1"/>
  <c r="N76" i="4"/>
  <c r="L76" i="4"/>
  <c r="K76" i="4"/>
  <c r="J76" i="4"/>
  <c r="I76" i="4"/>
  <c r="H76" i="4"/>
  <c r="S76" i="4" s="1"/>
  <c r="G76" i="4"/>
  <c r="F76" i="4"/>
  <c r="E76" i="4"/>
  <c r="D76" i="4"/>
  <c r="C76" i="4"/>
  <c r="B76" i="4"/>
  <c r="Y75" i="4"/>
  <c r="M75" i="4" s="1"/>
  <c r="R75" i="4"/>
  <c r="Q75" i="4"/>
  <c r="P75" i="4"/>
  <c r="O75" i="4" s="1"/>
  <c r="N75" i="4"/>
  <c r="L75" i="4"/>
  <c r="K75" i="4"/>
  <c r="J75" i="4"/>
  <c r="I75" i="4"/>
  <c r="H75" i="4"/>
  <c r="G75" i="4"/>
  <c r="F75" i="4"/>
  <c r="E75" i="4"/>
  <c r="D75" i="4"/>
  <c r="C75" i="4"/>
  <c r="B75" i="4"/>
  <c r="Y74" i="4"/>
  <c r="M74" i="4" s="1"/>
  <c r="R74" i="4"/>
  <c r="Q74" i="4"/>
  <c r="P74" i="4"/>
  <c r="N74" i="4"/>
  <c r="L74" i="4"/>
  <c r="K74" i="4"/>
  <c r="J74" i="4"/>
  <c r="I74" i="4"/>
  <c r="H74" i="4"/>
  <c r="G74" i="4"/>
  <c r="F74" i="4"/>
  <c r="E74" i="4"/>
  <c r="D74" i="4"/>
  <c r="C74" i="4"/>
  <c r="B74" i="4"/>
  <c r="Y73" i="4"/>
  <c r="M73" i="4" s="1"/>
  <c r="R73" i="4"/>
  <c r="Q73" i="4"/>
  <c r="P73" i="4"/>
  <c r="O73" i="4"/>
  <c r="N73" i="4"/>
  <c r="L73" i="4"/>
  <c r="K73" i="4"/>
  <c r="J73" i="4"/>
  <c r="I73" i="4"/>
  <c r="H73" i="4"/>
  <c r="G73" i="4"/>
  <c r="F73" i="4"/>
  <c r="E73" i="4"/>
  <c r="D73" i="4"/>
  <c r="C73" i="4"/>
  <c r="B73" i="4"/>
  <c r="Y72" i="4"/>
  <c r="M72" i="4" s="1"/>
  <c r="R72" i="4"/>
  <c r="Q72" i="4"/>
  <c r="P72" i="4"/>
  <c r="O72" i="4" s="1"/>
  <c r="N72" i="4"/>
  <c r="L72" i="4"/>
  <c r="K72" i="4"/>
  <c r="T72" i="4" s="1"/>
  <c r="J72" i="4"/>
  <c r="I72" i="4"/>
  <c r="H72" i="4"/>
  <c r="G72" i="4"/>
  <c r="F72" i="4"/>
  <c r="E72" i="4"/>
  <c r="D72" i="4"/>
  <c r="C72" i="4"/>
  <c r="B72" i="4"/>
  <c r="Y71" i="4"/>
  <c r="M71" i="4" s="1"/>
  <c r="R71" i="4"/>
  <c r="Q71" i="4"/>
  <c r="P71" i="4"/>
  <c r="N71" i="4"/>
  <c r="L71" i="4"/>
  <c r="K71" i="4"/>
  <c r="J71" i="4"/>
  <c r="I71" i="4"/>
  <c r="H71" i="4"/>
  <c r="G71" i="4"/>
  <c r="F71" i="4"/>
  <c r="E71" i="4"/>
  <c r="D71" i="4"/>
  <c r="C71" i="4"/>
  <c r="B71" i="4"/>
  <c r="Y70" i="4"/>
  <c r="M70" i="4" s="1"/>
  <c r="R70" i="4"/>
  <c r="Q70" i="4"/>
  <c r="O70" i="4" s="1"/>
  <c r="P70" i="4"/>
  <c r="N70" i="4"/>
  <c r="L70" i="4"/>
  <c r="K70" i="4"/>
  <c r="J70" i="4"/>
  <c r="I70" i="4"/>
  <c r="H70" i="4"/>
  <c r="G70" i="4"/>
  <c r="F70" i="4"/>
  <c r="E70" i="4"/>
  <c r="D70" i="4"/>
  <c r="C70" i="4"/>
  <c r="B70" i="4"/>
  <c r="Y69" i="4"/>
  <c r="M69" i="4" s="1"/>
  <c r="R69" i="4"/>
  <c r="Q69" i="4"/>
  <c r="P69" i="4"/>
  <c r="N69" i="4"/>
  <c r="L69" i="4"/>
  <c r="K69" i="4"/>
  <c r="J69" i="4"/>
  <c r="I69" i="4"/>
  <c r="H69" i="4"/>
  <c r="G69" i="4"/>
  <c r="F69" i="4"/>
  <c r="E69" i="4"/>
  <c r="D69" i="4"/>
  <c r="C69" i="4"/>
  <c r="B69" i="4"/>
  <c r="Y68" i="4"/>
  <c r="M68" i="4" s="1"/>
  <c r="R68" i="4"/>
  <c r="Q68" i="4"/>
  <c r="P68" i="4"/>
  <c r="O68" i="4" s="1"/>
  <c r="N68" i="4"/>
  <c r="L68" i="4"/>
  <c r="K68" i="4"/>
  <c r="J68" i="4"/>
  <c r="I68" i="4"/>
  <c r="T68" i="4" s="1"/>
  <c r="H68" i="4"/>
  <c r="G68" i="4"/>
  <c r="F68" i="4"/>
  <c r="E68" i="4"/>
  <c r="D68" i="4"/>
  <c r="C68" i="4"/>
  <c r="B68" i="4"/>
  <c r="Y67" i="4"/>
  <c r="M67" i="4" s="1"/>
  <c r="R67" i="4"/>
  <c r="Q67" i="4"/>
  <c r="P67" i="4"/>
  <c r="N67" i="4"/>
  <c r="L67" i="4"/>
  <c r="K67" i="4"/>
  <c r="T67" i="4" s="1"/>
  <c r="J67" i="4"/>
  <c r="I67" i="4"/>
  <c r="H67" i="4"/>
  <c r="G67" i="4"/>
  <c r="F67" i="4"/>
  <c r="E67" i="4"/>
  <c r="D67" i="4"/>
  <c r="C67" i="4"/>
  <c r="B67" i="4"/>
  <c r="Y66" i="4"/>
  <c r="M66" i="4" s="1"/>
  <c r="R66" i="4"/>
  <c r="Q66" i="4"/>
  <c r="P66" i="4"/>
  <c r="O66" i="4" s="1"/>
  <c r="N66" i="4"/>
  <c r="L66" i="4"/>
  <c r="K66" i="4"/>
  <c r="J66" i="4"/>
  <c r="I66" i="4"/>
  <c r="H66" i="4"/>
  <c r="G66" i="4"/>
  <c r="F66" i="4"/>
  <c r="E66" i="4"/>
  <c r="D66" i="4"/>
  <c r="C66" i="4"/>
  <c r="B66" i="4"/>
  <c r="Y65" i="4"/>
  <c r="M65" i="4" s="1"/>
  <c r="R65" i="4"/>
  <c r="Q65" i="4"/>
  <c r="P65" i="4"/>
  <c r="O65" i="4"/>
  <c r="N65" i="4"/>
  <c r="L65" i="4"/>
  <c r="K65" i="4"/>
  <c r="J65" i="4"/>
  <c r="I65" i="4"/>
  <c r="H65" i="4"/>
  <c r="G65" i="4"/>
  <c r="F65" i="4"/>
  <c r="E65" i="4"/>
  <c r="D65" i="4"/>
  <c r="C65" i="4"/>
  <c r="B65" i="4"/>
  <c r="Y64" i="4"/>
  <c r="M64" i="4" s="1"/>
  <c r="R64" i="4"/>
  <c r="Q64" i="4"/>
  <c r="P64" i="4"/>
  <c r="N64" i="4"/>
  <c r="L64" i="4"/>
  <c r="K64" i="4"/>
  <c r="J64" i="4"/>
  <c r="I64" i="4"/>
  <c r="T64" i="4" s="1"/>
  <c r="H64" i="4"/>
  <c r="G64" i="4"/>
  <c r="F64" i="4"/>
  <c r="E64" i="4"/>
  <c r="D64" i="4"/>
  <c r="C64" i="4"/>
  <c r="B64" i="4"/>
  <c r="Y63" i="4"/>
  <c r="M63" i="4" s="1"/>
  <c r="R63" i="4"/>
  <c r="Q63" i="4"/>
  <c r="P63" i="4"/>
  <c r="O63" i="4"/>
  <c r="N63" i="4"/>
  <c r="L63" i="4"/>
  <c r="K63" i="4"/>
  <c r="J63" i="4"/>
  <c r="I63" i="4"/>
  <c r="H63" i="4"/>
  <c r="G63" i="4"/>
  <c r="F63" i="4"/>
  <c r="E63" i="4"/>
  <c r="D63" i="4"/>
  <c r="C63" i="4"/>
  <c r="B63" i="4"/>
  <c r="Y62" i="4"/>
  <c r="M62" i="4" s="1"/>
  <c r="R62" i="4"/>
  <c r="Q62" i="4"/>
  <c r="P62" i="4"/>
  <c r="O62" i="4"/>
  <c r="N62" i="4"/>
  <c r="L62" i="4"/>
  <c r="K62" i="4"/>
  <c r="J62" i="4"/>
  <c r="I62" i="4"/>
  <c r="H62" i="4"/>
  <c r="G62" i="4"/>
  <c r="F62" i="4"/>
  <c r="E62" i="4"/>
  <c r="D62" i="4"/>
  <c r="C62" i="4"/>
  <c r="B62" i="4"/>
  <c r="Y61" i="4"/>
  <c r="M61" i="4" s="1"/>
  <c r="R61" i="4"/>
  <c r="Q61" i="4"/>
  <c r="P61" i="4"/>
  <c r="N61" i="4"/>
  <c r="L61" i="4"/>
  <c r="K61" i="4"/>
  <c r="J61" i="4"/>
  <c r="I61" i="4"/>
  <c r="H61" i="4"/>
  <c r="G61" i="4"/>
  <c r="F61" i="4"/>
  <c r="E61" i="4"/>
  <c r="D61" i="4"/>
  <c r="C61" i="4"/>
  <c r="B61" i="4"/>
  <c r="Y60" i="4"/>
  <c r="M60" i="4" s="1"/>
  <c r="R60" i="4"/>
  <c r="Q60" i="4"/>
  <c r="O60" i="4" s="1"/>
  <c r="P60" i="4"/>
  <c r="N60" i="4"/>
  <c r="L60" i="4"/>
  <c r="K60" i="4"/>
  <c r="J60" i="4"/>
  <c r="I60" i="4"/>
  <c r="H60" i="4"/>
  <c r="G60" i="4"/>
  <c r="F60" i="4"/>
  <c r="E60" i="4"/>
  <c r="D60" i="4"/>
  <c r="C60" i="4"/>
  <c r="B60" i="4"/>
  <c r="Y59" i="4"/>
  <c r="M59" i="4" s="1"/>
  <c r="R59" i="4"/>
  <c r="Q59" i="4"/>
  <c r="P59" i="4"/>
  <c r="N59" i="4"/>
  <c r="L59" i="4"/>
  <c r="K59" i="4"/>
  <c r="J59" i="4"/>
  <c r="I59" i="4"/>
  <c r="H59" i="4"/>
  <c r="G59" i="4"/>
  <c r="F59" i="4"/>
  <c r="E59" i="4"/>
  <c r="D59" i="4"/>
  <c r="C59" i="4"/>
  <c r="B59" i="4"/>
  <c r="Y58" i="4"/>
  <c r="M58" i="4" s="1"/>
  <c r="R58" i="4"/>
  <c r="Q58" i="4"/>
  <c r="O58" i="4" s="1"/>
  <c r="P58" i="4"/>
  <c r="N58" i="4"/>
  <c r="L58" i="4"/>
  <c r="K58" i="4"/>
  <c r="J58" i="4"/>
  <c r="I58" i="4"/>
  <c r="H58" i="4"/>
  <c r="G58" i="4"/>
  <c r="F58" i="4"/>
  <c r="E58" i="4"/>
  <c r="D58" i="4"/>
  <c r="C58" i="4"/>
  <c r="B58" i="4"/>
  <c r="Y57" i="4"/>
  <c r="M57" i="4" s="1"/>
  <c r="R57" i="4"/>
  <c r="Q57" i="4"/>
  <c r="P57" i="4"/>
  <c r="O57" i="4" s="1"/>
  <c r="N57" i="4"/>
  <c r="L57" i="4"/>
  <c r="K57" i="4"/>
  <c r="J57" i="4"/>
  <c r="I57" i="4"/>
  <c r="H57" i="4"/>
  <c r="G57" i="4"/>
  <c r="F57" i="4"/>
  <c r="E57" i="4"/>
  <c r="D57" i="4"/>
  <c r="C57" i="4"/>
  <c r="B57" i="4"/>
  <c r="Y56" i="4"/>
  <c r="M56" i="4" s="1"/>
  <c r="R56" i="4"/>
  <c r="Q56" i="4"/>
  <c r="P56" i="4"/>
  <c r="O56" i="4" s="1"/>
  <c r="N56" i="4"/>
  <c r="L56" i="4"/>
  <c r="K56" i="4"/>
  <c r="J56" i="4"/>
  <c r="I56" i="4"/>
  <c r="H56" i="4"/>
  <c r="G56" i="4"/>
  <c r="F56" i="4"/>
  <c r="E56" i="4"/>
  <c r="D56" i="4"/>
  <c r="C56" i="4"/>
  <c r="B56" i="4"/>
  <c r="Y55" i="4"/>
  <c r="M55" i="4" s="1"/>
  <c r="R55" i="4"/>
  <c r="Q55" i="4"/>
  <c r="P55" i="4"/>
  <c r="N55" i="4"/>
  <c r="L55" i="4"/>
  <c r="K55" i="4"/>
  <c r="J55" i="4"/>
  <c r="I55" i="4"/>
  <c r="H55" i="4"/>
  <c r="G55" i="4"/>
  <c r="F55" i="4"/>
  <c r="E55" i="4"/>
  <c r="D55" i="4"/>
  <c r="C55" i="4"/>
  <c r="B55" i="4"/>
  <c r="Y54" i="4"/>
  <c r="M54" i="4" s="1"/>
  <c r="R54" i="4"/>
  <c r="Q54" i="4"/>
  <c r="P54" i="4"/>
  <c r="N54" i="4"/>
  <c r="L54" i="4"/>
  <c r="K54" i="4"/>
  <c r="J54" i="4"/>
  <c r="I54" i="4"/>
  <c r="H54" i="4"/>
  <c r="G54" i="4"/>
  <c r="F54" i="4"/>
  <c r="E54" i="4"/>
  <c r="D54" i="4"/>
  <c r="C54" i="4"/>
  <c r="B54" i="4"/>
  <c r="Y53" i="4"/>
  <c r="M53" i="4" s="1"/>
  <c r="R53" i="4"/>
  <c r="Q53" i="4"/>
  <c r="O53" i="4" s="1"/>
  <c r="P53" i="4"/>
  <c r="N53" i="4"/>
  <c r="L53" i="4"/>
  <c r="K53" i="4"/>
  <c r="J53" i="4"/>
  <c r="I53" i="4"/>
  <c r="H53" i="4"/>
  <c r="G53" i="4"/>
  <c r="F53" i="4"/>
  <c r="E53" i="4"/>
  <c r="D53" i="4"/>
  <c r="C53" i="4"/>
  <c r="B53" i="4"/>
  <c r="Y52" i="4"/>
  <c r="M52" i="4" s="1"/>
  <c r="R52" i="4"/>
  <c r="Q52" i="4"/>
  <c r="P52" i="4"/>
  <c r="O52" i="4" s="1"/>
  <c r="N52" i="4"/>
  <c r="L52" i="4"/>
  <c r="K52" i="4"/>
  <c r="J52" i="4"/>
  <c r="I52" i="4"/>
  <c r="H52" i="4"/>
  <c r="G52" i="4"/>
  <c r="F52" i="4"/>
  <c r="E52" i="4"/>
  <c r="D52" i="4"/>
  <c r="C52" i="4"/>
  <c r="B52" i="4"/>
  <c r="Y51" i="4"/>
  <c r="M51" i="4" s="1"/>
  <c r="R51" i="4"/>
  <c r="Q51" i="4"/>
  <c r="P51" i="4"/>
  <c r="O51" i="4" s="1"/>
  <c r="N51" i="4"/>
  <c r="L51" i="4"/>
  <c r="K51" i="4"/>
  <c r="J51" i="4"/>
  <c r="I51" i="4"/>
  <c r="H51" i="4"/>
  <c r="G51" i="4"/>
  <c r="F51" i="4"/>
  <c r="E51" i="4"/>
  <c r="D51" i="4"/>
  <c r="C51" i="4"/>
  <c r="B51" i="4"/>
  <c r="Y50" i="4"/>
  <c r="M50" i="4" s="1"/>
  <c r="R50" i="4"/>
  <c r="Q50" i="4"/>
  <c r="P50" i="4"/>
  <c r="N50" i="4"/>
  <c r="L50" i="4"/>
  <c r="K50" i="4"/>
  <c r="J50" i="4"/>
  <c r="I50" i="4"/>
  <c r="T50" i="4" s="1"/>
  <c r="H50" i="4"/>
  <c r="G50" i="4"/>
  <c r="F50" i="4"/>
  <c r="E50" i="4"/>
  <c r="D50" i="4"/>
  <c r="C50" i="4"/>
  <c r="B50" i="4"/>
  <c r="Y49" i="4"/>
  <c r="M49" i="4" s="1"/>
  <c r="R49" i="4"/>
  <c r="Q49" i="4"/>
  <c r="P49" i="4"/>
  <c r="N49" i="4"/>
  <c r="L49" i="4"/>
  <c r="K49" i="4"/>
  <c r="J49" i="4"/>
  <c r="I49" i="4"/>
  <c r="H49" i="4"/>
  <c r="G49" i="4"/>
  <c r="F49" i="4"/>
  <c r="E49" i="4"/>
  <c r="D49" i="4"/>
  <c r="C49" i="4"/>
  <c r="B49" i="4"/>
  <c r="Y48" i="4"/>
  <c r="M48" i="4" s="1"/>
  <c r="R48" i="4"/>
  <c r="Q48" i="4"/>
  <c r="P48" i="4"/>
  <c r="O48" i="4" s="1"/>
  <c r="N48" i="4"/>
  <c r="L48" i="4"/>
  <c r="K48" i="4"/>
  <c r="J48" i="4"/>
  <c r="I48" i="4"/>
  <c r="H48" i="4"/>
  <c r="G48" i="4"/>
  <c r="F48" i="4"/>
  <c r="E48" i="4"/>
  <c r="D48" i="4"/>
  <c r="C48" i="4"/>
  <c r="B48" i="4"/>
  <c r="Y47" i="4"/>
  <c r="M47" i="4" s="1"/>
  <c r="R47" i="4"/>
  <c r="Q47" i="4"/>
  <c r="P47" i="4"/>
  <c r="O47" i="4" s="1"/>
  <c r="N47" i="4"/>
  <c r="L47" i="4"/>
  <c r="K47" i="4"/>
  <c r="J47" i="4"/>
  <c r="I47" i="4"/>
  <c r="H47" i="4"/>
  <c r="G47" i="4"/>
  <c r="F47" i="4"/>
  <c r="E47" i="4"/>
  <c r="D47" i="4"/>
  <c r="C47" i="4"/>
  <c r="B47" i="4"/>
  <c r="Y46" i="4"/>
  <c r="M46" i="4" s="1"/>
  <c r="R46" i="4"/>
  <c r="Q46" i="4"/>
  <c r="P46" i="4"/>
  <c r="N46" i="4"/>
  <c r="L46" i="4"/>
  <c r="K46" i="4"/>
  <c r="J46" i="4"/>
  <c r="I46" i="4"/>
  <c r="H46" i="4"/>
  <c r="G46" i="4"/>
  <c r="F46" i="4"/>
  <c r="E46" i="4"/>
  <c r="D46" i="4"/>
  <c r="C46" i="4"/>
  <c r="B46" i="4"/>
  <c r="Y45" i="4"/>
  <c r="M45" i="4" s="1"/>
  <c r="R45" i="4"/>
  <c r="Q45" i="4"/>
  <c r="P45" i="4"/>
  <c r="O45" i="4"/>
  <c r="N45" i="4"/>
  <c r="L45" i="4"/>
  <c r="K45" i="4"/>
  <c r="J45" i="4"/>
  <c r="I45" i="4"/>
  <c r="H45" i="4"/>
  <c r="G45" i="4"/>
  <c r="F45" i="4"/>
  <c r="E45" i="4"/>
  <c r="D45" i="4"/>
  <c r="C45" i="4"/>
  <c r="B45" i="4"/>
  <c r="Y44" i="4"/>
  <c r="M44" i="4" s="1"/>
  <c r="R44" i="4"/>
  <c r="Q44" i="4"/>
  <c r="O44" i="4" s="1"/>
  <c r="P44" i="4"/>
  <c r="N44" i="4"/>
  <c r="L44" i="4"/>
  <c r="K44" i="4"/>
  <c r="J44" i="4"/>
  <c r="I44" i="4"/>
  <c r="H44" i="4"/>
  <c r="G44" i="4"/>
  <c r="F44" i="4"/>
  <c r="E44" i="4"/>
  <c r="D44" i="4"/>
  <c r="C44" i="4"/>
  <c r="B44" i="4"/>
  <c r="Y43" i="4"/>
  <c r="M43" i="4" s="1"/>
  <c r="R43" i="4"/>
  <c r="Q43" i="4"/>
  <c r="P43" i="4"/>
  <c r="O43" i="4"/>
  <c r="N43" i="4"/>
  <c r="L43" i="4"/>
  <c r="K43" i="4"/>
  <c r="J43" i="4"/>
  <c r="I43" i="4"/>
  <c r="H43" i="4"/>
  <c r="G43" i="4"/>
  <c r="F43" i="4"/>
  <c r="E43" i="4"/>
  <c r="D43" i="4"/>
  <c r="C43" i="4"/>
  <c r="B43" i="4"/>
  <c r="Y42" i="4"/>
  <c r="M42" i="4" s="1"/>
  <c r="R42" i="4"/>
  <c r="Q42" i="4"/>
  <c r="P42" i="4"/>
  <c r="O42" i="4"/>
  <c r="N42" i="4"/>
  <c r="L42" i="4"/>
  <c r="K42" i="4"/>
  <c r="J42" i="4"/>
  <c r="I42" i="4"/>
  <c r="H42" i="4"/>
  <c r="G42" i="4"/>
  <c r="F42" i="4"/>
  <c r="E42" i="4"/>
  <c r="D42" i="4"/>
  <c r="C42" i="4"/>
  <c r="B42" i="4"/>
  <c r="Y41" i="4"/>
  <c r="M41" i="4" s="1"/>
  <c r="R41" i="4"/>
  <c r="Q41" i="4"/>
  <c r="P41" i="4"/>
  <c r="N41" i="4"/>
  <c r="L41" i="4"/>
  <c r="K41" i="4"/>
  <c r="J41" i="4"/>
  <c r="I41" i="4"/>
  <c r="H41" i="4"/>
  <c r="G41" i="4"/>
  <c r="F41" i="4"/>
  <c r="E41" i="4"/>
  <c r="D41" i="4"/>
  <c r="C41" i="4"/>
  <c r="B41" i="4"/>
  <c r="Y40" i="4"/>
  <c r="M40" i="4" s="1"/>
  <c r="R40" i="4"/>
  <c r="Q40" i="4"/>
  <c r="P40" i="4"/>
  <c r="O40" i="4" s="1"/>
  <c r="N40" i="4"/>
  <c r="L40" i="4"/>
  <c r="K40" i="4"/>
  <c r="J40" i="4"/>
  <c r="I40" i="4"/>
  <c r="H40" i="4"/>
  <c r="G40" i="4"/>
  <c r="F40" i="4"/>
  <c r="E40" i="4"/>
  <c r="D40" i="4"/>
  <c r="C40" i="4"/>
  <c r="B40" i="4"/>
  <c r="Y39" i="4"/>
  <c r="M39" i="4" s="1"/>
  <c r="R39" i="4"/>
  <c r="Q39" i="4"/>
  <c r="O39" i="4" s="1"/>
  <c r="P39" i="4"/>
  <c r="N39" i="4"/>
  <c r="L39" i="4"/>
  <c r="K39" i="4"/>
  <c r="J39" i="4"/>
  <c r="I39" i="4"/>
  <c r="H39" i="4"/>
  <c r="G39" i="4"/>
  <c r="F39" i="4"/>
  <c r="E39" i="4"/>
  <c r="D39" i="4"/>
  <c r="C39" i="4"/>
  <c r="B39" i="4"/>
  <c r="Y38" i="4"/>
  <c r="M38" i="4" s="1"/>
  <c r="R38" i="4"/>
  <c r="Q38" i="4"/>
  <c r="P38" i="4"/>
  <c r="O38" i="4"/>
  <c r="N38" i="4"/>
  <c r="L38" i="4"/>
  <c r="K38" i="4"/>
  <c r="J38" i="4"/>
  <c r="I38" i="4"/>
  <c r="H38" i="4"/>
  <c r="G38" i="4"/>
  <c r="F38" i="4"/>
  <c r="E38" i="4"/>
  <c r="D38" i="4"/>
  <c r="C38" i="4"/>
  <c r="B38" i="4"/>
  <c r="Y37" i="4"/>
  <c r="M37" i="4" s="1"/>
  <c r="R37" i="4"/>
  <c r="Q37" i="4"/>
  <c r="P37" i="4"/>
  <c r="N37" i="4"/>
  <c r="L37" i="4"/>
  <c r="K37" i="4"/>
  <c r="J37" i="4"/>
  <c r="I37" i="4"/>
  <c r="H37" i="4"/>
  <c r="G37" i="4"/>
  <c r="F37" i="4"/>
  <c r="E37" i="4"/>
  <c r="D37" i="4"/>
  <c r="C37" i="4"/>
  <c r="B37" i="4"/>
  <c r="Y36" i="4"/>
  <c r="M36" i="4" s="1"/>
  <c r="R36" i="4"/>
  <c r="Q36" i="4"/>
  <c r="P36" i="4"/>
  <c r="O36" i="4" s="1"/>
  <c r="N36" i="4"/>
  <c r="L36" i="4"/>
  <c r="K36" i="4"/>
  <c r="J36" i="4"/>
  <c r="I36" i="4"/>
  <c r="H36" i="4"/>
  <c r="G36" i="4"/>
  <c r="F36" i="4"/>
  <c r="E36" i="4"/>
  <c r="D36" i="4"/>
  <c r="C36" i="4"/>
  <c r="B36" i="4"/>
  <c r="Y35" i="4"/>
  <c r="M35" i="4" s="1"/>
  <c r="R35" i="4"/>
  <c r="Q35" i="4"/>
  <c r="P35" i="4"/>
  <c r="O35" i="4" s="1"/>
  <c r="N35" i="4"/>
  <c r="L35" i="4"/>
  <c r="K35" i="4"/>
  <c r="J35" i="4"/>
  <c r="I35" i="4"/>
  <c r="H35" i="4"/>
  <c r="G35" i="4"/>
  <c r="F35" i="4"/>
  <c r="E35" i="4"/>
  <c r="D35" i="4"/>
  <c r="C35" i="4"/>
  <c r="B35" i="4"/>
  <c r="Y34" i="4"/>
  <c r="M34" i="4" s="1"/>
  <c r="R34" i="4"/>
  <c r="Q34" i="4"/>
  <c r="P34" i="4"/>
  <c r="N34" i="4"/>
  <c r="L34" i="4"/>
  <c r="K34" i="4"/>
  <c r="J34" i="4"/>
  <c r="I34" i="4"/>
  <c r="H34" i="4"/>
  <c r="G34" i="4"/>
  <c r="F34" i="4"/>
  <c r="E34" i="4"/>
  <c r="D34" i="4"/>
  <c r="C34" i="4"/>
  <c r="B34" i="4"/>
  <c r="Y33" i="4"/>
  <c r="M33" i="4" s="1"/>
  <c r="R33" i="4"/>
  <c r="Q33" i="4"/>
  <c r="P33" i="4"/>
  <c r="O33" i="4"/>
  <c r="N33" i="4"/>
  <c r="L33" i="4"/>
  <c r="K33" i="4"/>
  <c r="J33" i="4"/>
  <c r="I33" i="4"/>
  <c r="H33" i="4"/>
  <c r="G33" i="4"/>
  <c r="F33" i="4"/>
  <c r="E33" i="4"/>
  <c r="D33" i="4"/>
  <c r="C33" i="4"/>
  <c r="B33" i="4"/>
  <c r="Y32" i="4"/>
  <c r="M32" i="4" s="1"/>
  <c r="R32" i="4"/>
  <c r="Q32" i="4"/>
  <c r="P32" i="4"/>
  <c r="O32" i="4"/>
  <c r="N32" i="4"/>
  <c r="L32" i="4"/>
  <c r="K32" i="4"/>
  <c r="J32" i="4"/>
  <c r="I32" i="4"/>
  <c r="H32" i="4"/>
  <c r="G32" i="4"/>
  <c r="F32" i="4"/>
  <c r="E32" i="4"/>
  <c r="D32" i="4"/>
  <c r="C32" i="4"/>
  <c r="B32" i="4"/>
  <c r="Y31" i="4"/>
  <c r="M31" i="4" s="1"/>
  <c r="R31" i="4"/>
  <c r="Q31" i="4"/>
  <c r="P31" i="4"/>
  <c r="N31" i="4"/>
  <c r="L31" i="4"/>
  <c r="K31" i="4"/>
  <c r="J31" i="4"/>
  <c r="I31" i="4"/>
  <c r="H31" i="4"/>
  <c r="G31" i="4"/>
  <c r="F31" i="4"/>
  <c r="E31" i="4"/>
  <c r="D31" i="4"/>
  <c r="C31" i="4"/>
  <c r="B31" i="4"/>
  <c r="Y30" i="4"/>
  <c r="M30" i="4" s="1"/>
  <c r="R30" i="4"/>
  <c r="Q30" i="4"/>
  <c r="O30" i="4" s="1"/>
  <c r="P30" i="4"/>
  <c r="N30" i="4"/>
  <c r="L30" i="4"/>
  <c r="K30" i="4"/>
  <c r="J30" i="4"/>
  <c r="I30" i="4"/>
  <c r="H30" i="4"/>
  <c r="G30" i="4"/>
  <c r="F30" i="4"/>
  <c r="E30" i="4"/>
  <c r="D30" i="4"/>
  <c r="C30" i="4"/>
  <c r="B30" i="4"/>
  <c r="Y29" i="4"/>
  <c r="M29" i="4" s="1"/>
  <c r="R29" i="4"/>
  <c r="Q29" i="4"/>
  <c r="P29" i="4"/>
  <c r="N29" i="4"/>
  <c r="L29" i="4"/>
  <c r="K29" i="4"/>
  <c r="J29" i="4"/>
  <c r="I29" i="4"/>
  <c r="H29" i="4"/>
  <c r="G29" i="4"/>
  <c r="F29" i="4"/>
  <c r="E29" i="4"/>
  <c r="D29" i="4"/>
  <c r="C29" i="4"/>
  <c r="B29" i="4"/>
  <c r="Y28" i="4"/>
  <c r="M28" i="4" s="1"/>
  <c r="R28" i="4"/>
  <c r="Q28" i="4"/>
  <c r="P28" i="4"/>
  <c r="N28" i="4"/>
  <c r="L28" i="4"/>
  <c r="K28" i="4"/>
  <c r="J28" i="4"/>
  <c r="I28" i="4"/>
  <c r="H28" i="4"/>
  <c r="G28" i="4"/>
  <c r="F28" i="4"/>
  <c r="E28" i="4"/>
  <c r="D28" i="4"/>
  <c r="C28" i="4"/>
  <c r="B28" i="4"/>
  <c r="Y27" i="4"/>
  <c r="M27" i="4" s="1"/>
  <c r="R27" i="4"/>
  <c r="Q27" i="4"/>
  <c r="P27" i="4"/>
  <c r="O27" i="4" s="1"/>
  <c r="N27" i="4"/>
  <c r="L27" i="4"/>
  <c r="K27" i="4"/>
  <c r="J27" i="4"/>
  <c r="I27" i="4"/>
  <c r="H27" i="4"/>
  <c r="G27" i="4"/>
  <c r="F27" i="4"/>
  <c r="E27" i="4"/>
  <c r="D27" i="4"/>
  <c r="C27" i="4"/>
  <c r="B27" i="4"/>
  <c r="Y26" i="4"/>
  <c r="M26" i="4" s="1"/>
  <c r="R26" i="4"/>
  <c r="Q26" i="4"/>
  <c r="P26" i="4"/>
  <c r="N26" i="4"/>
  <c r="L26" i="4"/>
  <c r="K26" i="4"/>
  <c r="J26" i="4"/>
  <c r="I26" i="4"/>
  <c r="H26" i="4"/>
  <c r="G26" i="4"/>
  <c r="F26" i="4"/>
  <c r="E26" i="4"/>
  <c r="D26" i="4"/>
  <c r="C26" i="4"/>
  <c r="B26" i="4"/>
  <c r="Y25" i="4"/>
  <c r="M25" i="4" s="1"/>
  <c r="R25" i="4"/>
  <c r="Q25" i="4"/>
  <c r="P25" i="4"/>
  <c r="O25" i="4" s="1"/>
  <c r="N25" i="4"/>
  <c r="L25" i="4"/>
  <c r="K25" i="4"/>
  <c r="J25" i="4"/>
  <c r="I25" i="4"/>
  <c r="H25" i="4"/>
  <c r="G25" i="4"/>
  <c r="F25" i="4"/>
  <c r="E25" i="4"/>
  <c r="D25" i="4"/>
  <c r="C25" i="4"/>
  <c r="B25" i="4"/>
  <c r="Y24" i="4"/>
  <c r="M24" i="4" s="1"/>
  <c r="R24" i="4"/>
  <c r="Q24" i="4"/>
  <c r="P24" i="4"/>
  <c r="N24" i="4"/>
  <c r="L24" i="4"/>
  <c r="K24" i="4"/>
  <c r="J24" i="4"/>
  <c r="I24" i="4"/>
  <c r="H24" i="4"/>
  <c r="G24" i="4"/>
  <c r="F24" i="4"/>
  <c r="E24" i="4"/>
  <c r="D24" i="4"/>
  <c r="C24" i="4"/>
  <c r="B24" i="4"/>
  <c r="Y23" i="4"/>
  <c r="M23" i="4" s="1"/>
  <c r="R23" i="4"/>
  <c r="Q23" i="4"/>
  <c r="P23" i="4"/>
  <c r="O23" i="4"/>
  <c r="N23" i="4"/>
  <c r="L23" i="4"/>
  <c r="K23" i="4"/>
  <c r="J23" i="4"/>
  <c r="I23" i="4"/>
  <c r="H23" i="4"/>
  <c r="G23" i="4"/>
  <c r="F23" i="4"/>
  <c r="E23" i="4"/>
  <c r="D23" i="4"/>
  <c r="C23" i="4"/>
  <c r="B23" i="4"/>
  <c r="Y22" i="4"/>
  <c r="M22" i="4" s="1"/>
  <c r="R22" i="4"/>
  <c r="Q22" i="4"/>
  <c r="P22" i="4"/>
  <c r="O22" i="4"/>
  <c r="N22" i="4"/>
  <c r="L22" i="4"/>
  <c r="K22" i="4"/>
  <c r="J22" i="4"/>
  <c r="I22" i="4"/>
  <c r="H22" i="4"/>
  <c r="G22" i="4"/>
  <c r="F22" i="4"/>
  <c r="E22" i="4"/>
  <c r="D22" i="4"/>
  <c r="C22" i="4"/>
  <c r="B22" i="4"/>
  <c r="Y21" i="4"/>
  <c r="M21" i="4" s="1"/>
  <c r="R21" i="4"/>
  <c r="Q21" i="4"/>
  <c r="P21" i="4"/>
  <c r="O21" i="4" s="1"/>
  <c r="N21" i="4"/>
  <c r="L21" i="4"/>
  <c r="K21" i="4"/>
  <c r="J21" i="4"/>
  <c r="I21" i="4"/>
  <c r="H21" i="4"/>
  <c r="G21" i="4"/>
  <c r="F21" i="4"/>
  <c r="E21" i="4"/>
  <c r="D21" i="4"/>
  <c r="C21" i="4"/>
  <c r="B21" i="4"/>
  <c r="Y20" i="4"/>
  <c r="M20" i="4" s="1"/>
  <c r="R20" i="4"/>
  <c r="Q20" i="4"/>
  <c r="P20" i="4"/>
  <c r="N20" i="4"/>
  <c r="L20" i="4"/>
  <c r="K20" i="4"/>
  <c r="J20" i="4"/>
  <c r="I20" i="4"/>
  <c r="H20" i="4"/>
  <c r="G20" i="4"/>
  <c r="F20" i="4"/>
  <c r="E20" i="4"/>
  <c r="D20" i="4"/>
  <c r="C20" i="4"/>
  <c r="B20" i="4"/>
  <c r="Y19" i="4"/>
  <c r="M19" i="4" s="1"/>
  <c r="R19" i="4"/>
  <c r="Q19" i="4"/>
  <c r="P19" i="4"/>
  <c r="N19" i="4"/>
  <c r="L19" i="4"/>
  <c r="K19" i="4"/>
  <c r="J19" i="4"/>
  <c r="I19" i="4"/>
  <c r="H19" i="4"/>
  <c r="G19" i="4"/>
  <c r="F19" i="4"/>
  <c r="E19" i="4"/>
  <c r="D19" i="4"/>
  <c r="C19" i="4"/>
  <c r="B19" i="4"/>
  <c r="Y18" i="4"/>
  <c r="M18" i="4" s="1"/>
  <c r="R18" i="4"/>
  <c r="Q18" i="4"/>
  <c r="O18" i="4" s="1"/>
  <c r="P18" i="4"/>
  <c r="N18" i="4"/>
  <c r="L18" i="4"/>
  <c r="K18" i="4"/>
  <c r="J18" i="4"/>
  <c r="I18" i="4"/>
  <c r="T18" i="4" s="1"/>
  <c r="H18" i="4"/>
  <c r="G18" i="4"/>
  <c r="F18" i="4"/>
  <c r="E18" i="4"/>
  <c r="D18" i="4"/>
  <c r="C18" i="4"/>
  <c r="B18" i="4"/>
  <c r="Y17" i="4"/>
  <c r="M17" i="4" s="1"/>
  <c r="R17" i="4"/>
  <c r="Q17" i="4"/>
  <c r="P17" i="4"/>
  <c r="N17" i="4"/>
  <c r="L17" i="4"/>
  <c r="K17" i="4"/>
  <c r="J17" i="4"/>
  <c r="I17" i="4"/>
  <c r="H17" i="4"/>
  <c r="G17" i="4"/>
  <c r="F17" i="4"/>
  <c r="E17" i="4"/>
  <c r="D17" i="4"/>
  <c r="C17" i="4"/>
  <c r="B17" i="4"/>
  <c r="Y16" i="4"/>
  <c r="M16" i="4" s="1"/>
  <c r="R16" i="4"/>
  <c r="Q16" i="4"/>
  <c r="P16" i="4"/>
  <c r="O16" i="4" s="1"/>
  <c r="N16" i="4"/>
  <c r="L16" i="4"/>
  <c r="K16" i="4"/>
  <c r="J16" i="4"/>
  <c r="I16" i="4"/>
  <c r="H16" i="4"/>
  <c r="G16" i="4"/>
  <c r="F16" i="4"/>
  <c r="E16" i="4"/>
  <c r="D16" i="4"/>
  <c r="C16" i="4"/>
  <c r="B16" i="4"/>
  <c r="Y15" i="4"/>
  <c r="M15" i="4" s="1"/>
  <c r="R15" i="4"/>
  <c r="Q15" i="4"/>
  <c r="P15" i="4"/>
  <c r="O15" i="4" s="1"/>
  <c r="N15" i="4"/>
  <c r="L15" i="4"/>
  <c r="K15" i="4"/>
  <c r="J15" i="4"/>
  <c r="I15" i="4"/>
  <c r="H15" i="4"/>
  <c r="G15" i="4"/>
  <c r="F15" i="4"/>
  <c r="E15" i="4"/>
  <c r="D15" i="4"/>
  <c r="C15" i="4"/>
  <c r="B15" i="4"/>
  <c r="Y14" i="4"/>
  <c r="M14" i="4" s="1"/>
  <c r="R14" i="4"/>
  <c r="Q14" i="4"/>
  <c r="P14" i="4"/>
  <c r="N14" i="4"/>
  <c r="L14" i="4"/>
  <c r="K14" i="4"/>
  <c r="J14" i="4"/>
  <c r="I14" i="4"/>
  <c r="H14" i="4"/>
  <c r="G14" i="4"/>
  <c r="F14" i="4"/>
  <c r="E14" i="4"/>
  <c r="D14" i="4"/>
  <c r="C14" i="4"/>
  <c r="B14" i="4"/>
  <c r="Y13" i="4"/>
  <c r="M13" i="4" s="1"/>
  <c r="R13" i="4"/>
  <c r="Q13" i="4"/>
  <c r="P13" i="4"/>
  <c r="O13" i="4"/>
  <c r="N13" i="4"/>
  <c r="L13" i="4"/>
  <c r="K13" i="4"/>
  <c r="J13" i="4"/>
  <c r="I13" i="4"/>
  <c r="H13" i="4"/>
  <c r="G13" i="4"/>
  <c r="F13" i="4"/>
  <c r="E13" i="4"/>
  <c r="D13" i="4"/>
  <c r="C13" i="4"/>
  <c r="B13" i="4"/>
  <c r="Y12" i="4"/>
  <c r="M12" i="4" s="1"/>
  <c r="R12" i="4"/>
  <c r="Q12" i="4"/>
  <c r="P12" i="4"/>
  <c r="O12" i="4" s="1"/>
  <c r="N12" i="4"/>
  <c r="L12" i="4"/>
  <c r="K12" i="4"/>
  <c r="J12" i="4"/>
  <c r="I12" i="4"/>
  <c r="H12" i="4"/>
  <c r="G12" i="4"/>
  <c r="F12" i="4"/>
  <c r="E12" i="4"/>
  <c r="D12" i="4"/>
  <c r="C12" i="4"/>
  <c r="B12" i="4"/>
  <c r="Y11" i="4"/>
  <c r="M11" i="4" s="1"/>
  <c r="R11" i="4"/>
  <c r="Q11" i="4"/>
  <c r="P11" i="4"/>
  <c r="N11" i="4"/>
  <c r="L11" i="4"/>
  <c r="K11" i="4"/>
  <c r="J11" i="4"/>
  <c r="I11" i="4"/>
  <c r="H11" i="4"/>
  <c r="G11" i="4"/>
  <c r="F11" i="4"/>
  <c r="E11" i="4"/>
  <c r="D11" i="4"/>
  <c r="C11" i="4"/>
  <c r="B11" i="4"/>
  <c r="Y10" i="4"/>
  <c r="M10" i="4" s="1"/>
  <c r="R10" i="4"/>
  <c r="Q10" i="4"/>
  <c r="P10" i="4"/>
  <c r="N10" i="4"/>
  <c r="L10" i="4"/>
  <c r="K10" i="4"/>
  <c r="J10" i="4"/>
  <c r="I10" i="4"/>
  <c r="H10" i="4"/>
  <c r="G10" i="4"/>
  <c r="F10" i="4"/>
  <c r="E10" i="4"/>
  <c r="D10" i="4"/>
  <c r="C10" i="4"/>
  <c r="B10" i="4"/>
  <c r="Y9" i="4"/>
  <c r="M9" i="4" s="1"/>
  <c r="R9" i="4"/>
  <c r="Q9" i="4"/>
  <c r="P9" i="4"/>
  <c r="N9" i="4"/>
  <c r="L9" i="4"/>
  <c r="K9" i="4"/>
  <c r="J9" i="4"/>
  <c r="I9" i="4"/>
  <c r="H9" i="4"/>
  <c r="G9" i="4"/>
  <c r="F9" i="4"/>
  <c r="E9" i="4"/>
  <c r="D9" i="4"/>
  <c r="C9" i="4"/>
  <c r="B9" i="4"/>
  <c r="Y8" i="4"/>
  <c r="M8" i="4" s="1"/>
  <c r="R8" i="4"/>
  <c r="Q8" i="4"/>
  <c r="P8" i="4"/>
  <c r="N8" i="4"/>
  <c r="L8" i="4"/>
  <c r="K8" i="4"/>
  <c r="J8" i="4"/>
  <c r="I8" i="4"/>
  <c r="H8" i="4"/>
  <c r="G8" i="4"/>
  <c r="F8" i="4"/>
  <c r="E8" i="4"/>
  <c r="D8" i="4"/>
  <c r="C8" i="4"/>
  <c r="B8" i="4"/>
  <c r="Y7" i="4"/>
  <c r="M7" i="4" s="1"/>
  <c r="R7" i="4"/>
  <c r="Q7" i="4"/>
  <c r="P7" i="4"/>
  <c r="N7" i="4"/>
  <c r="L7" i="4"/>
  <c r="K7" i="4"/>
  <c r="J7" i="4"/>
  <c r="I7" i="4"/>
  <c r="H7" i="4"/>
  <c r="G7" i="4"/>
  <c r="F7" i="4"/>
  <c r="E7" i="4"/>
  <c r="D7" i="4"/>
  <c r="C7" i="4"/>
  <c r="B7" i="4"/>
  <c r="Y6" i="4"/>
  <c r="M6" i="4" s="1"/>
  <c r="R6" i="4"/>
  <c r="Q6" i="4"/>
  <c r="P6" i="4"/>
  <c r="N6" i="4"/>
  <c r="L6" i="4"/>
  <c r="K6" i="4"/>
  <c r="J6" i="4"/>
  <c r="I6" i="4"/>
  <c r="T6" i="4" s="1"/>
  <c r="V6" i="4" s="1"/>
  <c r="H6" i="4"/>
  <c r="G6" i="4"/>
  <c r="F6" i="4"/>
  <c r="E6" i="4"/>
  <c r="D6" i="4"/>
  <c r="C6" i="4"/>
  <c r="B6" i="4"/>
  <c r="Y5" i="4"/>
  <c r="M5" i="4" s="1"/>
  <c r="R5" i="4"/>
  <c r="Q5" i="4"/>
  <c r="P5" i="4"/>
  <c r="O5" i="4" s="1"/>
  <c r="N5" i="4"/>
  <c r="L5" i="4"/>
  <c r="K5" i="4"/>
  <c r="J5" i="4"/>
  <c r="I5" i="4"/>
  <c r="H5" i="4"/>
  <c r="G5" i="4"/>
  <c r="F5" i="4"/>
  <c r="E5" i="4"/>
  <c r="D5" i="4"/>
  <c r="C5" i="4"/>
  <c r="B5" i="4"/>
  <c r="Y4" i="4"/>
  <c r="M4" i="4" s="1"/>
  <c r="R4" i="4"/>
  <c r="Q4" i="4"/>
  <c r="P4" i="4"/>
  <c r="N4" i="4"/>
  <c r="L4" i="4"/>
  <c r="K4" i="4"/>
  <c r="J4" i="4"/>
  <c r="I4" i="4"/>
  <c r="H4" i="4"/>
  <c r="G4" i="4"/>
  <c r="F4" i="4"/>
  <c r="E4" i="4"/>
  <c r="D4" i="4"/>
  <c r="C4" i="4"/>
  <c r="B4" i="4"/>
  <c r="Y3" i="4"/>
  <c r="M3" i="4" s="1"/>
  <c r="R3" i="4"/>
  <c r="Q3" i="4"/>
  <c r="P3" i="4"/>
  <c r="O3" i="4"/>
  <c r="N3" i="4"/>
  <c r="L3" i="4"/>
  <c r="K3" i="4"/>
  <c r="J3" i="4"/>
  <c r="I3" i="4"/>
  <c r="H3" i="4"/>
  <c r="G3" i="4"/>
  <c r="F3" i="4"/>
  <c r="E3" i="4"/>
  <c r="D3" i="4"/>
  <c r="C3" i="4"/>
  <c r="B3" i="4"/>
  <c r="Y2" i="4"/>
  <c r="M2" i="4" s="1"/>
  <c r="R2" i="4"/>
  <c r="Q2" i="4"/>
  <c r="P2" i="4"/>
  <c r="O2" i="4"/>
  <c r="N2" i="4"/>
  <c r="L2" i="4"/>
  <c r="K2" i="4"/>
  <c r="J2" i="4"/>
  <c r="I2" i="4"/>
  <c r="H2" i="4"/>
  <c r="G2" i="4"/>
  <c r="F2" i="4"/>
  <c r="E2" i="4"/>
  <c r="D2" i="4"/>
  <c r="C2" i="4"/>
  <c r="B2" i="4"/>
  <c r="R209" i="1"/>
  <c r="Q209" i="1"/>
  <c r="P209" i="1"/>
  <c r="O209" i="1" s="1"/>
  <c r="N209" i="1"/>
  <c r="R208" i="1"/>
  <c r="Q208" i="1"/>
  <c r="P208" i="1"/>
  <c r="N208" i="1"/>
  <c r="R207" i="1"/>
  <c r="Q207" i="1"/>
  <c r="P207" i="1"/>
  <c r="N207" i="1"/>
  <c r="R206" i="1"/>
  <c r="Q206" i="1"/>
  <c r="P206" i="1"/>
  <c r="N206" i="1"/>
  <c r="R205" i="1"/>
  <c r="Q205" i="1"/>
  <c r="P205" i="1"/>
  <c r="N205" i="1"/>
  <c r="R204" i="1"/>
  <c r="Q204" i="1"/>
  <c r="P204" i="1"/>
  <c r="N204" i="1"/>
  <c r="R203" i="1"/>
  <c r="Q203" i="1"/>
  <c r="P203" i="1"/>
  <c r="N203" i="1"/>
  <c r="R202" i="1"/>
  <c r="Q202" i="1"/>
  <c r="P202" i="1"/>
  <c r="N202" i="1"/>
  <c r="R201" i="1"/>
  <c r="Q201" i="1"/>
  <c r="P201" i="1"/>
  <c r="N201" i="1"/>
  <c r="R200" i="1"/>
  <c r="Q200" i="1"/>
  <c r="P200" i="1"/>
  <c r="N200" i="1"/>
  <c r="R199" i="1"/>
  <c r="Q199" i="1"/>
  <c r="P199" i="1"/>
  <c r="N199" i="1"/>
  <c r="R198" i="1"/>
  <c r="Q198" i="1"/>
  <c r="P198" i="1"/>
  <c r="N198" i="1"/>
  <c r="R197" i="1"/>
  <c r="Q197" i="1"/>
  <c r="P197" i="1"/>
  <c r="N197" i="1"/>
  <c r="R196" i="1"/>
  <c r="Q196" i="1"/>
  <c r="P196" i="1"/>
  <c r="N196" i="1"/>
  <c r="R195" i="1"/>
  <c r="Q195" i="1"/>
  <c r="P195" i="1"/>
  <c r="N195" i="1"/>
  <c r="R194" i="1"/>
  <c r="Q194" i="1"/>
  <c r="P194" i="1"/>
  <c r="N194" i="1"/>
  <c r="R193" i="1"/>
  <c r="Q193" i="1"/>
  <c r="P193" i="1"/>
  <c r="N193" i="1"/>
  <c r="R192" i="1"/>
  <c r="Q192" i="1"/>
  <c r="P192" i="1"/>
  <c r="N192" i="1"/>
  <c r="R191" i="1"/>
  <c r="Q191" i="1"/>
  <c r="P191" i="1"/>
  <c r="N191" i="1"/>
  <c r="R190" i="1"/>
  <c r="Q190" i="1"/>
  <c r="P190" i="1"/>
  <c r="N190" i="1"/>
  <c r="R189" i="1"/>
  <c r="Q189" i="1"/>
  <c r="P189" i="1"/>
  <c r="N189" i="1"/>
  <c r="R188" i="1"/>
  <c r="Q188" i="1"/>
  <c r="P188" i="1"/>
  <c r="N188" i="1"/>
  <c r="R187" i="1"/>
  <c r="Q187" i="1"/>
  <c r="P187" i="1"/>
  <c r="N187" i="1"/>
  <c r="R186" i="1"/>
  <c r="Q186" i="1"/>
  <c r="P186" i="1"/>
  <c r="N186" i="1"/>
  <c r="R185" i="1"/>
  <c r="Q185" i="1"/>
  <c r="P185" i="1"/>
  <c r="N185" i="1"/>
  <c r="R184" i="1"/>
  <c r="Q184" i="1"/>
  <c r="P184" i="1"/>
  <c r="N184" i="1"/>
  <c r="R183" i="1"/>
  <c r="Q183" i="1"/>
  <c r="P183" i="1"/>
  <c r="N183" i="1"/>
  <c r="R182" i="1"/>
  <c r="Q182" i="1"/>
  <c r="P182" i="1"/>
  <c r="N182" i="1"/>
  <c r="R181" i="1"/>
  <c r="Q181" i="1"/>
  <c r="P181" i="1"/>
  <c r="N181" i="1"/>
  <c r="R180" i="1"/>
  <c r="Q180" i="1"/>
  <c r="P180" i="1"/>
  <c r="N180" i="1"/>
  <c r="R179" i="1"/>
  <c r="Q179" i="1"/>
  <c r="P179" i="1"/>
  <c r="N179" i="1"/>
  <c r="R178" i="1"/>
  <c r="Q178" i="1"/>
  <c r="P178" i="1"/>
  <c r="N178" i="1"/>
  <c r="R177" i="1"/>
  <c r="Q177" i="1"/>
  <c r="P177" i="1"/>
  <c r="N177" i="1"/>
  <c r="R176" i="1"/>
  <c r="Q176" i="1"/>
  <c r="P176" i="1"/>
  <c r="N176" i="1"/>
  <c r="R175" i="1"/>
  <c r="Q175" i="1"/>
  <c r="P175" i="1"/>
  <c r="N175" i="1"/>
  <c r="R174" i="1"/>
  <c r="Q174" i="1"/>
  <c r="P174" i="1"/>
  <c r="N174" i="1"/>
  <c r="R173" i="1"/>
  <c r="Q173" i="1"/>
  <c r="P173" i="1"/>
  <c r="N173" i="1"/>
  <c r="R172" i="1"/>
  <c r="Q172" i="1"/>
  <c r="P172" i="1"/>
  <c r="N172" i="1"/>
  <c r="R171" i="1"/>
  <c r="Q171" i="1"/>
  <c r="P171" i="1"/>
  <c r="N171" i="1"/>
  <c r="R170" i="1"/>
  <c r="Q170" i="1"/>
  <c r="P170" i="1"/>
  <c r="N170" i="1"/>
  <c r="R169" i="1"/>
  <c r="Q169" i="1"/>
  <c r="P169" i="1"/>
  <c r="N169" i="1"/>
  <c r="R168" i="1"/>
  <c r="Q168" i="1"/>
  <c r="O168" i="1" s="1"/>
  <c r="P168" i="1"/>
  <c r="N168" i="1"/>
  <c r="R167" i="1"/>
  <c r="Q167" i="1"/>
  <c r="P167" i="1"/>
  <c r="N167" i="1"/>
  <c r="R166" i="1"/>
  <c r="Q166" i="1"/>
  <c r="P166" i="1"/>
  <c r="N166" i="1"/>
  <c r="R165" i="1"/>
  <c r="Q165" i="1"/>
  <c r="P165" i="1"/>
  <c r="N165" i="1"/>
  <c r="R164" i="1"/>
  <c r="Q164" i="1"/>
  <c r="P164" i="1"/>
  <c r="N164" i="1"/>
  <c r="R163" i="1"/>
  <c r="Q163" i="1"/>
  <c r="P163" i="1"/>
  <c r="N163" i="1"/>
  <c r="R162" i="1"/>
  <c r="Q162" i="1"/>
  <c r="P162" i="1"/>
  <c r="N162" i="1"/>
  <c r="R161" i="1"/>
  <c r="Q161" i="1"/>
  <c r="P161" i="1"/>
  <c r="N161" i="1"/>
  <c r="R160" i="1"/>
  <c r="Q160" i="1"/>
  <c r="P160" i="1"/>
  <c r="N160" i="1"/>
  <c r="R159" i="1"/>
  <c r="Q159" i="1"/>
  <c r="P159" i="1"/>
  <c r="N159" i="1"/>
  <c r="R158" i="1"/>
  <c r="Q158" i="1"/>
  <c r="P158" i="1"/>
  <c r="N158" i="1"/>
  <c r="R157" i="1"/>
  <c r="Q157" i="1"/>
  <c r="P157" i="1"/>
  <c r="N157" i="1"/>
  <c r="R156" i="1"/>
  <c r="Q156" i="1"/>
  <c r="P156" i="1"/>
  <c r="N156" i="1"/>
  <c r="R155" i="1"/>
  <c r="Q155" i="1"/>
  <c r="P155" i="1"/>
  <c r="N155" i="1"/>
  <c r="R154" i="1"/>
  <c r="Q154" i="1"/>
  <c r="P154" i="1"/>
  <c r="N154" i="1"/>
  <c r="R153" i="1"/>
  <c r="Q153" i="1"/>
  <c r="P153" i="1"/>
  <c r="N153" i="1"/>
  <c r="R152" i="1"/>
  <c r="Q152" i="1"/>
  <c r="P152" i="1"/>
  <c r="N152" i="1"/>
  <c r="R151" i="1"/>
  <c r="Q151" i="1"/>
  <c r="P151" i="1"/>
  <c r="N151" i="1"/>
  <c r="R150" i="1"/>
  <c r="Q150" i="1"/>
  <c r="P150" i="1"/>
  <c r="N150" i="1"/>
  <c r="R149" i="1"/>
  <c r="Q149" i="1"/>
  <c r="P149" i="1"/>
  <c r="N149" i="1"/>
  <c r="R148" i="1"/>
  <c r="Q148" i="1"/>
  <c r="P148" i="1"/>
  <c r="N148" i="1"/>
  <c r="R147" i="1"/>
  <c r="Q147" i="1"/>
  <c r="P147" i="1"/>
  <c r="N147" i="1"/>
  <c r="R146" i="1"/>
  <c r="Q146" i="1"/>
  <c r="P146" i="1"/>
  <c r="N146" i="1"/>
  <c r="R145" i="1"/>
  <c r="Q145" i="1"/>
  <c r="P145" i="1"/>
  <c r="N145" i="1"/>
  <c r="R144" i="1"/>
  <c r="Q144" i="1"/>
  <c r="P144" i="1"/>
  <c r="O144" i="1" s="1"/>
  <c r="N144" i="1"/>
  <c r="R143" i="1"/>
  <c r="Q143" i="1"/>
  <c r="P143" i="1"/>
  <c r="N143" i="1"/>
  <c r="R142" i="1"/>
  <c r="Q142" i="1"/>
  <c r="P142" i="1"/>
  <c r="N142" i="1"/>
  <c r="R141" i="1"/>
  <c r="Q141" i="1"/>
  <c r="P141" i="1"/>
  <c r="N141" i="1"/>
  <c r="R140" i="1"/>
  <c r="Q140" i="1"/>
  <c r="P140" i="1"/>
  <c r="N140" i="1"/>
  <c r="R139" i="1"/>
  <c r="Q139" i="1"/>
  <c r="P139" i="1"/>
  <c r="O139" i="1" s="1"/>
  <c r="N139" i="1"/>
  <c r="R138" i="1"/>
  <c r="Q138" i="1"/>
  <c r="P138" i="1"/>
  <c r="N138" i="1"/>
  <c r="R137" i="1"/>
  <c r="Q137" i="1"/>
  <c r="P137" i="1"/>
  <c r="N137" i="1"/>
  <c r="R136" i="1"/>
  <c r="Q136" i="1"/>
  <c r="P136" i="1"/>
  <c r="N136" i="1"/>
  <c r="R135" i="1"/>
  <c r="Q135" i="1"/>
  <c r="P135" i="1"/>
  <c r="N135" i="1"/>
  <c r="R134" i="1"/>
  <c r="Q134" i="1"/>
  <c r="P134" i="1"/>
  <c r="N134" i="1"/>
  <c r="R133" i="1"/>
  <c r="Q133" i="1"/>
  <c r="P133" i="1"/>
  <c r="N133" i="1"/>
  <c r="R132" i="1"/>
  <c r="Q132" i="1"/>
  <c r="P132" i="1"/>
  <c r="N132" i="1"/>
  <c r="R131" i="1"/>
  <c r="Q131" i="1"/>
  <c r="P131" i="1"/>
  <c r="N131" i="1"/>
  <c r="R130" i="1"/>
  <c r="Q130" i="1"/>
  <c r="P130" i="1"/>
  <c r="N130" i="1"/>
  <c r="R129" i="1"/>
  <c r="Q129" i="1"/>
  <c r="P129" i="1"/>
  <c r="O129" i="1" s="1"/>
  <c r="N129" i="1"/>
  <c r="R128" i="1"/>
  <c r="Q128" i="1"/>
  <c r="P128" i="1"/>
  <c r="N128" i="1"/>
  <c r="R127" i="1"/>
  <c r="Q127" i="1"/>
  <c r="P127" i="1"/>
  <c r="N127" i="1"/>
  <c r="R126" i="1"/>
  <c r="Q126" i="1"/>
  <c r="P126" i="1"/>
  <c r="N126" i="1"/>
  <c r="R125" i="1"/>
  <c r="Q125" i="1"/>
  <c r="P125" i="1"/>
  <c r="N125" i="1"/>
  <c r="R124" i="1"/>
  <c r="Q124" i="1"/>
  <c r="P124" i="1"/>
  <c r="N124" i="1"/>
  <c r="R123" i="1"/>
  <c r="Q123" i="1"/>
  <c r="P123" i="1"/>
  <c r="N123" i="1"/>
  <c r="R122" i="1"/>
  <c r="Q122" i="1"/>
  <c r="P122" i="1"/>
  <c r="N122" i="1"/>
  <c r="R121" i="1"/>
  <c r="Q121" i="1"/>
  <c r="P121" i="1"/>
  <c r="N121" i="1"/>
  <c r="R120" i="1"/>
  <c r="Q120" i="1"/>
  <c r="P120" i="1"/>
  <c r="N120" i="1"/>
  <c r="R119" i="1"/>
  <c r="Q119" i="1"/>
  <c r="P119" i="1"/>
  <c r="N119" i="1"/>
  <c r="R118" i="1"/>
  <c r="Q118" i="1"/>
  <c r="P118" i="1"/>
  <c r="N118" i="1"/>
  <c r="R117" i="1"/>
  <c r="Q117" i="1"/>
  <c r="P117" i="1"/>
  <c r="N117" i="1"/>
  <c r="R116" i="1"/>
  <c r="Q116" i="1"/>
  <c r="P116" i="1"/>
  <c r="N116" i="1"/>
  <c r="R115" i="1"/>
  <c r="Q115" i="1"/>
  <c r="P115" i="1"/>
  <c r="N115" i="1"/>
  <c r="R114" i="1"/>
  <c r="Q114" i="1"/>
  <c r="P114" i="1"/>
  <c r="N114" i="1"/>
  <c r="R113" i="1"/>
  <c r="Q113" i="1"/>
  <c r="P113" i="1"/>
  <c r="N113" i="1"/>
  <c r="R112" i="1"/>
  <c r="Q112" i="1"/>
  <c r="P112" i="1"/>
  <c r="N112" i="1"/>
  <c r="R111" i="1"/>
  <c r="Q111" i="1"/>
  <c r="P111" i="1"/>
  <c r="N111" i="1"/>
  <c r="R110" i="1"/>
  <c r="Q110" i="1"/>
  <c r="P110" i="1"/>
  <c r="N110" i="1"/>
  <c r="R109" i="1"/>
  <c r="Q109" i="1"/>
  <c r="P109" i="1"/>
  <c r="O109" i="1" s="1"/>
  <c r="N109" i="1"/>
  <c r="R108" i="1"/>
  <c r="Q108" i="1"/>
  <c r="P108" i="1"/>
  <c r="N108" i="1"/>
  <c r="R107" i="1"/>
  <c r="Q107" i="1"/>
  <c r="P107" i="1"/>
  <c r="N107" i="1"/>
  <c r="R106" i="1"/>
  <c r="Q106" i="1"/>
  <c r="P106" i="1"/>
  <c r="N106" i="1"/>
  <c r="R105" i="1"/>
  <c r="Q105" i="1"/>
  <c r="P105" i="1"/>
  <c r="N105" i="1"/>
  <c r="R104" i="1"/>
  <c r="Q104" i="1"/>
  <c r="P104" i="1"/>
  <c r="O104" i="1" s="1"/>
  <c r="N104" i="1"/>
  <c r="R103" i="1"/>
  <c r="Q103" i="1"/>
  <c r="P103" i="1"/>
  <c r="N103" i="1"/>
  <c r="R102" i="1"/>
  <c r="Q102" i="1"/>
  <c r="P102" i="1"/>
  <c r="N102" i="1"/>
  <c r="R101" i="1"/>
  <c r="Q101" i="1"/>
  <c r="P101" i="1"/>
  <c r="N101" i="1"/>
  <c r="R100" i="1"/>
  <c r="Q100" i="1"/>
  <c r="P100" i="1"/>
  <c r="N100" i="1"/>
  <c r="R99" i="1"/>
  <c r="Q99" i="1"/>
  <c r="P99" i="1"/>
  <c r="O99" i="1" s="1"/>
  <c r="N99" i="1"/>
  <c r="R98" i="1"/>
  <c r="Q98" i="1"/>
  <c r="P98" i="1"/>
  <c r="N98" i="1"/>
  <c r="R97" i="1"/>
  <c r="Q97" i="1"/>
  <c r="P97" i="1"/>
  <c r="N97" i="1"/>
  <c r="R96" i="1"/>
  <c r="Q96" i="1"/>
  <c r="P96" i="1"/>
  <c r="N96" i="1"/>
  <c r="R95" i="1"/>
  <c r="Q95" i="1"/>
  <c r="P95" i="1"/>
  <c r="N95" i="1"/>
  <c r="R94" i="1"/>
  <c r="Q94" i="1"/>
  <c r="P94" i="1"/>
  <c r="N94" i="1"/>
  <c r="R93" i="1"/>
  <c r="Q93" i="1"/>
  <c r="P93" i="1"/>
  <c r="N93" i="1"/>
  <c r="R92" i="1"/>
  <c r="Q92" i="1"/>
  <c r="P92" i="1"/>
  <c r="N92" i="1"/>
  <c r="R91" i="1"/>
  <c r="Q91" i="1"/>
  <c r="P91" i="1"/>
  <c r="N91" i="1"/>
  <c r="R90" i="1"/>
  <c r="Q90" i="1"/>
  <c r="P90" i="1"/>
  <c r="N90" i="1"/>
  <c r="R89" i="1"/>
  <c r="Q89" i="1"/>
  <c r="P89" i="1"/>
  <c r="N89" i="1"/>
  <c r="R88" i="1"/>
  <c r="Q88" i="1"/>
  <c r="O88" i="1" s="1"/>
  <c r="P88" i="1"/>
  <c r="N88" i="1"/>
  <c r="R87" i="1"/>
  <c r="Q87" i="1"/>
  <c r="P87" i="1"/>
  <c r="N87" i="1"/>
  <c r="R86" i="1"/>
  <c r="Q86" i="1"/>
  <c r="P86" i="1"/>
  <c r="N86" i="1"/>
  <c r="R85" i="1"/>
  <c r="Q85" i="1"/>
  <c r="P85" i="1"/>
  <c r="N85" i="1"/>
  <c r="R84" i="1"/>
  <c r="Q84" i="1"/>
  <c r="P84" i="1"/>
  <c r="N84" i="1"/>
  <c r="R83" i="1"/>
  <c r="Q83" i="1"/>
  <c r="P83" i="1"/>
  <c r="N83" i="1"/>
  <c r="R82" i="1"/>
  <c r="Q82" i="1"/>
  <c r="P82" i="1"/>
  <c r="N82" i="1"/>
  <c r="R81" i="1"/>
  <c r="Q81" i="1"/>
  <c r="P81" i="1"/>
  <c r="N81" i="1"/>
  <c r="R80" i="1"/>
  <c r="Q80" i="1"/>
  <c r="P80" i="1"/>
  <c r="N80" i="1"/>
  <c r="R79" i="1"/>
  <c r="Q79" i="1"/>
  <c r="P79" i="1"/>
  <c r="N79" i="1"/>
  <c r="R78" i="1"/>
  <c r="Q78" i="1"/>
  <c r="P78" i="1"/>
  <c r="N78" i="1"/>
  <c r="R77" i="1"/>
  <c r="Q77" i="1"/>
  <c r="P77" i="1"/>
  <c r="N77" i="1"/>
  <c r="R76" i="1"/>
  <c r="Q76" i="1"/>
  <c r="P76" i="1"/>
  <c r="N76" i="1"/>
  <c r="R75" i="1"/>
  <c r="Q75" i="1"/>
  <c r="P75" i="1"/>
  <c r="N75" i="1"/>
  <c r="R74" i="1"/>
  <c r="Q74" i="1"/>
  <c r="P74" i="1"/>
  <c r="N74" i="1"/>
  <c r="R73" i="1"/>
  <c r="Q73" i="1"/>
  <c r="P73" i="1"/>
  <c r="N73" i="1"/>
  <c r="R72" i="1"/>
  <c r="Q72" i="1"/>
  <c r="P72" i="1"/>
  <c r="N72" i="1"/>
  <c r="R71" i="1"/>
  <c r="Q71" i="1"/>
  <c r="P71" i="1"/>
  <c r="N71" i="1"/>
  <c r="R70" i="1"/>
  <c r="Q70" i="1"/>
  <c r="P70" i="1"/>
  <c r="N70" i="1"/>
  <c r="R69" i="1"/>
  <c r="Q69" i="1"/>
  <c r="P69" i="1"/>
  <c r="N69" i="1"/>
  <c r="R68" i="1"/>
  <c r="Q68" i="1"/>
  <c r="P68" i="1"/>
  <c r="N68" i="1"/>
  <c r="R67" i="1"/>
  <c r="Q67" i="1"/>
  <c r="P67" i="1"/>
  <c r="N67" i="1"/>
  <c r="R66" i="1"/>
  <c r="Q66" i="1"/>
  <c r="P66" i="1"/>
  <c r="N66" i="1"/>
  <c r="R65" i="1"/>
  <c r="Q65" i="1"/>
  <c r="P65" i="1"/>
  <c r="N65" i="1"/>
  <c r="R64" i="1"/>
  <c r="Q64" i="1"/>
  <c r="P64" i="1"/>
  <c r="N64" i="1"/>
  <c r="R63" i="1"/>
  <c r="Q63" i="1"/>
  <c r="P63" i="1"/>
  <c r="N63" i="1"/>
  <c r="R62" i="1"/>
  <c r="Q62" i="1"/>
  <c r="P62" i="1"/>
  <c r="N62" i="1"/>
  <c r="R61" i="1"/>
  <c r="Q61" i="1"/>
  <c r="P61" i="1"/>
  <c r="N61" i="1"/>
  <c r="R60" i="1"/>
  <c r="Q60" i="1"/>
  <c r="P60" i="1"/>
  <c r="N60" i="1"/>
  <c r="R59" i="1"/>
  <c r="Q59" i="1"/>
  <c r="P59" i="1"/>
  <c r="N59" i="1"/>
  <c r="R58" i="1"/>
  <c r="Q58" i="1"/>
  <c r="P58" i="1"/>
  <c r="N58" i="1"/>
  <c r="R57" i="1"/>
  <c r="Q57" i="1"/>
  <c r="P57" i="1"/>
  <c r="N57" i="1"/>
  <c r="R56" i="1"/>
  <c r="Q56" i="1"/>
  <c r="P56" i="1"/>
  <c r="N56" i="1"/>
  <c r="R55" i="1"/>
  <c r="Q55" i="1"/>
  <c r="P55" i="1"/>
  <c r="N55" i="1"/>
  <c r="R54" i="1"/>
  <c r="Q54" i="1"/>
  <c r="P54" i="1"/>
  <c r="N54" i="1"/>
  <c r="R53" i="1"/>
  <c r="Q53" i="1"/>
  <c r="P53" i="1"/>
  <c r="N53" i="1"/>
  <c r="R52" i="1"/>
  <c r="Q52" i="1"/>
  <c r="P52" i="1"/>
  <c r="N52" i="1"/>
  <c r="R51" i="1"/>
  <c r="Q51" i="1"/>
  <c r="P51" i="1"/>
  <c r="N51" i="1"/>
  <c r="R50" i="1"/>
  <c r="Q50" i="1"/>
  <c r="P50" i="1"/>
  <c r="N50" i="1"/>
  <c r="R49" i="1"/>
  <c r="Q49" i="1"/>
  <c r="P49" i="1"/>
  <c r="N49" i="1"/>
  <c r="R48" i="1"/>
  <c r="Q48" i="1"/>
  <c r="P48" i="1"/>
  <c r="N48" i="1"/>
  <c r="R47" i="1"/>
  <c r="Q47" i="1"/>
  <c r="P47" i="1"/>
  <c r="N47" i="1"/>
  <c r="R46" i="1"/>
  <c r="Q46" i="1"/>
  <c r="P46" i="1"/>
  <c r="N46" i="1"/>
  <c r="R45" i="1"/>
  <c r="Q45" i="1"/>
  <c r="P45" i="1"/>
  <c r="N45" i="1"/>
  <c r="R44" i="1"/>
  <c r="Q44" i="1"/>
  <c r="P44" i="1"/>
  <c r="N44" i="1"/>
  <c r="R43" i="1"/>
  <c r="Q43" i="1"/>
  <c r="P43" i="1"/>
  <c r="N43" i="1"/>
  <c r="R42" i="1"/>
  <c r="Q42" i="1"/>
  <c r="P42" i="1"/>
  <c r="O42" i="1" s="1"/>
  <c r="N42" i="1"/>
  <c r="R41" i="1"/>
  <c r="Q41" i="1"/>
  <c r="P41" i="1"/>
  <c r="N41" i="1"/>
  <c r="R40" i="1"/>
  <c r="Q40" i="1"/>
  <c r="P40" i="1"/>
  <c r="N40" i="1"/>
  <c r="R39" i="1"/>
  <c r="Q39" i="1"/>
  <c r="P39" i="1"/>
  <c r="N39" i="1"/>
  <c r="R38" i="1"/>
  <c r="Q38" i="1"/>
  <c r="P38" i="1"/>
  <c r="N38" i="1"/>
  <c r="R37" i="1"/>
  <c r="Q37" i="1"/>
  <c r="P37" i="1"/>
  <c r="N37" i="1"/>
  <c r="R36" i="1"/>
  <c r="Q36" i="1"/>
  <c r="P36" i="1"/>
  <c r="N36" i="1"/>
  <c r="R35" i="1"/>
  <c r="Q35" i="1"/>
  <c r="P35" i="1"/>
  <c r="N35" i="1"/>
  <c r="R34" i="1"/>
  <c r="Q34" i="1"/>
  <c r="P34" i="1"/>
  <c r="O34" i="1" s="1"/>
  <c r="N34" i="1"/>
  <c r="R33" i="1"/>
  <c r="Q33" i="1"/>
  <c r="P33" i="1"/>
  <c r="N33" i="1"/>
  <c r="R32" i="1"/>
  <c r="Q32" i="1"/>
  <c r="P32" i="1"/>
  <c r="O32" i="1" s="1"/>
  <c r="N32" i="1"/>
  <c r="R31" i="1"/>
  <c r="Q31" i="1"/>
  <c r="P31" i="1"/>
  <c r="N31" i="1"/>
  <c r="R30" i="1"/>
  <c r="Q30" i="1"/>
  <c r="P30" i="1"/>
  <c r="N30" i="1"/>
  <c r="R29" i="1"/>
  <c r="Q29" i="1"/>
  <c r="P29" i="1"/>
  <c r="O29" i="1" s="1"/>
  <c r="N29" i="1"/>
  <c r="R28" i="1"/>
  <c r="Q28" i="1"/>
  <c r="P28" i="1"/>
  <c r="N28" i="1"/>
  <c r="R27" i="1"/>
  <c r="Q27" i="1"/>
  <c r="P27" i="1"/>
  <c r="N27" i="1"/>
  <c r="R26" i="1"/>
  <c r="Q26" i="1"/>
  <c r="P26" i="1"/>
  <c r="N26" i="1"/>
  <c r="R25" i="1"/>
  <c r="Q25" i="1"/>
  <c r="P25" i="1"/>
  <c r="N25" i="1"/>
  <c r="R24" i="1"/>
  <c r="Q24" i="1"/>
  <c r="P24" i="1"/>
  <c r="N24" i="1"/>
  <c r="R23" i="1"/>
  <c r="Q23" i="1"/>
  <c r="P23" i="1"/>
  <c r="N23" i="1"/>
  <c r="R22" i="1"/>
  <c r="Q22" i="1"/>
  <c r="P22" i="1"/>
  <c r="N22" i="1"/>
  <c r="R21" i="1"/>
  <c r="Q21" i="1"/>
  <c r="P21" i="1"/>
  <c r="N21" i="1"/>
  <c r="R20" i="1"/>
  <c r="Q20" i="1"/>
  <c r="P20" i="1"/>
  <c r="N20" i="1"/>
  <c r="R19" i="1"/>
  <c r="Q19" i="1"/>
  <c r="P19" i="1"/>
  <c r="N19" i="1"/>
  <c r="R18" i="1"/>
  <c r="Q18" i="1"/>
  <c r="O18" i="1" s="1"/>
  <c r="P18" i="1"/>
  <c r="N18" i="1"/>
  <c r="R17" i="1"/>
  <c r="Q17" i="1"/>
  <c r="P17" i="1"/>
  <c r="N17" i="1"/>
  <c r="R16" i="1"/>
  <c r="Q16" i="1"/>
  <c r="P16" i="1"/>
  <c r="N16" i="1"/>
  <c r="R15" i="1"/>
  <c r="Q15" i="1"/>
  <c r="P15" i="1"/>
  <c r="N15" i="1"/>
  <c r="R14" i="1"/>
  <c r="Q14" i="1"/>
  <c r="P14" i="1"/>
  <c r="O14" i="1" s="1"/>
  <c r="N14" i="1"/>
  <c r="R13" i="1"/>
  <c r="Q13" i="1"/>
  <c r="P13" i="1"/>
  <c r="N13" i="1"/>
  <c r="R12" i="1"/>
  <c r="Q12" i="1"/>
  <c r="P12" i="1"/>
  <c r="O12" i="1" s="1"/>
  <c r="N12" i="1"/>
  <c r="R11" i="1"/>
  <c r="Q11" i="1"/>
  <c r="P11" i="1"/>
  <c r="N11" i="1"/>
  <c r="R10" i="1"/>
  <c r="Q10" i="1"/>
  <c r="P10" i="1"/>
  <c r="N10" i="1"/>
  <c r="R9" i="1"/>
  <c r="Q9" i="1"/>
  <c r="P9" i="1"/>
  <c r="N9" i="1"/>
  <c r="R8" i="1"/>
  <c r="Q8" i="1"/>
  <c r="P8" i="1"/>
  <c r="N8" i="1"/>
  <c r="R7" i="1"/>
  <c r="Q7" i="1"/>
  <c r="P7" i="1"/>
  <c r="N7" i="1"/>
  <c r="R6" i="1"/>
  <c r="Q6" i="1"/>
  <c r="P6" i="1"/>
  <c r="N6" i="1"/>
  <c r="R5" i="1"/>
  <c r="Q5" i="1"/>
  <c r="P5" i="1"/>
  <c r="N5" i="1"/>
  <c r="R4" i="1"/>
  <c r="Q4" i="1"/>
  <c r="P4" i="1"/>
  <c r="N4" i="1"/>
  <c r="R3" i="1"/>
  <c r="Q3" i="1"/>
  <c r="P3" i="1"/>
  <c r="N3" i="1"/>
  <c r="N2" i="1"/>
  <c r="R2" i="1"/>
  <c r="Q2" i="1"/>
  <c r="P2" i="1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Y209" i="1"/>
  <c r="M209" i="1" s="1"/>
  <c r="L209" i="1"/>
  <c r="K209" i="1"/>
  <c r="J209" i="1"/>
  <c r="I209" i="1"/>
  <c r="T209" i="1" s="1"/>
  <c r="X209" i="1" s="1"/>
  <c r="H209" i="1"/>
  <c r="G209" i="1"/>
  <c r="F209" i="1"/>
  <c r="E209" i="1"/>
  <c r="D209" i="1"/>
  <c r="C209" i="1"/>
  <c r="B209" i="1"/>
  <c r="Y208" i="1"/>
  <c r="M208" i="1" s="1"/>
  <c r="L208" i="1"/>
  <c r="K208" i="1"/>
  <c r="J208" i="1"/>
  <c r="I208" i="1"/>
  <c r="H208" i="1"/>
  <c r="G208" i="1"/>
  <c r="F208" i="1"/>
  <c r="E208" i="1"/>
  <c r="D208" i="1"/>
  <c r="C208" i="1"/>
  <c r="B208" i="1"/>
  <c r="Y207" i="1"/>
  <c r="M207" i="1" s="1"/>
  <c r="L207" i="1"/>
  <c r="K207" i="1"/>
  <c r="J207" i="1"/>
  <c r="I207" i="1"/>
  <c r="T207" i="1" s="1"/>
  <c r="X207" i="1" s="1"/>
  <c r="H207" i="1"/>
  <c r="G207" i="1"/>
  <c r="F207" i="1"/>
  <c r="E207" i="1"/>
  <c r="D207" i="1"/>
  <c r="C207" i="1"/>
  <c r="B207" i="1"/>
  <c r="Y206" i="1"/>
  <c r="M206" i="1" s="1"/>
  <c r="L206" i="1"/>
  <c r="K206" i="1"/>
  <c r="J206" i="1"/>
  <c r="I206" i="1"/>
  <c r="H206" i="1"/>
  <c r="G206" i="1"/>
  <c r="F206" i="1"/>
  <c r="E206" i="1"/>
  <c r="D206" i="1"/>
  <c r="C206" i="1"/>
  <c r="B206" i="1"/>
  <c r="Y205" i="1"/>
  <c r="M205" i="1" s="1"/>
  <c r="L205" i="1"/>
  <c r="K205" i="1"/>
  <c r="J205" i="1"/>
  <c r="I205" i="1"/>
  <c r="T205" i="1" s="1"/>
  <c r="X205" i="1" s="1"/>
  <c r="H205" i="1"/>
  <c r="G205" i="1"/>
  <c r="F205" i="1"/>
  <c r="E205" i="1"/>
  <c r="D205" i="1"/>
  <c r="C205" i="1"/>
  <c r="B205" i="1"/>
  <c r="Y204" i="1"/>
  <c r="M204" i="1" s="1"/>
  <c r="L204" i="1"/>
  <c r="K204" i="1"/>
  <c r="J204" i="1"/>
  <c r="I204" i="1"/>
  <c r="H204" i="1"/>
  <c r="G204" i="1"/>
  <c r="F204" i="1"/>
  <c r="E204" i="1"/>
  <c r="D204" i="1"/>
  <c r="C204" i="1"/>
  <c r="B204" i="1"/>
  <c r="Y203" i="1"/>
  <c r="M203" i="1" s="1"/>
  <c r="L203" i="1"/>
  <c r="K203" i="1"/>
  <c r="J203" i="1"/>
  <c r="I203" i="1"/>
  <c r="H203" i="1"/>
  <c r="G203" i="1"/>
  <c r="F203" i="1"/>
  <c r="E203" i="1"/>
  <c r="D203" i="1"/>
  <c r="C203" i="1"/>
  <c r="B203" i="1"/>
  <c r="Y202" i="1"/>
  <c r="M202" i="1" s="1"/>
  <c r="L202" i="1"/>
  <c r="K202" i="1"/>
  <c r="J202" i="1"/>
  <c r="I202" i="1"/>
  <c r="T202" i="1" s="1"/>
  <c r="X202" i="1" s="1"/>
  <c r="H202" i="1"/>
  <c r="G202" i="1"/>
  <c r="F202" i="1"/>
  <c r="E202" i="1"/>
  <c r="D202" i="1"/>
  <c r="C202" i="1"/>
  <c r="B202" i="1"/>
  <c r="Y201" i="1"/>
  <c r="M201" i="1" s="1"/>
  <c r="L201" i="1"/>
  <c r="K201" i="1"/>
  <c r="J201" i="1"/>
  <c r="I201" i="1"/>
  <c r="T201" i="1" s="1"/>
  <c r="X201" i="1" s="1"/>
  <c r="H201" i="1"/>
  <c r="G201" i="1"/>
  <c r="F201" i="1"/>
  <c r="E201" i="1"/>
  <c r="D201" i="1"/>
  <c r="C201" i="1"/>
  <c r="B201" i="1"/>
  <c r="Y200" i="1"/>
  <c r="M200" i="1" s="1"/>
  <c r="L200" i="1"/>
  <c r="K200" i="1"/>
  <c r="J200" i="1"/>
  <c r="I200" i="1"/>
  <c r="T200" i="1" s="1"/>
  <c r="X200" i="1" s="1"/>
  <c r="H200" i="1"/>
  <c r="G200" i="1"/>
  <c r="F200" i="1"/>
  <c r="E200" i="1"/>
  <c r="D200" i="1"/>
  <c r="C200" i="1"/>
  <c r="B200" i="1"/>
  <c r="Y199" i="1"/>
  <c r="M199" i="1" s="1"/>
  <c r="L199" i="1"/>
  <c r="K199" i="1"/>
  <c r="J199" i="1"/>
  <c r="I199" i="1"/>
  <c r="H199" i="1"/>
  <c r="G199" i="1"/>
  <c r="F199" i="1"/>
  <c r="E199" i="1"/>
  <c r="D199" i="1"/>
  <c r="C199" i="1"/>
  <c r="B199" i="1"/>
  <c r="Y198" i="1"/>
  <c r="M198" i="1" s="1"/>
  <c r="L198" i="1"/>
  <c r="K198" i="1"/>
  <c r="J198" i="1"/>
  <c r="I198" i="1"/>
  <c r="H198" i="1"/>
  <c r="G198" i="1"/>
  <c r="F198" i="1"/>
  <c r="E198" i="1"/>
  <c r="D198" i="1"/>
  <c r="C198" i="1"/>
  <c r="B198" i="1"/>
  <c r="Y197" i="1"/>
  <c r="M197" i="1" s="1"/>
  <c r="L197" i="1"/>
  <c r="K197" i="1"/>
  <c r="J197" i="1"/>
  <c r="I197" i="1"/>
  <c r="T197" i="1" s="1"/>
  <c r="X197" i="1" s="1"/>
  <c r="H197" i="1"/>
  <c r="G197" i="1"/>
  <c r="F197" i="1"/>
  <c r="E197" i="1"/>
  <c r="D197" i="1"/>
  <c r="C197" i="1"/>
  <c r="B197" i="1"/>
  <c r="Y196" i="1"/>
  <c r="M196" i="1" s="1"/>
  <c r="L196" i="1"/>
  <c r="K196" i="1"/>
  <c r="J196" i="1"/>
  <c r="I196" i="1"/>
  <c r="H196" i="1"/>
  <c r="G196" i="1"/>
  <c r="F196" i="1"/>
  <c r="E196" i="1"/>
  <c r="D196" i="1"/>
  <c r="C196" i="1"/>
  <c r="B196" i="1"/>
  <c r="Y195" i="1"/>
  <c r="M195" i="1" s="1"/>
  <c r="L195" i="1"/>
  <c r="K195" i="1"/>
  <c r="J195" i="1"/>
  <c r="I195" i="1"/>
  <c r="T195" i="1" s="1"/>
  <c r="X195" i="1" s="1"/>
  <c r="H195" i="1"/>
  <c r="G195" i="1"/>
  <c r="F195" i="1"/>
  <c r="E195" i="1"/>
  <c r="D195" i="1"/>
  <c r="C195" i="1"/>
  <c r="B195" i="1"/>
  <c r="Y194" i="1"/>
  <c r="M194" i="1" s="1"/>
  <c r="L194" i="1"/>
  <c r="K194" i="1"/>
  <c r="J194" i="1"/>
  <c r="I194" i="1"/>
  <c r="H194" i="1"/>
  <c r="G194" i="1"/>
  <c r="F194" i="1"/>
  <c r="E194" i="1"/>
  <c r="D194" i="1"/>
  <c r="C194" i="1"/>
  <c r="B194" i="1"/>
  <c r="Y193" i="1"/>
  <c r="M193" i="1" s="1"/>
  <c r="L193" i="1"/>
  <c r="K193" i="1"/>
  <c r="J193" i="1"/>
  <c r="I193" i="1"/>
  <c r="T193" i="1" s="1"/>
  <c r="X193" i="1" s="1"/>
  <c r="H193" i="1"/>
  <c r="G193" i="1"/>
  <c r="F193" i="1"/>
  <c r="E193" i="1"/>
  <c r="D193" i="1"/>
  <c r="C193" i="1"/>
  <c r="B193" i="1"/>
  <c r="Y192" i="1"/>
  <c r="M192" i="1" s="1"/>
  <c r="L192" i="1"/>
  <c r="K192" i="1"/>
  <c r="J192" i="1"/>
  <c r="I192" i="1"/>
  <c r="T192" i="1" s="1"/>
  <c r="X192" i="1" s="1"/>
  <c r="H192" i="1"/>
  <c r="G192" i="1"/>
  <c r="F192" i="1"/>
  <c r="E192" i="1"/>
  <c r="D192" i="1"/>
  <c r="C192" i="1"/>
  <c r="B192" i="1"/>
  <c r="Y191" i="1"/>
  <c r="M191" i="1" s="1"/>
  <c r="L191" i="1"/>
  <c r="K191" i="1"/>
  <c r="J191" i="1"/>
  <c r="I191" i="1"/>
  <c r="T191" i="1" s="1"/>
  <c r="X191" i="1" s="1"/>
  <c r="H191" i="1"/>
  <c r="G191" i="1"/>
  <c r="F191" i="1"/>
  <c r="E191" i="1"/>
  <c r="D191" i="1"/>
  <c r="C191" i="1"/>
  <c r="B191" i="1"/>
  <c r="Y190" i="1"/>
  <c r="M190" i="1" s="1"/>
  <c r="L190" i="1"/>
  <c r="K190" i="1"/>
  <c r="J190" i="1"/>
  <c r="I190" i="1"/>
  <c r="H190" i="1"/>
  <c r="G190" i="1"/>
  <c r="F190" i="1"/>
  <c r="E190" i="1"/>
  <c r="D190" i="1"/>
  <c r="C190" i="1"/>
  <c r="B190" i="1"/>
  <c r="Y189" i="1"/>
  <c r="M189" i="1" s="1"/>
  <c r="L189" i="1"/>
  <c r="K189" i="1"/>
  <c r="J189" i="1"/>
  <c r="I189" i="1"/>
  <c r="H189" i="1"/>
  <c r="G189" i="1"/>
  <c r="F189" i="1"/>
  <c r="E189" i="1"/>
  <c r="D189" i="1"/>
  <c r="C189" i="1"/>
  <c r="B189" i="1"/>
  <c r="Y188" i="1"/>
  <c r="M188" i="1" s="1"/>
  <c r="L188" i="1"/>
  <c r="K188" i="1"/>
  <c r="J188" i="1"/>
  <c r="I188" i="1"/>
  <c r="T188" i="1" s="1"/>
  <c r="H188" i="1"/>
  <c r="G188" i="1"/>
  <c r="F188" i="1"/>
  <c r="E188" i="1"/>
  <c r="D188" i="1"/>
  <c r="C188" i="1"/>
  <c r="B188" i="1"/>
  <c r="Y187" i="1"/>
  <c r="M187" i="1" s="1"/>
  <c r="L187" i="1"/>
  <c r="K187" i="1"/>
  <c r="J187" i="1"/>
  <c r="I187" i="1"/>
  <c r="H187" i="1"/>
  <c r="G187" i="1"/>
  <c r="F187" i="1"/>
  <c r="E187" i="1"/>
  <c r="D187" i="1"/>
  <c r="C187" i="1"/>
  <c r="B187" i="1"/>
  <c r="Y186" i="1"/>
  <c r="M186" i="1" s="1"/>
  <c r="L186" i="1"/>
  <c r="K186" i="1"/>
  <c r="J186" i="1"/>
  <c r="I186" i="1"/>
  <c r="T186" i="1" s="1"/>
  <c r="H186" i="1"/>
  <c r="G186" i="1"/>
  <c r="F186" i="1"/>
  <c r="E186" i="1"/>
  <c r="D186" i="1"/>
  <c r="C186" i="1"/>
  <c r="B186" i="1"/>
  <c r="Y185" i="1"/>
  <c r="M185" i="1" s="1"/>
  <c r="L185" i="1"/>
  <c r="K185" i="1"/>
  <c r="J185" i="1"/>
  <c r="I185" i="1"/>
  <c r="T185" i="1" s="1"/>
  <c r="H185" i="1"/>
  <c r="G185" i="1"/>
  <c r="F185" i="1"/>
  <c r="E185" i="1"/>
  <c r="D185" i="1"/>
  <c r="C185" i="1"/>
  <c r="B185" i="1"/>
  <c r="Y184" i="1"/>
  <c r="M184" i="1" s="1"/>
  <c r="L184" i="1"/>
  <c r="K184" i="1"/>
  <c r="J184" i="1"/>
  <c r="I184" i="1"/>
  <c r="H184" i="1"/>
  <c r="G184" i="1"/>
  <c r="F184" i="1"/>
  <c r="E184" i="1"/>
  <c r="D184" i="1"/>
  <c r="C184" i="1"/>
  <c r="B184" i="1"/>
  <c r="Y183" i="1"/>
  <c r="M183" i="1" s="1"/>
  <c r="L183" i="1"/>
  <c r="K183" i="1"/>
  <c r="J183" i="1"/>
  <c r="I183" i="1"/>
  <c r="T183" i="1" s="1"/>
  <c r="H183" i="1"/>
  <c r="G183" i="1"/>
  <c r="F183" i="1"/>
  <c r="E183" i="1"/>
  <c r="D183" i="1"/>
  <c r="C183" i="1"/>
  <c r="B183" i="1"/>
  <c r="Y182" i="1"/>
  <c r="M182" i="1" s="1"/>
  <c r="L182" i="1"/>
  <c r="K182" i="1"/>
  <c r="J182" i="1"/>
  <c r="I182" i="1"/>
  <c r="T182" i="1" s="1"/>
  <c r="H182" i="1"/>
  <c r="G182" i="1"/>
  <c r="F182" i="1"/>
  <c r="E182" i="1"/>
  <c r="D182" i="1"/>
  <c r="C182" i="1"/>
  <c r="B182" i="1"/>
  <c r="Y181" i="1"/>
  <c r="M181" i="1" s="1"/>
  <c r="L181" i="1"/>
  <c r="K181" i="1"/>
  <c r="J181" i="1"/>
  <c r="I181" i="1"/>
  <c r="T181" i="1" s="1"/>
  <c r="H181" i="1"/>
  <c r="G181" i="1"/>
  <c r="F181" i="1"/>
  <c r="E181" i="1"/>
  <c r="D181" i="1"/>
  <c r="C181" i="1"/>
  <c r="B181" i="1"/>
  <c r="Y180" i="1"/>
  <c r="M180" i="1" s="1"/>
  <c r="L180" i="1"/>
  <c r="K180" i="1"/>
  <c r="J180" i="1"/>
  <c r="I180" i="1"/>
  <c r="H180" i="1"/>
  <c r="G180" i="1"/>
  <c r="F180" i="1"/>
  <c r="E180" i="1"/>
  <c r="D180" i="1"/>
  <c r="C180" i="1"/>
  <c r="B180" i="1"/>
  <c r="Y179" i="1"/>
  <c r="M179" i="1" s="1"/>
  <c r="L179" i="1"/>
  <c r="K179" i="1"/>
  <c r="J179" i="1"/>
  <c r="I179" i="1"/>
  <c r="H179" i="1"/>
  <c r="G179" i="1"/>
  <c r="F179" i="1"/>
  <c r="E179" i="1"/>
  <c r="D179" i="1"/>
  <c r="C179" i="1"/>
  <c r="B179" i="1"/>
  <c r="Y178" i="1"/>
  <c r="M178" i="1" s="1"/>
  <c r="L178" i="1"/>
  <c r="K178" i="1"/>
  <c r="J178" i="1"/>
  <c r="I178" i="1"/>
  <c r="H178" i="1"/>
  <c r="G178" i="1"/>
  <c r="F178" i="1"/>
  <c r="E178" i="1"/>
  <c r="D178" i="1"/>
  <c r="C178" i="1"/>
  <c r="B178" i="1"/>
  <c r="Y177" i="1"/>
  <c r="M177" i="1" s="1"/>
  <c r="L177" i="1"/>
  <c r="K177" i="1"/>
  <c r="J177" i="1"/>
  <c r="I177" i="1"/>
  <c r="T177" i="1" s="1"/>
  <c r="H177" i="1"/>
  <c r="G177" i="1"/>
  <c r="F177" i="1"/>
  <c r="E177" i="1"/>
  <c r="D177" i="1"/>
  <c r="C177" i="1"/>
  <c r="B177" i="1"/>
  <c r="Y176" i="1"/>
  <c r="M176" i="1" s="1"/>
  <c r="L176" i="1"/>
  <c r="K176" i="1"/>
  <c r="J176" i="1"/>
  <c r="I176" i="1"/>
  <c r="T176" i="1" s="1"/>
  <c r="H176" i="1"/>
  <c r="G176" i="1"/>
  <c r="F176" i="1"/>
  <c r="E176" i="1"/>
  <c r="D176" i="1"/>
  <c r="C176" i="1"/>
  <c r="B176" i="1"/>
  <c r="Y175" i="1"/>
  <c r="M175" i="1" s="1"/>
  <c r="L175" i="1"/>
  <c r="K175" i="1"/>
  <c r="J175" i="1"/>
  <c r="I175" i="1"/>
  <c r="H175" i="1"/>
  <c r="G175" i="1"/>
  <c r="F175" i="1"/>
  <c r="E175" i="1"/>
  <c r="D175" i="1"/>
  <c r="C175" i="1"/>
  <c r="B175" i="1"/>
  <c r="Y174" i="1"/>
  <c r="M174" i="1" s="1"/>
  <c r="L174" i="1"/>
  <c r="K174" i="1"/>
  <c r="J174" i="1"/>
  <c r="I174" i="1"/>
  <c r="H174" i="1"/>
  <c r="G174" i="1"/>
  <c r="F174" i="1"/>
  <c r="E174" i="1"/>
  <c r="D174" i="1"/>
  <c r="C174" i="1"/>
  <c r="B174" i="1"/>
  <c r="Y173" i="1"/>
  <c r="M173" i="1" s="1"/>
  <c r="L173" i="1"/>
  <c r="K173" i="1"/>
  <c r="J173" i="1"/>
  <c r="I173" i="1"/>
  <c r="H173" i="1"/>
  <c r="G173" i="1"/>
  <c r="F173" i="1"/>
  <c r="E173" i="1"/>
  <c r="D173" i="1"/>
  <c r="C173" i="1"/>
  <c r="B173" i="1"/>
  <c r="Y172" i="1"/>
  <c r="M172" i="1" s="1"/>
  <c r="L172" i="1"/>
  <c r="K172" i="1"/>
  <c r="J172" i="1"/>
  <c r="I172" i="1"/>
  <c r="T172" i="1" s="1"/>
  <c r="H172" i="1"/>
  <c r="G172" i="1"/>
  <c r="F172" i="1"/>
  <c r="E172" i="1"/>
  <c r="D172" i="1"/>
  <c r="C172" i="1"/>
  <c r="B172" i="1"/>
  <c r="Y171" i="1"/>
  <c r="M171" i="1" s="1"/>
  <c r="L171" i="1"/>
  <c r="K171" i="1"/>
  <c r="J171" i="1"/>
  <c r="I171" i="1"/>
  <c r="T171" i="1" s="1"/>
  <c r="H171" i="1"/>
  <c r="G171" i="1"/>
  <c r="F171" i="1"/>
  <c r="E171" i="1"/>
  <c r="D171" i="1"/>
  <c r="C171" i="1"/>
  <c r="B171" i="1"/>
  <c r="Y170" i="1"/>
  <c r="M170" i="1" s="1"/>
  <c r="L170" i="1"/>
  <c r="K170" i="1"/>
  <c r="J170" i="1"/>
  <c r="I170" i="1"/>
  <c r="T170" i="1" s="1"/>
  <c r="H170" i="1"/>
  <c r="G170" i="1"/>
  <c r="F170" i="1"/>
  <c r="E170" i="1"/>
  <c r="D170" i="1"/>
  <c r="C170" i="1"/>
  <c r="B170" i="1"/>
  <c r="Y169" i="1"/>
  <c r="M169" i="1" s="1"/>
  <c r="L169" i="1"/>
  <c r="K169" i="1"/>
  <c r="J169" i="1"/>
  <c r="I169" i="1"/>
  <c r="T169" i="1" s="1"/>
  <c r="H169" i="1"/>
  <c r="G169" i="1"/>
  <c r="F169" i="1"/>
  <c r="E169" i="1"/>
  <c r="D169" i="1"/>
  <c r="C169" i="1"/>
  <c r="B169" i="1"/>
  <c r="Y168" i="1"/>
  <c r="M168" i="1" s="1"/>
  <c r="L168" i="1"/>
  <c r="K168" i="1"/>
  <c r="J168" i="1"/>
  <c r="I168" i="1"/>
  <c r="T168" i="1" s="1"/>
  <c r="H168" i="1"/>
  <c r="G168" i="1"/>
  <c r="F168" i="1"/>
  <c r="E168" i="1"/>
  <c r="D168" i="1"/>
  <c r="C168" i="1"/>
  <c r="B168" i="1"/>
  <c r="Y167" i="1"/>
  <c r="M167" i="1" s="1"/>
  <c r="L167" i="1"/>
  <c r="K167" i="1"/>
  <c r="J167" i="1"/>
  <c r="I167" i="1"/>
  <c r="H167" i="1"/>
  <c r="G167" i="1"/>
  <c r="F167" i="1"/>
  <c r="E167" i="1"/>
  <c r="D167" i="1"/>
  <c r="C167" i="1"/>
  <c r="B167" i="1"/>
  <c r="Y166" i="1"/>
  <c r="M166" i="1" s="1"/>
  <c r="L166" i="1"/>
  <c r="K166" i="1"/>
  <c r="J166" i="1"/>
  <c r="I166" i="1"/>
  <c r="T166" i="1" s="1"/>
  <c r="H166" i="1"/>
  <c r="G166" i="1"/>
  <c r="F166" i="1"/>
  <c r="E166" i="1"/>
  <c r="D166" i="1"/>
  <c r="C166" i="1"/>
  <c r="B166" i="1"/>
  <c r="Y165" i="1"/>
  <c r="M165" i="1" s="1"/>
  <c r="L165" i="1"/>
  <c r="K165" i="1"/>
  <c r="J165" i="1"/>
  <c r="I165" i="1"/>
  <c r="H165" i="1"/>
  <c r="G165" i="1"/>
  <c r="F165" i="1"/>
  <c r="E165" i="1"/>
  <c r="D165" i="1"/>
  <c r="C165" i="1"/>
  <c r="B165" i="1"/>
  <c r="Y164" i="1"/>
  <c r="M164" i="1" s="1"/>
  <c r="L164" i="1"/>
  <c r="K164" i="1"/>
  <c r="J164" i="1"/>
  <c r="I164" i="1"/>
  <c r="T164" i="1" s="1"/>
  <c r="U164" i="1" s="1"/>
  <c r="H164" i="1"/>
  <c r="G164" i="1"/>
  <c r="F164" i="1"/>
  <c r="E164" i="1"/>
  <c r="D164" i="1"/>
  <c r="C164" i="1"/>
  <c r="B164" i="1"/>
  <c r="Y163" i="1"/>
  <c r="M163" i="1" s="1"/>
  <c r="L163" i="1"/>
  <c r="K163" i="1"/>
  <c r="J163" i="1"/>
  <c r="I163" i="1"/>
  <c r="T163" i="1" s="1"/>
  <c r="V163" i="1" s="1"/>
  <c r="H163" i="1"/>
  <c r="G163" i="1"/>
  <c r="F163" i="1"/>
  <c r="E163" i="1"/>
  <c r="D163" i="1"/>
  <c r="C163" i="1"/>
  <c r="B163" i="1"/>
  <c r="Y162" i="1"/>
  <c r="M162" i="1" s="1"/>
  <c r="L162" i="1"/>
  <c r="K162" i="1"/>
  <c r="J162" i="1"/>
  <c r="I162" i="1"/>
  <c r="H162" i="1"/>
  <c r="G162" i="1"/>
  <c r="F162" i="1"/>
  <c r="E162" i="1"/>
  <c r="D162" i="1"/>
  <c r="C162" i="1"/>
  <c r="B162" i="1"/>
  <c r="Y161" i="1"/>
  <c r="M161" i="1" s="1"/>
  <c r="L161" i="1"/>
  <c r="K161" i="1"/>
  <c r="J161" i="1"/>
  <c r="I161" i="1"/>
  <c r="T161" i="1" s="1"/>
  <c r="H161" i="1"/>
  <c r="G161" i="1"/>
  <c r="F161" i="1"/>
  <c r="E161" i="1"/>
  <c r="D161" i="1"/>
  <c r="C161" i="1"/>
  <c r="B161" i="1"/>
  <c r="Y160" i="1"/>
  <c r="M160" i="1" s="1"/>
  <c r="L160" i="1"/>
  <c r="K160" i="1"/>
  <c r="J160" i="1"/>
  <c r="I160" i="1"/>
  <c r="T160" i="1" s="1"/>
  <c r="H160" i="1"/>
  <c r="G160" i="1"/>
  <c r="F160" i="1"/>
  <c r="E160" i="1"/>
  <c r="D160" i="1"/>
  <c r="C160" i="1"/>
  <c r="B160" i="1"/>
  <c r="Y159" i="1"/>
  <c r="M159" i="1" s="1"/>
  <c r="L159" i="1"/>
  <c r="K159" i="1"/>
  <c r="J159" i="1"/>
  <c r="I159" i="1"/>
  <c r="H159" i="1"/>
  <c r="G159" i="1"/>
  <c r="F159" i="1"/>
  <c r="E159" i="1"/>
  <c r="D159" i="1"/>
  <c r="C159" i="1"/>
  <c r="B159" i="1"/>
  <c r="Y158" i="1"/>
  <c r="M158" i="1" s="1"/>
  <c r="L158" i="1"/>
  <c r="K158" i="1"/>
  <c r="J158" i="1"/>
  <c r="I158" i="1"/>
  <c r="H158" i="1"/>
  <c r="G158" i="1"/>
  <c r="F158" i="1"/>
  <c r="E158" i="1"/>
  <c r="D158" i="1"/>
  <c r="C158" i="1"/>
  <c r="B158" i="1"/>
  <c r="Y157" i="1"/>
  <c r="M157" i="1" s="1"/>
  <c r="L157" i="1"/>
  <c r="K157" i="1"/>
  <c r="J157" i="1"/>
  <c r="I157" i="1"/>
  <c r="H157" i="1"/>
  <c r="G157" i="1"/>
  <c r="F157" i="1"/>
  <c r="E157" i="1"/>
  <c r="D157" i="1"/>
  <c r="C157" i="1"/>
  <c r="B157" i="1"/>
  <c r="Y156" i="1"/>
  <c r="M156" i="1" s="1"/>
  <c r="L156" i="1"/>
  <c r="K156" i="1"/>
  <c r="J156" i="1"/>
  <c r="I156" i="1"/>
  <c r="H156" i="1"/>
  <c r="G156" i="1"/>
  <c r="F156" i="1"/>
  <c r="E156" i="1"/>
  <c r="D156" i="1"/>
  <c r="C156" i="1"/>
  <c r="B156" i="1"/>
  <c r="Y155" i="1"/>
  <c r="M155" i="1" s="1"/>
  <c r="L155" i="1"/>
  <c r="K155" i="1"/>
  <c r="J155" i="1"/>
  <c r="I155" i="1"/>
  <c r="T155" i="1" s="1"/>
  <c r="V155" i="1" s="1"/>
  <c r="H155" i="1"/>
  <c r="G155" i="1"/>
  <c r="F155" i="1"/>
  <c r="E155" i="1"/>
  <c r="D155" i="1"/>
  <c r="C155" i="1"/>
  <c r="B155" i="1"/>
  <c r="Y154" i="1"/>
  <c r="M154" i="1" s="1"/>
  <c r="L154" i="1"/>
  <c r="K154" i="1"/>
  <c r="J154" i="1"/>
  <c r="I154" i="1"/>
  <c r="H154" i="1"/>
  <c r="G154" i="1"/>
  <c r="F154" i="1"/>
  <c r="E154" i="1"/>
  <c r="D154" i="1"/>
  <c r="C154" i="1"/>
  <c r="B154" i="1"/>
  <c r="Y153" i="1"/>
  <c r="M153" i="1" s="1"/>
  <c r="L153" i="1"/>
  <c r="K153" i="1"/>
  <c r="J153" i="1"/>
  <c r="I153" i="1"/>
  <c r="H153" i="1"/>
  <c r="G153" i="1"/>
  <c r="F153" i="1"/>
  <c r="E153" i="1"/>
  <c r="D153" i="1"/>
  <c r="C153" i="1"/>
  <c r="B153" i="1"/>
  <c r="Y152" i="1"/>
  <c r="M152" i="1" s="1"/>
  <c r="L152" i="1"/>
  <c r="K152" i="1"/>
  <c r="J152" i="1"/>
  <c r="I152" i="1"/>
  <c r="T152" i="1" s="1"/>
  <c r="H152" i="1"/>
  <c r="G152" i="1"/>
  <c r="F152" i="1"/>
  <c r="E152" i="1"/>
  <c r="D152" i="1"/>
  <c r="C152" i="1"/>
  <c r="B152" i="1"/>
  <c r="Y151" i="1"/>
  <c r="M151" i="1" s="1"/>
  <c r="L151" i="1"/>
  <c r="K151" i="1"/>
  <c r="J151" i="1"/>
  <c r="I151" i="1"/>
  <c r="T151" i="1" s="1"/>
  <c r="H151" i="1"/>
  <c r="G151" i="1"/>
  <c r="F151" i="1"/>
  <c r="E151" i="1"/>
  <c r="D151" i="1"/>
  <c r="C151" i="1"/>
  <c r="B151" i="1"/>
  <c r="Y150" i="1"/>
  <c r="M150" i="1" s="1"/>
  <c r="L150" i="1"/>
  <c r="K150" i="1"/>
  <c r="J150" i="1"/>
  <c r="I150" i="1"/>
  <c r="T150" i="1" s="1"/>
  <c r="U150" i="1" s="1"/>
  <c r="H150" i="1"/>
  <c r="G150" i="1"/>
  <c r="F150" i="1"/>
  <c r="E150" i="1"/>
  <c r="D150" i="1"/>
  <c r="C150" i="1"/>
  <c r="B150" i="1"/>
  <c r="Y149" i="1"/>
  <c r="M149" i="1" s="1"/>
  <c r="L149" i="1"/>
  <c r="K149" i="1"/>
  <c r="J149" i="1"/>
  <c r="I149" i="1"/>
  <c r="T149" i="1" s="1"/>
  <c r="V149" i="1" s="1"/>
  <c r="H149" i="1"/>
  <c r="G149" i="1"/>
  <c r="F149" i="1"/>
  <c r="E149" i="1"/>
  <c r="D149" i="1"/>
  <c r="C149" i="1"/>
  <c r="B149" i="1"/>
  <c r="Y148" i="1"/>
  <c r="M148" i="1" s="1"/>
  <c r="L148" i="1"/>
  <c r="K148" i="1"/>
  <c r="J148" i="1"/>
  <c r="I148" i="1"/>
  <c r="H148" i="1"/>
  <c r="G148" i="1"/>
  <c r="F148" i="1"/>
  <c r="E148" i="1"/>
  <c r="D148" i="1"/>
  <c r="C148" i="1"/>
  <c r="B148" i="1"/>
  <c r="Y147" i="1"/>
  <c r="M147" i="1" s="1"/>
  <c r="L147" i="1"/>
  <c r="K147" i="1"/>
  <c r="J147" i="1"/>
  <c r="I147" i="1"/>
  <c r="T147" i="1" s="1"/>
  <c r="H147" i="1"/>
  <c r="G147" i="1"/>
  <c r="F147" i="1"/>
  <c r="E147" i="1"/>
  <c r="D147" i="1"/>
  <c r="C147" i="1"/>
  <c r="B147" i="1"/>
  <c r="Y146" i="1"/>
  <c r="M146" i="1" s="1"/>
  <c r="L146" i="1"/>
  <c r="K146" i="1"/>
  <c r="J146" i="1"/>
  <c r="I146" i="1"/>
  <c r="H146" i="1"/>
  <c r="G146" i="1"/>
  <c r="F146" i="1"/>
  <c r="E146" i="1"/>
  <c r="D146" i="1"/>
  <c r="C146" i="1"/>
  <c r="B146" i="1"/>
  <c r="Y145" i="1"/>
  <c r="M145" i="1" s="1"/>
  <c r="L145" i="1"/>
  <c r="K145" i="1"/>
  <c r="J145" i="1"/>
  <c r="I145" i="1"/>
  <c r="T145" i="1" s="1"/>
  <c r="V145" i="1" s="1"/>
  <c r="H145" i="1"/>
  <c r="G145" i="1"/>
  <c r="F145" i="1"/>
  <c r="E145" i="1"/>
  <c r="D145" i="1"/>
  <c r="C145" i="1"/>
  <c r="B145" i="1"/>
  <c r="Y144" i="1"/>
  <c r="M144" i="1" s="1"/>
  <c r="L144" i="1"/>
  <c r="K144" i="1"/>
  <c r="J144" i="1"/>
  <c r="I144" i="1"/>
  <c r="T144" i="1" s="1"/>
  <c r="V144" i="1" s="1"/>
  <c r="H144" i="1"/>
  <c r="G144" i="1"/>
  <c r="F144" i="1"/>
  <c r="E144" i="1"/>
  <c r="D144" i="1"/>
  <c r="C144" i="1"/>
  <c r="B144" i="1"/>
  <c r="Y143" i="1"/>
  <c r="M143" i="1" s="1"/>
  <c r="L143" i="1"/>
  <c r="K143" i="1"/>
  <c r="J143" i="1"/>
  <c r="I143" i="1"/>
  <c r="H143" i="1"/>
  <c r="G143" i="1"/>
  <c r="F143" i="1"/>
  <c r="E143" i="1"/>
  <c r="D143" i="1"/>
  <c r="C143" i="1"/>
  <c r="B143" i="1"/>
  <c r="Y142" i="1"/>
  <c r="M142" i="1" s="1"/>
  <c r="L142" i="1"/>
  <c r="K142" i="1"/>
  <c r="J142" i="1"/>
  <c r="I142" i="1"/>
  <c r="T142" i="1" s="1"/>
  <c r="H142" i="1"/>
  <c r="G142" i="1"/>
  <c r="F142" i="1"/>
  <c r="E142" i="1"/>
  <c r="D142" i="1"/>
  <c r="C142" i="1"/>
  <c r="B142" i="1"/>
  <c r="Y141" i="1"/>
  <c r="M141" i="1" s="1"/>
  <c r="L141" i="1"/>
  <c r="K141" i="1"/>
  <c r="J141" i="1"/>
  <c r="I141" i="1"/>
  <c r="T141" i="1" s="1"/>
  <c r="H141" i="1"/>
  <c r="G141" i="1"/>
  <c r="F141" i="1"/>
  <c r="E141" i="1"/>
  <c r="D141" i="1"/>
  <c r="C141" i="1"/>
  <c r="B141" i="1"/>
  <c r="Y140" i="1"/>
  <c r="M140" i="1" s="1"/>
  <c r="L140" i="1"/>
  <c r="K140" i="1"/>
  <c r="J140" i="1"/>
  <c r="I140" i="1"/>
  <c r="T140" i="1" s="1"/>
  <c r="H140" i="1"/>
  <c r="G140" i="1"/>
  <c r="F140" i="1"/>
  <c r="E140" i="1"/>
  <c r="D140" i="1"/>
  <c r="C140" i="1"/>
  <c r="B140" i="1"/>
  <c r="Y139" i="1"/>
  <c r="M139" i="1" s="1"/>
  <c r="L139" i="1"/>
  <c r="K139" i="1"/>
  <c r="J139" i="1"/>
  <c r="I139" i="1"/>
  <c r="H139" i="1"/>
  <c r="G139" i="1"/>
  <c r="F139" i="1"/>
  <c r="E139" i="1"/>
  <c r="D139" i="1"/>
  <c r="C139" i="1"/>
  <c r="B139" i="1"/>
  <c r="Y138" i="1"/>
  <c r="M138" i="1" s="1"/>
  <c r="L138" i="1"/>
  <c r="K138" i="1"/>
  <c r="J138" i="1"/>
  <c r="I138" i="1"/>
  <c r="H138" i="1"/>
  <c r="G138" i="1"/>
  <c r="F138" i="1"/>
  <c r="E138" i="1"/>
  <c r="D138" i="1"/>
  <c r="C138" i="1"/>
  <c r="B138" i="1"/>
  <c r="Y137" i="1"/>
  <c r="M137" i="1" s="1"/>
  <c r="L137" i="1"/>
  <c r="K137" i="1"/>
  <c r="J137" i="1"/>
  <c r="I137" i="1"/>
  <c r="T137" i="1" s="1"/>
  <c r="H137" i="1"/>
  <c r="G137" i="1"/>
  <c r="F137" i="1"/>
  <c r="E137" i="1"/>
  <c r="D137" i="1"/>
  <c r="C137" i="1"/>
  <c r="B137" i="1"/>
  <c r="Y136" i="1"/>
  <c r="M136" i="1" s="1"/>
  <c r="L136" i="1"/>
  <c r="K136" i="1"/>
  <c r="J136" i="1"/>
  <c r="I136" i="1"/>
  <c r="H136" i="1"/>
  <c r="G136" i="1"/>
  <c r="F136" i="1"/>
  <c r="E136" i="1"/>
  <c r="D136" i="1"/>
  <c r="C136" i="1"/>
  <c r="B136" i="1"/>
  <c r="Y135" i="1"/>
  <c r="M135" i="1" s="1"/>
  <c r="L135" i="1"/>
  <c r="K135" i="1"/>
  <c r="J135" i="1"/>
  <c r="I135" i="1"/>
  <c r="T135" i="1" s="1"/>
  <c r="H135" i="1"/>
  <c r="G135" i="1"/>
  <c r="F135" i="1"/>
  <c r="E135" i="1"/>
  <c r="D135" i="1"/>
  <c r="C135" i="1"/>
  <c r="B135" i="1"/>
  <c r="Y134" i="1"/>
  <c r="M134" i="1" s="1"/>
  <c r="L134" i="1"/>
  <c r="K134" i="1"/>
  <c r="J134" i="1"/>
  <c r="I134" i="1"/>
  <c r="T134" i="1" s="1"/>
  <c r="V134" i="1" s="1"/>
  <c r="H134" i="1"/>
  <c r="G134" i="1"/>
  <c r="F134" i="1"/>
  <c r="E134" i="1"/>
  <c r="D134" i="1"/>
  <c r="C134" i="1"/>
  <c r="B134" i="1"/>
  <c r="Y133" i="1"/>
  <c r="M133" i="1" s="1"/>
  <c r="L133" i="1"/>
  <c r="K133" i="1"/>
  <c r="J133" i="1"/>
  <c r="I133" i="1"/>
  <c r="H133" i="1"/>
  <c r="G133" i="1"/>
  <c r="F133" i="1"/>
  <c r="E133" i="1"/>
  <c r="D133" i="1"/>
  <c r="C133" i="1"/>
  <c r="B133" i="1"/>
  <c r="Y132" i="1"/>
  <c r="M132" i="1" s="1"/>
  <c r="L132" i="1"/>
  <c r="K132" i="1"/>
  <c r="J132" i="1"/>
  <c r="I132" i="1"/>
  <c r="T132" i="1" s="1"/>
  <c r="H132" i="1"/>
  <c r="G132" i="1"/>
  <c r="F132" i="1"/>
  <c r="E132" i="1"/>
  <c r="D132" i="1"/>
  <c r="C132" i="1"/>
  <c r="B132" i="1"/>
  <c r="Y131" i="1"/>
  <c r="M131" i="1" s="1"/>
  <c r="L131" i="1"/>
  <c r="K131" i="1"/>
  <c r="J131" i="1"/>
  <c r="I131" i="1"/>
  <c r="H131" i="1"/>
  <c r="G131" i="1"/>
  <c r="F131" i="1"/>
  <c r="E131" i="1"/>
  <c r="D131" i="1"/>
  <c r="C131" i="1"/>
  <c r="B131" i="1"/>
  <c r="Y130" i="1"/>
  <c r="M130" i="1" s="1"/>
  <c r="L130" i="1"/>
  <c r="K130" i="1"/>
  <c r="J130" i="1"/>
  <c r="I130" i="1"/>
  <c r="T130" i="1" s="1"/>
  <c r="H130" i="1"/>
  <c r="G130" i="1"/>
  <c r="F130" i="1"/>
  <c r="E130" i="1"/>
  <c r="D130" i="1"/>
  <c r="C130" i="1"/>
  <c r="B130" i="1"/>
  <c r="Y129" i="1"/>
  <c r="M129" i="1" s="1"/>
  <c r="L129" i="1"/>
  <c r="K129" i="1"/>
  <c r="J129" i="1"/>
  <c r="I129" i="1"/>
  <c r="T129" i="1" s="1"/>
  <c r="V129" i="1" s="1"/>
  <c r="H129" i="1"/>
  <c r="G129" i="1"/>
  <c r="F129" i="1"/>
  <c r="E129" i="1"/>
  <c r="D129" i="1"/>
  <c r="C129" i="1"/>
  <c r="B129" i="1"/>
  <c r="Y128" i="1"/>
  <c r="M128" i="1" s="1"/>
  <c r="L128" i="1"/>
  <c r="K128" i="1"/>
  <c r="J128" i="1"/>
  <c r="I128" i="1"/>
  <c r="H128" i="1"/>
  <c r="G128" i="1"/>
  <c r="F128" i="1"/>
  <c r="E128" i="1"/>
  <c r="D128" i="1"/>
  <c r="C128" i="1"/>
  <c r="B128" i="1"/>
  <c r="Y127" i="1"/>
  <c r="M127" i="1" s="1"/>
  <c r="L127" i="1"/>
  <c r="K127" i="1"/>
  <c r="J127" i="1"/>
  <c r="I127" i="1"/>
  <c r="H127" i="1"/>
  <c r="G127" i="1"/>
  <c r="F127" i="1"/>
  <c r="E127" i="1"/>
  <c r="D127" i="1"/>
  <c r="C127" i="1"/>
  <c r="B127" i="1"/>
  <c r="Y126" i="1"/>
  <c r="M126" i="1" s="1"/>
  <c r="L126" i="1"/>
  <c r="K126" i="1"/>
  <c r="J126" i="1"/>
  <c r="I126" i="1"/>
  <c r="H126" i="1"/>
  <c r="G126" i="1"/>
  <c r="F126" i="1"/>
  <c r="E126" i="1"/>
  <c r="D126" i="1"/>
  <c r="C126" i="1"/>
  <c r="B126" i="1"/>
  <c r="Y125" i="1"/>
  <c r="M125" i="1" s="1"/>
  <c r="L125" i="1"/>
  <c r="K125" i="1"/>
  <c r="J125" i="1"/>
  <c r="I125" i="1"/>
  <c r="H125" i="1"/>
  <c r="G125" i="1"/>
  <c r="F125" i="1"/>
  <c r="E125" i="1"/>
  <c r="D125" i="1"/>
  <c r="C125" i="1"/>
  <c r="B125" i="1"/>
  <c r="Y124" i="1"/>
  <c r="M124" i="1" s="1"/>
  <c r="L124" i="1"/>
  <c r="K124" i="1"/>
  <c r="J124" i="1"/>
  <c r="I124" i="1"/>
  <c r="H124" i="1"/>
  <c r="G124" i="1"/>
  <c r="F124" i="1"/>
  <c r="E124" i="1"/>
  <c r="D124" i="1"/>
  <c r="C124" i="1"/>
  <c r="B124" i="1"/>
  <c r="Y123" i="1"/>
  <c r="M123" i="1" s="1"/>
  <c r="L123" i="1"/>
  <c r="K123" i="1"/>
  <c r="J123" i="1"/>
  <c r="I123" i="1"/>
  <c r="H123" i="1"/>
  <c r="G123" i="1"/>
  <c r="F123" i="1"/>
  <c r="E123" i="1"/>
  <c r="D123" i="1"/>
  <c r="C123" i="1"/>
  <c r="B123" i="1"/>
  <c r="Y122" i="1"/>
  <c r="M122" i="1" s="1"/>
  <c r="L122" i="1"/>
  <c r="K122" i="1"/>
  <c r="J122" i="1"/>
  <c r="I122" i="1"/>
  <c r="H122" i="1"/>
  <c r="G122" i="1"/>
  <c r="F122" i="1"/>
  <c r="E122" i="1"/>
  <c r="D122" i="1"/>
  <c r="C122" i="1"/>
  <c r="B122" i="1"/>
  <c r="Y121" i="1"/>
  <c r="M121" i="1" s="1"/>
  <c r="L121" i="1"/>
  <c r="K121" i="1"/>
  <c r="J121" i="1"/>
  <c r="I121" i="1"/>
  <c r="H121" i="1"/>
  <c r="G121" i="1"/>
  <c r="F121" i="1"/>
  <c r="E121" i="1"/>
  <c r="D121" i="1"/>
  <c r="C121" i="1"/>
  <c r="B121" i="1"/>
  <c r="Y120" i="1"/>
  <c r="M120" i="1" s="1"/>
  <c r="L120" i="1"/>
  <c r="K120" i="1"/>
  <c r="J120" i="1"/>
  <c r="I120" i="1"/>
  <c r="H120" i="1"/>
  <c r="G120" i="1"/>
  <c r="F120" i="1"/>
  <c r="E120" i="1"/>
  <c r="D120" i="1"/>
  <c r="C120" i="1"/>
  <c r="B120" i="1"/>
  <c r="Y119" i="1"/>
  <c r="M119" i="1" s="1"/>
  <c r="L119" i="1"/>
  <c r="K119" i="1"/>
  <c r="J119" i="1"/>
  <c r="I119" i="1"/>
  <c r="H119" i="1"/>
  <c r="G119" i="1"/>
  <c r="F119" i="1"/>
  <c r="E119" i="1"/>
  <c r="D119" i="1"/>
  <c r="C119" i="1"/>
  <c r="B119" i="1"/>
  <c r="Y118" i="1"/>
  <c r="M118" i="1" s="1"/>
  <c r="L118" i="1"/>
  <c r="K118" i="1"/>
  <c r="J118" i="1"/>
  <c r="I118" i="1"/>
  <c r="H118" i="1"/>
  <c r="G118" i="1"/>
  <c r="F118" i="1"/>
  <c r="E118" i="1"/>
  <c r="D118" i="1"/>
  <c r="C118" i="1"/>
  <c r="B118" i="1"/>
  <c r="Y117" i="1"/>
  <c r="M117" i="1" s="1"/>
  <c r="L117" i="1"/>
  <c r="K117" i="1"/>
  <c r="J117" i="1"/>
  <c r="I117" i="1"/>
  <c r="H117" i="1"/>
  <c r="G117" i="1"/>
  <c r="F117" i="1"/>
  <c r="E117" i="1"/>
  <c r="D117" i="1"/>
  <c r="C117" i="1"/>
  <c r="B117" i="1"/>
  <c r="Y116" i="1"/>
  <c r="M116" i="1" s="1"/>
  <c r="L116" i="1"/>
  <c r="K116" i="1"/>
  <c r="J116" i="1"/>
  <c r="I116" i="1"/>
  <c r="H116" i="1"/>
  <c r="G116" i="1"/>
  <c r="F116" i="1"/>
  <c r="E116" i="1"/>
  <c r="D116" i="1"/>
  <c r="C116" i="1"/>
  <c r="B116" i="1"/>
  <c r="Y115" i="1"/>
  <c r="M115" i="1" s="1"/>
  <c r="L115" i="1"/>
  <c r="K115" i="1"/>
  <c r="J115" i="1"/>
  <c r="I115" i="1"/>
  <c r="H115" i="1"/>
  <c r="G115" i="1"/>
  <c r="F115" i="1"/>
  <c r="E115" i="1"/>
  <c r="D115" i="1"/>
  <c r="C115" i="1"/>
  <c r="B115" i="1"/>
  <c r="Y114" i="1"/>
  <c r="M114" i="1" s="1"/>
  <c r="L114" i="1"/>
  <c r="K114" i="1"/>
  <c r="J114" i="1"/>
  <c r="I114" i="1"/>
  <c r="H114" i="1"/>
  <c r="G114" i="1"/>
  <c r="F114" i="1"/>
  <c r="E114" i="1"/>
  <c r="D114" i="1"/>
  <c r="C114" i="1"/>
  <c r="B114" i="1"/>
  <c r="Y113" i="1"/>
  <c r="M113" i="1" s="1"/>
  <c r="L113" i="1"/>
  <c r="K113" i="1"/>
  <c r="J113" i="1"/>
  <c r="I113" i="1"/>
  <c r="H113" i="1"/>
  <c r="G113" i="1"/>
  <c r="F113" i="1"/>
  <c r="E113" i="1"/>
  <c r="D113" i="1"/>
  <c r="C113" i="1"/>
  <c r="B113" i="1"/>
  <c r="Y112" i="1"/>
  <c r="M112" i="1" s="1"/>
  <c r="L112" i="1"/>
  <c r="K112" i="1"/>
  <c r="J112" i="1"/>
  <c r="I112" i="1"/>
  <c r="H112" i="1"/>
  <c r="G112" i="1"/>
  <c r="F112" i="1"/>
  <c r="E112" i="1"/>
  <c r="D112" i="1"/>
  <c r="C112" i="1"/>
  <c r="B112" i="1"/>
  <c r="Y111" i="1"/>
  <c r="M111" i="1" s="1"/>
  <c r="L111" i="1"/>
  <c r="K111" i="1"/>
  <c r="J111" i="1"/>
  <c r="I111" i="1"/>
  <c r="H111" i="1"/>
  <c r="G111" i="1"/>
  <c r="F111" i="1"/>
  <c r="E111" i="1"/>
  <c r="D111" i="1"/>
  <c r="C111" i="1"/>
  <c r="B111" i="1"/>
  <c r="Y110" i="1"/>
  <c r="M110" i="1" s="1"/>
  <c r="L110" i="1"/>
  <c r="K110" i="1"/>
  <c r="J110" i="1"/>
  <c r="I110" i="1"/>
  <c r="H110" i="1"/>
  <c r="G110" i="1"/>
  <c r="F110" i="1"/>
  <c r="E110" i="1"/>
  <c r="D110" i="1"/>
  <c r="C110" i="1"/>
  <c r="B110" i="1"/>
  <c r="Y109" i="1"/>
  <c r="M109" i="1" s="1"/>
  <c r="L109" i="1"/>
  <c r="K109" i="1"/>
  <c r="J109" i="1"/>
  <c r="I109" i="1"/>
  <c r="H109" i="1"/>
  <c r="G109" i="1"/>
  <c r="F109" i="1"/>
  <c r="E109" i="1"/>
  <c r="D109" i="1"/>
  <c r="C109" i="1"/>
  <c r="B109" i="1"/>
  <c r="Y108" i="1"/>
  <c r="M108" i="1" s="1"/>
  <c r="L108" i="1"/>
  <c r="K108" i="1"/>
  <c r="J108" i="1"/>
  <c r="I108" i="1"/>
  <c r="H108" i="1"/>
  <c r="G108" i="1"/>
  <c r="F108" i="1"/>
  <c r="E108" i="1"/>
  <c r="D108" i="1"/>
  <c r="C108" i="1"/>
  <c r="B108" i="1"/>
  <c r="Y107" i="1"/>
  <c r="M107" i="1" s="1"/>
  <c r="L107" i="1"/>
  <c r="K107" i="1"/>
  <c r="J107" i="1"/>
  <c r="I107" i="1"/>
  <c r="H107" i="1"/>
  <c r="G107" i="1"/>
  <c r="F107" i="1"/>
  <c r="E107" i="1"/>
  <c r="D107" i="1"/>
  <c r="C107" i="1"/>
  <c r="B107" i="1"/>
  <c r="Y106" i="1"/>
  <c r="M106" i="1" s="1"/>
  <c r="L106" i="1"/>
  <c r="K106" i="1"/>
  <c r="J106" i="1"/>
  <c r="I106" i="1"/>
  <c r="H106" i="1"/>
  <c r="G106" i="1"/>
  <c r="F106" i="1"/>
  <c r="E106" i="1"/>
  <c r="D106" i="1"/>
  <c r="C106" i="1"/>
  <c r="B106" i="1"/>
  <c r="Y105" i="1"/>
  <c r="M105" i="1" s="1"/>
  <c r="L105" i="1"/>
  <c r="K105" i="1"/>
  <c r="J105" i="1"/>
  <c r="I105" i="1"/>
  <c r="H105" i="1"/>
  <c r="G105" i="1"/>
  <c r="F105" i="1"/>
  <c r="E105" i="1"/>
  <c r="D105" i="1"/>
  <c r="C105" i="1"/>
  <c r="B105" i="1"/>
  <c r="Y104" i="1"/>
  <c r="M104" i="1" s="1"/>
  <c r="L104" i="1"/>
  <c r="K104" i="1"/>
  <c r="J104" i="1"/>
  <c r="I104" i="1"/>
  <c r="H104" i="1"/>
  <c r="G104" i="1"/>
  <c r="F104" i="1"/>
  <c r="E104" i="1"/>
  <c r="D104" i="1"/>
  <c r="C104" i="1"/>
  <c r="B104" i="1"/>
  <c r="Y103" i="1"/>
  <c r="M103" i="1" s="1"/>
  <c r="L103" i="1"/>
  <c r="K103" i="1"/>
  <c r="J103" i="1"/>
  <c r="I103" i="1"/>
  <c r="H103" i="1"/>
  <c r="G103" i="1"/>
  <c r="F103" i="1"/>
  <c r="E103" i="1"/>
  <c r="D103" i="1"/>
  <c r="C103" i="1"/>
  <c r="B103" i="1"/>
  <c r="Y102" i="1"/>
  <c r="M102" i="1" s="1"/>
  <c r="L102" i="1"/>
  <c r="K102" i="1"/>
  <c r="J102" i="1"/>
  <c r="I102" i="1"/>
  <c r="H102" i="1"/>
  <c r="G102" i="1"/>
  <c r="F102" i="1"/>
  <c r="E102" i="1"/>
  <c r="D102" i="1"/>
  <c r="C102" i="1"/>
  <c r="B102" i="1"/>
  <c r="Y101" i="1"/>
  <c r="M101" i="1" s="1"/>
  <c r="L101" i="1"/>
  <c r="K101" i="1"/>
  <c r="J101" i="1"/>
  <c r="I101" i="1"/>
  <c r="H101" i="1"/>
  <c r="G101" i="1"/>
  <c r="F101" i="1"/>
  <c r="E101" i="1"/>
  <c r="D101" i="1"/>
  <c r="C101" i="1"/>
  <c r="B101" i="1"/>
  <c r="Y100" i="1"/>
  <c r="M100" i="1" s="1"/>
  <c r="L100" i="1"/>
  <c r="K100" i="1"/>
  <c r="J100" i="1"/>
  <c r="I100" i="1"/>
  <c r="H100" i="1"/>
  <c r="G100" i="1"/>
  <c r="F100" i="1"/>
  <c r="E100" i="1"/>
  <c r="D100" i="1"/>
  <c r="C100" i="1"/>
  <c r="B100" i="1"/>
  <c r="Y99" i="1"/>
  <c r="M99" i="1" s="1"/>
  <c r="L99" i="1"/>
  <c r="K99" i="1"/>
  <c r="J99" i="1"/>
  <c r="I99" i="1"/>
  <c r="H99" i="1"/>
  <c r="G99" i="1"/>
  <c r="F99" i="1"/>
  <c r="E99" i="1"/>
  <c r="D99" i="1"/>
  <c r="C99" i="1"/>
  <c r="B99" i="1"/>
  <c r="Y98" i="1"/>
  <c r="M98" i="1" s="1"/>
  <c r="L98" i="1"/>
  <c r="K98" i="1"/>
  <c r="J98" i="1"/>
  <c r="I98" i="1"/>
  <c r="H98" i="1"/>
  <c r="G98" i="1"/>
  <c r="F98" i="1"/>
  <c r="E98" i="1"/>
  <c r="D98" i="1"/>
  <c r="C98" i="1"/>
  <c r="B98" i="1"/>
  <c r="Y97" i="1"/>
  <c r="M97" i="1" s="1"/>
  <c r="L97" i="1"/>
  <c r="K97" i="1"/>
  <c r="J97" i="1"/>
  <c r="I97" i="1"/>
  <c r="H97" i="1"/>
  <c r="G97" i="1"/>
  <c r="F97" i="1"/>
  <c r="E97" i="1"/>
  <c r="D97" i="1"/>
  <c r="C97" i="1"/>
  <c r="B97" i="1"/>
  <c r="Y96" i="1"/>
  <c r="M96" i="1" s="1"/>
  <c r="L96" i="1"/>
  <c r="K96" i="1"/>
  <c r="J96" i="1"/>
  <c r="I96" i="1"/>
  <c r="H96" i="1"/>
  <c r="G96" i="1"/>
  <c r="F96" i="1"/>
  <c r="E96" i="1"/>
  <c r="D96" i="1"/>
  <c r="C96" i="1"/>
  <c r="B96" i="1"/>
  <c r="Y95" i="1"/>
  <c r="M95" i="1" s="1"/>
  <c r="L95" i="1"/>
  <c r="K95" i="1"/>
  <c r="J95" i="1"/>
  <c r="I95" i="1"/>
  <c r="H95" i="1"/>
  <c r="G95" i="1"/>
  <c r="F95" i="1"/>
  <c r="E95" i="1"/>
  <c r="D95" i="1"/>
  <c r="C95" i="1"/>
  <c r="B95" i="1"/>
  <c r="Y94" i="1"/>
  <c r="M94" i="1" s="1"/>
  <c r="L94" i="1"/>
  <c r="K94" i="1"/>
  <c r="J94" i="1"/>
  <c r="I94" i="1"/>
  <c r="H94" i="1"/>
  <c r="G94" i="1"/>
  <c r="F94" i="1"/>
  <c r="E94" i="1"/>
  <c r="D94" i="1"/>
  <c r="C94" i="1"/>
  <c r="B94" i="1"/>
  <c r="Y93" i="1"/>
  <c r="M93" i="1" s="1"/>
  <c r="L93" i="1"/>
  <c r="K93" i="1"/>
  <c r="J93" i="1"/>
  <c r="I93" i="1"/>
  <c r="H93" i="1"/>
  <c r="G93" i="1"/>
  <c r="F93" i="1"/>
  <c r="E93" i="1"/>
  <c r="D93" i="1"/>
  <c r="C93" i="1"/>
  <c r="B93" i="1"/>
  <c r="Y92" i="1"/>
  <c r="M92" i="1" s="1"/>
  <c r="L92" i="1"/>
  <c r="K92" i="1"/>
  <c r="J92" i="1"/>
  <c r="I92" i="1"/>
  <c r="H92" i="1"/>
  <c r="G92" i="1"/>
  <c r="F92" i="1"/>
  <c r="E92" i="1"/>
  <c r="D92" i="1"/>
  <c r="C92" i="1"/>
  <c r="B92" i="1"/>
  <c r="Y91" i="1"/>
  <c r="M91" i="1" s="1"/>
  <c r="L91" i="1"/>
  <c r="K91" i="1"/>
  <c r="J91" i="1"/>
  <c r="I91" i="1"/>
  <c r="H91" i="1"/>
  <c r="G91" i="1"/>
  <c r="F91" i="1"/>
  <c r="E91" i="1"/>
  <c r="D91" i="1"/>
  <c r="C91" i="1"/>
  <c r="B91" i="1"/>
  <c r="Y90" i="1"/>
  <c r="M90" i="1" s="1"/>
  <c r="L90" i="1"/>
  <c r="K90" i="1"/>
  <c r="J90" i="1"/>
  <c r="I90" i="1"/>
  <c r="H90" i="1"/>
  <c r="G90" i="1"/>
  <c r="F90" i="1"/>
  <c r="E90" i="1"/>
  <c r="D90" i="1"/>
  <c r="C90" i="1"/>
  <c r="B90" i="1"/>
  <c r="Y89" i="1"/>
  <c r="M89" i="1" s="1"/>
  <c r="L89" i="1"/>
  <c r="K89" i="1"/>
  <c r="J89" i="1"/>
  <c r="I89" i="1"/>
  <c r="H89" i="1"/>
  <c r="G89" i="1"/>
  <c r="F89" i="1"/>
  <c r="E89" i="1"/>
  <c r="D89" i="1"/>
  <c r="C89" i="1"/>
  <c r="B89" i="1"/>
  <c r="Y88" i="1"/>
  <c r="M88" i="1" s="1"/>
  <c r="L88" i="1"/>
  <c r="K88" i="1"/>
  <c r="J88" i="1"/>
  <c r="I88" i="1"/>
  <c r="H88" i="1"/>
  <c r="G88" i="1"/>
  <c r="F88" i="1"/>
  <c r="E88" i="1"/>
  <c r="D88" i="1"/>
  <c r="C88" i="1"/>
  <c r="B88" i="1"/>
  <c r="Y87" i="1"/>
  <c r="M87" i="1" s="1"/>
  <c r="L87" i="1"/>
  <c r="K87" i="1"/>
  <c r="J87" i="1"/>
  <c r="I87" i="1"/>
  <c r="H87" i="1"/>
  <c r="G87" i="1"/>
  <c r="F87" i="1"/>
  <c r="E87" i="1"/>
  <c r="D87" i="1"/>
  <c r="C87" i="1"/>
  <c r="B87" i="1"/>
  <c r="Y86" i="1"/>
  <c r="M86" i="1" s="1"/>
  <c r="L86" i="1"/>
  <c r="K86" i="1"/>
  <c r="J86" i="1"/>
  <c r="I86" i="1"/>
  <c r="H86" i="1"/>
  <c r="G86" i="1"/>
  <c r="F86" i="1"/>
  <c r="E86" i="1"/>
  <c r="D86" i="1"/>
  <c r="C86" i="1"/>
  <c r="B86" i="1"/>
  <c r="Y85" i="1"/>
  <c r="M85" i="1" s="1"/>
  <c r="L85" i="1"/>
  <c r="K85" i="1"/>
  <c r="J85" i="1"/>
  <c r="I85" i="1"/>
  <c r="H85" i="1"/>
  <c r="G85" i="1"/>
  <c r="F85" i="1"/>
  <c r="E85" i="1"/>
  <c r="D85" i="1"/>
  <c r="C85" i="1"/>
  <c r="B85" i="1"/>
  <c r="Y84" i="1"/>
  <c r="M84" i="1" s="1"/>
  <c r="L84" i="1"/>
  <c r="K84" i="1"/>
  <c r="J84" i="1"/>
  <c r="I84" i="1"/>
  <c r="H84" i="1"/>
  <c r="G84" i="1"/>
  <c r="F84" i="1"/>
  <c r="E84" i="1"/>
  <c r="D84" i="1"/>
  <c r="C84" i="1"/>
  <c r="B84" i="1"/>
  <c r="Y83" i="1"/>
  <c r="M83" i="1" s="1"/>
  <c r="L83" i="1"/>
  <c r="K83" i="1"/>
  <c r="J83" i="1"/>
  <c r="I83" i="1"/>
  <c r="H83" i="1"/>
  <c r="G83" i="1"/>
  <c r="F83" i="1"/>
  <c r="E83" i="1"/>
  <c r="D83" i="1"/>
  <c r="C83" i="1"/>
  <c r="B83" i="1"/>
  <c r="Y82" i="1"/>
  <c r="M82" i="1" s="1"/>
  <c r="L82" i="1"/>
  <c r="K82" i="1"/>
  <c r="J82" i="1"/>
  <c r="I82" i="1"/>
  <c r="H82" i="1"/>
  <c r="G82" i="1"/>
  <c r="F82" i="1"/>
  <c r="E82" i="1"/>
  <c r="D82" i="1"/>
  <c r="C82" i="1"/>
  <c r="B82" i="1"/>
  <c r="Y81" i="1"/>
  <c r="M81" i="1" s="1"/>
  <c r="L81" i="1"/>
  <c r="K81" i="1"/>
  <c r="J81" i="1"/>
  <c r="I81" i="1"/>
  <c r="H81" i="1"/>
  <c r="G81" i="1"/>
  <c r="F81" i="1"/>
  <c r="E81" i="1"/>
  <c r="D81" i="1"/>
  <c r="C81" i="1"/>
  <c r="B81" i="1"/>
  <c r="Y80" i="1"/>
  <c r="M80" i="1" s="1"/>
  <c r="L80" i="1"/>
  <c r="K80" i="1"/>
  <c r="J80" i="1"/>
  <c r="I80" i="1"/>
  <c r="H80" i="1"/>
  <c r="G80" i="1"/>
  <c r="F80" i="1"/>
  <c r="E80" i="1"/>
  <c r="D80" i="1"/>
  <c r="C80" i="1"/>
  <c r="B80" i="1"/>
  <c r="Y79" i="1"/>
  <c r="M79" i="1" s="1"/>
  <c r="L79" i="1"/>
  <c r="K79" i="1"/>
  <c r="J79" i="1"/>
  <c r="I79" i="1"/>
  <c r="H79" i="1"/>
  <c r="G79" i="1"/>
  <c r="F79" i="1"/>
  <c r="E79" i="1"/>
  <c r="D79" i="1"/>
  <c r="C79" i="1"/>
  <c r="B79" i="1"/>
  <c r="Y78" i="1"/>
  <c r="M78" i="1" s="1"/>
  <c r="L78" i="1"/>
  <c r="K78" i="1"/>
  <c r="J78" i="1"/>
  <c r="I78" i="1"/>
  <c r="H78" i="1"/>
  <c r="G78" i="1"/>
  <c r="F78" i="1"/>
  <c r="E78" i="1"/>
  <c r="D78" i="1"/>
  <c r="C78" i="1"/>
  <c r="B78" i="1"/>
  <c r="Y77" i="1"/>
  <c r="M77" i="1" s="1"/>
  <c r="L77" i="1"/>
  <c r="K77" i="1"/>
  <c r="J77" i="1"/>
  <c r="I77" i="1"/>
  <c r="H77" i="1"/>
  <c r="G77" i="1"/>
  <c r="F77" i="1"/>
  <c r="E77" i="1"/>
  <c r="D77" i="1"/>
  <c r="C77" i="1"/>
  <c r="B77" i="1"/>
  <c r="Y76" i="1"/>
  <c r="M76" i="1" s="1"/>
  <c r="L76" i="1"/>
  <c r="K76" i="1"/>
  <c r="J76" i="1"/>
  <c r="I76" i="1"/>
  <c r="T76" i="1" s="1"/>
  <c r="X76" i="1" s="1"/>
  <c r="H76" i="1"/>
  <c r="G76" i="1"/>
  <c r="F76" i="1"/>
  <c r="E76" i="1"/>
  <c r="D76" i="1"/>
  <c r="C76" i="1"/>
  <c r="B76" i="1"/>
  <c r="Y75" i="1"/>
  <c r="M75" i="1" s="1"/>
  <c r="L75" i="1"/>
  <c r="K75" i="1"/>
  <c r="J75" i="1"/>
  <c r="I75" i="1"/>
  <c r="H75" i="1"/>
  <c r="G75" i="1"/>
  <c r="F75" i="1"/>
  <c r="E75" i="1"/>
  <c r="D75" i="1"/>
  <c r="C75" i="1"/>
  <c r="B75" i="1"/>
  <c r="Y74" i="1"/>
  <c r="M74" i="1" s="1"/>
  <c r="L74" i="1"/>
  <c r="K74" i="1"/>
  <c r="J74" i="1"/>
  <c r="I74" i="1"/>
  <c r="T74" i="1" s="1"/>
  <c r="X74" i="1" s="1"/>
  <c r="H74" i="1"/>
  <c r="G74" i="1"/>
  <c r="F74" i="1"/>
  <c r="E74" i="1"/>
  <c r="D74" i="1"/>
  <c r="C74" i="1"/>
  <c r="B74" i="1"/>
  <c r="Y73" i="1"/>
  <c r="M73" i="1" s="1"/>
  <c r="L73" i="1"/>
  <c r="K73" i="1"/>
  <c r="J73" i="1"/>
  <c r="I73" i="1"/>
  <c r="H73" i="1"/>
  <c r="G73" i="1"/>
  <c r="F73" i="1"/>
  <c r="E73" i="1"/>
  <c r="D73" i="1"/>
  <c r="C73" i="1"/>
  <c r="B73" i="1"/>
  <c r="Y72" i="1"/>
  <c r="M72" i="1" s="1"/>
  <c r="L72" i="1"/>
  <c r="K72" i="1"/>
  <c r="J72" i="1"/>
  <c r="I72" i="1"/>
  <c r="H72" i="1"/>
  <c r="G72" i="1"/>
  <c r="F72" i="1"/>
  <c r="E72" i="1"/>
  <c r="D72" i="1"/>
  <c r="C72" i="1"/>
  <c r="B72" i="1"/>
  <c r="Y71" i="1"/>
  <c r="M71" i="1" s="1"/>
  <c r="L71" i="1"/>
  <c r="K71" i="1"/>
  <c r="J71" i="1"/>
  <c r="I71" i="1"/>
  <c r="H71" i="1"/>
  <c r="G71" i="1"/>
  <c r="F71" i="1"/>
  <c r="E71" i="1"/>
  <c r="D71" i="1"/>
  <c r="C71" i="1"/>
  <c r="B71" i="1"/>
  <c r="Y70" i="1"/>
  <c r="M70" i="1" s="1"/>
  <c r="L70" i="1"/>
  <c r="K70" i="1"/>
  <c r="J70" i="1"/>
  <c r="I70" i="1"/>
  <c r="H70" i="1"/>
  <c r="G70" i="1"/>
  <c r="F70" i="1"/>
  <c r="E70" i="1"/>
  <c r="D70" i="1"/>
  <c r="C70" i="1"/>
  <c r="B70" i="1"/>
  <c r="Y69" i="1"/>
  <c r="M69" i="1" s="1"/>
  <c r="L69" i="1"/>
  <c r="K69" i="1"/>
  <c r="J69" i="1"/>
  <c r="I69" i="1"/>
  <c r="T69" i="1" s="1"/>
  <c r="H69" i="1"/>
  <c r="G69" i="1"/>
  <c r="F69" i="1"/>
  <c r="E69" i="1"/>
  <c r="D69" i="1"/>
  <c r="C69" i="1"/>
  <c r="B69" i="1"/>
  <c r="Y68" i="1"/>
  <c r="M68" i="1" s="1"/>
  <c r="L68" i="1"/>
  <c r="K68" i="1"/>
  <c r="J68" i="1"/>
  <c r="I68" i="1"/>
  <c r="H68" i="1"/>
  <c r="G68" i="1"/>
  <c r="F68" i="1"/>
  <c r="E68" i="1"/>
  <c r="D68" i="1"/>
  <c r="C68" i="1"/>
  <c r="B68" i="1"/>
  <c r="Y67" i="1"/>
  <c r="M67" i="1" s="1"/>
  <c r="L67" i="1"/>
  <c r="K67" i="1"/>
  <c r="J67" i="1"/>
  <c r="I67" i="1"/>
  <c r="H67" i="1"/>
  <c r="G67" i="1"/>
  <c r="F67" i="1"/>
  <c r="E67" i="1"/>
  <c r="D67" i="1"/>
  <c r="C67" i="1"/>
  <c r="B67" i="1"/>
  <c r="Y66" i="1"/>
  <c r="M66" i="1" s="1"/>
  <c r="L66" i="1"/>
  <c r="K66" i="1"/>
  <c r="J66" i="1"/>
  <c r="I66" i="1"/>
  <c r="H66" i="1"/>
  <c r="G66" i="1"/>
  <c r="F66" i="1"/>
  <c r="E66" i="1"/>
  <c r="D66" i="1"/>
  <c r="C66" i="1"/>
  <c r="B66" i="1"/>
  <c r="Y65" i="1"/>
  <c r="M65" i="1" s="1"/>
  <c r="L65" i="1"/>
  <c r="K65" i="1"/>
  <c r="J65" i="1"/>
  <c r="I65" i="1"/>
  <c r="T65" i="1" s="1"/>
  <c r="H65" i="1"/>
  <c r="G65" i="1"/>
  <c r="F65" i="1"/>
  <c r="E65" i="1"/>
  <c r="D65" i="1"/>
  <c r="C65" i="1"/>
  <c r="B65" i="1"/>
  <c r="Y64" i="1"/>
  <c r="M64" i="1" s="1"/>
  <c r="L64" i="1"/>
  <c r="K64" i="1"/>
  <c r="J64" i="1"/>
  <c r="I64" i="1"/>
  <c r="H64" i="1"/>
  <c r="G64" i="1"/>
  <c r="F64" i="1"/>
  <c r="E64" i="1"/>
  <c r="D64" i="1"/>
  <c r="C64" i="1"/>
  <c r="B64" i="1"/>
  <c r="Y63" i="1"/>
  <c r="M63" i="1" s="1"/>
  <c r="L63" i="1"/>
  <c r="K63" i="1"/>
  <c r="J63" i="1"/>
  <c r="I63" i="1"/>
  <c r="H63" i="1"/>
  <c r="G63" i="1"/>
  <c r="F63" i="1"/>
  <c r="E63" i="1"/>
  <c r="D63" i="1"/>
  <c r="C63" i="1"/>
  <c r="B63" i="1"/>
  <c r="Y62" i="1"/>
  <c r="M62" i="1" s="1"/>
  <c r="L62" i="1"/>
  <c r="K62" i="1"/>
  <c r="J62" i="1"/>
  <c r="I62" i="1"/>
  <c r="H62" i="1"/>
  <c r="G62" i="1"/>
  <c r="F62" i="1"/>
  <c r="E62" i="1"/>
  <c r="D62" i="1"/>
  <c r="C62" i="1"/>
  <c r="B62" i="1"/>
  <c r="Y61" i="1"/>
  <c r="M61" i="1" s="1"/>
  <c r="L61" i="1"/>
  <c r="K61" i="1"/>
  <c r="J61" i="1"/>
  <c r="I61" i="1"/>
  <c r="H61" i="1"/>
  <c r="G61" i="1"/>
  <c r="F61" i="1"/>
  <c r="E61" i="1"/>
  <c r="D61" i="1"/>
  <c r="C61" i="1"/>
  <c r="B61" i="1"/>
  <c r="Y60" i="1"/>
  <c r="M60" i="1" s="1"/>
  <c r="L60" i="1"/>
  <c r="K60" i="1"/>
  <c r="J60" i="1"/>
  <c r="I60" i="1"/>
  <c r="H60" i="1"/>
  <c r="G60" i="1"/>
  <c r="F60" i="1"/>
  <c r="E60" i="1"/>
  <c r="D60" i="1"/>
  <c r="C60" i="1"/>
  <c r="B60" i="1"/>
  <c r="Y59" i="1"/>
  <c r="M59" i="1" s="1"/>
  <c r="L59" i="1"/>
  <c r="K59" i="1"/>
  <c r="J59" i="1"/>
  <c r="I59" i="1"/>
  <c r="H59" i="1"/>
  <c r="G59" i="1"/>
  <c r="F59" i="1"/>
  <c r="E59" i="1"/>
  <c r="D59" i="1"/>
  <c r="C59" i="1"/>
  <c r="B59" i="1"/>
  <c r="Y58" i="1"/>
  <c r="M58" i="1" s="1"/>
  <c r="L58" i="1"/>
  <c r="K58" i="1"/>
  <c r="J58" i="1"/>
  <c r="I58" i="1"/>
  <c r="H58" i="1"/>
  <c r="G58" i="1"/>
  <c r="F58" i="1"/>
  <c r="E58" i="1"/>
  <c r="D58" i="1"/>
  <c r="C58" i="1"/>
  <c r="B58" i="1"/>
  <c r="Y57" i="1"/>
  <c r="M57" i="1" s="1"/>
  <c r="L57" i="1"/>
  <c r="K57" i="1"/>
  <c r="J57" i="1"/>
  <c r="I57" i="1"/>
  <c r="T57" i="1" s="1"/>
  <c r="W57" i="1" s="1"/>
  <c r="H57" i="1"/>
  <c r="G57" i="1"/>
  <c r="F57" i="1"/>
  <c r="E57" i="1"/>
  <c r="D57" i="1"/>
  <c r="C57" i="1"/>
  <c r="B57" i="1"/>
  <c r="Y56" i="1"/>
  <c r="M56" i="1" s="1"/>
  <c r="L56" i="1"/>
  <c r="K56" i="1"/>
  <c r="J56" i="1"/>
  <c r="I56" i="1"/>
  <c r="H56" i="1"/>
  <c r="G56" i="1"/>
  <c r="F56" i="1"/>
  <c r="E56" i="1"/>
  <c r="D56" i="1"/>
  <c r="C56" i="1"/>
  <c r="B56" i="1"/>
  <c r="Y55" i="1"/>
  <c r="M55" i="1" s="1"/>
  <c r="L55" i="1"/>
  <c r="K55" i="1"/>
  <c r="J55" i="1"/>
  <c r="I55" i="1"/>
  <c r="H55" i="1"/>
  <c r="G55" i="1"/>
  <c r="F55" i="1"/>
  <c r="E55" i="1"/>
  <c r="D55" i="1"/>
  <c r="C55" i="1"/>
  <c r="B55" i="1"/>
  <c r="Y54" i="1"/>
  <c r="M54" i="1" s="1"/>
  <c r="L54" i="1"/>
  <c r="K54" i="1"/>
  <c r="J54" i="1"/>
  <c r="I54" i="1"/>
  <c r="H54" i="1"/>
  <c r="G54" i="1"/>
  <c r="F54" i="1"/>
  <c r="E54" i="1"/>
  <c r="D54" i="1"/>
  <c r="C54" i="1"/>
  <c r="B54" i="1"/>
  <c r="Y53" i="1"/>
  <c r="M53" i="1" s="1"/>
  <c r="L53" i="1"/>
  <c r="K53" i="1"/>
  <c r="J53" i="1"/>
  <c r="I53" i="1"/>
  <c r="H53" i="1"/>
  <c r="G53" i="1"/>
  <c r="F53" i="1"/>
  <c r="E53" i="1"/>
  <c r="D53" i="1"/>
  <c r="C53" i="1"/>
  <c r="B53" i="1"/>
  <c r="Y52" i="1"/>
  <c r="M52" i="1" s="1"/>
  <c r="L52" i="1"/>
  <c r="K52" i="1"/>
  <c r="J52" i="1"/>
  <c r="I52" i="1"/>
  <c r="H52" i="1"/>
  <c r="G52" i="1"/>
  <c r="F52" i="1"/>
  <c r="E52" i="1"/>
  <c r="D52" i="1"/>
  <c r="C52" i="1"/>
  <c r="B52" i="1"/>
  <c r="Y51" i="1"/>
  <c r="M51" i="1" s="1"/>
  <c r="L51" i="1"/>
  <c r="K51" i="1"/>
  <c r="J51" i="1"/>
  <c r="I51" i="1"/>
  <c r="H51" i="1"/>
  <c r="G51" i="1"/>
  <c r="F51" i="1"/>
  <c r="E51" i="1"/>
  <c r="D51" i="1"/>
  <c r="C51" i="1"/>
  <c r="B51" i="1"/>
  <c r="Y50" i="1"/>
  <c r="M50" i="1" s="1"/>
  <c r="L50" i="1"/>
  <c r="K50" i="1"/>
  <c r="J50" i="1"/>
  <c r="I50" i="1"/>
  <c r="H50" i="1"/>
  <c r="G50" i="1"/>
  <c r="F50" i="1"/>
  <c r="E50" i="1"/>
  <c r="D50" i="1"/>
  <c r="C50" i="1"/>
  <c r="B50" i="1"/>
  <c r="Y49" i="1"/>
  <c r="M49" i="1" s="1"/>
  <c r="L49" i="1"/>
  <c r="K49" i="1"/>
  <c r="J49" i="1"/>
  <c r="I49" i="1"/>
  <c r="H49" i="1"/>
  <c r="G49" i="1"/>
  <c r="F49" i="1"/>
  <c r="E49" i="1"/>
  <c r="D49" i="1"/>
  <c r="C49" i="1"/>
  <c r="B49" i="1"/>
  <c r="Y48" i="1"/>
  <c r="M48" i="1" s="1"/>
  <c r="L48" i="1"/>
  <c r="K48" i="1"/>
  <c r="J48" i="1"/>
  <c r="I48" i="1"/>
  <c r="H48" i="1"/>
  <c r="G48" i="1"/>
  <c r="F48" i="1"/>
  <c r="E48" i="1"/>
  <c r="D48" i="1"/>
  <c r="C48" i="1"/>
  <c r="B48" i="1"/>
  <c r="Y47" i="1"/>
  <c r="M47" i="1" s="1"/>
  <c r="L47" i="1"/>
  <c r="K47" i="1"/>
  <c r="J47" i="1"/>
  <c r="I47" i="1"/>
  <c r="H47" i="1"/>
  <c r="G47" i="1"/>
  <c r="F47" i="1"/>
  <c r="E47" i="1"/>
  <c r="D47" i="1"/>
  <c r="C47" i="1"/>
  <c r="B47" i="1"/>
  <c r="Y46" i="1"/>
  <c r="M46" i="1" s="1"/>
  <c r="L46" i="1"/>
  <c r="K46" i="1"/>
  <c r="J46" i="1"/>
  <c r="I46" i="1"/>
  <c r="H46" i="1"/>
  <c r="G46" i="1"/>
  <c r="F46" i="1"/>
  <c r="E46" i="1"/>
  <c r="D46" i="1"/>
  <c r="C46" i="1"/>
  <c r="B46" i="1"/>
  <c r="Y45" i="1"/>
  <c r="M45" i="1" s="1"/>
  <c r="L45" i="1"/>
  <c r="K45" i="1"/>
  <c r="J45" i="1"/>
  <c r="I45" i="1"/>
  <c r="H45" i="1"/>
  <c r="G45" i="1"/>
  <c r="F45" i="1"/>
  <c r="E45" i="1"/>
  <c r="D45" i="1"/>
  <c r="C45" i="1"/>
  <c r="B45" i="1"/>
  <c r="Y44" i="1"/>
  <c r="M44" i="1" s="1"/>
  <c r="L44" i="1"/>
  <c r="K44" i="1"/>
  <c r="J44" i="1"/>
  <c r="I44" i="1"/>
  <c r="H44" i="1"/>
  <c r="G44" i="1"/>
  <c r="F44" i="1"/>
  <c r="E44" i="1"/>
  <c r="D44" i="1"/>
  <c r="C44" i="1"/>
  <c r="B44" i="1"/>
  <c r="Y43" i="1"/>
  <c r="M43" i="1" s="1"/>
  <c r="L43" i="1"/>
  <c r="K43" i="1"/>
  <c r="J43" i="1"/>
  <c r="I43" i="1"/>
  <c r="H43" i="1"/>
  <c r="G43" i="1"/>
  <c r="F43" i="1"/>
  <c r="E43" i="1"/>
  <c r="D43" i="1"/>
  <c r="C43" i="1"/>
  <c r="B43" i="1"/>
  <c r="Y42" i="1"/>
  <c r="M42" i="1" s="1"/>
  <c r="L42" i="1"/>
  <c r="K42" i="1"/>
  <c r="J42" i="1"/>
  <c r="I42" i="1"/>
  <c r="H42" i="1"/>
  <c r="G42" i="1"/>
  <c r="F42" i="1"/>
  <c r="E42" i="1"/>
  <c r="D42" i="1"/>
  <c r="C42" i="1"/>
  <c r="B42" i="1"/>
  <c r="Y41" i="1"/>
  <c r="M41" i="1" s="1"/>
  <c r="L41" i="1"/>
  <c r="K41" i="1"/>
  <c r="J41" i="1"/>
  <c r="I41" i="1"/>
  <c r="H41" i="1"/>
  <c r="G41" i="1"/>
  <c r="F41" i="1"/>
  <c r="E41" i="1"/>
  <c r="D41" i="1"/>
  <c r="C41" i="1"/>
  <c r="B41" i="1"/>
  <c r="Y40" i="1"/>
  <c r="M40" i="1" s="1"/>
  <c r="L40" i="1"/>
  <c r="K40" i="1"/>
  <c r="J40" i="1"/>
  <c r="I40" i="1"/>
  <c r="H40" i="1"/>
  <c r="G40" i="1"/>
  <c r="F40" i="1"/>
  <c r="E40" i="1"/>
  <c r="D40" i="1"/>
  <c r="C40" i="1"/>
  <c r="B40" i="1"/>
  <c r="Y39" i="1"/>
  <c r="M39" i="1" s="1"/>
  <c r="L39" i="1"/>
  <c r="K39" i="1"/>
  <c r="J39" i="1"/>
  <c r="I39" i="1"/>
  <c r="H39" i="1"/>
  <c r="G39" i="1"/>
  <c r="F39" i="1"/>
  <c r="E39" i="1"/>
  <c r="D39" i="1"/>
  <c r="C39" i="1"/>
  <c r="B39" i="1"/>
  <c r="Y38" i="1"/>
  <c r="M38" i="1" s="1"/>
  <c r="L38" i="1"/>
  <c r="K38" i="1"/>
  <c r="J38" i="1"/>
  <c r="I38" i="1"/>
  <c r="H38" i="1"/>
  <c r="G38" i="1"/>
  <c r="F38" i="1"/>
  <c r="E38" i="1"/>
  <c r="D38" i="1"/>
  <c r="C38" i="1"/>
  <c r="B38" i="1"/>
  <c r="Y37" i="1"/>
  <c r="M37" i="1" s="1"/>
  <c r="L37" i="1"/>
  <c r="K37" i="1"/>
  <c r="J37" i="1"/>
  <c r="I37" i="1"/>
  <c r="H37" i="1"/>
  <c r="G37" i="1"/>
  <c r="F37" i="1"/>
  <c r="E37" i="1"/>
  <c r="D37" i="1"/>
  <c r="C37" i="1"/>
  <c r="B37" i="1"/>
  <c r="Y36" i="1"/>
  <c r="M36" i="1" s="1"/>
  <c r="L36" i="1"/>
  <c r="K36" i="1"/>
  <c r="J36" i="1"/>
  <c r="I36" i="1"/>
  <c r="H36" i="1"/>
  <c r="G36" i="1"/>
  <c r="F36" i="1"/>
  <c r="E36" i="1"/>
  <c r="D36" i="1"/>
  <c r="C36" i="1"/>
  <c r="B36" i="1"/>
  <c r="Y35" i="1"/>
  <c r="M35" i="1" s="1"/>
  <c r="L35" i="1"/>
  <c r="K35" i="1"/>
  <c r="J35" i="1"/>
  <c r="I35" i="1"/>
  <c r="H35" i="1"/>
  <c r="G35" i="1"/>
  <c r="F35" i="1"/>
  <c r="E35" i="1"/>
  <c r="D35" i="1"/>
  <c r="C35" i="1"/>
  <c r="B35" i="1"/>
  <c r="Y34" i="1"/>
  <c r="M34" i="1" s="1"/>
  <c r="L34" i="1"/>
  <c r="K34" i="1"/>
  <c r="J34" i="1"/>
  <c r="I34" i="1"/>
  <c r="H34" i="1"/>
  <c r="G34" i="1"/>
  <c r="F34" i="1"/>
  <c r="E34" i="1"/>
  <c r="D34" i="1"/>
  <c r="C34" i="1"/>
  <c r="B34" i="1"/>
  <c r="Y33" i="1"/>
  <c r="M33" i="1" s="1"/>
  <c r="L33" i="1"/>
  <c r="K33" i="1"/>
  <c r="J33" i="1"/>
  <c r="I33" i="1"/>
  <c r="H33" i="1"/>
  <c r="G33" i="1"/>
  <c r="F33" i="1"/>
  <c r="E33" i="1"/>
  <c r="D33" i="1"/>
  <c r="C33" i="1"/>
  <c r="B33" i="1"/>
  <c r="Y32" i="1"/>
  <c r="M32" i="1" s="1"/>
  <c r="L32" i="1"/>
  <c r="K32" i="1"/>
  <c r="J32" i="1"/>
  <c r="I32" i="1"/>
  <c r="H32" i="1"/>
  <c r="G32" i="1"/>
  <c r="F32" i="1"/>
  <c r="E32" i="1"/>
  <c r="D32" i="1"/>
  <c r="C32" i="1"/>
  <c r="B32" i="1"/>
  <c r="Y31" i="1"/>
  <c r="M31" i="1" s="1"/>
  <c r="L31" i="1"/>
  <c r="K31" i="1"/>
  <c r="J31" i="1"/>
  <c r="I31" i="1"/>
  <c r="H31" i="1"/>
  <c r="G31" i="1"/>
  <c r="F31" i="1"/>
  <c r="E31" i="1"/>
  <c r="D31" i="1"/>
  <c r="C31" i="1"/>
  <c r="B31" i="1"/>
  <c r="Y30" i="1"/>
  <c r="M30" i="1" s="1"/>
  <c r="L30" i="1"/>
  <c r="K30" i="1"/>
  <c r="J30" i="1"/>
  <c r="I30" i="1"/>
  <c r="H30" i="1"/>
  <c r="G30" i="1"/>
  <c r="F30" i="1"/>
  <c r="E30" i="1"/>
  <c r="D30" i="1"/>
  <c r="C30" i="1"/>
  <c r="B30" i="1"/>
  <c r="Y29" i="1"/>
  <c r="M29" i="1" s="1"/>
  <c r="L29" i="1"/>
  <c r="K29" i="1"/>
  <c r="J29" i="1"/>
  <c r="I29" i="1"/>
  <c r="H29" i="1"/>
  <c r="G29" i="1"/>
  <c r="F29" i="1"/>
  <c r="E29" i="1"/>
  <c r="D29" i="1"/>
  <c r="C29" i="1"/>
  <c r="B29" i="1"/>
  <c r="Y28" i="1"/>
  <c r="M28" i="1" s="1"/>
  <c r="L28" i="1"/>
  <c r="K28" i="1"/>
  <c r="J28" i="1"/>
  <c r="I28" i="1"/>
  <c r="H28" i="1"/>
  <c r="G28" i="1"/>
  <c r="F28" i="1"/>
  <c r="E28" i="1"/>
  <c r="D28" i="1"/>
  <c r="C28" i="1"/>
  <c r="B28" i="1"/>
  <c r="Y27" i="1"/>
  <c r="M27" i="1" s="1"/>
  <c r="L27" i="1"/>
  <c r="K27" i="1"/>
  <c r="J27" i="1"/>
  <c r="I27" i="1"/>
  <c r="H27" i="1"/>
  <c r="G27" i="1"/>
  <c r="F27" i="1"/>
  <c r="E27" i="1"/>
  <c r="D27" i="1"/>
  <c r="C27" i="1"/>
  <c r="B27" i="1"/>
  <c r="Y26" i="1"/>
  <c r="M26" i="1" s="1"/>
  <c r="L26" i="1"/>
  <c r="K26" i="1"/>
  <c r="J26" i="1"/>
  <c r="I26" i="1"/>
  <c r="H26" i="1"/>
  <c r="G26" i="1"/>
  <c r="F26" i="1"/>
  <c r="E26" i="1"/>
  <c r="D26" i="1"/>
  <c r="C26" i="1"/>
  <c r="B26" i="1"/>
  <c r="Y25" i="1"/>
  <c r="M25" i="1" s="1"/>
  <c r="L25" i="1"/>
  <c r="K25" i="1"/>
  <c r="J25" i="1"/>
  <c r="I25" i="1"/>
  <c r="H25" i="1"/>
  <c r="G25" i="1"/>
  <c r="F25" i="1"/>
  <c r="E25" i="1"/>
  <c r="D25" i="1"/>
  <c r="C25" i="1"/>
  <c r="B25" i="1"/>
  <c r="Y24" i="1"/>
  <c r="M24" i="1" s="1"/>
  <c r="L24" i="1"/>
  <c r="K24" i="1"/>
  <c r="J24" i="1"/>
  <c r="I24" i="1"/>
  <c r="H24" i="1"/>
  <c r="G24" i="1"/>
  <c r="F24" i="1"/>
  <c r="E24" i="1"/>
  <c r="D24" i="1"/>
  <c r="C24" i="1"/>
  <c r="B24" i="1"/>
  <c r="Y23" i="1"/>
  <c r="M23" i="1" s="1"/>
  <c r="L23" i="1"/>
  <c r="K23" i="1"/>
  <c r="J23" i="1"/>
  <c r="I23" i="1"/>
  <c r="H23" i="1"/>
  <c r="G23" i="1"/>
  <c r="F23" i="1"/>
  <c r="E23" i="1"/>
  <c r="D23" i="1"/>
  <c r="C23" i="1"/>
  <c r="B23" i="1"/>
  <c r="Y22" i="1"/>
  <c r="M22" i="1" s="1"/>
  <c r="L22" i="1"/>
  <c r="K22" i="1"/>
  <c r="J22" i="1"/>
  <c r="I22" i="1"/>
  <c r="H22" i="1"/>
  <c r="G22" i="1"/>
  <c r="F22" i="1"/>
  <c r="E22" i="1"/>
  <c r="D22" i="1"/>
  <c r="C22" i="1"/>
  <c r="B22" i="1"/>
  <c r="Y21" i="1"/>
  <c r="M21" i="1" s="1"/>
  <c r="L21" i="1"/>
  <c r="K21" i="1"/>
  <c r="J21" i="1"/>
  <c r="I21" i="1"/>
  <c r="H21" i="1"/>
  <c r="G21" i="1"/>
  <c r="F21" i="1"/>
  <c r="E21" i="1"/>
  <c r="D21" i="1"/>
  <c r="C21" i="1"/>
  <c r="B21" i="1"/>
  <c r="Y20" i="1"/>
  <c r="M20" i="1" s="1"/>
  <c r="L20" i="1"/>
  <c r="K20" i="1"/>
  <c r="J20" i="1"/>
  <c r="I20" i="1"/>
  <c r="H20" i="1"/>
  <c r="G20" i="1"/>
  <c r="F20" i="1"/>
  <c r="E20" i="1"/>
  <c r="D20" i="1"/>
  <c r="C20" i="1"/>
  <c r="B20" i="1"/>
  <c r="Y19" i="1"/>
  <c r="M19" i="1" s="1"/>
  <c r="L19" i="1"/>
  <c r="K19" i="1"/>
  <c r="J19" i="1"/>
  <c r="I19" i="1"/>
  <c r="H19" i="1"/>
  <c r="G19" i="1"/>
  <c r="F19" i="1"/>
  <c r="E19" i="1"/>
  <c r="D19" i="1"/>
  <c r="C19" i="1"/>
  <c r="B19" i="1"/>
  <c r="Y18" i="1"/>
  <c r="M18" i="1" s="1"/>
  <c r="L18" i="1"/>
  <c r="K18" i="1"/>
  <c r="J18" i="1"/>
  <c r="I18" i="1"/>
  <c r="H18" i="1"/>
  <c r="G18" i="1"/>
  <c r="F18" i="1"/>
  <c r="E18" i="1"/>
  <c r="D18" i="1"/>
  <c r="C18" i="1"/>
  <c r="B18" i="1"/>
  <c r="Y17" i="1"/>
  <c r="M17" i="1" s="1"/>
  <c r="L17" i="1"/>
  <c r="K17" i="1"/>
  <c r="J17" i="1"/>
  <c r="I17" i="1"/>
  <c r="H17" i="1"/>
  <c r="G17" i="1"/>
  <c r="F17" i="1"/>
  <c r="E17" i="1"/>
  <c r="D17" i="1"/>
  <c r="C17" i="1"/>
  <c r="B17" i="1"/>
  <c r="Y16" i="1"/>
  <c r="M16" i="1" s="1"/>
  <c r="L16" i="1"/>
  <c r="K16" i="1"/>
  <c r="J16" i="1"/>
  <c r="I16" i="1"/>
  <c r="H16" i="1"/>
  <c r="G16" i="1"/>
  <c r="F16" i="1"/>
  <c r="E16" i="1"/>
  <c r="D16" i="1"/>
  <c r="C16" i="1"/>
  <c r="B16" i="1"/>
  <c r="Y15" i="1"/>
  <c r="M15" i="1" s="1"/>
  <c r="L15" i="1"/>
  <c r="K15" i="1"/>
  <c r="J15" i="1"/>
  <c r="I15" i="1"/>
  <c r="H15" i="1"/>
  <c r="G15" i="1"/>
  <c r="F15" i="1"/>
  <c r="E15" i="1"/>
  <c r="D15" i="1"/>
  <c r="C15" i="1"/>
  <c r="B15" i="1"/>
  <c r="Y14" i="1"/>
  <c r="M14" i="1" s="1"/>
  <c r="L14" i="1"/>
  <c r="K14" i="1"/>
  <c r="J14" i="1"/>
  <c r="I14" i="1"/>
  <c r="H14" i="1"/>
  <c r="G14" i="1"/>
  <c r="F14" i="1"/>
  <c r="E14" i="1"/>
  <c r="D14" i="1"/>
  <c r="C14" i="1"/>
  <c r="B14" i="1"/>
  <c r="Y13" i="1"/>
  <c r="M13" i="1" s="1"/>
  <c r="L13" i="1"/>
  <c r="K13" i="1"/>
  <c r="J13" i="1"/>
  <c r="I13" i="1"/>
  <c r="H13" i="1"/>
  <c r="G13" i="1"/>
  <c r="F13" i="1"/>
  <c r="E13" i="1"/>
  <c r="D13" i="1"/>
  <c r="C13" i="1"/>
  <c r="B13" i="1"/>
  <c r="Y12" i="1"/>
  <c r="M12" i="1" s="1"/>
  <c r="L12" i="1"/>
  <c r="K12" i="1"/>
  <c r="J12" i="1"/>
  <c r="I12" i="1"/>
  <c r="T12" i="1" s="1"/>
  <c r="H12" i="1"/>
  <c r="G12" i="1"/>
  <c r="F12" i="1"/>
  <c r="E12" i="1"/>
  <c r="D12" i="1"/>
  <c r="C12" i="1"/>
  <c r="B12" i="1"/>
  <c r="Y11" i="1"/>
  <c r="M11" i="1" s="1"/>
  <c r="L11" i="1"/>
  <c r="K11" i="1"/>
  <c r="J11" i="1"/>
  <c r="I11" i="1"/>
  <c r="H11" i="1"/>
  <c r="G11" i="1"/>
  <c r="F11" i="1"/>
  <c r="E11" i="1"/>
  <c r="D11" i="1"/>
  <c r="C11" i="1"/>
  <c r="B11" i="1"/>
  <c r="Y10" i="1"/>
  <c r="M10" i="1" s="1"/>
  <c r="L10" i="1"/>
  <c r="K10" i="1"/>
  <c r="J10" i="1"/>
  <c r="I10" i="1"/>
  <c r="H10" i="1"/>
  <c r="G10" i="1"/>
  <c r="F10" i="1"/>
  <c r="E10" i="1"/>
  <c r="D10" i="1"/>
  <c r="C10" i="1"/>
  <c r="B10" i="1"/>
  <c r="Y9" i="1"/>
  <c r="M9" i="1" s="1"/>
  <c r="L9" i="1"/>
  <c r="K9" i="1"/>
  <c r="J9" i="1"/>
  <c r="I9" i="1"/>
  <c r="T9" i="1" s="1"/>
  <c r="H9" i="1"/>
  <c r="G9" i="1"/>
  <c r="F9" i="1"/>
  <c r="E9" i="1"/>
  <c r="D9" i="1"/>
  <c r="C9" i="1"/>
  <c r="B9" i="1"/>
  <c r="Y8" i="1"/>
  <c r="M8" i="1" s="1"/>
  <c r="L8" i="1"/>
  <c r="K8" i="1"/>
  <c r="J8" i="1"/>
  <c r="I8" i="1"/>
  <c r="H8" i="1"/>
  <c r="G8" i="1"/>
  <c r="F8" i="1"/>
  <c r="E8" i="1"/>
  <c r="D8" i="1"/>
  <c r="C8" i="1"/>
  <c r="B8" i="1"/>
  <c r="Y7" i="1"/>
  <c r="M7" i="1" s="1"/>
  <c r="L7" i="1"/>
  <c r="K7" i="1"/>
  <c r="J7" i="1"/>
  <c r="I7" i="1"/>
  <c r="T7" i="1" s="1"/>
  <c r="X7" i="1" s="1"/>
  <c r="H7" i="1"/>
  <c r="G7" i="1"/>
  <c r="F7" i="1"/>
  <c r="E7" i="1"/>
  <c r="D7" i="1"/>
  <c r="C7" i="1"/>
  <c r="B7" i="1"/>
  <c r="Y6" i="1"/>
  <c r="M6" i="1" s="1"/>
  <c r="L6" i="1"/>
  <c r="K6" i="1"/>
  <c r="J6" i="1"/>
  <c r="I6" i="1"/>
  <c r="H6" i="1"/>
  <c r="G6" i="1"/>
  <c r="F6" i="1"/>
  <c r="E6" i="1"/>
  <c r="D6" i="1"/>
  <c r="C6" i="1"/>
  <c r="B6" i="1"/>
  <c r="Y5" i="1"/>
  <c r="M5" i="1" s="1"/>
  <c r="L5" i="1"/>
  <c r="K5" i="1"/>
  <c r="J5" i="1"/>
  <c r="I5" i="1"/>
  <c r="T5" i="1" s="1"/>
  <c r="H5" i="1"/>
  <c r="G5" i="1"/>
  <c r="F5" i="1"/>
  <c r="E5" i="1"/>
  <c r="D5" i="1"/>
  <c r="C5" i="1"/>
  <c r="B5" i="1"/>
  <c r="Y4" i="1"/>
  <c r="M4" i="1" s="1"/>
  <c r="L4" i="1"/>
  <c r="K4" i="1"/>
  <c r="J4" i="1"/>
  <c r="I4" i="1"/>
  <c r="H4" i="1"/>
  <c r="G4" i="1"/>
  <c r="F4" i="1"/>
  <c r="E4" i="1"/>
  <c r="D4" i="1"/>
  <c r="C4" i="1"/>
  <c r="B4" i="1"/>
  <c r="Y3" i="1"/>
  <c r="M3" i="1" s="1"/>
  <c r="L3" i="1"/>
  <c r="K3" i="1"/>
  <c r="J3" i="1"/>
  <c r="I3" i="1"/>
  <c r="T3" i="1" s="1"/>
  <c r="H3" i="1"/>
  <c r="G3" i="1"/>
  <c r="F3" i="1"/>
  <c r="E3" i="1"/>
  <c r="D3" i="1"/>
  <c r="C3" i="1"/>
  <c r="B3" i="1"/>
  <c r="E2" i="1"/>
  <c r="C2" i="1"/>
  <c r="B2" i="1"/>
  <c r="D2" i="1"/>
  <c r="Y2" i="1"/>
  <c r="M2" i="1" s="1"/>
  <c r="O2" i="1"/>
  <c r="X5" i="9" l="1"/>
  <c r="Z5" i="9"/>
  <c r="Y5" i="9"/>
  <c r="W5" i="9"/>
  <c r="X130" i="9"/>
  <c r="Z130" i="9"/>
  <c r="Y130" i="9"/>
  <c r="X140" i="9"/>
  <c r="Y140" i="9"/>
  <c r="X128" i="9"/>
  <c r="Z128" i="9"/>
  <c r="Y128" i="9"/>
  <c r="W138" i="9"/>
  <c r="Z138" i="9"/>
  <c r="Y138" i="9"/>
  <c r="Y26" i="9"/>
  <c r="V145" i="9"/>
  <c r="W127" i="9"/>
  <c r="Y157" i="9"/>
  <c r="Z157" i="9" s="1"/>
  <c r="V173" i="9"/>
  <c r="V198" i="9"/>
  <c r="V208" i="9"/>
  <c r="V6" i="9"/>
  <c r="W6" i="9" s="1"/>
  <c r="V12" i="9"/>
  <c r="V16" i="9"/>
  <c r="V125" i="9"/>
  <c r="W125" i="9" s="1"/>
  <c r="W157" i="9"/>
  <c r="X157" i="9"/>
  <c r="V168" i="9"/>
  <c r="X168" i="9" s="1"/>
  <c r="V183" i="9"/>
  <c r="V93" i="9"/>
  <c r="Z136" i="9"/>
  <c r="V193" i="9"/>
  <c r="Z7" i="9"/>
  <c r="V203" i="9"/>
  <c r="W26" i="9"/>
  <c r="W77" i="9"/>
  <c r="V178" i="9"/>
  <c r="Z4" i="9"/>
  <c r="Y4" i="9"/>
  <c r="X4" i="9"/>
  <c r="W4" i="9"/>
  <c r="V20" i="9"/>
  <c r="X117" i="9"/>
  <c r="Y117" i="9" s="1"/>
  <c r="Z117" i="9" s="1"/>
  <c r="W117" i="9"/>
  <c r="W2" i="9"/>
  <c r="X2" i="9" s="1"/>
  <c r="Z6" i="9"/>
  <c r="Y6" i="9"/>
  <c r="Z12" i="9"/>
  <c r="Y12" i="9"/>
  <c r="X12" i="9"/>
  <c r="W12" i="9"/>
  <c r="X11" i="9"/>
  <c r="W11" i="9"/>
  <c r="Y11" i="9" s="1"/>
  <c r="Z11" i="9" s="1"/>
  <c r="Z9" i="9"/>
  <c r="Y9" i="9"/>
  <c r="X9" i="9"/>
  <c r="W9" i="9"/>
  <c r="Z10" i="9"/>
  <c r="Y10" i="9"/>
  <c r="X10" i="9"/>
  <c r="W10" i="9"/>
  <c r="X36" i="9"/>
  <c r="Z36" i="9"/>
  <c r="X46" i="9"/>
  <c r="Z46" i="9"/>
  <c r="X51" i="9"/>
  <c r="X56" i="9"/>
  <c r="Z56" i="9"/>
  <c r="X61" i="9"/>
  <c r="Z61" i="9"/>
  <c r="X66" i="9"/>
  <c r="X72" i="9"/>
  <c r="Y72" i="9" s="1"/>
  <c r="Z72" i="9" s="1"/>
  <c r="Z135" i="9"/>
  <c r="Y135" i="9"/>
  <c r="X135" i="9"/>
  <c r="W135" i="9"/>
  <c r="Z137" i="9"/>
  <c r="Y137" i="9"/>
  <c r="X137" i="9"/>
  <c r="W137" i="9"/>
  <c r="Z230" i="9"/>
  <c r="V230" i="9"/>
  <c r="V229" i="9"/>
  <c r="V231" i="9" s="1"/>
  <c r="V233" i="9"/>
  <c r="V234" i="9" s="1"/>
  <c r="V232" i="9"/>
  <c r="V235" i="9" s="1"/>
  <c r="X31" i="9"/>
  <c r="Z31" i="9"/>
  <c r="X41" i="9"/>
  <c r="Z41" i="9"/>
  <c r="U4" i="9"/>
  <c r="W15" i="9"/>
  <c r="V23" i="9"/>
  <c r="V74" i="9"/>
  <c r="X103" i="9"/>
  <c r="W103" i="9"/>
  <c r="V8" i="9"/>
  <c r="Z19" i="9"/>
  <c r="X19" i="9"/>
  <c r="W46" i="9"/>
  <c r="W51" i="9"/>
  <c r="X73" i="9"/>
  <c r="Y73" i="9" s="1"/>
  <c r="Z73" i="9" s="1"/>
  <c r="W73" i="9"/>
  <c r="V75" i="9"/>
  <c r="U75" i="9"/>
  <c r="X93" i="9"/>
  <c r="Y93" i="9"/>
  <c r="Z93" i="9" s="1"/>
  <c r="W93" i="9"/>
  <c r="W97" i="9"/>
  <c r="X97" i="9" s="1"/>
  <c r="Y97" i="9" s="1"/>
  <c r="Z97" i="9" s="1"/>
  <c r="X98" i="9"/>
  <c r="W98" i="9"/>
  <c r="Y98" i="9" s="1"/>
  <c r="Z98" i="9" s="1"/>
  <c r="X118" i="9"/>
  <c r="W118" i="9"/>
  <c r="Z118" i="9"/>
  <c r="Y118" i="9"/>
  <c r="U8" i="9"/>
  <c r="Z15" i="9"/>
  <c r="W19" i="9"/>
  <c r="V27" i="9"/>
  <c r="Y31" i="9"/>
  <c r="V32" i="9"/>
  <c r="Y36" i="9"/>
  <c r="V37" i="9"/>
  <c r="Y41" i="9"/>
  <c r="V42" i="9"/>
  <c r="Y46" i="9"/>
  <c r="V47" i="9"/>
  <c r="Y51" i="9"/>
  <c r="Z51" i="9" s="1"/>
  <c r="V52" i="9"/>
  <c r="Y56" i="9"/>
  <c r="V57" i="9"/>
  <c r="Y61" i="9"/>
  <c r="V62" i="9"/>
  <c r="Y66" i="9"/>
  <c r="Z66" i="9" s="1"/>
  <c r="V67" i="9"/>
  <c r="V22" i="9"/>
  <c r="W31" i="9"/>
  <c r="Y19" i="9"/>
  <c r="Z24" i="9"/>
  <c r="X24" i="9"/>
  <c r="V28" i="9"/>
  <c r="V33" i="9"/>
  <c r="V38" i="9"/>
  <c r="V43" i="9"/>
  <c r="V48" i="9"/>
  <c r="V53" i="9"/>
  <c r="V58" i="9"/>
  <c r="V63" i="9"/>
  <c r="X68" i="9"/>
  <c r="Y68" i="9" s="1"/>
  <c r="Z68" i="9" s="1"/>
  <c r="Y79" i="9"/>
  <c r="X79" i="9"/>
  <c r="Z79" i="9"/>
  <c r="X83" i="9"/>
  <c r="Z83" i="9"/>
  <c r="Y83" i="9"/>
  <c r="W83" i="9"/>
  <c r="V3" i="9"/>
  <c r="U14" i="9"/>
  <c r="V14" i="9" s="1"/>
  <c r="W16" i="9"/>
  <c r="U24" i="9"/>
  <c r="X78" i="9"/>
  <c r="Z78" i="9"/>
  <c r="Y78" i="9"/>
  <c r="Z82" i="9"/>
  <c r="Y82" i="9"/>
  <c r="X82" i="9"/>
  <c r="W82" i="9"/>
  <c r="Z92" i="9"/>
  <c r="X92" i="9"/>
  <c r="Y92" i="9"/>
  <c r="W92" i="9"/>
  <c r="Q18" i="9"/>
  <c r="V21" i="9"/>
  <c r="W24" i="9"/>
  <c r="Z29" i="9"/>
  <c r="X29" i="9"/>
  <c r="Z34" i="9"/>
  <c r="X34" i="9"/>
  <c r="Z39" i="9"/>
  <c r="X39" i="9"/>
  <c r="Z44" i="9"/>
  <c r="X44" i="9"/>
  <c r="V49" i="9"/>
  <c r="Z54" i="9"/>
  <c r="X54" i="9"/>
  <c r="Z59" i="9"/>
  <c r="X59" i="9"/>
  <c r="Z64" i="9"/>
  <c r="X64" i="9"/>
  <c r="W68" i="9"/>
  <c r="X69" i="9"/>
  <c r="Y69" i="9"/>
  <c r="W79" i="9"/>
  <c r="X15" i="9"/>
  <c r="W36" i="9"/>
  <c r="W41" i="9"/>
  <c r="V17" i="9"/>
  <c r="X113" i="9"/>
  <c r="W113" i="9"/>
  <c r="Z113" i="9"/>
  <c r="Y113" i="9"/>
  <c r="X151" i="9"/>
  <c r="Y151" i="9" s="1"/>
  <c r="Z151" i="9" s="1"/>
  <c r="W151" i="9"/>
  <c r="V18" i="9"/>
  <c r="Z25" i="9"/>
  <c r="Y25" i="9"/>
  <c r="X25" i="9"/>
  <c r="Z30" i="9"/>
  <c r="Y30" i="9"/>
  <c r="X30" i="9"/>
  <c r="Z35" i="9"/>
  <c r="Y35" i="9"/>
  <c r="X35" i="9"/>
  <c r="Z40" i="9"/>
  <c r="Y40" i="9"/>
  <c r="X40" i="9"/>
  <c r="Z45" i="9"/>
  <c r="Y45" i="9"/>
  <c r="X45" i="9"/>
  <c r="Z50" i="9"/>
  <c r="Y50" i="9"/>
  <c r="X50" i="9"/>
  <c r="Z55" i="9"/>
  <c r="Y55" i="9"/>
  <c r="X55" i="9"/>
  <c r="V60" i="9"/>
  <c r="Z65" i="9"/>
  <c r="Y65" i="9"/>
  <c r="X65" i="9"/>
  <c r="V70" i="9"/>
  <c r="U70" i="9"/>
  <c r="X88" i="9"/>
  <c r="Z88" i="9"/>
  <c r="Y88" i="9"/>
  <c r="W88" i="9"/>
  <c r="V211" i="9"/>
  <c r="V13" i="9"/>
  <c r="Q23" i="9"/>
  <c r="W25" i="9"/>
  <c r="Y29" i="9"/>
  <c r="Y34" i="9"/>
  <c r="Y39" i="9"/>
  <c r="Y44" i="9"/>
  <c r="Y54" i="9"/>
  <c r="Y59" i="9"/>
  <c r="Y64" i="9"/>
  <c r="Z69" i="9"/>
  <c r="V104" i="9"/>
  <c r="U104" i="9"/>
  <c r="U78" i="9"/>
  <c r="V80" i="9"/>
  <c r="V95" i="9"/>
  <c r="U95" i="9"/>
  <c r="X108" i="9"/>
  <c r="W108" i="9"/>
  <c r="Y109" i="9"/>
  <c r="X109" i="9"/>
  <c r="Z122" i="9"/>
  <c r="X122" i="9"/>
  <c r="Z149" i="9"/>
  <c r="Y149" i="9"/>
  <c r="W149" i="9"/>
  <c r="X154" i="9"/>
  <c r="Y154" i="9" s="1"/>
  <c r="Z154" i="9" s="1"/>
  <c r="W154" i="9"/>
  <c r="X164" i="9"/>
  <c r="Y164" i="9" s="1"/>
  <c r="Z164" i="9" s="1"/>
  <c r="W164" i="9"/>
  <c r="V100" i="9"/>
  <c r="U100" i="9"/>
  <c r="Y108" i="9"/>
  <c r="U109" i="9"/>
  <c r="V114" i="9"/>
  <c r="W122" i="9"/>
  <c r="V123" i="9"/>
  <c r="V129" i="9"/>
  <c r="X149" i="9"/>
  <c r="V71" i="9"/>
  <c r="X77" i="9"/>
  <c r="V86" i="9"/>
  <c r="U89" i="9"/>
  <c r="V89" i="9" s="1"/>
  <c r="V96" i="9"/>
  <c r="V105" i="9"/>
  <c r="U105" i="9"/>
  <c r="Z108" i="9"/>
  <c r="W109" i="9"/>
  <c r="U114" i="9"/>
  <c r="Y119" i="9"/>
  <c r="X119" i="9"/>
  <c r="Y122" i="9"/>
  <c r="Z124" i="9"/>
  <c r="Y124" i="9"/>
  <c r="X124" i="9"/>
  <c r="Y131" i="9"/>
  <c r="Z131" i="9" s="1"/>
  <c r="X131" i="9"/>
  <c r="W131" i="9"/>
  <c r="W134" i="9"/>
  <c r="X134" i="9" s="1"/>
  <c r="Y134" i="9" s="1"/>
  <c r="Z134" i="9" s="1"/>
  <c r="U19" i="9"/>
  <c r="Y77" i="9"/>
  <c r="V101" i="9"/>
  <c r="Z109" i="9"/>
  <c r="V110" i="9"/>
  <c r="U110" i="9"/>
  <c r="U119" i="9"/>
  <c r="U124" i="9"/>
  <c r="V133" i="9"/>
  <c r="V90" i="9"/>
  <c r="V106" i="9"/>
  <c r="U115" i="9"/>
  <c r="V115" i="9" s="1"/>
  <c r="W119" i="9"/>
  <c r="W124" i="9"/>
  <c r="Z125" i="9"/>
  <c r="X125" i="9"/>
  <c r="V81" i="9"/>
  <c r="V84" i="9"/>
  <c r="V111" i="9"/>
  <c r="V120" i="9"/>
  <c r="U120" i="9"/>
  <c r="V126" i="9"/>
  <c r="V76" i="9"/>
  <c r="Q77" i="9"/>
  <c r="U81" i="9"/>
  <c r="U84" i="9"/>
  <c r="Z87" i="9"/>
  <c r="X87" i="9"/>
  <c r="Z102" i="9"/>
  <c r="X102" i="9"/>
  <c r="V116" i="9"/>
  <c r="Y125" i="9"/>
  <c r="V139" i="9"/>
  <c r="V141" i="9"/>
  <c r="Z144" i="9"/>
  <c r="Y144" i="9"/>
  <c r="X144" i="9"/>
  <c r="W144" i="9"/>
  <c r="X173" i="9"/>
  <c r="W173" i="9"/>
  <c r="Z173" i="9"/>
  <c r="Y173" i="9"/>
  <c r="V94" i="9"/>
  <c r="X107" i="9"/>
  <c r="Y107" i="9" s="1"/>
  <c r="Z107" i="9" s="1"/>
  <c r="V121" i="9"/>
  <c r="V85" i="9"/>
  <c r="Y87" i="9"/>
  <c r="V91" i="9"/>
  <c r="Q92" i="9"/>
  <c r="U94" i="9"/>
  <c r="V99" i="9"/>
  <c r="Y102" i="9"/>
  <c r="W107" i="9"/>
  <c r="Z112" i="9"/>
  <c r="X112" i="9"/>
  <c r="X146" i="9"/>
  <c r="W146" i="9"/>
  <c r="Y146" i="9" s="1"/>
  <c r="Z146" i="9" s="1"/>
  <c r="Z147" i="9"/>
  <c r="Y147" i="9"/>
  <c r="X147" i="9"/>
  <c r="W147" i="9"/>
  <c r="X184" i="9"/>
  <c r="W184" i="9"/>
  <c r="V185" i="9"/>
  <c r="Z189" i="9"/>
  <c r="X189" i="9"/>
  <c r="W189" i="9"/>
  <c r="V190" i="9"/>
  <c r="Z194" i="9"/>
  <c r="X194" i="9"/>
  <c r="W194" i="9"/>
  <c r="V195" i="9"/>
  <c r="W199" i="9"/>
  <c r="X199" i="9" s="1"/>
  <c r="Y199" i="9" s="1"/>
  <c r="Z199" i="9" s="1"/>
  <c r="V200" i="9"/>
  <c r="Z140" i="9"/>
  <c r="Z142" i="9"/>
  <c r="V143" i="9"/>
  <c r="V158" i="9"/>
  <c r="Z169" i="9"/>
  <c r="X169" i="9"/>
  <c r="W169" i="9"/>
  <c r="V170" i="9"/>
  <c r="V171" i="9"/>
  <c r="U171" i="9"/>
  <c r="Z172" i="9"/>
  <c r="Y172" i="9"/>
  <c r="Y189" i="9"/>
  <c r="Y194" i="9"/>
  <c r="X127" i="9"/>
  <c r="Q134" i="9"/>
  <c r="V150" i="9"/>
  <c r="V153" i="9"/>
  <c r="Z159" i="9"/>
  <c r="W159" i="9"/>
  <c r="X172" i="9"/>
  <c r="Y127" i="9"/>
  <c r="X174" i="9"/>
  <c r="W174" i="9"/>
  <c r="V175" i="9"/>
  <c r="V176" i="9"/>
  <c r="U176" i="9"/>
  <c r="Z177" i="9"/>
  <c r="Y177" i="9"/>
  <c r="X208" i="9"/>
  <c r="W208" i="9"/>
  <c r="Z208" i="9"/>
  <c r="Y208" i="9"/>
  <c r="V161" i="9"/>
  <c r="Z162" i="9"/>
  <c r="Y162" i="9"/>
  <c r="Y174" i="9"/>
  <c r="Z174" i="9" s="1"/>
  <c r="W177" i="9"/>
  <c r="X178" i="9"/>
  <c r="W178" i="9"/>
  <c r="Z178" i="9"/>
  <c r="Y178" i="9"/>
  <c r="Z207" i="9"/>
  <c r="Y207" i="9"/>
  <c r="W207" i="9"/>
  <c r="Z209" i="9"/>
  <c r="Y209" i="9"/>
  <c r="X209" i="9"/>
  <c r="W209" i="9"/>
  <c r="U130" i="9"/>
  <c r="U140" i="9"/>
  <c r="Q149" i="9"/>
  <c r="Q155" i="9"/>
  <c r="W162" i="9"/>
  <c r="X163" i="9"/>
  <c r="W163" i="9"/>
  <c r="Z163" i="9"/>
  <c r="Y163" i="9"/>
  <c r="Q165" i="9"/>
  <c r="X177" i="9"/>
  <c r="V206" i="9"/>
  <c r="U206" i="9"/>
  <c r="X207" i="9"/>
  <c r="W179" i="9"/>
  <c r="X179" i="9" s="1"/>
  <c r="Y179" i="9" s="1"/>
  <c r="Z179" i="9" s="1"/>
  <c r="V180" i="9"/>
  <c r="V181" i="9"/>
  <c r="U181" i="9"/>
  <c r="Z182" i="9"/>
  <c r="Y182" i="9"/>
  <c r="X203" i="9"/>
  <c r="W203" i="9"/>
  <c r="Z203" i="9"/>
  <c r="Y203" i="9"/>
  <c r="U125" i="9"/>
  <c r="W128" i="9"/>
  <c r="W130" i="9"/>
  <c r="W132" i="9"/>
  <c r="W136" i="9"/>
  <c r="W140" i="9"/>
  <c r="W142" i="9"/>
  <c r="W145" i="9"/>
  <c r="U148" i="9"/>
  <c r="V148" i="9" s="1"/>
  <c r="V155" i="9"/>
  <c r="V165" i="9"/>
  <c r="V166" i="9"/>
  <c r="U166" i="9"/>
  <c r="V167" i="9"/>
  <c r="W182" i="9"/>
  <c r="X183" i="9"/>
  <c r="W183" i="9"/>
  <c r="Z183" i="9"/>
  <c r="Y183" i="9"/>
  <c r="X188" i="9"/>
  <c r="W188" i="9"/>
  <c r="Z188" i="9"/>
  <c r="Y188" i="9"/>
  <c r="X193" i="9"/>
  <c r="W193" i="9"/>
  <c r="Z193" i="9"/>
  <c r="Y193" i="9"/>
  <c r="X198" i="9"/>
  <c r="W198" i="9"/>
  <c r="Z198" i="9"/>
  <c r="Y198" i="9"/>
  <c r="W202" i="9"/>
  <c r="Y202" i="9" s="1"/>
  <c r="Z202" i="9" s="1"/>
  <c r="Y204" i="9"/>
  <c r="Z204" i="9" s="1"/>
  <c r="X204" i="9"/>
  <c r="W204" i="9"/>
  <c r="X136" i="9"/>
  <c r="X138" i="9"/>
  <c r="Y145" i="9"/>
  <c r="V156" i="9"/>
  <c r="Y168" i="9"/>
  <c r="Q170" i="9"/>
  <c r="X182" i="9"/>
  <c r="V186" i="9"/>
  <c r="U186" i="9"/>
  <c r="Z187" i="9"/>
  <c r="Y187" i="9"/>
  <c r="W187" i="9"/>
  <c r="V191" i="9"/>
  <c r="U191" i="9"/>
  <c r="Z192" i="9"/>
  <c r="Y192" i="9"/>
  <c r="W192" i="9"/>
  <c r="V196" i="9"/>
  <c r="U196" i="9"/>
  <c r="Z197" i="9"/>
  <c r="Y197" i="9"/>
  <c r="W197" i="9"/>
  <c r="V201" i="9"/>
  <c r="U201" i="9"/>
  <c r="X202" i="9"/>
  <c r="U145" i="9"/>
  <c r="U150" i="9"/>
  <c r="U155" i="9"/>
  <c r="U160" i="9"/>
  <c r="V160" i="9" s="1"/>
  <c r="U165" i="9"/>
  <c r="U170" i="9"/>
  <c r="U175" i="9"/>
  <c r="U180" i="9"/>
  <c r="U185" i="9"/>
  <c r="U190" i="9"/>
  <c r="U195" i="9"/>
  <c r="U200" i="9"/>
  <c r="U205" i="9"/>
  <c r="V205" i="9" s="1"/>
  <c r="Q37" i="8"/>
  <c r="Q59" i="8"/>
  <c r="Q70" i="8"/>
  <c r="Q73" i="8"/>
  <c r="U74" i="8"/>
  <c r="Q76" i="8"/>
  <c r="Q105" i="8"/>
  <c r="Q119" i="8"/>
  <c r="Q138" i="8"/>
  <c r="W153" i="8"/>
  <c r="U159" i="8"/>
  <c r="Q166" i="8"/>
  <c r="Q169" i="8"/>
  <c r="U170" i="8"/>
  <c r="Q186" i="8"/>
  <c r="U200" i="8"/>
  <c r="U94" i="8"/>
  <c r="Z7" i="8"/>
  <c r="Y32" i="8"/>
  <c r="X100" i="8"/>
  <c r="W111" i="8"/>
  <c r="U122" i="8"/>
  <c r="Q140" i="8"/>
  <c r="Q143" i="8"/>
  <c r="Q149" i="8"/>
  <c r="U175" i="8"/>
  <c r="U178" i="8"/>
  <c r="U190" i="8"/>
  <c r="W196" i="8"/>
  <c r="Q207" i="8"/>
  <c r="U4" i="8"/>
  <c r="Q6" i="8"/>
  <c r="U9" i="8"/>
  <c r="Q20" i="8"/>
  <c r="U21" i="8"/>
  <c r="Q25" i="8"/>
  <c r="U26" i="8"/>
  <c r="Q28" i="8"/>
  <c r="Q64" i="8"/>
  <c r="Q75" i="8"/>
  <c r="U127" i="8"/>
  <c r="Q174" i="8"/>
  <c r="Q195" i="8"/>
  <c r="U23" i="8"/>
  <c r="Q36" i="8"/>
  <c r="Q55" i="8"/>
  <c r="Q69" i="8"/>
  <c r="Q101" i="8"/>
  <c r="Q115" i="8"/>
  <c r="X140" i="8"/>
  <c r="U168" i="8"/>
  <c r="U183" i="8"/>
  <c r="Q185" i="8"/>
  <c r="Q188" i="8"/>
  <c r="U189" i="8"/>
  <c r="U39" i="8"/>
  <c r="Z81" i="8"/>
  <c r="Q83" i="8"/>
  <c r="Q131" i="8"/>
  <c r="U160" i="8"/>
  <c r="U165" i="8"/>
  <c r="U174" i="8"/>
  <c r="U195" i="8"/>
  <c r="U64" i="8"/>
  <c r="U14" i="8"/>
  <c r="U6" i="8"/>
  <c r="U11" i="8"/>
  <c r="Q106" i="8"/>
  <c r="X107" i="8"/>
  <c r="U110" i="8"/>
  <c r="U134" i="8"/>
  <c r="U148" i="8"/>
  <c r="Q159" i="8"/>
  <c r="W191" i="8"/>
  <c r="Q200" i="8"/>
  <c r="U8" i="8"/>
  <c r="Q54" i="8"/>
  <c r="Q85" i="8"/>
  <c r="Q88" i="8"/>
  <c r="Q117" i="8"/>
  <c r="W120" i="8"/>
  <c r="U139" i="8"/>
  <c r="U142" i="8"/>
  <c r="Q147" i="8"/>
  <c r="U153" i="8"/>
  <c r="Q156" i="8"/>
  <c r="Q161" i="8"/>
  <c r="Q184" i="8"/>
  <c r="Q193" i="8"/>
  <c r="U194" i="8"/>
  <c r="U5" i="8"/>
  <c r="U10" i="8"/>
  <c r="U16" i="8"/>
  <c r="U19" i="8"/>
  <c r="U24" i="8"/>
  <c r="U88" i="8"/>
  <c r="U144" i="8"/>
  <c r="U164" i="8"/>
  <c r="U179" i="8"/>
  <c r="Z91" i="8"/>
  <c r="W114" i="8"/>
  <c r="Z141" i="8"/>
  <c r="Z177" i="8"/>
  <c r="Z149" i="8"/>
  <c r="Q158" i="8"/>
  <c r="U163" i="8"/>
  <c r="W167" i="8"/>
  <c r="Z172" i="8"/>
  <c r="W186" i="8"/>
  <c r="U203" i="8"/>
  <c r="U44" i="8"/>
  <c r="Z44" i="8"/>
  <c r="X59" i="8"/>
  <c r="U62" i="8"/>
  <c r="U114" i="8"/>
  <c r="Q19" i="8"/>
  <c r="U27" i="8"/>
  <c r="Z34" i="8"/>
  <c r="U65" i="8"/>
  <c r="U118" i="8"/>
  <c r="Q133" i="8"/>
  <c r="U137" i="8"/>
  <c r="W140" i="8"/>
  <c r="Q151" i="8"/>
  <c r="W181" i="8"/>
  <c r="U80" i="8"/>
  <c r="X110" i="8"/>
  <c r="W69" i="8"/>
  <c r="Z12" i="8"/>
  <c r="U49" i="8"/>
  <c r="Y75" i="8"/>
  <c r="U90" i="8"/>
  <c r="Z102" i="8"/>
  <c r="Y105" i="8"/>
  <c r="U120" i="8"/>
  <c r="U133" i="8"/>
  <c r="U140" i="8"/>
  <c r="U155" i="8"/>
  <c r="Q157" i="8"/>
  <c r="W176" i="8"/>
  <c r="Q183" i="8"/>
  <c r="U193" i="8"/>
  <c r="Y193" i="8"/>
  <c r="Z24" i="8"/>
  <c r="Q27" i="8"/>
  <c r="U145" i="8"/>
  <c r="Z4" i="8"/>
  <c r="Q7" i="8"/>
  <c r="X8" i="8"/>
  <c r="X15" i="8"/>
  <c r="Y16" i="8"/>
  <c r="Q18" i="8"/>
  <c r="Q22" i="8"/>
  <c r="Z23" i="8"/>
  <c r="Y36" i="8"/>
  <c r="Q39" i="8"/>
  <c r="X42" i="8"/>
  <c r="Y57" i="8"/>
  <c r="U82" i="8"/>
  <c r="U93" i="8"/>
  <c r="U97" i="8"/>
  <c r="U117" i="8"/>
  <c r="U123" i="8"/>
  <c r="Z147" i="8"/>
  <c r="W166" i="8"/>
  <c r="W171" i="8"/>
  <c r="Q187" i="8"/>
  <c r="U188" i="8"/>
  <c r="X188" i="8"/>
  <c r="U206" i="8"/>
  <c r="U13" i="8"/>
  <c r="U87" i="8"/>
  <c r="Q4" i="8"/>
  <c r="Y13" i="8"/>
  <c r="U3" i="8"/>
  <c r="U7" i="8"/>
  <c r="Q14" i="8"/>
  <c r="U15" i="8"/>
  <c r="Z19" i="8"/>
  <c r="U22" i="8"/>
  <c r="U29" i="8"/>
  <c r="U32" i="8"/>
  <c r="Q35" i="8"/>
  <c r="Z45" i="8"/>
  <c r="X64" i="8"/>
  <c r="Y67" i="8"/>
  <c r="W93" i="8"/>
  <c r="Q103" i="8"/>
  <c r="Q107" i="8"/>
  <c r="W123" i="8"/>
  <c r="X123" i="8" s="1"/>
  <c r="Y123" i="8" s="1"/>
  <c r="Z123" i="8" s="1"/>
  <c r="U125" i="8"/>
  <c r="Z157" i="8"/>
  <c r="W192" i="8"/>
  <c r="Y197" i="8"/>
  <c r="X17" i="8"/>
  <c r="U135" i="8"/>
  <c r="U18" i="8"/>
  <c r="Q41" i="8"/>
  <c r="Q50" i="8"/>
  <c r="Q56" i="8"/>
  <c r="U60" i="8"/>
  <c r="W60" i="8" s="1"/>
  <c r="X60" i="8" s="1"/>
  <c r="W70" i="8"/>
  <c r="Q77" i="8"/>
  <c r="W78" i="8"/>
  <c r="Q80" i="8"/>
  <c r="Y82" i="8"/>
  <c r="U85" i="8"/>
  <c r="Z122" i="8"/>
  <c r="Q124" i="8"/>
  <c r="Q127" i="8"/>
  <c r="U132" i="8"/>
  <c r="Q142" i="8"/>
  <c r="Z150" i="8"/>
  <c r="Q182" i="8"/>
  <c r="W187" i="8"/>
  <c r="U201" i="8"/>
  <c r="Q208" i="8"/>
  <c r="Z6" i="8"/>
  <c r="W21" i="8"/>
  <c r="Z9" i="8"/>
  <c r="Q12" i="8"/>
  <c r="Q33" i="8"/>
  <c r="U102" i="8"/>
  <c r="U130" i="8"/>
  <c r="X25" i="8"/>
  <c r="Z29" i="8"/>
  <c r="W74" i="8"/>
  <c r="Z92" i="8"/>
  <c r="X94" i="8"/>
  <c r="U103" i="8"/>
  <c r="Y143" i="8"/>
  <c r="U146" i="8"/>
  <c r="U209" i="8"/>
  <c r="W77" i="8"/>
  <c r="Y3" i="8"/>
  <c r="Q9" i="8"/>
  <c r="Q17" i="8"/>
  <c r="Z18" i="8"/>
  <c r="Q24" i="8"/>
  <c r="Z39" i="8"/>
  <c r="Z85" i="8"/>
  <c r="W88" i="8"/>
  <c r="U107" i="8"/>
  <c r="Q118" i="8"/>
  <c r="Y127" i="8"/>
  <c r="Q130" i="8"/>
  <c r="Q134" i="8"/>
  <c r="Q141" i="8"/>
  <c r="W142" i="8"/>
  <c r="U150" i="8"/>
  <c r="Q152" i="8"/>
  <c r="Q163" i="8"/>
  <c r="Q167" i="8"/>
  <c r="U191" i="8"/>
  <c r="U196" i="8"/>
  <c r="Q203" i="8"/>
  <c r="U208" i="8"/>
  <c r="W35" i="8"/>
  <c r="Z35" i="8"/>
  <c r="Y35" i="8"/>
  <c r="X35" i="8"/>
  <c r="Y95" i="8"/>
  <c r="Z95" i="8"/>
  <c r="X95" i="8"/>
  <c r="W95" i="8"/>
  <c r="Y6" i="8"/>
  <c r="Z17" i="8"/>
  <c r="Y17" i="8"/>
  <c r="Y52" i="8"/>
  <c r="Z52" i="8"/>
  <c r="X52" i="8"/>
  <c r="W52" i="8"/>
  <c r="Z104" i="8"/>
  <c r="Y104" i="8"/>
  <c r="X104" i="8"/>
  <c r="W104" i="8"/>
  <c r="W24" i="8"/>
  <c r="W30" i="8"/>
  <c r="Z30" i="8"/>
  <c r="Y30" i="8"/>
  <c r="X30" i="8"/>
  <c r="Y37" i="8"/>
  <c r="Z37" i="8"/>
  <c r="X37" i="8"/>
  <c r="W37" i="8"/>
  <c r="Y55" i="8"/>
  <c r="W55" i="8"/>
  <c r="Z55" i="8"/>
  <c r="X55" i="8"/>
  <c r="X27" i="8"/>
  <c r="W27" i="8"/>
  <c r="Y34" i="8"/>
  <c r="X34" i="8"/>
  <c r="W34" i="8"/>
  <c r="Y40" i="8"/>
  <c r="W40" i="8"/>
  <c r="Z40" i="8"/>
  <c r="X40" i="8"/>
  <c r="Y79" i="8"/>
  <c r="W79" i="8"/>
  <c r="Z79" i="8"/>
  <c r="X79" i="8"/>
  <c r="X12" i="8"/>
  <c r="W12" i="8"/>
  <c r="Y62" i="8"/>
  <c r="Z62" i="8"/>
  <c r="X62" i="8"/>
  <c r="W62" i="8"/>
  <c r="Y65" i="8"/>
  <c r="W65" i="8"/>
  <c r="Z65" i="8"/>
  <c r="X65" i="8"/>
  <c r="W68" i="8"/>
  <c r="X68" i="8"/>
  <c r="Z84" i="8"/>
  <c r="Y84" i="8"/>
  <c r="X84" i="8"/>
  <c r="W84" i="8"/>
  <c r="X102" i="8"/>
  <c r="W102" i="8"/>
  <c r="Y118" i="8"/>
  <c r="W118" i="8"/>
  <c r="Z118" i="8"/>
  <c r="X118" i="8"/>
  <c r="W4" i="8"/>
  <c r="Y8" i="8"/>
  <c r="Z8" i="8"/>
  <c r="W16" i="8"/>
  <c r="W23" i="8"/>
  <c r="Z36" i="8"/>
  <c r="Y42" i="8"/>
  <c r="Z42" i="8"/>
  <c r="W57" i="8"/>
  <c r="X19" i="8"/>
  <c r="W19" i="8"/>
  <c r="W45" i="8"/>
  <c r="Z54" i="8"/>
  <c r="Y54" i="8"/>
  <c r="X54" i="8"/>
  <c r="W54" i="8"/>
  <c r="Z64" i="8"/>
  <c r="Y64" i="8"/>
  <c r="X67" i="8"/>
  <c r="Z26" i="8"/>
  <c r="Y26" i="8"/>
  <c r="X26" i="8"/>
  <c r="W26" i="8"/>
  <c r="Y70" i="8"/>
  <c r="Z82" i="8"/>
  <c r="X82" i="8"/>
  <c r="W82" i="8"/>
  <c r="W11" i="8"/>
  <c r="X11" i="8"/>
  <c r="Y11" i="8" s="1"/>
  <c r="Z11" i="8" s="1"/>
  <c r="W29" i="8"/>
  <c r="Y47" i="8"/>
  <c r="Z47" i="8"/>
  <c r="X47" i="8"/>
  <c r="W47" i="8"/>
  <c r="W58" i="8"/>
  <c r="X58" i="8"/>
  <c r="Z58" i="8"/>
  <c r="Y58" i="8"/>
  <c r="Y92" i="8"/>
  <c r="X92" i="8"/>
  <c r="W92" i="8"/>
  <c r="Z94" i="8"/>
  <c r="Y94" i="8"/>
  <c r="W14" i="8"/>
  <c r="X18" i="8"/>
  <c r="W18" i="8"/>
  <c r="Y50" i="8"/>
  <c r="W50" i="8"/>
  <c r="Z50" i="8"/>
  <c r="X50" i="8"/>
  <c r="Y85" i="8"/>
  <c r="Y76" i="8"/>
  <c r="W76" i="8"/>
  <c r="Z76" i="8"/>
  <c r="W108" i="8"/>
  <c r="Z108" i="8"/>
  <c r="Y108" i="8"/>
  <c r="X108" i="8"/>
  <c r="U33" i="8"/>
  <c r="Q34" i="8"/>
  <c r="U36" i="8"/>
  <c r="U40" i="8"/>
  <c r="Q42" i="8"/>
  <c r="U45" i="8"/>
  <c r="Q47" i="8"/>
  <c r="U50" i="8"/>
  <c r="Q52" i="8"/>
  <c r="U55" i="8"/>
  <c r="Q72" i="8"/>
  <c r="W75" i="8"/>
  <c r="X76" i="8"/>
  <c r="U78" i="8"/>
  <c r="U89" i="8"/>
  <c r="W91" i="8"/>
  <c r="U92" i="8"/>
  <c r="U95" i="8"/>
  <c r="U108" i="8"/>
  <c r="X114" i="8"/>
  <c r="Y114" i="8" s="1"/>
  <c r="U41" i="8"/>
  <c r="U46" i="8"/>
  <c r="U51" i="8"/>
  <c r="U56" i="8"/>
  <c r="U63" i="8"/>
  <c r="X75" i="8"/>
  <c r="X91" i="8"/>
  <c r="Z107" i="8"/>
  <c r="W107" i="8"/>
  <c r="Y107" i="8"/>
  <c r="V211" i="8"/>
  <c r="U30" i="8"/>
  <c r="W33" i="8"/>
  <c r="U57" i="8"/>
  <c r="U70" i="8"/>
  <c r="U71" i="8"/>
  <c r="U79" i="8"/>
  <c r="Y91" i="8"/>
  <c r="U112" i="8"/>
  <c r="Y120" i="8"/>
  <c r="Z120" i="8"/>
  <c r="X120" i="8"/>
  <c r="V230" i="8"/>
  <c r="V229" i="8"/>
  <c r="V231" i="8" s="1"/>
  <c r="V233" i="8"/>
  <c r="V232" i="8"/>
  <c r="V235" i="8" s="1"/>
  <c r="U2" i="8"/>
  <c r="X33" i="8"/>
  <c r="U37" i="8"/>
  <c r="U42" i="8"/>
  <c r="U47" i="8"/>
  <c r="U52" i="8"/>
  <c r="U72" i="8"/>
  <c r="Y33" i="8"/>
  <c r="U58" i="8"/>
  <c r="X81" i="8"/>
  <c r="W101" i="8"/>
  <c r="X101" i="8" s="1"/>
  <c r="Y101" i="8" s="1"/>
  <c r="Z101" i="8" s="1"/>
  <c r="Z111" i="8"/>
  <c r="Y111" i="8"/>
  <c r="X111" i="8"/>
  <c r="Y125" i="8"/>
  <c r="Z125" i="8"/>
  <c r="X125" i="8"/>
  <c r="W125" i="8"/>
  <c r="U20" i="8"/>
  <c r="U25" i="8"/>
  <c r="U28" i="8"/>
  <c r="U31" i="8"/>
  <c r="U38" i="8"/>
  <c r="U43" i="8"/>
  <c r="U48" i="8"/>
  <c r="U53" i="8"/>
  <c r="U66" i="8"/>
  <c r="U73" i="8"/>
  <c r="Y100" i="8"/>
  <c r="W100" i="8"/>
  <c r="Z100" i="8"/>
  <c r="Q62" i="8"/>
  <c r="U67" i="8"/>
  <c r="U83" i="8"/>
  <c r="U99" i="8"/>
  <c r="Y110" i="8"/>
  <c r="W110" i="8"/>
  <c r="W122" i="8"/>
  <c r="W128" i="8"/>
  <c r="Z128" i="8"/>
  <c r="X128" i="8"/>
  <c r="Y128" i="8"/>
  <c r="U98" i="8"/>
  <c r="Y109" i="8"/>
  <c r="X109" i="8"/>
  <c r="W109" i="8"/>
  <c r="Z109" i="8"/>
  <c r="U115" i="8"/>
  <c r="U61" i="8"/>
  <c r="U68" i="8"/>
  <c r="U76" i="8"/>
  <c r="U86" i="8"/>
  <c r="X127" i="8"/>
  <c r="W127" i="8"/>
  <c r="U81" i="8"/>
  <c r="Q82" i="8"/>
  <c r="U91" i="8"/>
  <c r="Q92" i="8"/>
  <c r="U101" i="8"/>
  <c r="Q102" i="8"/>
  <c r="U111" i="8"/>
  <c r="Q112" i="8"/>
  <c r="Q135" i="8"/>
  <c r="Q125" i="8"/>
  <c r="U131" i="8"/>
  <c r="U136" i="8"/>
  <c r="U138" i="8"/>
  <c r="W146" i="8"/>
  <c r="Y146" i="8"/>
  <c r="X146" i="8"/>
  <c r="U119" i="8"/>
  <c r="U124" i="8"/>
  <c r="W132" i="8"/>
  <c r="Z159" i="8"/>
  <c r="X159" i="8"/>
  <c r="W159" i="8"/>
  <c r="Y159" i="8"/>
  <c r="W133" i="8"/>
  <c r="X133" i="8"/>
  <c r="U96" i="8"/>
  <c r="U106" i="8"/>
  <c r="U109" i="8"/>
  <c r="U116" i="8"/>
  <c r="Z132" i="8"/>
  <c r="Y133" i="8"/>
  <c r="W147" i="8"/>
  <c r="U121" i="8"/>
  <c r="U126" i="8"/>
  <c r="Z133" i="8"/>
  <c r="X143" i="8"/>
  <c r="W154" i="8"/>
  <c r="X154" i="8"/>
  <c r="Y154" i="8" s="1"/>
  <c r="Z154" i="8" s="1"/>
  <c r="W157" i="8"/>
  <c r="U113" i="8"/>
  <c r="Y142" i="8"/>
  <c r="X142" i="8"/>
  <c r="Z146" i="8"/>
  <c r="Y145" i="8"/>
  <c r="Z145" i="8"/>
  <c r="X145" i="8"/>
  <c r="W145" i="8"/>
  <c r="U128" i="8"/>
  <c r="Q132" i="8"/>
  <c r="Y140" i="8"/>
  <c r="Z140" i="8"/>
  <c r="U141" i="8"/>
  <c r="U147" i="8"/>
  <c r="U161" i="8"/>
  <c r="Q168" i="8"/>
  <c r="U171" i="8"/>
  <c r="Q178" i="8"/>
  <c r="W199" i="8"/>
  <c r="X199" i="8" s="1"/>
  <c r="Y199" i="8" s="1"/>
  <c r="Z199" i="8" s="1"/>
  <c r="X158" i="8"/>
  <c r="Z181" i="8"/>
  <c r="Y181" i="8"/>
  <c r="X181" i="8"/>
  <c r="Q197" i="8"/>
  <c r="Z198" i="8"/>
  <c r="X198" i="8"/>
  <c r="W198" i="8"/>
  <c r="Z203" i="8"/>
  <c r="Y203" i="8"/>
  <c r="X203" i="8"/>
  <c r="W203" i="8"/>
  <c r="Y158" i="8"/>
  <c r="X161" i="8"/>
  <c r="Y161" i="8" s="1"/>
  <c r="Z161" i="8" s="1"/>
  <c r="Z171" i="8"/>
  <c r="Y171" i="8"/>
  <c r="X171" i="8"/>
  <c r="Y198" i="8"/>
  <c r="Z207" i="8"/>
  <c r="Y207" i="8"/>
  <c r="X207" i="8"/>
  <c r="W207" i="8"/>
  <c r="Z186" i="8"/>
  <c r="Y186" i="8"/>
  <c r="X186" i="8"/>
  <c r="U149" i="8"/>
  <c r="U151" i="8"/>
  <c r="X202" i="8"/>
  <c r="Y202" i="8" s="1"/>
  <c r="Z202" i="8" s="1"/>
  <c r="W202" i="8"/>
  <c r="U152" i="8"/>
  <c r="U166" i="8"/>
  <c r="U176" i="8"/>
  <c r="X190" i="8"/>
  <c r="W190" i="8"/>
  <c r="Z190" i="8"/>
  <c r="Y190" i="8"/>
  <c r="Q162" i="8"/>
  <c r="Q172" i="8"/>
  <c r="Z206" i="8"/>
  <c r="Y206" i="8"/>
  <c r="X206" i="8"/>
  <c r="W206" i="8"/>
  <c r="Z166" i="8"/>
  <c r="Y166" i="8"/>
  <c r="X166" i="8"/>
  <c r="Z176" i="8"/>
  <c r="Y176" i="8"/>
  <c r="X176" i="8"/>
  <c r="Z182" i="8"/>
  <c r="Y182" i="8"/>
  <c r="X182" i="8"/>
  <c r="Z188" i="8"/>
  <c r="Z196" i="8"/>
  <c r="Y196" i="8"/>
  <c r="X196" i="8"/>
  <c r="Z209" i="8"/>
  <c r="Y209" i="8"/>
  <c r="X209" i="8"/>
  <c r="W209" i="8"/>
  <c r="U154" i="8"/>
  <c r="U156" i="8"/>
  <c r="X172" i="8"/>
  <c r="W182" i="8"/>
  <c r="Y188" i="8"/>
  <c r="Z201" i="8"/>
  <c r="Y201" i="8"/>
  <c r="X201" i="8"/>
  <c r="U157" i="8"/>
  <c r="Z187" i="8"/>
  <c r="Y187" i="8"/>
  <c r="X187" i="8"/>
  <c r="Q192" i="8"/>
  <c r="Q198" i="8"/>
  <c r="Z204" i="8"/>
  <c r="Y204" i="8"/>
  <c r="X204" i="8"/>
  <c r="W204" i="8"/>
  <c r="Z208" i="8"/>
  <c r="Y208" i="8"/>
  <c r="X208" i="8"/>
  <c r="W208" i="8"/>
  <c r="U162" i="8"/>
  <c r="U167" i="8"/>
  <c r="U172" i="8"/>
  <c r="U177" i="8"/>
  <c r="U182" i="8"/>
  <c r="U187" i="8"/>
  <c r="U192" i="8"/>
  <c r="U197" i="8"/>
  <c r="U202" i="8"/>
  <c r="U207" i="8"/>
  <c r="S15" i="4"/>
  <c r="S163" i="4"/>
  <c r="S46" i="5"/>
  <c r="T41" i="6"/>
  <c r="S78" i="6"/>
  <c r="S91" i="6"/>
  <c r="S96" i="6"/>
  <c r="S126" i="6"/>
  <c r="S184" i="6"/>
  <c r="S194" i="6"/>
  <c r="T2" i="4"/>
  <c r="T12" i="7"/>
  <c r="T17" i="7"/>
  <c r="T31" i="7"/>
  <c r="T39" i="7"/>
  <c r="T9" i="7"/>
  <c r="T36" i="7"/>
  <c r="T44" i="7"/>
  <c r="T4" i="4"/>
  <c r="U6" i="4"/>
  <c r="T32" i="4"/>
  <c r="T38" i="4"/>
  <c r="S69" i="4"/>
  <c r="T85" i="4"/>
  <c r="T92" i="4"/>
  <c r="W92" i="4" s="1"/>
  <c r="S139" i="4"/>
  <c r="T141" i="4"/>
  <c r="S160" i="4"/>
  <c r="T168" i="4"/>
  <c r="T206" i="4"/>
  <c r="T35" i="5"/>
  <c r="T40" i="5"/>
  <c r="S42" i="5"/>
  <c r="T144" i="5"/>
  <c r="T6" i="7"/>
  <c r="T14" i="7"/>
  <c r="T28" i="7"/>
  <c r="S38" i="7"/>
  <c r="T41" i="7"/>
  <c r="T49" i="7"/>
  <c r="S163" i="1"/>
  <c r="S168" i="1"/>
  <c r="S8" i="4"/>
  <c r="T102" i="4"/>
  <c r="T172" i="4"/>
  <c r="S193" i="4"/>
  <c r="S52" i="5"/>
  <c r="S107" i="5"/>
  <c r="S140" i="5"/>
  <c r="T68" i="6"/>
  <c r="T71" i="6"/>
  <c r="T127" i="6"/>
  <c r="T8" i="7"/>
  <c r="T95" i="7"/>
  <c r="T136" i="7"/>
  <c r="T112" i="4"/>
  <c r="T34" i="6"/>
  <c r="X34" i="6" s="1"/>
  <c r="T52" i="6"/>
  <c r="T76" i="6"/>
  <c r="T53" i="4"/>
  <c r="T84" i="4"/>
  <c r="T94" i="5"/>
  <c r="T112" i="5"/>
  <c r="T32" i="7"/>
  <c r="T40" i="7"/>
  <c r="T48" i="7"/>
  <c r="T56" i="7"/>
  <c r="T4" i="7"/>
  <c r="T26" i="7"/>
  <c r="T42" i="7"/>
  <c r="T47" i="7"/>
  <c r="T55" i="7"/>
  <c r="T58" i="7"/>
  <c r="T63" i="7"/>
  <c r="T68" i="7"/>
  <c r="T81" i="7"/>
  <c r="S93" i="7"/>
  <c r="S96" i="7"/>
  <c r="T107" i="7"/>
  <c r="T112" i="7"/>
  <c r="T117" i="7"/>
  <c r="T122" i="7"/>
  <c r="T127" i="7"/>
  <c r="T132" i="7"/>
  <c r="T140" i="7"/>
  <c r="T151" i="7"/>
  <c r="T169" i="7"/>
  <c r="T190" i="7"/>
  <c r="T195" i="7"/>
  <c r="T200" i="7"/>
  <c r="T208" i="7"/>
  <c r="T91" i="7"/>
  <c r="T104" i="7"/>
  <c r="T137" i="7"/>
  <c r="T148" i="7"/>
  <c r="T161" i="7"/>
  <c r="T179" i="7"/>
  <c r="T187" i="7"/>
  <c r="T52" i="7"/>
  <c r="T65" i="7"/>
  <c r="T70" i="7"/>
  <c r="T75" i="7"/>
  <c r="T96" i="7"/>
  <c r="T109" i="7"/>
  <c r="T114" i="7"/>
  <c r="T119" i="7"/>
  <c r="T124" i="7"/>
  <c r="T129" i="7"/>
  <c r="T134" i="7"/>
  <c r="T145" i="7"/>
  <c r="T166" i="7"/>
  <c r="T171" i="7"/>
  <c r="S181" i="7"/>
  <c r="T197" i="7"/>
  <c r="T80" i="7"/>
  <c r="T88" i="7"/>
  <c r="T101" i="7"/>
  <c r="T106" i="7"/>
  <c r="T158" i="7"/>
  <c r="T176" i="7"/>
  <c r="T181" i="7"/>
  <c r="T62" i="7"/>
  <c r="T67" i="7"/>
  <c r="T72" i="7"/>
  <c r="T85" i="7"/>
  <c r="T111" i="7"/>
  <c r="T116" i="7"/>
  <c r="T121" i="7"/>
  <c r="T131" i="7"/>
  <c r="T139" i="7"/>
  <c r="T150" i="7"/>
  <c r="T168" i="7"/>
  <c r="T189" i="7"/>
  <c r="T194" i="7"/>
  <c r="T199" i="7"/>
  <c r="T204" i="7"/>
  <c r="T207" i="7"/>
  <c r="T147" i="7"/>
  <c r="T155" i="7"/>
  <c r="T160" i="7"/>
  <c r="T165" i="7"/>
  <c r="T178" i="7"/>
  <c r="T186" i="7"/>
  <c r="T59" i="7"/>
  <c r="T69" i="7"/>
  <c r="T82" i="7"/>
  <c r="S105" i="7"/>
  <c r="T108" i="7"/>
  <c r="S110" i="7"/>
  <c r="T118" i="7"/>
  <c r="T128" i="7"/>
  <c r="T144" i="7"/>
  <c r="T152" i="7"/>
  <c r="T170" i="7"/>
  <c r="T191" i="7"/>
  <c r="T196" i="7"/>
  <c r="T201" i="7"/>
  <c r="T209" i="7"/>
  <c r="T79" i="7"/>
  <c r="T87" i="7"/>
  <c r="T100" i="7"/>
  <c r="T105" i="7"/>
  <c r="V105" i="7" s="1"/>
  <c r="T141" i="7"/>
  <c r="T149" i="7"/>
  <c r="T157" i="7"/>
  <c r="T175" i="7"/>
  <c r="T180" i="7"/>
  <c r="T167" i="7"/>
  <c r="T185" i="7"/>
  <c r="T188" i="7"/>
  <c r="T198" i="7"/>
  <c r="T29" i="7"/>
  <c r="T89" i="7"/>
  <c r="T135" i="7"/>
  <c r="T159" i="7"/>
  <c r="T164" i="7"/>
  <c r="T177" i="7"/>
  <c r="T13" i="7"/>
  <c r="T193" i="7"/>
  <c r="T203" i="7"/>
  <c r="T53" i="7"/>
  <c r="U53" i="7" s="1"/>
  <c r="T7" i="7"/>
  <c r="T15" i="7"/>
  <c r="T34" i="7"/>
  <c r="T50" i="7"/>
  <c r="W50" i="7" s="1"/>
  <c r="T76" i="7"/>
  <c r="T94" i="7"/>
  <c r="T143" i="7"/>
  <c r="T23" i="7"/>
  <c r="T83" i="7"/>
  <c r="U83" i="7" s="1"/>
  <c r="T153" i="7"/>
  <c r="T33" i="7"/>
  <c r="T93" i="7"/>
  <c r="T163" i="7"/>
  <c r="T16" i="7"/>
  <c r="T30" i="7"/>
  <c r="U30" i="7" s="1"/>
  <c r="T35" i="7"/>
  <c r="X35" i="7" s="1"/>
  <c r="T77" i="7"/>
  <c r="T183" i="7"/>
  <c r="X183" i="7" s="1"/>
  <c r="T3" i="7"/>
  <c r="X3" i="7" s="1"/>
  <c r="T11" i="7"/>
  <c r="T173" i="7"/>
  <c r="T5" i="7"/>
  <c r="T43" i="7"/>
  <c r="W43" i="7" s="1"/>
  <c r="T51" i="7"/>
  <c r="X51" i="7" s="1"/>
  <c r="T64" i="7"/>
  <c r="T74" i="7"/>
  <c r="T113" i="7"/>
  <c r="T133" i="7"/>
  <c r="T192" i="7"/>
  <c r="T142" i="7"/>
  <c r="T92" i="7"/>
  <c r="W92" i="7" s="1"/>
  <c r="T162" i="7"/>
  <c r="T172" i="7"/>
  <c r="W172" i="7" s="1"/>
  <c r="T102" i="7"/>
  <c r="T182" i="7"/>
  <c r="S16" i="4"/>
  <c r="S110" i="4"/>
  <c r="S143" i="4"/>
  <c r="T183" i="4"/>
  <c r="V183" i="4" s="1"/>
  <c r="T68" i="5"/>
  <c r="T156" i="5"/>
  <c r="T171" i="5"/>
  <c r="T176" i="5"/>
  <c r="T181" i="5"/>
  <c r="T29" i="6"/>
  <c r="T65" i="6"/>
  <c r="T151" i="4"/>
  <c r="S154" i="4"/>
  <c r="S164" i="4"/>
  <c r="S75" i="5"/>
  <c r="S117" i="5"/>
  <c r="S188" i="5"/>
  <c r="S2" i="7"/>
  <c r="T2" i="7" s="1"/>
  <c r="S81" i="7"/>
  <c r="S167" i="7"/>
  <c r="S200" i="7"/>
  <c r="T171" i="4"/>
  <c r="T31" i="6"/>
  <c r="T44" i="6"/>
  <c r="T49" i="6"/>
  <c r="T67" i="6"/>
  <c r="T78" i="6"/>
  <c r="T91" i="6"/>
  <c r="V91" i="6" s="1"/>
  <c r="T96" i="6"/>
  <c r="T101" i="6"/>
  <c r="T12" i="4"/>
  <c r="W12" i="4" s="1"/>
  <c r="T16" i="4"/>
  <c r="U16" i="4" s="1"/>
  <c r="T41" i="4"/>
  <c r="T48" i="4"/>
  <c r="S137" i="4"/>
  <c r="T192" i="4"/>
  <c r="T202" i="4"/>
  <c r="T117" i="5"/>
  <c r="S207" i="6"/>
  <c r="S4" i="7"/>
  <c r="S68" i="7"/>
  <c r="S127" i="7"/>
  <c r="S169" i="7"/>
  <c r="T156" i="6"/>
  <c r="T161" i="6"/>
  <c r="T166" i="6"/>
  <c r="V166" i="6" s="1"/>
  <c r="T171" i="6"/>
  <c r="T176" i="6"/>
  <c r="W176" i="6" s="1"/>
  <c r="T181" i="6"/>
  <c r="T186" i="6"/>
  <c r="T191" i="6"/>
  <c r="T196" i="6"/>
  <c r="T201" i="6"/>
  <c r="W101" i="7"/>
  <c r="S9" i="4"/>
  <c r="T26" i="4"/>
  <c r="U26" i="4" s="1"/>
  <c r="T83" i="4"/>
  <c r="T109" i="4"/>
  <c r="S153" i="4"/>
  <c r="T186" i="4"/>
  <c r="S177" i="5"/>
  <c r="S189" i="5"/>
  <c r="S93" i="6"/>
  <c r="T128" i="6"/>
  <c r="T138" i="6"/>
  <c r="T148" i="6"/>
  <c r="S186" i="6"/>
  <c r="S196" i="6"/>
  <c r="T206" i="6"/>
  <c r="S52" i="7"/>
  <c r="S145" i="7"/>
  <c r="S197" i="7"/>
  <c r="T61" i="4"/>
  <c r="S150" i="4"/>
  <c r="S173" i="4"/>
  <c r="T178" i="4"/>
  <c r="T191" i="4"/>
  <c r="S66" i="6"/>
  <c r="S110" i="6"/>
  <c r="S128" i="6"/>
  <c r="S148" i="6"/>
  <c r="X52" i="7"/>
  <c r="S62" i="7"/>
  <c r="S207" i="7"/>
  <c r="T7" i="4"/>
  <c r="S35" i="4"/>
  <c r="T139" i="4"/>
  <c r="V139" i="4" s="1"/>
  <c r="T150" i="4"/>
  <c r="T155" i="4"/>
  <c r="X155" i="4" s="1"/>
  <c r="T160" i="4"/>
  <c r="T162" i="4"/>
  <c r="S58" i="5"/>
  <c r="S78" i="5"/>
  <c r="T84" i="5"/>
  <c r="X84" i="5" s="1"/>
  <c r="T87" i="5"/>
  <c r="S138" i="5"/>
  <c r="T138" i="5" s="1"/>
  <c r="T141" i="5"/>
  <c r="T149" i="5"/>
  <c r="T164" i="5"/>
  <c r="U164" i="5" s="1"/>
  <c r="T179" i="5"/>
  <c r="S43" i="6"/>
  <c r="S53" i="6"/>
  <c r="S105" i="6"/>
  <c r="S115" i="6"/>
  <c r="T153" i="6"/>
  <c r="S178" i="6"/>
  <c r="T78" i="7"/>
  <c r="X78" i="7" s="1"/>
  <c r="T3" i="6"/>
  <c r="T8" i="6"/>
  <c r="T11" i="6"/>
  <c r="T16" i="6"/>
  <c r="T37" i="6"/>
  <c r="T55" i="6"/>
  <c r="T60" i="6"/>
  <c r="T123" i="6"/>
  <c r="T132" i="6"/>
  <c r="T137" i="6"/>
  <c r="T142" i="6"/>
  <c r="U142" i="6" s="1"/>
  <c r="T173" i="6"/>
  <c r="T183" i="6"/>
  <c r="T193" i="6"/>
  <c r="S208" i="6"/>
  <c r="S61" i="7"/>
  <c r="S201" i="7"/>
  <c r="W140" i="7"/>
  <c r="S66" i="1"/>
  <c r="S71" i="1"/>
  <c r="O170" i="1"/>
  <c r="O190" i="1"/>
  <c r="O14" i="4"/>
  <c r="T15" i="4"/>
  <c r="S17" i="4"/>
  <c r="T37" i="4"/>
  <c r="S39" i="4"/>
  <c r="O55" i="4"/>
  <c r="S58" i="4"/>
  <c r="O74" i="4"/>
  <c r="T75" i="4"/>
  <c r="W75" i="4" s="1"/>
  <c r="T78" i="4"/>
  <c r="X78" i="4" s="1"/>
  <c r="S103" i="4"/>
  <c r="O105" i="4"/>
  <c r="T107" i="4"/>
  <c r="T117" i="4"/>
  <c r="O121" i="4"/>
  <c r="O124" i="4"/>
  <c r="T125" i="4"/>
  <c r="X125" i="4" s="1"/>
  <c r="T128" i="4"/>
  <c r="T134" i="4"/>
  <c r="V134" i="4" s="1"/>
  <c r="T136" i="4"/>
  <c r="U136" i="4" s="1"/>
  <c r="T145" i="4"/>
  <c r="T148" i="4"/>
  <c r="T153" i="4"/>
  <c r="V153" i="4" s="1"/>
  <c r="T167" i="4"/>
  <c r="S169" i="4"/>
  <c r="O171" i="4"/>
  <c r="O190" i="4"/>
  <c r="O193" i="4"/>
  <c r="T194" i="4"/>
  <c r="V194" i="4" s="1"/>
  <c r="T23" i="4"/>
  <c r="U23" i="4" s="1"/>
  <c r="O143" i="4"/>
  <c r="T144" i="4"/>
  <c r="T161" i="4"/>
  <c r="O168" i="4"/>
  <c r="T169" i="4"/>
  <c r="X169" i="4" s="1"/>
  <c r="T180" i="4"/>
  <c r="U180" i="4" s="1"/>
  <c r="T188" i="4"/>
  <c r="O198" i="4"/>
  <c r="S204" i="4"/>
  <c r="T204" i="4" s="1"/>
  <c r="T95" i="4"/>
  <c r="X95" i="4" s="1"/>
  <c r="T106" i="4"/>
  <c r="O8" i="4"/>
  <c r="T114" i="4"/>
  <c r="S25" i="4"/>
  <c r="S36" i="4"/>
  <c r="O46" i="4"/>
  <c r="O49" i="4"/>
  <c r="S66" i="4"/>
  <c r="S68" i="4"/>
  <c r="O79" i="4"/>
  <c r="T80" i="4"/>
  <c r="O90" i="4"/>
  <c r="T91" i="4"/>
  <c r="T94" i="4"/>
  <c r="S108" i="4"/>
  <c r="T122" i="4"/>
  <c r="S149" i="4"/>
  <c r="T166" i="4"/>
  <c r="W166" i="4" s="1"/>
  <c r="S174" i="4"/>
  <c r="T174" i="4" s="1"/>
  <c r="O203" i="4"/>
  <c r="T100" i="4"/>
  <c r="U100" i="4" s="1"/>
  <c r="T3" i="4"/>
  <c r="O10" i="4"/>
  <c r="T11" i="4"/>
  <c r="O24" i="4"/>
  <c r="T33" i="4"/>
  <c r="T47" i="4"/>
  <c r="V47" i="4" s="1"/>
  <c r="S49" i="4"/>
  <c r="S60" i="4"/>
  <c r="T60" i="4" s="1"/>
  <c r="U60" i="4" s="1"/>
  <c r="V60" i="4" s="1"/>
  <c r="W60" i="4" s="1"/>
  <c r="X60" i="4" s="1"/>
  <c r="T71" i="4"/>
  <c r="T74" i="4"/>
  <c r="T77" i="4"/>
  <c r="O81" i="4"/>
  <c r="T88" i="4"/>
  <c r="O101" i="4"/>
  <c r="O104" i="4"/>
  <c r="O120" i="4"/>
  <c r="O123" i="4"/>
  <c r="T130" i="4"/>
  <c r="U130" i="4" s="1"/>
  <c r="O131" i="4"/>
  <c r="T135" i="4"/>
  <c r="O148" i="4"/>
  <c r="O156" i="4"/>
  <c r="T158" i="4"/>
  <c r="O170" i="4"/>
  <c r="O173" i="4"/>
  <c r="S190" i="4"/>
  <c r="T193" i="4"/>
  <c r="V193" i="4" s="1"/>
  <c r="T196" i="4"/>
  <c r="T201" i="4"/>
  <c r="S203" i="4"/>
  <c r="T207" i="4"/>
  <c r="T209" i="4"/>
  <c r="S86" i="4"/>
  <c r="T86" i="4" s="1"/>
  <c r="O113" i="4"/>
  <c r="S124" i="4"/>
  <c r="O7" i="4"/>
  <c r="T17" i="4"/>
  <c r="O26" i="4"/>
  <c r="O29" i="4"/>
  <c r="T30" i="4"/>
  <c r="O37" i="4"/>
  <c r="T44" i="4"/>
  <c r="O54" i="4"/>
  <c r="T55" i="4"/>
  <c r="S57" i="4"/>
  <c r="T58" i="4"/>
  <c r="X58" i="4" s="1"/>
  <c r="O59" i="4"/>
  <c r="O67" i="4"/>
  <c r="T111" i="4"/>
  <c r="O117" i="4"/>
  <c r="O125" i="4"/>
  <c r="S129" i="4"/>
  <c r="T132" i="4"/>
  <c r="O136" i="4"/>
  <c r="T152" i="4"/>
  <c r="X152" i="4" s="1"/>
  <c r="T163" i="4"/>
  <c r="V163" i="4" s="1"/>
  <c r="O167" i="4"/>
  <c r="O175" i="4"/>
  <c r="S184" i="4"/>
  <c r="T185" i="4"/>
  <c r="T190" i="4"/>
  <c r="U190" i="4" s="1"/>
  <c r="T42" i="4"/>
  <c r="V42" i="4" s="1"/>
  <c r="T81" i="4"/>
  <c r="T131" i="4"/>
  <c r="S144" i="4"/>
  <c r="T147" i="4"/>
  <c r="T133" i="4"/>
  <c r="V133" i="4" s="1"/>
  <c r="T25" i="4"/>
  <c r="T66" i="4"/>
  <c r="U66" i="4" s="1"/>
  <c r="T116" i="4"/>
  <c r="W116" i="4" s="1"/>
  <c r="T124" i="4"/>
  <c r="W124" i="4" s="1"/>
  <c r="T146" i="4"/>
  <c r="T195" i="4"/>
  <c r="T198" i="4"/>
  <c r="O19" i="4"/>
  <c r="O4" i="4"/>
  <c r="T5" i="4"/>
  <c r="U5" i="4" s="1"/>
  <c r="S10" i="4"/>
  <c r="T13" i="4"/>
  <c r="O34" i="4"/>
  <c r="T35" i="4"/>
  <c r="X35" i="4" s="1"/>
  <c r="S46" i="4"/>
  <c r="T52" i="4"/>
  <c r="T57" i="4"/>
  <c r="T62" i="4"/>
  <c r="W62" i="4" s="1"/>
  <c r="O64" i="4"/>
  <c r="T65" i="4"/>
  <c r="W65" i="4" s="1"/>
  <c r="T73" i="4"/>
  <c r="T76" i="4"/>
  <c r="T79" i="4"/>
  <c r="O89" i="4"/>
  <c r="O100" i="4"/>
  <c r="S104" i="4"/>
  <c r="T108" i="4"/>
  <c r="T110" i="4"/>
  <c r="U110" i="4" s="1"/>
  <c r="T121" i="4"/>
  <c r="O130" i="4"/>
  <c r="O141" i="4"/>
  <c r="T154" i="4"/>
  <c r="T157" i="4"/>
  <c r="T165" i="4"/>
  <c r="O169" i="4"/>
  <c r="O180" i="4"/>
  <c r="O183" i="4"/>
  <c r="T184" i="4"/>
  <c r="O199" i="4"/>
  <c r="T203" i="4"/>
  <c r="X203" i="4" s="1"/>
  <c r="O207" i="4"/>
  <c r="T104" i="4"/>
  <c r="O6" i="4"/>
  <c r="S7" i="4"/>
  <c r="T8" i="4"/>
  <c r="O9" i="4"/>
  <c r="T10" i="4"/>
  <c r="O17" i="4"/>
  <c r="O20" i="4"/>
  <c r="T24" i="4"/>
  <c r="O28" i="4"/>
  <c r="S40" i="4"/>
  <c r="T43" i="4"/>
  <c r="T46" i="4"/>
  <c r="X46" i="4" s="1"/>
  <c r="O50" i="4"/>
  <c r="O69" i="4"/>
  <c r="T70" i="4"/>
  <c r="T87" i="4"/>
  <c r="X87" i="4" s="1"/>
  <c r="O91" i="4"/>
  <c r="S95" i="4"/>
  <c r="T96" i="4"/>
  <c r="O111" i="4"/>
  <c r="T137" i="4"/>
  <c r="O144" i="4"/>
  <c r="O155" i="4"/>
  <c r="S159" i="4"/>
  <c r="S170" i="4"/>
  <c r="T173" i="4"/>
  <c r="V173" i="4" s="1"/>
  <c r="T176" i="4"/>
  <c r="W176" i="4" s="1"/>
  <c r="O177" i="4"/>
  <c r="T181" i="4"/>
  <c r="O185" i="4"/>
  <c r="T189" i="4"/>
  <c r="X189" i="4" s="1"/>
  <c r="T200" i="4"/>
  <c r="T208" i="4"/>
  <c r="T90" i="5"/>
  <c r="S127" i="5"/>
  <c r="T163" i="5"/>
  <c r="T184" i="5"/>
  <c r="T187" i="5"/>
  <c r="O191" i="5"/>
  <c r="T9" i="5"/>
  <c r="O10" i="5"/>
  <c r="S11" i="5"/>
  <c r="S13" i="5"/>
  <c r="O24" i="5"/>
  <c r="T25" i="5"/>
  <c r="X25" i="5" s="1"/>
  <c r="O27" i="5"/>
  <c r="S39" i="5"/>
  <c r="S48" i="5"/>
  <c r="S67" i="5"/>
  <c r="S98" i="5"/>
  <c r="O121" i="5"/>
  <c r="S124" i="5"/>
  <c r="T135" i="5"/>
  <c r="O164" i="5"/>
  <c r="O172" i="5"/>
  <c r="S186" i="5"/>
  <c r="O188" i="5"/>
  <c r="S87" i="5"/>
  <c r="T93" i="5"/>
  <c r="T42" i="5"/>
  <c r="O63" i="5"/>
  <c r="S89" i="5"/>
  <c r="T127" i="5"/>
  <c r="S157" i="5"/>
  <c r="T157" i="5" s="1"/>
  <c r="S178" i="5"/>
  <c r="T194" i="5"/>
  <c r="T197" i="5"/>
  <c r="O201" i="5"/>
  <c r="T202" i="5"/>
  <c r="O13" i="5"/>
  <c r="T62" i="5"/>
  <c r="V62" i="5" s="1"/>
  <c r="O7" i="5"/>
  <c r="S10" i="5"/>
  <c r="T16" i="5"/>
  <c r="S19" i="5"/>
  <c r="T22" i="5"/>
  <c r="O29" i="5"/>
  <c r="O32" i="5"/>
  <c r="T39" i="5"/>
  <c r="S47" i="5"/>
  <c r="O49" i="5"/>
  <c r="O52" i="5"/>
  <c r="T75" i="5"/>
  <c r="O79" i="5"/>
  <c r="O102" i="5"/>
  <c r="T103" i="5"/>
  <c r="S113" i="5"/>
  <c r="T119" i="5"/>
  <c r="X119" i="5" s="1"/>
  <c r="T124" i="5"/>
  <c r="U124" i="5" s="1"/>
  <c r="O131" i="5"/>
  <c r="T132" i="5"/>
  <c r="T140" i="5"/>
  <c r="S148" i="5"/>
  <c r="T151" i="5"/>
  <c r="O161" i="5"/>
  <c r="O182" i="5"/>
  <c r="T186" i="5"/>
  <c r="O190" i="5"/>
  <c r="O198" i="5"/>
  <c r="O203" i="5"/>
  <c r="S207" i="5"/>
  <c r="S59" i="5"/>
  <c r="O83" i="5"/>
  <c r="T5" i="5"/>
  <c r="X5" i="5" s="1"/>
  <c r="T8" i="5"/>
  <c r="O99" i="5"/>
  <c r="O104" i="5"/>
  <c r="O107" i="5"/>
  <c r="T129" i="5"/>
  <c r="S131" i="5"/>
  <c r="T131" i="5" s="1"/>
  <c r="O144" i="5"/>
  <c r="O147" i="5"/>
  <c r="S150" i="5"/>
  <c r="S164" i="5"/>
  <c r="O179" i="5"/>
  <c r="T183" i="5"/>
  <c r="U183" i="5" s="1"/>
  <c r="T191" i="5"/>
  <c r="T199" i="5"/>
  <c r="T2" i="5"/>
  <c r="O23" i="5"/>
  <c r="S38" i="5"/>
  <c r="T58" i="5"/>
  <c r="T69" i="5"/>
  <c r="O76" i="5"/>
  <c r="S77" i="5"/>
  <c r="T100" i="5"/>
  <c r="T108" i="5"/>
  <c r="O112" i="5"/>
  <c r="T113" i="5"/>
  <c r="S118" i="5"/>
  <c r="T121" i="5"/>
  <c r="T126" i="5"/>
  <c r="V126" i="5" s="1"/>
  <c r="O141" i="5"/>
  <c r="T145" i="5"/>
  <c r="T148" i="5"/>
  <c r="O163" i="5"/>
  <c r="T167" i="5"/>
  <c r="T172" i="5"/>
  <c r="T180" i="5"/>
  <c r="O184" i="5"/>
  <c r="S190" i="5"/>
  <c r="S18" i="5"/>
  <c r="S49" i="5"/>
  <c r="T55" i="5"/>
  <c r="X55" i="5" s="1"/>
  <c r="O59" i="5"/>
  <c r="O70" i="5"/>
  <c r="S79" i="5"/>
  <c r="T79" i="5" s="1"/>
  <c r="U79" i="5" s="1"/>
  <c r="V79" i="5" s="1"/>
  <c r="W79" i="5" s="1"/>
  <c r="X79" i="5" s="1"/>
  <c r="O87" i="5"/>
  <c r="O109" i="5"/>
  <c r="O114" i="5"/>
  <c r="O117" i="5"/>
  <c r="S128" i="5"/>
  <c r="O130" i="5"/>
  <c r="S141" i="5"/>
  <c r="O149" i="5"/>
  <c r="O160" i="5"/>
  <c r="O168" i="5"/>
  <c r="S171" i="5"/>
  <c r="O173" i="5"/>
  <c r="T188" i="5"/>
  <c r="V188" i="5" s="1"/>
  <c r="O192" i="5"/>
  <c r="O208" i="5"/>
  <c r="T110" i="5"/>
  <c r="T150" i="5"/>
  <c r="U150" i="5" s="1"/>
  <c r="T161" i="5"/>
  <c r="W163" i="5"/>
  <c r="T169" i="5"/>
  <c r="T174" i="5"/>
  <c r="T177" i="5"/>
  <c r="T182" i="5"/>
  <c r="X182" i="5" s="1"/>
  <c r="T209" i="5"/>
  <c r="T18" i="5"/>
  <c r="U18" i="5" s="1"/>
  <c r="T115" i="5"/>
  <c r="T118" i="5"/>
  <c r="T123" i="5"/>
  <c r="S9" i="5"/>
  <c r="O11" i="5"/>
  <c r="T12" i="5"/>
  <c r="U12" i="5" s="1"/>
  <c r="O36" i="5"/>
  <c r="O39" i="5"/>
  <c r="O42" i="5"/>
  <c r="T43" i="5"/>
  <c r="T46" i="5"/>
  <c r="T49" i="5"/>
  <c r="O56" i="5"/>
  <c r="S57" i="5"/>
  <c r="T65" i="5"/>
  <c r="O98" i="5"/>
  <c r="O103" i="5"/>
  <c r="O119" i="5"/>
  <c r="O124" i="5"/>
  <c r="T128" i="5"/>
  <c r="S130" i="5"/>
  <c r="T136" i="5"/>
  <c r="V136" i="5" s="1"/>
  <c r="O140" i="5"/>
  <c r="O154" i="5"/>
  <c r="O157" i="5"/>
  <c r="S160" i="5"/>
  <c r="S163" i="5"/>
  <c r="T166" i="5"/>
  <c r="V166" i="5" s="1"/>
  <c r="O170" i="5"/>
  <c r="O178" i="5"/>
  <c r="S181" i="5"/>
  <c r="S187" i="5"/>
  <c r="T190" i="5"/>
  <c r="T195" i="5"/>
  <c r="T198" i="5"/>
  <c r="O202" i="5"/>
  <c r="T203" i="5"/>
  <c r="X203" i="5" s="1"/>
  <c r="T206" i="5"/>
  <c r="O3" i="7"/>
  <c r="O6" i="7"/>
  <c r="O9" i="7"/>
  <c r="O15" i="7"/>
  <c r="S43" i="7"/>
  <c r="X55" i="7"/>
  <c r="X58" i="7"/>
  <c r="U61" i="7"/>
  <c r="O73" i="7"/>
  <c r="O93" i="7"/>
  <c r="S99" i="7"/>
  <c r="T99" i="7" s="1"/>
  <c r="S108" i="7"/>
  <c r="S111" i="7"/>
  <c r="O138" i="7"/>
  <c r="O141" i="7"/>
  <c r="S151" i="7"/>
  <c r="X154" i="7"/>
  <c r="W159" i="7"/>
  <c r="O161" i="7"/>
  <c r="O172" i="7"/>
  <c r="O59" i="7"/>
  <c r="O64" i="7"/>
  <c r="S82" i="7"/>
  <c r="O121" i="7"/>
  <c r="O158" i="7"/>
  <c r="O180" i="7"/>
  <c r="O200" i="7"/>
  <c r="S119" i="7"/>
  <c r="O155" i="7"/>
  <c r="S161" i="7"/>
  <c r="S189" i="7"/>
  <c r="S116" i="7"/>
  <c r="S15" i="7"/>
  <c r="S42" i="7"/>
  <c r="X62" i="7"/>
  <c r="O92" i="7"/>
  <c r="O103" i="7"/>
  <c r="O115" i="7"/>
  <c r="S121" i="7"/>
  <c r="S141" i="7"/>
  <c r="S147" i="7"/>
  <c r="O160" i="7"/>
  <c r="O171" i="7"/>
  <c r="O193" i="7"/>
  <c r="O42" i="7"/>
  <c r="O2" i="7"/>
  <c r="O32" i="7"/>
  <c r="X53" i="7"/>
  <c r="O66" i="7"/>
  <c r="O72" i="7"/>
  <c r="S76" i="7"/>
  <c r="X93" i="7"/>
  <c r="O109" i="7"/>
  <c r="S129" i="7"/>
  <c r="U141" i="7"/>
  <c r="W161" i="7"/>
  <c r="S92" i="7"/>
  <c r="S100" i="7"/>
  <c r="V129" i="7"/>
  <c r="S160" i="7"/>
  <c r="S8" i="7"/>
  <c r="S26" i="7"/>
  <c r="O49" i="7"/>
  <c r="O60" i="7"/>
  <c r="O77" i="7"/>
  <c r="S78" i="7"/>
  <c r="X81" i="7"/>
  <c r="O91" i="7"/>
  <c r="O94" i="7"/>
  <c r="V95" i="7"/>
  <c r="O102" i="7"/>
  <c r="O108" i="7"/>
  <c r="O125" i="7"/>
  <c r="S128" i="7"/>
  <c r="S137" i="7"/>
  <c r="O148" i="7"/>
  <c r="S149" i="7"/>
  <c r="O151" i="7"/>
  <c r="X155" i="7"/>
  <c r="S171" i="7"/>
  <c r="O181" i="7"/>
  <c r="V196" i="7"/>
  <c r="X121" i="7"/>
  <c r="U125" i="7"/>
  <c r="W142" i="7"/>
  <c r="X182" i="7"/>
  <c r="S190" i="7"/>
  <c r="O192" i="7"/>
  <c r="O198" i="7"/>
  <c r="S199" i="7"/>
  <c r="X202" i="7"/>
  <c r="S57" i="7"/>
  <c r="V10" i="7"/>
  <c r="U41" i="7"/>
  <c r="U46" i="7"/>
  <c r="O57" i="7"/>
  <c r="S58" i="7"/>
  <c r="X75" i="7"/>
  <c r="O79" i="7"/>
  <c r="S80" i="7"/>
  <c r="O82" i="7"/>
  <c r="X83" i="7"/>
  <c r="S97" i="7"/>
  <c r="T97" i="7" s="1"/>
  <c r="X102" i="7"/>
  <c r="O119" i="7"/>
  <c r="V128" i="7"/>
  <c r="S130" i="7"/>
  <c r="X136" i="7"/>
  <c r="O153" i="7"/>
  <c r="O183" i="7"/>
  <c r="O203" i="7"/>
  <c r="W82" i="4"/>
  <c r="X82" i="4"/>
  <c r="S172" i="1"/>
  <c r="T19" i="4"/>
  <c r="U19" i="4" s="1"/>
  <c r="S30" i="4"/>
  <c r="T39" i="4"/>
  <c r="U39" i="4" s="1"/>
  <c r="S120" i="4"/>
  <c r="S138" i="1"/>
  <c r="X12" i="4"/>
  <c r="S63" i="4"/>
  <c r="T63" i="4" s="1"/>
  <c r="T69" i="4"/>
  <c r="W69" i="4" s="1"/>
  <c r="S23" i="4"/>
  <c r="T103" i="4"/>
  <c r="U103" i="4" s="1"/>
  <c r="S40" i="1"/>
  <c r="S45" i="1"/>
  <c r="S55" i="1"/>
  <c r="S125" i="1"/>
  <c r="S145" i="1"/>
  <c r="S3" i="4"/>
  <c r="S6" i="4"/>
  <c r="T9" i="4"/>
  <c r="V9" i="4" s="1"/>
  <c r="S85" i="4"/>
  <c r="S130" i="4"/>
  <c r="S48" i="4"/>
  <c r="X119" i="4"/>
  <c r="V119" i="4"/>
  <c r="T40" i="4"/>
  <c r="X40" i="4" s="1"/>
  <c r="T54" i="4"/>
  <c r="S70" i="4"/>
  <c r="T127" i="4"/>
  <c r="S166" i="4"/>
  <c r="S41" i="5"/>
  <c r="S116" i="5"/>
  <c r="S26" i="1"/>
  <c r="T14" i="4"/>
  <c r="X14" i="4" s="1"/>
  <c r="T31" i="4"/>
  <c r="T34" i="4"/>
  <c r="T59" i="4"/>
  <c r="V59" i="4" s="1"/>
  <c r="T93" i="4"/>
  <c r="X93" i="4" s="1"/>
  <c r="T105" i="4"/>
  <c r="X105" i="4" s="1"/>
  <c r="S13" i="4"/>
  <c r="T28" i="4"/>
  <c r="T45" i="4"/>
  <c r="V45" i="4" s="1"/>
  <c r="S50" i="4"/>
  <c r="T56" i="4"/>
  <c r="S89" i="4"/>
  <c r="T149" i="4"/>
  <c r="V149" i="4" s="1"/>
  <c r="S29" i="5"/>
  <c r="T38" i="5"/>
  <c r="S133" i="4"/>
  <c r="T7" i="5"/>
  <c r="T27" i="5"/>
  <c r="T30" i="5"/>
  <c r="S32" i="5"/>
  <c r="S68" i="5"/>
  <c r="T71" i="5"/>
  <c r="T74" i="5"/>
  <c r="X74" i="5" s="1"/>
  <c r="T83" i="5"/>
  <c r="T86" i="5"/>
  <c r="T106" i="5"/>
  <c r="T109" i="5"/>
  <c r="U109" i="5" s="1"/>
  <c r="T114" i="5"/>
  <c r="U114" i="5" s="1"/>
  <c r="T120" i="5"/>
  <c r="T125" i="5"/>
  <c r="T137" i="5"/>
  <c r="T201" i="5"/>
  <c r="U110" i="7"/>
  <c r="W110" i="7"/>
  <c r="S23" i="5"/>
  <c r="T48" i="5"/>
  <c r="V48" i="5" s="1"/>
  <c r="T51" i="5"/>
  <c r="W51" i="5" s="1"/>
  <c r="S76" i="5"/>
  <c r="S82" i="5"/>
  <c r="S133" i="5"/>
  <c r="S200" i="5"/>
  <c r="W124" i="7"/>
  <c r="X124" i="7"/>
  <c r="X16" i="4"/>
  <c r="S18" i="4"/>
  <c r="S33" i="4"/>
  <c r="S45" i="4"/>
  <c r="S59" i="4"/>
  <c r="V66" i="4"/>
  <c r="S80" i="4"/>
  <c r="S83" i="4"/>
  <c r="S98" i="4"/>
  <c r="T98" i="4" s="1"/>
  <c r="S117" i="4"/>
  <c r="S183" i="4"/>
  <c r="S189" i="4"/>
  <c r="T3" i="5"/>
  <c r="V3" i="5" s="1"/>
  <c r="T6" i="5"/>
  <c r="X6" i="5" s="1"/>
  <c r="S20" i="5"/>
  <c r="T26" i="5"/>
  <c r="T29" i="5"/>
  <c r="T32" i="5"/>
  <c r="T44" i="5"/>
  <c r="X44" i="5" s="1"/>
  <c r="S53" i="5"/>
  <c r="T59" i="5"/>
  <c r="X59" i="5" s="1"/>
  <c r="T76" i="5"/>
  <c r="X76" i="5" s="1"/>
  <c r="T82" i="5"/>
  <c r="W82" i="5" s="1"/>
  <c r="T85" i="5"/>
  <c r="X85" i="5" s="1"/>
  <c r="T88" i="5"/>
  <c r="T97" i="5"/>
  <c r="T105" i="5"/>
  <c r="T133" i="5"/>
  <c r="T139" i="5"/>
  <c r="T142" i="5"/>
  <c r="X142" i="5" s="1"/>
  <c r="T154" i="5"/>
  <c r="X154" i="5" s="1"/>
  <c r="T162" i="5"/>
  <c r="X162" i="5" s="1"/>
  <c r="T192" i="5"/>
  <c r="X192" i="5" s="1"/>
  <c r="S123" i="4"/>
  <c r="T123" i="4" s="1"/>
  <c r="U123" i="4" s="1"/>
  <c r="V123" i="4" s="1"/>
  <c r="W123" i="4" s="1"/>
  <c r="X123" i="4" s="1"/>
  <c r="S177" i="4"/>
  <c r="T23" i="5"/>
  <c r="S31" i="5"/>
  <c r="T41" i="5"/>
  <c r="W41" i="5" s="1"/>
  <c r="T47" i="5"/>
  <c r="T70" i="5"/>
  <c r="T102" i="5"/>
  <c r="X102" i="5" s="1"/>
  <c r="T116" i="5"/>
  <c r="V116" i="5" s="1"/>
  <c r="S126" i="5"/>
  <c r="W153" i="5"/>
  <c r="S180" i="5"/>
  <c r="T200" i="5"/>
  <c r="T70" i="6"/>
  <c r="T106" i="6"/>
  <c r="T111" i="6"/>
  <c r="T116" i="6"/>
  <c r="W116" i="6" s="1"/>
  <c r="S121" i="6"/>
  <c r="T126" i="6"/>
  <c r="S24" i="4"/>
  <c r="S29" i="4"/>
  <c r="S38" i="4"/>
  <c r="S53" i="4"/>
  <c r="S56" i="4"/>
  <c r="S65" i="4"/>
  <c r="S73" i="4"/>
  <c r="S79" i="4"/>
  <c r="S88" i="4"/>
  <c r="S100" i="4"/>
  <c r="S180" i="4"/>
  <c r="S197" i="4"/>
  <c r="S200" i="4"/>
  <c r="S5" i="5"/>
  <c r="S8" i="5"/>
  <c r="T11" i="5"/>
  <c r="V11" i="5" s="1"/>
  <c r="T14" i="5"/>
  <c r="T17" i="5"/>
  <c r="X17" i="5" s="1"/>
  <c r="T20" i="5"/>
  <c r="S22" i="5"/>
  <c r="S28" i="5"/>
  <c r="T34" i="5"/>
  <c r="T37" i="5"/>
  <c r="S43" i="5"/>
  <c r="T50" i="5"/>
  <c r="T53" i="5"/>
  <c r="U53" i="5" s="1"/>
  <c r="V53" i="5" s="1"/>
  <c r="W53" i="5" s="1"/>
  <c r="X53" i="5" s="1"/>
  <c r="T56" i="5"/>
  <c r="X56" i="5" s="1"/>
  <c r="T61" i="5"/>
  <c r="X61" i="5" s="1"/>
  <c r="T64" i="5"/>
  <c r="T67" i="5"/>
  <c r="S72" i="5"/>
  <c r="T78" i="5"/>
  <c r="X112" i="5"/>
  <c r="T159" i="5"/>
  <c r="T170" i="5"/>
  <c r="T175" i="5"/>
  <c r="X175" i="5" s="1"/>
  <c r="T178" i="5"/>
  <c r="T189" i="5"/>
  <c r="V189" i="5" s="1"/>
  <c r="S197" i="5"/>
  <c r="S199" i="5"/>
  <c r="T205" i="5"/>
  <c r="S208" i="5"/>
  <c r="T7" i="6"/>
  <c r="T10" i="6"/>
  <c r="T20" i="6"/>
  <c r="S23" i="6"/>
  <c r="S36" i="6"/>
  <c r="S202" i="4"/>
  <c r="T36" i="4"/>
  <c r="V36" i="4" s="1"/>
  <c r="T28" i="5"/>
  <c r="U28" i="5" s="1"/>
  <c r="V153" i="5"/>
  <c r="U153" i="5"/>
  <c r="S166" i="5"/>
  <c r="T25" i="6"/>
  <c r="U25" i="6" s="1"/>
  <c r="T33" i="6"/>
  <c r="T46" i="6"/>
  <c r="T51" i="6"/>
  <c r="W51" i="6" s="1"/>
  <c r="T75" i="6"/>
  <c r="X75" i="6" s="1"/>
  <c r="T93" i="6"/>
  <c r="X93" i="6" s="1"/>
  <c r="T98" i="6"/>
  <c r="U98" i="6" s="1"/>
  <c r="T108" i="6"/>
  <c r="W108" i="6" s="1"/>
  <c r="T113" i="6"/>
  <c r="T118" i="6"/>
  <c r="W118" i="6" s="1"/>
  <c r="S114" i="4"/>
  <c r="S176" i="4"/>
  <c r="S179" i="4"/>
  <c r="T179" i="4" s="1"/>
  <c r="S194" i="4"/>
  <c r="S69" i="5"/>
  <c r="S92" i="5"/>
  <c r="T107" i="5"/>
  <c r="U107" i="5" s="1"/>
  <c r="V107" i="5" s="1"/>
  <c r="W107" i="5" s="1"/>
  <c r="X107" i="5" s="1"/>
  <c r="S158" i="5"/>
  <c r="S196" i="5"/>
  <c r="T196" i="5" s="1"/>
  <c r="S4" i="6"/>
  <c r="T12" i="6"/>
  <c r="T17" i="6"/>
  <c r="U17" i="6" s="1"/>
  <c r="S20" i="6"/>
  <c r="T22" i="6"/>
  <c r="S38" i="6"/>
  <c r="T61" i="6"/>
  <c r="T69" i="6"/>
  <c r="T80" i="6"/>
  <c r="T85" i="6"/>
  <c r="S106" i="5"/>
  <c r="W149" i="5"/>
  <c r="T9" i="6"/>
  <c r="T30" i="6"/>
  <c r="T43" i="6"/>
  <c r="S51" i="6"/>
  <c r="T90" i="6"/>
  <c r="T95" i="6"/>
  <c r="V95" i="6" s="1"/>
  <c r="T100" i="6"/>
  <c r="T105" i="6"/>
  <c r="T115" i="6"/>
  <c r="T120" i="6"/>
  <c r="X120" i="6" s="1"/>
  <c r="T125" i="6"/>
  <c r="S26" i="4"/>
  <c r="S93" i="4"/>
  <c r="S119" i="4"/>
  <c r="S134" i="4"/>
  <c r="S62" i="1"/>
  <c r="S117" i="1"/>
  <c r="S132" i="1"/>
  <c r="S5" i="4"/>
  <c r="S19" i="4"/>
  <c r="S20" i="4"/>
  <c r="T20" i="4" s="1"/>
  <c r="X26" i="4"/>
  <c r="S28" i="4"/>
  <c r="S43" i="4"/>
  <c r="S55" i="4"/>
  <c r="S75" i="4"/>
  <c r="S78" i="4"/>
  <c r="S90" i="4"/>
  <c r="T90" i="4" s="1"/>
  <c r="S99" i="4"/>
  <c r="T99" i="4" s="1"/>
  <c r="S113" i="4"/>
  <c r="S140" i="4"/>
  <c r="S167" i="4"/>
  <c r="S187" i="4"/>
  <c r="S199" i="4"/>
  <c r="T199" i="4" s="1"/>
  <c r="S207" i="4"/>
  <c r="T29" i="4"/>
  <c r="X29" i="4" s="1"/>
  <c r="T49" i="4"/>
  <c r="V49" i="4" s="1"/>
  <c r="T129" i="4"/>
  <c r="X129" i="4" s="1"/>
  <c r="T4" i="5"/>
  <c r="T10" i="5"/>
  <c r="W10" i="5" s="1"/>
  <c r="T13" i="5"/>
  <c r="X15" i="5"/>
  <c r="T19" i="5"/>
  <c r="U19" i="5" s="1"/>
  <c r="S21" i="5"/>
  <c r="T33" i="5"/>
  <c r="W33" i="5" s="1"/>
  <c r="T36" i="5"/>
  <c r="U36" i="5" s="1"/>
  <c r="S51" i="5"/>
  <c r="T52" i="5"/>
  <c r="T60" i="5"/>
  <c r="T63" i="5"/>
  <c r="T77" i="5"/>
  <c r="W77" i="5" s="1"/>
  <c r="T89" i="5"/>
  <c r="U89" i="5" s="1"/>
  <c r="T92" i="5"/>
  <c r="X92" i="5" s="1"/>
  <c r="T95" i="5"/>
  <c r="T98" i="5"/>
  <c r="T134" i="5"/>
  <c r="U134" i="5" s="1"/>
  <c r="S137" i="5"/>
  <c r="S146" i="5"/>
  <c r="T146" i="5" s="1"/>
  <c r="T152" i="5"/>
  <c r="U152" i="5" s="1"/>
  <c r="T155" i="5"/>
  <c r="T158" i="5"/>
  <c r="X158" i="5" s="1"/>
  <c r="T193" i="5"/>
  <c r="U193" i="5" s="1"/>
  <c r="T207" i="5"/>
  <c r="X207" i="5" s="1"/>
  <c r="T103" i="6"/>
  <c r="S146" i="6"/>
  <c r="S28" i="7"/>
  <c r="S40" i="7"/>
  <c r="S91" i="7"/>
  <c r="S112" i="7"/>
  <c r="W207" i="7"/>
  <c r="T158" i="6"/>
  <c r="T168" i="6"/>
  <c r="T178" i="6"/>
  <c r="T188" i="6"/>
  <c r="T198" i="6"/>
  <c r="U198" i="6" s="1"/>
  <c r="X9" i="7"/>
  <c r="U15" i="7"/>
  <c r="X49" i="7"/>
  <c r="V69" i="7"/>
  <c r="S140" i="7"/>
  <c r="U203" i="7"/>
  <c r="S62" i="5"/>
  <c r="X65" i="5"/>
  <c r="S100" i="5"/>
  <c r="S103" i="5"/>
  <c r="S111" i="5"/>
  <c r="T111" i="5" s="1"/>
  <c r="S120" i="5"/>
  <c r="S173" i="5"/>
  <c r="T173" i="5" s="1"/>
  <c r="S12" i="6"/>
  <c r="T14" i="6"/>
  <c r="S17" i="6"/>
  <c r="T19" i="6"/>
  <c r="T35" i="6"/>
  <c r="T40" i="6"/>
  <c r="T58" i="6"/>
  <c r="S61" i="6"/>
  <c r="T63" i="6"/>
  <c r="T82" i="6"/>
  <c r="S85" i="6"/>
  <c r="T130" i="6"/>
  <c r="X130" i="6" s="1"/>
  <c r="T135" i="6"/>
  <c r="T140" i="6"/>
  <c r="V140" i="6" s="1"/>
  <c r="T145" i="6"/>
  <c r="S150" i="6"/>
  <c r="S158" i="6"/>
  <c r="S168" i="6"/>
  <c r="T208" i="6"/>
  <c r="W208" i="6" s="1"/>
  <c r="S6" i="7"/>
  <c r="S18" i="7"/>
  <c r="W30" i="7"/>
  <c r="W33" i="7"/>
  <c r="W39" i="7"/>
  <c r="S46" i="7"/>
  <c r="S69" i="7"/>
  <c r="X76" i="7"/>
  <c r="V78" i="7"/>
  <c r="S88" i="7"/>
  <c r="S101" i="7"/>
  <c r="X101" i="7"/>
  <c r="X138" i="7"/>
  <c r="S159" i="7"/>
  <c r="S162" i="7"/>
  <c r="W169" i="7"/>
  <c r="U175" i="7"/>
  <c r="S191" i="7"/>
  <c r="X197" i="7"/>
  <c r="S134" i="5"/>
  <c r="S156" i="5"/>
  <c r="S170" i="5"/>
  <c r="S24" i="6"/>
  <c r="T32" i="6"/>
  <c r="T45" i="6"/>
  <c r="T50" i="6"/>
  <c r="T74" i="6"/>
  <c r="T79" i="6"/>
  <c r="T87" i="6"/>
  <c r="T92" i="6"/>
  <c r="T97" i="6"/>
  <c r="T102" i="6"/>
  <c r="W102" i="6" s="1"/>
  <c r="T107" i="6"/>
  <c r="X107" i="6" s="1"/>
  <c r="T112" i="6"/>
  <c r="T117" i="6"/>
  <c r="T122" i="6"/>
  <c r="X122" i="6" s="1"/>
  <c r="T133" i="6"/>
  <c r="T155" i="6"/>
  <c r="T160" i="6"/>
  <c r="U160" i="6" s="1"/>
  <c r="T165" i="6"/>
  <c r="T170" i="6"/>
  <c r="W170" i="6" s="1"/>
  <c r="T175" i="6"/>
  <c r="T185" i="6"/>
  <c r="T190" i="6"/>
  <c r="U190" i="6" s="1"/>
  <c r="T195" i="6"/>
  <c r="T200" i="6"/>
  <c r="U200" i="6" s="1"/>
  <c r="W31" i="7"/>
  <c r="S63" i="7"/>
  <c r="V84" i="7"/>
  <c r="S120" i="7"/>
  <c r="X150" i="7"/>
  <c r="S172" i="7"/>
  <c r="W193" i="7"/>
  <c r="X206" i="7"/>
  <c r="T147" i="6"/>
  <c r="T152" i="6"/>
  <c r="X152" i="6" s="1"/>
  <c r="T205" i="6"/>
  <c r="V87" i="7"/>
  <c r="X107" i="7"/>
  <c r="S202" i="7"/>
  <c r="T89" i="6"/>
  <c r="T94" i="6"/>
  <c r="T104" i="6"/>
  <c r="S107" i="6"/>
  <c r="T109" i="6"/>
  <c r="S112" i="6"/>
  <c r="T114" i="6"/>
  <c r="X114" i="6" s="1"/>
  <c r="T119" i="6"/>
  <c r="V119" i="6" s="1"/>
  <c r="T124" i="6"/>
  <c r="V124" i="6" s="1"/>
  <c r="T157" i="6"/>
  <c r="W157" i="6" s="1"/>
  <c r="T162" i="6"/>
  <c r="X162" i="6" s="1"/>
  <c r="T167" i="6"/>
  <c r="X167" i="6" s="1"/>
  <c r="T172" i="6"/>
  <c r="U172" i="6" s="1"/>
  <c r="T177" i="6"/>
  <c r="T182" i="6"/>
  <c r="T187" i="6"/>
  <c r="T192" i="6"/>
  <c r="T197" i="6"/>
  <c r="X197" i="6" s="1"/>
  <c r="T202" i="6"/>
  <c r="V202" i="6" s="1"/>
  <c r="S5" i="7"/>
  <c r="S17" i="7"/>
  <c r="W29" i="7"/>
  <c r="X32" i="7"/>
  <c r="S48" i="7"/>
  <c r="S51" i="7"/>
  <c r="W57" i="7"/>
  <c r="S71" i="7"/>
  <c r="U77" i="7"/>
  <c r="S90" i="7"/>
  <c r="T90" i="7" s="1"/>
  <c r="U91" i="7"/>
  <c r="S107" i="7"/>
  <c r="U111" i="7"/>
  <c r="S117" i="7"/>
  <c r="S142" i="7"/>
  <c r="W145" i="7"/>
  <c r="U165" i="7"/>
  <c r="S180" i="7"/>
  <c r="U183" i="7"/>
  <c r="V187" i="7"/>
  <c r="U199" i="7"/>
  <c r="V199" i="7" s="1"/>
  <c r="W199" i="7" s="1"/>
  <c r="X199" i="7" s="1"/>
  <c r="S108" i="5"/>
  <c r="S110" i="5"/>
  <c r="S136" i="5"/>
  <c r="S167" i="5"/>
  <c r="S191" i="5"/>
  <c r="S3" i="6"/>
  <c r="T5" i="6"/>
  <c r="T13" i="6"/>
  <c r="W13" i="6" s="1"/>
  <c r="S18" i="6"/>
  <c r="T26" i="6"/>
  <c r="T39" i="6"/>
  <c r="S55" i="6"/>
  <c r="T57" i="6"/>
  <c r="T62" i="6"/>
  <c r="V62" i="6" s="1"/>
  <c r="T81" i="6"/>
  <c r="W81" i="6" s="1"/>
  <c r="T129" i="6"/>
  <c r="V129" i="6" s="1"/>
  <c r="T134" i="6"/>
  <c r="S137" i="6"/>
  <c r="T139" i="6"/>
  <c r="U139" i="6" s="1"/>
  <c r="T144" i="6"/>
  <c r="S152" i="6"/>
  <c r="T154" i="6"/>
  <c r="X154" i="6" s="1"/>
  <c r="T163" i="6"/>
  <c r="T203" i="6"/>
  <c r="T207" i="6"/>
  <c r="W207" i="6" s="1"/>
  <c r="U5" i="7"/>
  <c r="U17" i="7"/>
  <c r="S41" i="7"/>
  <c r="W42" i="7"/>
  <c r="S83" i="7"/>
  <c r="V119" i="7"/>
  <c r="S155" i="7"/>
  <c r="V177" i="7"/>
  <c r="S192" i="7"/>
  <c r="T159" i="6"/>
  <c r="W159" i="6" s="1"/>
  <c r="T164" i="6"/>
  <c r="U164" i="6" s="1"/>
  <c r="T169" i="6"/>
  <c r="X169" i="6" s="1"/>
  <c r="T174" i="6"/>
  <c r="T179" i="6"/>
  <c r="T184" i="6"/>
  <c r="V184" i="6" s="1"/>
  <c r="T194" i="6"/>
  <c r="U194" i="6" s="1"/>
  <c r="T199" i="6"/>
  <c r="W7" i="7"/>
  <c r="U8" i="7"/>
  <c r="X16" i="7"/>
  <c r="X59" i="7"/>
  <c r="X68" i="7"/>
  <c r="W71" i="7"/>
  <c r="S73" i="7"/>
  <c r="T73" i="7" s="1"/>
  <c r="V80" i="7"/>
  <c r="X89" i="7"/>
  <c r="U122" i="7"/>
  <c r="S138" i="7"/>
  <c r="V186" i="7"/>
  <c r="X195" i="7"/>
  <c r="T54" i="6"/>
  <c r="U54" i="6" s="1"/>
  <c r="T59" i="6"/>
  <c r="T64" i="6"/>
  <c r="S73" i="6"/>
  <c r="T131" i="6"/>
  <c r="X131" i="6" s="1"/>
  <c r="S134" i="6"/>
  <c r="T136" i="6"/>
  <c r="S141" i="6"/>
  <c r="T146" i="6"/>
  <c r="T151" i="6"/>
  <c r="X151" i="6" s="1"/>
  <c r="S154" i="6"/>
  <c r="T204" i="6"/>
  <c r="V204" i="6" s="1"/>
  <c r="T209" i="6"/>
  <c r="V209" i="6" s="1"/>
  <c r="S50" i="7"/>
  <c r="S182" i="7"/>
  <c r="W198" i="7"/>
  <c r="S31" i="7"/>
  <c r="V112" i="7"/>
  <c r="S115" i="7"/>
  <c r="S131" i="7"/>
  <c r="W137" i="7"/>
  <c r="S150" i="7"/>
  <c r="V151" i="7"/>
  <c r="S157" i="7"/>
  <c r="X167" i="7"/>
  <c r="S170" i="7"/>
  <c r="X171" i="7"/>
  <c r="X173" i="7"/>
  <c r="X192" i="7"/>
  <c r="V46" i="6"/>
  <c r="X46" i="6"/>
  <c r="V138" i="6"/>
  <c r="X138" i="6"/>
  <c r="V120" i="6"/>
  <c r="W120" i="6"/>
  <c r="T21" i="6"/>
  <c r="U21" i="6" s="1"/>
  <c r="V21" i="6" s="1"/>
  <c r="W21" i="6" s="1"/>
  <c r="X21" i="6" s="1"/>
  <c r="W43" i="6"/>
  <c r="O130" i="6"/>
  <c r="O153" i="6"/>
  <c r="O159" i="6"/>
  <c r="O165" i="6"/>
  <c r="S180" i="6"/>
  <c r="T110" i="6"/>
  <c r="U110" i="6" s="1"/>
  <c r="T150" i="6"/>
  <c r="T180" i="6"/>
  <c r="U180" i="6" s="1"/>
  <c r="S45" i="6"/>
  <c r="O48" i="6"/>
  <c r="S98" i="6"/>
  <c r="S119" i="6"/>
  <c r="S122" i="6"/>
  <c r="S157" i="6"/>
  <c r="O171" i="6"/>
  <c r="T121" i="6"/>
  <c r="T141" i="6"/>
  <c r="S27" i="6"/>
  <c r="S30" i="6"/>
  <c r="S33" i="6"/>
  <c r="S48" i="6"/>
  <c r="S60" i="6"/>
  <c r="O77" i="6"/>
  <c r="S92" i="6"/>
  <c r="O97" i="6"/>
  <c r="O100" i="6"/>
  <c r="O109" i="6"/>
  <c r="S116" i="6"/>
  <c r="S130" i="6"/>
  <c r="S171" i="6"/>
  <c r="O179" i="6"/>
  <c r="T42" i="6"/>
  <c r="V42" i="6" s="1"/>
  <c r="S11" i="6"/>
  <c r="O6" i="6"/>
  <c r="S13" i="6"/>
  <c r="S15" i="6"/>
  <c r="S21" i="6"/>
  <c r="O47" i="6"/>
  <c r="U62" i="6"/>
  <c r="S71" i="6"/>
  <c r="S81" i="6"/>
  <c r="S86" i="6"/>
  <c r="O88" i="6"/>
  <c r="S100" i="6"/>
  <c r="O120" i="6"/>
  <c r="S127" i="6"/>
  <c r="S132" i="6"/>
  <c r="S138" i="6"/>
  <c r="S147" i="6"/>
  <c r="O161" i="6"/>
  <c r="S177" i="6"/>
  <c r="S188" i="6"/>
  <c r="O201" i="6"/>
  <c r="T4" i="6"/>
  <c r="W4" i="6" s="1"/>
  <c r="T24" i="6"/>
  <c r="X24" i="6" s="1"/>
  <c r="T84" i="6"/>
  <c r="S2" i="6"/>
  <c r="T2" i="6" s="1"/>
  <c r="O3" i="6"/>
  <c r="S6" i="6"/>
  <c r="S47" i="6"/>
  <c r="S56" i="6"/>
  <c r="S118" i="6"/>
  <c r="O126" i="6"/>
  <c r="S135" i="6"/>
  <c r="O143" i="6"/>
  <c r="O146" i="6"/>
  <c r="O152" i="6"/>
  <c r="S161" i="6"/>
  <c r="O181" i="6"/>
  <c r="S190" i="6"/>
  <c r="T15" i="6"/>
  <c r="X15" i="6" s="1"/>
  <c r="O7" i="6"/>
  <c r="O15" i="6"/>
  <c r="S63" i="6"/>
  <c r="O14" i="6"/>
  <c r="O37" i="6"/>
  <c r="O49" i="6"/>
  <c r="O55" i="6"/>
  <c r="O82" i="6"/>
  <c r="S83" i="6"/>
  <c r="O85" i="6"/>
  <c r="S88" i="6"/>
  <c r="O93" i="6"/>
  <c r="O96" i="6"/>
  <c r="S97" i="6"/>
  <c r="S108" i="6"/>
  <c r="S120" i="6"/>
  <c r="S149" i="6"/>
  <c r="O163" i="6"/>
  <c r="S170" i="6"/>
  <c r="O175" i="6"/>
  <c r="O178" i="6"/>
  <c r="O189" i="6"/>
  <c r="O195" i="6"/>
  <c r="T6" i="6"/>
  <c r="X6" i="6" s="1"/>
  <c r="T36" i="6"/>
  <c r="X36" i="6" s="1"/>
  <c r="T56" i="6"/>
  <c r="T66" i="6"/>
  <c r="V66" i="6" s="1"/>
  <c r="T86" i="6"/>
  <c r="V86" i="6" s="1"/>
  <c r="W86" i="6" s="1"/>
  <c r="X86" i="6" s="1"/>
  <c r="S34" i="6"/>
  <c r="S46" i="6"/>
  <c r="S64" i="6"/>
  <c r="O72" i="6"/>
  <c r="S76" i="6"/>
  <c r="S111" i="6"/>
  <c r="O128" i="6"/>
  <c r="S140" i="6"/>
  <c r="O148" i="6"/>
  <c r="O157" i="6"/>
  <c r="O160" i="6"/>
  <c r="O169" i="6"/>
  <c r="O200" i="6"/>
  <c r="T27" i="6"/>
  <c r="V27" i="6" s="1"/>
  <c r="W27" i="6" s="1"/>
  <c r="X27" i="6" s="1"/>
  <c r="T47" i="6"/>
  <c r="X47" i="6" s="1"/>
  <c r="T77" i="6"/>
  <c r="X77" i="6" s="1"/>
  <c r="S14" i="6"/>
  <c r="S25" i="6"/>
  <c r="S28" i="6"/>
  <c r="S37" i="6"/>
  <c r="O66" i="6"/>
  <c r="O98" i="6"/>
  <c r="S99" i="6"/>
  <c r="O101" i="6"/>
  <c r="S189" i="6"/>
  <c r="T18" i="6"/>
  <c r="W18" i="6" s="1"/>
  <c r="T28" i="6"/>
  <c r="U28" i="6" s="1"/>
  <c r="T38" i="6"/>
  <c r="X38" i="6" s="1"/>
  <c r="T48" i="6"/>
  <c r="X48" i="6" s="1"/>
  <c r="T88" i="6"/>
  <c r="W88" i="6" s="1"/>
  <c r="O2" i="6"/>
  <c r="S5" i="6"/>
  <c r="O63" i="6"/>
  <c r="S82" i="6"/>
  <c r="S90" i="6"/>
  <c r="O92" i="6"/>
  <c r="O110" i="6"/>
  <c r="O113" i="6"/>
  <c r="S117" i="6"/>
  <c r="S160" i="6"/>
  <c r="O197" i="6"/>
  <c r="S198" i="6"/>
  <c r="S200" i="6"/>
  <c r="T99" i="6"/>
  <c r="T149" i="6"/>
  <c r="X149" i="6" s="1"/>
  <c r="T189" i="6"/>
  <c r="X189" i="6" s="1"/>
  <c r="X30" i="6"/>
  <c r="V110" i="6"/>
  <c r="V130" i="6"/>
  <c r="U31" i="6"/>
  <c r="W5" i="7"/>
  <c r="V5" i="7"/>
  <c r="V17" i="7"/>
  <c r="X19" i="7"/>
  <c r="W19" i="7"/>
  <c r="V19" i="7"/>
  <c r="U19" i="7"/>
  <c r="X42" i="7"/>
  <c r="U7" i="7"/>
  <c r="V7" i="7"/>
  <c r="X7" i="7"/>
  <c r="X8" i="7"/>
  <c r="W8" i="7"/>
  <c r="V8" i="7"/>
  <c r="X26" i="7"/>
  <c r="W26" i="7"/>
  <c r="V26" i="7"/>
  <c r="U26" i="7"/>
  <c r="V59" i="7"/>
  <c r="U59" i="7"/>
  <c r="W59" i="7"/>
  <c r="U71" i="7"/>
  <c r="X80" i="7"/>
  <c r="W80" i="7"/>
  <c r="W3" i="7"/>
  <c r="X10" i="7"/>
  <c r="W10" i="7"/>
  <c r="U25" i="7"/>
  <c r="X25" i="7"/>
  <c r="W25" i="7"/>
  <c r="V25" i="7"/>
  <c r="W53" i="7"/>
  <c r="V53" i="7"/>
  <c r="V62" i="7"/>
  <c r="U62" i="7"/>
  <c r="V70" i="7"/>
  <c r="U70" i="7"/>
  <c r="X70" i="7"/>
  <c r="W70" i="7"/>
  <c r="X79" i="7"/>
  <c r="U79" i="7"/>
  <c r="W79" i="7"/>
  <c r="V79" i="7"/>
  <c r="W13" i="7"/>
  <c r="X13" i="7"/>
  <c r="V13" i="7"/>
  <c r="U13" i="7"/>
  <c r="X56" i="7"/>
  <c r="W56" i="7"/>
  <c r="V56" i="7"/>
  <c r="U56" i="7"/>
  <c r="X6" i="7"/>
  <c r="W6" i="7"/>
  <c r="V6" i="7"/>
  <c r="U6" i="7"/>
  <c r="X46" i="7"/>
  <c r="W46" i="7"/>
  <c r="V46" i="7"/>
  <c r="V50" i="7"/>
  <c r="U50" i="7"/>
  <c r="X50" i="7"/>
  <c r="W9" i="7"/>
  <c r="V9" i="7"/>
  <c r="U9" i="7"/>
  <c r="W15" i="7"/>
  <c r="V15" i="7"/>
  <c r="X28" i="7"/>
  <c r="W28" i="7"/>
  <c r="V28" i="7"/>
  <c r="U28" i="7"/>
  <c r="V40" i="7"/>
  <c r="U40" i="7"/>
  <c r="X40" i="7"/>
  <c r="W40" i="7"/>
  <c r="U49" i="7"/>
  <c r="W49" i="7"/>
  <c r="X66" i="7"/>
  <c r="W66" i="7"/>
  <c r="V66" i="7"/>
  <c r="U66" i="7"/>
  <c r="X69" i="7"/>
  <c r="W69" i="7"/>
  <c r="X29" i="7"/>
  <c r="V29" i="7"/>
  <c r="U29" i="7"/>
  <c r="X12" i="7"/>
  <c r="W12" i="7"/>
  <c r="V12" i="7"/>
  <c r="U12" i="7"/>
  <c r="V30" i="7"/>
  <c r="U33" i="7"/>
  <c r="X36" i="7"/>
  <c r="W36" i="7"/>
  <c r="V36" i="7"/>
  <c r="U36" i="7"/>
  <c r="X39" i="7"/>
  <c r="V39" i="7"/>
  <c r="U39" i="7"/>
  <c r="X91" i="7"/>
  <c r="W91" i="7"/>
  <c r="V91" i="7"/>
  <c r="X18" i="7"/>
  <c r="W18" i="7"/>
  <c r="V18" i="7"/>
  <c r="U18" i="7"/>
  <c r="V31" i="7"/>
  <c r="U31" i="7"/>
  <c r="X31" i="7"/>
  <c r="U32" i="7"/>
  <c r="W23" i="7"/>
  <c r="X23" i="7"/>
  <c r="V23" i="7"/>
  <c r="U23" i="7"/>
  <c r="V61" i="7"/>
  <c r="X61" i="7"/>
  <c r="W61" i="7"/>
  <c r="S64" i="7"/>
  <c r="S65" i="7"/>
  <c r="U89" i="7"/>
  <c r="X95" i="7"/>
  <c r="W95" i="7"/>
  <c r="U100" i="7"/>
  <c r="X100" i="7"/>
  <c r="W100" i="7"/>
  <c r="V100" i="7"/>
  <c r="S144" i="7"/>
  <c r="S9" i="7"/>
  <c r="S13" i="7"/>
  <c r="O19" i="7"/>
  <c r="S22" i="7"/>
  <c r="T22" i="7" s="1"/>
  <c r="S27" i="7"/>
  <c r="T27" i="7" s="1"/>
  <c r="O29" i="7"/>
  <c r="S33" i="7"/>
  <c r="S34" i="7"/>
  <c r="V41" i="7"/>
  <c r="U52" i="7"/>
  <c r="S53" i="7"/>
  <c r="S54" i="7"/>
  <c r="S55" i="7"/>
  <c r="U75" i="7"/>
  <c r="S89" i="7"/>
  <c r="U95" i="7"/>
  <c r="O101" i="7"/>
  <c r="W102" i="7"/>
  <c r="V102" i="7"/>
  <c r="U102" i="7"/>
  <c r="S109" i="7"/>
  <c r="S118" i="7"/>
  <c r="X125" i="7"/>
  <c r="W125" i="7"/>
  <c r="U130" i="7"/>
  <c r="X130" i="7"/>
  <c r="W130" i="7"/>
  <c r="X151" i="7"/>
  <c r="W151" i="7"/>
  <c r="U151" i="7"/>
  <c r="W155" i="7"/>
  <c r="V155" i="7"/>
  <c r="U155" i="7"/>
  <c r="V157" i="7"/>
  <c r="W157" i="7" s="1"/>
  <c r="X157" i="7" s="1"/>
  <c r="U157" i="7"/>
  <c r="W41" i="7"/>
  <c r="S44" i="7"/>
  <c r="S45" i="7"/>
  <c r="V52" i="7"/>
  <c r="V75" i="7"/>
  <c r="W83" i="7"/>
  <c r="V83" i="7"/>
  <c r="U87" i="7"/>
  <c r="W87" i="7"/>
  <c r="U129" i="7"/>
  <c r="X129" i="7"/>
  <c r="S132" i="7"/>
  <c r="X135" i="7"/>
  <c r="W135" i="7"/>
  <c r="U135" i="7"/>
  <c r="V135" i="7"/>
  <c r="W154" i="7"/>
  <c r="V154" i="7"/>
  <c r="U173" i="7"/>
  <c r="X190" i="7"/>
  <c r="W190" i="7"/>
  <c r="V190" i="7"/>
  <c r="U190" i="7"/>
  <c r="S14" i="7"/>
  <c r="S35" i="7"/>
  <c r="X41" i="7"/>
  <c r="W52" i="7"/>
  <c r="U55" i="7"/>
  <c r="S66" i="7"/>
  <c r="U67" i="7"/>
  <c r="W67" i="7"/>
  <c r="W75" i="7"/>
  <c r="S77" i="7"/>
  <c r="S79" i="7"/>
  <c r="U81" i="7"/>
  <c r="X82" i="7"/>
  <c r="W82" i="7"/>
  <c r="V82" i="7"/>
  <c r="U82" i="7"/>
  <c r="X88" i="7"/>
  <c r="W88" i="7"/>
  <c r="U88" i="7"/>
  <c r="W112" i="7"/>
  <c r="X112" i="7"/>
  <c r="U112" i="7"/>
  <c r="V139" i="7"/>
  <c r="U139" i="7"/>
  <c r="X139" i="7"/>
  <c r="U140" i="7"/>
  <c r="X140" i="7"/>
  <c r="V140" i="7"/>
  <c r="S143" i="7"/>
  <c r="V189" i="7"/>
  <c r="U189" i="7"/>
  <c r="X189" i="7"/>
  <c r="W189" i="7"/>
  <c r="T211" i="7"/>
  <c r="S10" i="7"/>
  <c r="S19" i="7"/>
  <c r="S23" i="7"/>
  <c r="S29" i="7"/>
  <c r="U43" i="7"/>
  <c r="V55" i="7"/>
  <c r="S56" i="7"/>
  <c r="U57" i="7"/>
  <c r="S67" i="7"/>
  <c r="U78" i="7"/>
  <c r="V81" i="7"/>
  <c r="X87" i="7"/>
  <c r="V88" i="7"/>
  <c r="X108" i="7"/>
  <c r="W108" i="7"/>
  <c r="V108" i="7"/>
  <c r="U108" i="7"/>
  <c r="W139" i="7"/>
  <c r="X160" i="7"/>
  <c r="W160" i="7"/>
  <c r="U160" i="7"/>
  <c r="V160" i="7"/>
  <c r="S11" i="7"/>
  <c r="S24" i="7"/>
  <c r="X43" i="7"/>
  <c r="U47" i="7"/>
  <c r="W47" i="7"/>
  <c r="W55" i="7"/>
  <c r="V67" i="7"/>
  <c r="W81" i="7"/>
  <c r="S86" i="7"/>
  <c r="T86" i="7" s="1"/>
  <c r="W93" i="7"/>
  <c r="V93" i="7"/>
  <c r="U93" i="7"/>
  <c r="S98" i="7"/>
  <c r="T98" i="7" s="1"/>
  <c r="S106" i="7"/>
  <c r="X115" i="7"/>
  <c r="W115" i="7"/>
  <c r="U115" i="7"/>
  <c r="V142" i="7"/>
  <c r="X142" i="7"/>
  <c r="U142" i="7"/>
  <c r="U150" i="7"/>
  <c r="T230" i="7"/>
  <c r="T229" i="7"/>
  <c r="T231" i="7" s="1"/>
  <c r="T233" i="7"/>
  <c r="T232" i="7"/>
  <c r="T235" i="7" s="1"/>
  <c r="S30" i="7"/>
  <c r="S36" i="7"/>
  <c r="S47" i="7"/>
  <c r="U58" i="7"/>
  <c r="S59" i="7"/>
  <c r="X67" i="7"/>
  <c r="W78" i="7"/>
  <c r="S85" i="7"/>
  <c r="X92" i="7"/>
  <c r="V92" i="7"/>
  <c r="U92" i="7"/>
  <c r="V107" i="7"/>
  <c r="V115" i="7"/>
  <c r="U120" i="7"/>
  <c r="X120" i="7"/>
  <c r="W120" i="7"/>
  <c r="V120" i="7"/>
  <c r="X131" i="7"/>
  <c r="W131" i="7"/>
  <c r="V131" i="7"/>
  <c r="U131" i="7"/>
  <c r="W138" i="7"/>
  <c r="V149" i="7"/>
  <c r="U149" i="7"/>
  <c r="X149" i="7"/>
  <c r="W149" i="7"/>
  <c r="S7" i="7"/>
  <c r="S20" i="7"/>
  <c r="T20" i="7" s="1"/>
  <c r="S25" i="7"/>
  <c r="S37" i="7"/>
  <c r="V47" i="7"/>
  <c r="U48" i="7"/>
  <c r="S49" i="7"/>
  <c r="X57" i="7"/>
  <c r="V58" i="7"/>
  <c r="S70" i="7"/>
  <c r="O83" i="7"/>
  <c r="U84" i="7"/>
  <c r="X105" i="7"/>
  <c r="W105" i="7"/>
  <c r="U105" i="7"/>
  <c r="X145" i="7"/>
  <c r="X148" i="7"/>
  <c r="W148" i="7"/>
  <c r="V148" i="7"/>
  <c r="U148" i="7"/>
  <c r="S152" i="7"/>
  <c r="W152" i="7"/>
  <c r="V152" i="7"/>
  <c r="X152" i="7"/>
  <c r="U152" i="7"/>
  <c r="S3" i="7"/>
  <c r="S12" i="7"/>
  <c r="S16" i="7"/>
  <c r="S21" i="7"/>
  <c r="T21" i="7" s="1"/>
  <c r="S32" i="7"/>
  <c r="S39" i="7"/>
  <c r="X47" i="7"/>
  <c r="W58" i="7"/>
  <c r="S60" i="7"/>
  <c r="T60" i="7" s="1"/>
  <c r="U119" i="7"/>
  <c r="S168" i="7"/>
  <c r="U206" i="7"/>
  <c r="W206" i="7"/>
  <c r="V206" i="7"/>
  <c r="O43" i="7"/>
  <c r="S74" i="7"/>
  <c r="S75" i="7"/>
  <c r="S95" i="7"/>
  <c r="O99" i="7"/>
  <c r="V111" i="7"/>
  <c r="V130" i="7"/>
  <c r="S164" i="7"/>
  <c r="X170" i="7"/>
  <c r="W170" i="7"/>
  <c r="U170" i="7"/>
  <c r="V171" i="7"/>
  <c r="X180" i="7"/>
  <c r="W180" i="7"/>
  <c r="V180" i="7"/>
  <c r="U180" i="7"/>
  <c r="X191" i="7"/>
  <c r="W191" i="7"/>
  <c r="V191" i="7"/>
  <c r="U191" i="7"/>
  <c r="X193" i="7"/>
  <c r="V197" i="7"/>
  <c r="U197" i="7"/>
  <c r="O111" i="7"/>
  <c r="O132" i="7"/>
  <c r="S139" i="7"/>
  <c r="S158" i="7"/>
  <c r="X163" i="7"/>
  <c r="V163" i="7"/>
  <c r="V169" i="7"/>
  <c r="U169" i="7"/>
  <c r="X169" i="7"/>
  <c r="V170" i="7"/>
  <c r="O173" i="7"/>
  <c r="X175" i="7"/>
  <c r="W175" i="7"/>
  <c r="V175" i="7"/>
  <c r="U186" i="7"/>
  <c r="X186" i="7"/>
  <c r="W186" i="7"/>
  <c r="U193" i="7"/>
  <c r="X201" i="7"/>
  <c r="W201" i="7"/>
  <c r="V201" i="7"/>
  <c r="U201" i="7"/>
  <c r="X203" i="7"/>
  <c r="W203" i="7"/>
  <c r="V203" i="7"/>
  <c r="X207" i="7"/>
  <c r="V207" i="7"/>
  <c r="U207" i="7"/>
  <c r="O122" i="7"/>
  <c r="S153" i="7"/>
  <c r="S154" i="7"/>
  <c r="S174" i="7"/>
  <c r="T174" i="7" s="1"/>
  <c r="U196" i="7"/>
  <c r="X196" i="7"/>
  <c r="W196" i="7"/>
  <c r="X200" i="7"/>
  <c r="W200" i="7"/>
  <c r="V200" i="7"/>
  <c r="U200" i="7"/>
  <c r="S133" i="7"/>
  <c r="S134" i="7"/>
  <c r="S156" i="7"/>
  <c r="T156" i="7" s="1"/>
  <c r="W162" i="7"/>
  <c r="V162" i="7"/>
  <c r="U162" i="7"/>
  <c r="X185" i="7"/>
  <c r="W185" i="7"/>
  <c r="V185" i="7"/>
  <c r="U185" i="7"/>
  <c r="V110" i="7"/>
  <c r="U121" i="7"/>
  <c r="S122" i="7"/>
  <c r="S123" i="7"/>
  <c r="T123" i="7" s="1"/>
  <c r="S124" i="7"/>
  <c r="X162" i="7"/>
  <c r="S178" i="7"/>
  <c r="W182" i="7"/>
  <c r="V182" i="7"/>
  <c r="U182" i="7"/>
  <c r="O191" i="7"/>
  <c r="U195" i="7"/>
  <c r="V209" i="7"/>
  <c r="U209" i="7"/>
  <c r="X209" i="7"/>
  <c r="S113" i="7"/>
  <c r="S114" i="7"/>
  <c r="V121" i="7"/>
  <c r="S166" i="7"/>
  <c r="X188" i="7"/>
  <c r="W188" i="7"/>
  <c r="V188" i="7"/>
  <c r="U188" i="7"/>
  <c r="W192" i="7"/>
  <c r="O201" i="7"/>
  <c r="X205" i="7"/>
  <c r="W205" i="7"/>
  <c r="V205" i="7"/>
  <c r="U205" i="7"/>
  <c r="W209" i="7"/>
  <c r="S87" i="7"/>
  <c r="U101" i="7"/>
  <c r="S102" i="7"/>
  <c r="S103" i="7"/>
  <c r="T103" i="7" s="1"/>
  <c r="S104" i="7"/>
  <c r="X110" i="7"/>
  <c r="W121" i="7"/>
  <c r="U124" i="7"/>
  <c r="S135" i="7"/>
  <c r="U136" i="7"/>
  <c r="W136" i="7"/>
  <c r="S146" i="7"/>
  <c r="X177" i="7"/>
  <c r="W177" i="7"/>
  <c r="S184" i="7"/>
  <c r="T184" i="7" s="1"/>
  <c r="W202" i="7"/>
  <c r="V202" i="7"/>
  <c r="U202" i="7"/>
  <c r="S84" i="7"/>
  <c r="S94" i="7"/>
  <c r="V101" i="7"/>
  <c r="V124" i="7"/>
  <c r="S125" i="7"/>
  <c r="S136" i="7"/>
  <c r="S148" i="7"/>
  <c r="X161" i="7"/>
  <c r="V161" i="7"/>
  <c r="U161" i="7"/>
  <c r="S176" i="7"/>
  <c r="S194" i="7"/>
  <c r="X208" i="7"/>
  <c r="W208" i="7"/>
  <c r="V208" i="7"/>
  <c r="U208" i="7"/>
  <c r="S126" i="7"/>
  <c r="T126" i="7" s="1"/>
  <c r="O131" i="7"/>
  <c r="V136" i="7"/>
  <c r="O152" i="7"/>
  <c r="X159" i="7"/>
  <c r="O163" i="7"/>
  <c r="X165" i="7"/>
  <c r="W165" i="7"/>
  <c r="V165" i="7"/>
  <c r="U177" i="7"/>
  <c r="X181" i="7"/>
  <c r="W181" i="7"/>
  <c r="V181" i="7"/>
  <c r="U181" i="7"/>
  <c r="V183" i="7"/>
  <c r="X187" i="7"/>
  <c r="U187" i="7"/>
  <c r="S204" i="7"/>
  <c r="S188" i="7"/>
  <c r="S198" i="7"/>
  <c r="S208" i="7"/>
  <c r="S165" i="7"/>
  <c r="S175" i="7"/>
  <c r="S185" i="7"/>
  <c r="S195" i="7"/>
  <c r="S205" i="7"/>
  <c r="S209" i="7"/>
  <c r="S186" i="7"/>
  <c r="S196" i="7"/>
  <c r="S206" i="7"/>
  <c r="S163" i="7"/>
  <c r="S173" i="7"/>
  <c r="S183" i="7"/>
  <c r="S193" i="7"/>
  <c r="S203" i="7"/>
  <c r="U27" i="6"/>
  <c r="X90" i="6"/>
  <c r="V90" i="6"/>
  <c r="U90" i="6"/>
  <c r="W90" i="6"/>
  <c r="X5" i="6"/>
  <c r="W5" i="6"/>
  <c r="V5" i="6"/>
  <c r="U5" i="6"/>
  <c r="X7" i="6"/>
  <c r="W7" i="6"/>
  <c r="V7" i="6"/>
  <c r="X12" i="6"/>
  <c r="W12" i="6"/>
  <c r="V12" i="6"/>
  <c r="U12" i="6"/>
  <c r="V15" i="6"/>
  <c r="V17" i="6"/>
  <c r="X17" i="6"/>
  <c r="X53" i="6"/>
  <c r="W53" i="6"/>
  <c r="V53" i="6"/>
  <c r="U53" i="6"/>
  <c r="V55" i="6"/>
  <c r="U55" i="6"/>
  <c r="X55" i="6"/>
  <c r="W55" i="6"/>
  <c r="V65" i="6"/>
  <c r="U65" i="6"/>
  <c r="X65" i="6"/>
  <c r="W76" i="6"/>
  <c r="U76" i="6"/>
  <c r="X76" i="6"/>
  <c r="S79" i="6"/>
  <c r="X88" i="6"/>
  <c r="U88" i="6"/>
  <c r="U4" i="6"/>
  <c r="U7" i="6"/>
  <c r="V14" i="6"/>
  <c r="W14" i="6" s="1"/>
  <c r="X14" i="6" s="1"/>
  <c r="U14" i="6"/>
  <c r="W17" i="6"/>
  <c r="W28" i="6"/>
  <c r="X28" i="6"/>
  <c r="V28" i="6"/>
  <c r="V37" i="6"/>
  <c r="U37" i="6"/>
  <c r="X37" i="6"/>
  <c r="X41" i="6"/>
  <c r="W41" i="6"/>
  <c r="V41" i="6"/>
  <c r="U41" i="6"/>
  <c r="X44" i="6"/>
  <c r="W44" i="6"/>
  <c r="V44" i="6"/>
  <c r="V45" i="6"/>
  <c r="U45" i="6"/>
  <c r="X45" i="6"/>
  <c r="W45" i="6"/>
  <c r="S52" i="6"/>
  <c r="V56" i="6"/>
  <c r="U56" i="6"/>
  <c r="X56" i="6"/>
  <c r="W65" i="6"/>
  <c r="U127" i="6"/>
  <c r="X127" i="6"/>
  <c r="W127" i="6"/>
  <c r="V127" i="6"/>
  <c r="W112" i="6"/>
  <c r="V112" i="6"/>
  <c r="X112" i="6"/>
  <c r="U112" i="6"/>
  <c r="X11" i="6"/>
  <c r="W11" i="6"/>
  <c r="V11" i="6"/>
  <c r="U11" i="6"/>
  <c r="W37" i="6"/>
  <c r="U44" i="6"/>
  <c r="S58" i="6"/>
  <c r="S68" i="6"/>
  <c r="V3" i="6"/>
  <c r="U3" i="6"/>
  <c r="X3" i="6"/>
  <c r="W3" i="6"/>
  <c r="V20" i="6"/>
  <c r="W20" i="6" s="1"/>
  <c r="X20" i="6" s="1"/>
  <c r="U20" i="6"/>
  <c r="X23" i="6"/>
  <c r="W23" i="6"/>
  <c r="V23" i="6"/>
  <c r="U23" i="6"/>
  <c r="W30" i="6"/>
  <c r="V30" i="6"/>
  <c r="U30" i="6"/>
  <c r="S40" i="6"/>
  <c r="X54" i="6"/>
  <c r="X61" i="6"/>
  <c r="W61" i="6"/>
  <c r="V61" i="6"/>
  <c r="U61" i="6"/>
  <c r="X71" i="6"/>
  <c r="W71" i="6"/>
  <c r="V71" i="6"/>
  <c r="U71" i="6"/>
  <c r="W78" i="6"/>
  <c r="V78" i="6"/>
  <c r="X78" i="6"/>
  <c r="U78" i="6"/>
  <c r="X91" i="6"/>
  <c r="W91" i="6"/>
  <c r="U91" i="6"/>
  <c r="U117" i="6"/>
  <c r="X117" i="6"/>
  <c r="W117" i="6"/>
  <c r="V117" i="6"/>
  <c r="X9" i="6"/>
  <c r="W9" i="6"/>
  <c r="V9" i="6"/>
  <c r="U9" i="6"/>
  <c r="S19" i="6"/>
  <c r="X51" i="6"/>
  <c r="V51" i="6"/>
  <c r="U51" i="6"/>
  <c r="U70" i="6"/>
  <c r="X70" i="6"/>
  <c r="W70" i="6"/>
  <c r="V70" i="6"/>
  <c r="V13" i="6"/>
  <c r="U13" i="6"/>
  <c r="X13" i="6"/>
  <c r="X33" i="6"/>
  <c r="W33" i="6"/>
  <c r="V33" i="6"/>
  <c r="U33" i="6"/>
  <c r="X74" i="6"/>
  <c r="W74" i="6"/>
  <c r="V74" i="6"/>
  <c r="U74" i="6"/>
  <c r="X81" i="6"/>
  <c r="V25" i="6"/>
  <c r="X25" i="6"/>
  <c r="W25" i="6"/>
  <c r="X31" i="6"/>
  <c r="W31" i="6"/>
  <c r="V31" i="6"/>
  <c r="V35" i="6"/>
  <c r="U35" i="6"/>
  <c r="X35" i="6"/>
  <c r="W35" i="6"/>
  <c r="W38" i="6"/>
  <c r="V38" i="6"/>
  <c r="V43" i="6"/>
  <c r="U43" i="6"/>
  <c r="X43" i="6"/>
  <c r="U60" i="6"/>
  <c r="V60" i="6" s="1"/>
  <c r="V73" i="6"/>
  <c r="X73" i="6"/>
  <c r="W73" i="6"/>
  <c r="U73" i="6"/>
  <c r="V76" i="6"/>
  <c r="S80" i="6"/>
  <c r="S8" i="6"/>
  <c r="W56" i="6"/>
  <c r="V75" i="6"/>
  <c r="U75" i="6"/>
  <c r="W75" i="6"/>
  <c r="V83" i="6"/>
  <c r="X83" i="6"/>
  <c r="W83" i="6"/>
  <c r="U83" i="6"/>
  <c r="V85" i="6"/>
  <c r="U85" i="6"/>
  <c r="X85" i="6"/>
  <c r="W85" i="6"/>
  <c r="V99" i="6"/>
  <c r="U99" i="6"/>
  <c r="W99" i="6" s="1"/>
  <c r="X99" i="6" s="1"/>
  <c r="W122" i="6"/>
  <c r="V122" i="6"/>
  <c r="S59" i="6"/>
  <c r="S69" i="6"/>
  <c r="V102" i="6"/>
  <c r="V131" i="6"/>
  <c r="U131" i="6"/>
  <c r="X148" i="6"/>
  <c r="W148" i="6"/>
  <c r="V148" i="6"/>
  <c r="U148" i="6"/>
  <c r="T211" i="6"/>
  <c r="U46" i="6"/>
  <c r="O62" i="6"/>
  <c r="S70" i="6"/>
  <c r="O84" i="6"/>
  <c r="S102" i="6"/>
  <c r="X105" i="6"/>
  <c r="W105" i="6"/>
  <c r="V105" i="6"/>
  <c r="U105" i="6"/>
  <c r="W110" i="6"/>
  <c r="U167" i="6"/>
  <c r="S16" i="6"/>
  <c r="S29" i="6"/>
  <c r="X101" i="6"/>
  <c r="W101" i="6"/>
  <c r="X110" i="6"/>
  <c r="W132" i="6"/>
  <c r="V132" i="6"/>
  <c r="U132" i="6"/>
  <c r="U147" i="6"/>
  <c r="X147" i="6"/>
  <c r="W147" i="6"/>
  <c r="V147" i="6"/>
  <c r="V151" i="6"/>
  <c r="U151" i="6"/>
  <c r="T230" i="6"/>
  <c r="T229" i="6"/>
  <c r="T231" i="6" s="1"/>
  <c r="T233" i="6"/>
  <c r="T232" i="6"/>
  <c r="T235" i="6" s="1"/>
  <c r="S9" i="6"/>
  <c r="U34" i="6"/>
  <c r="S35" i="6"/>
  <c r="S41" i="6"/>
  <c r="W46" i="6"/>
  <c r="S54" i="6"/>
  <c r="S72" i="6"/>
  <c r="T72" i="6" s="1"/>
  <c r="X95" i="6"/>
  <c r="W95" i="6"/>
  <c r="V100" i="6"/>
  <c r="X100" i="6"/>
  <c r="U101" i="6"/>
  <c r="S125" i="6"/>
  <c r="X132" i="6"/>
  <c r="U137" i="6"/>
  <c r="X137" i="6"/>
  <c r="W137" i="6"/>
  <c r="V137" i="6"/>
  <c r="X140" i="6"/>
  <c r="W140" i="6"/>
  <c r="U140" i="6"/>
  <c r="W160" i="6"/>
  <c r="V34" i="6"/>
  <c r="S42" i="6"/>
  <c r="O44" i="6"/>
  <c r="V47" i="6"/>
  <c r="S49" i="6"/>
  <c r="S62" i="6"/>
  <c r="S74" i="6"/>
  <c r="U100" i="6"/>
  <c r="V101" i="6"/>
  <c r="S104" i="6"/>
  <c r="U114" i="6"/>
  <c r="X115" i="6"/>
  <c r="W115" i="6"/>
  <c r="V115" i="6"/>
  <c r="U115" i="6"/>
  <c r="S136" i="6"/>
  <c r="W142" i="6"/>
  <c r="V142" i="6"/>
  <c r="X142" i="6"/>
  <c r="W24" i="6"/>
  <c r="S26" i="6"/>
  <c r="W34" i="6"/>
  <c r="W47" i="6"/>
  <c r="S94" i="6"/>
  <c r="W100" i="6"/>
  <c r="W124" i="6"/>
  <c r="W131" i="6"/>
  <c r="W152" i="6"/>
  <c r="V152" i="6"/>
  <c r="U152" i="6"/>
  <c r="S174" i="6"/>
  <c r="S10" i="6"/>
  <c r="S50" i="6"/>
  <c r="W62" i="6"/>
  <c r="S75" i="6"/>
  <c r="S87" i="6"/>
  <c r="V98" i="6"/>
  <c r="W98" i="6" s="1"/>
  <c r="X98" i="6" s="1"/>
  <c r="S113" i="6"/>
  <c r="S123" i="6"/>
  <c r="S124" i="6"/>
  <c r="X128" i="6"/>
  <c r="W128" i="6"/>
  <c r="V128" i="6"/>
  <c r="U128" i="6"/>
  <c r="S7" i="6"/>
  <c r="S22" i="6"/>
  <c r="S31" i="6"/>
  <c r="S44" i="6"/>
  <c r="S57" i="6"/>
  <c r="X62" i="6"/>
  <c r="S65" i="6"/>
  <c r="S77" i="6"/>
  <c r="S89" i="6"/>
  <c r="W93" i="6"/>
  <c r="V93" i="6"/>
  <c r="S103" i="6"/>
  <c r="U107" i="6"/>
  <c r="W107" i="6"/>
  <c r="X108" i="6"/>
  <c r="X135" i="6"/>
  <c r="W135" i="6"/>
  <c r="V135" i="6"/>
  <c r="U135" i="6"/>
  <c r="S145" i="6"/>
  <c r="O24" i="6"/>
  <c r="S32" i="6"/>
  <c r="O34" i="6"/>
  <c r="S39" i="6"/>
  <c r="S67" i="6"/>
  <c r="U93" i="6"/>
  <c r="X118" i="6"/>
  <c r="V118" i="6"/>
  <c r="U118" i="6"/>
  <c r="W173" i="6"/>
  <c r="X173" i="6"/>
  <c r="V173" i="6"/>
  <c r="U173" i="6"/>
  <c r="O138" i="6"/>
  <c r="U146" i="6"/>
  <c r="X146" i="6"/>
  <c r="O149" i="6"/>
  <c r="W162" i="6"/>
  <c r="V162" i="6"/>
  <c r="U162" i="6"/>
  <c r="X194" i="6"/>
  <c r="W194" i="6"/>
  <c r="V194" i="6"/>
  <c r="W204" i="6"/>
  <c r="U204" i="6"/>
  <c r="X157" i="6"/>
  <c r="X158" i="6"/>
  <c r="W158" i="6"/>
  <c r="V158" i="6"/>
  <c r="U158" i="6"/>
  <c r="X178" i="6"/>
  <c r="W178" i="6"/>
  <c r="V178" i="6"/>
  <c r="U178" i="6"/>
  <c r="X188" i="6"/>
  <c r="W188" i="6"/>
  <c r="V188" i="6"/>
  <c r="U188" i="6"/>
  <c r="X198" i="6"/>
  <c r="W198" i="6"/>
  <c r="V198" i="6"/>
  <c r="X208" i="6"/>
  <c r="U208" i="6"/>
  <c r="O118" i="6"/>
  <c r="O129" i="6"/>
  <c r="O141" i="6"/>
  <c r="V146" i="6"/>
  <c r="V157" i="6"/>
  <c r="W172" i="6"/>
  <c r="V172" i="6"/>
  <c r="X177" i="6"/>
  <c r="W177" i="6"/>
  <c r="V177" i="6"/>
  <c r="U177" i="6"/>
  <c r="X187" i="6"/>
  <c r="W187" i="6"/>
  <c r="V187" i="6"/>
  <c r="U187" i="6"/>
  <c r="X193" i="6"/>
  <c r="W193" i="6"/>
  <c r="U193" i="6"/>
  <c r="X203" i="6"/>
  <c r="W203" i="6"/>
  <c r="U203" i="6"/>
  <c r="X207" i="6"/>
  <c r="O108" i="6"/>
  <c r="U116" i="6"/>
  <c r="X116" i="6"/>
  <c r="O119" i="6"/>
  <c r="O131" i="6"/>
  <c r="W146" i="6"/>
  <c r="S151" i="6"/>
  <c r="U166" i="6"/>
  <c r="X166" i="6"/>
  <c r="X168" i="6"/>
  <c r="W168" i="6"/>
  <c r="V168" i="6"/>
  <c r="U168" i="6"/>
  <c r="X172" i="6"/>
  <c r="V193" i="6"/>
  <c r="V203" i="6"/>
  <c r="U106" i="6"/>
  <c r="X106" i="6"/>
  <c r="S155" i="6"/>
  <c r="U176" i="6"/>
  <c r="X176" i="6"/>
  <c r="V176" i="6"/>
  <c r="X180" i="6"/>
  <c r="U186" i="6"/>
  <c r="X186" i="6"/>
  <c r="V186" i="6"/>
  <c r="X190" i="6"/>
  <c r="W190" i="6"/>
  <c r="V190" i="6"/>
  <c r="U196" i="6"/>
  <c r="X196" i="6"/>
  <c r="V196" i="6"/>
  <c r="V200" i="6"/>
  <c r="U206" i="6"/>
  <c r="X206" i="6"/>
  <c r="V206" i="6"/>
  <c r="U209" i="6"/>
  <c r="W209" i="6"/>
  <c r="S95" i="6"/>
  <c r="O99" i="6"/>
  <c r="S106" i="6"/>
  <c r="O111" i="6"/>
  <c r="V116" i="6"/>
  <c r="S129" i="6"/>
  <c r="S131" i="6"/>
  <c r="U138" i="6"/>
  <c r="V154" i="6"/>
  <c r="V159" i="6"/>
  <c r="U159" i="6"/>
  <c r="W166" i="6"/>
  <c r="W182" i="6"/>
  <c r="V182" i="6"/>
  <c r="U182" i="6"/>
  <c r="X182" i="6"/>
  <c r="W186" i="6"/>
  <c r="W192" i="6"/>
  <c r="V192" i="6"/>
  <c r="U192" i="6"/>
  <c r="X192" i="6"/>
  <c r="W196" i="6"/>
  <c r="W202" i="6"/>
  <c r="X202" i="6"/>
  <c r="W206" i="6"/>
  <c r="X209" i="6"/>
  <c r="V106" i="6"/>
  <c r="S165" i="6"/>
  <c r="X170" i="6"/>
  <c r="V170" i="6"/>
  <c r="O198" i="6"/>
  <c r="O208" i="6"/>
  <c r="W106" i="6"/>
  <c r="S109" i="6"/>
  <c r="U130" i="6"/>
  <c r="W138" i="6"/>
  <c r="S142" i="6"/>
  <c r="S143" i="6"/>
  <c r="T143" i="6" s="1"/>
  <c r="X159" i="6"/>
  <c r="U169" i="6"/>
  <c r="U170" i="6"/>
  <c r="S175" i="6"/>
  <c r="X185" i="6"/>
  <c r="W185" i="6"/>
  <c r="V185" i="6"/>
  <c r="U185" i="6"/>
  <c r="X195" i="6"/>
  <c r="W195" i="6"/>
  <c r="V195" i="6"/>
  <c r="U195" i="6"/>
  <c r="X205" i="6"/>
  <c r="W205" i="6"/>
  <c r="V205" i="6"/>
  <c r="U205" i="6"/>
  <c r="S101" i="6"/>
  <c r="U120" i="6"/>
  <c r="W130" i="6"/>
  <c r="S133" i="6"/>
  <c r="S144" i="6"/>
  <c r="S164" i="6"/>
  <c r="O168" i="6"/>
  <c r="W169" i="6"/>
  <c r="S181" i="6"/>
  <c r="S191" i="6"/>
  <c r="S201" i="6"/>
  <c r="S185" i="6"/>
  <c r="S195" i="6"/>
  <c r="S205" i="6"/>
  <c r="S162" i="6"/>
  <c r="S172" i="6"/>
  <c r="S182" i="6"/>
  <c r="S192" i="6"/>
  <c r="S202" i="6"/>
  <c r="S159" i="6"/>
  <c r="S169" i="6"/>
  <c r="S179" i="6"/>
  <c r="S199" i="6"/>
  <c r="S209" i="6"/>
  <c r="S156" i="6"/>
  <c r="S166" i="6"/>
  <c r="S176" i="6"/>
  <c r="S206" i="6"/>
  <c r="S153" i="6"/>
  <c r="S163" i="6"/>
  <c r="S173" i="6"/>
  <c r="S183" i="6"/>
  <c r="S193" i="6"/>
  <c r="S203" i="6"/>
  <c r="V36" i="5"/>
  <c r="V76" i="5"/>
  <c r="W3" i="5"/>
  <c r="X3" i="5"/>
  <c r="U59" i="5"/>
  <c r="X89" i="5"/>
  <c r="W89" i="5"/>
  <c r="V89" i="5"/>
  <c r="X9" i="5"/>
  <c r="W9" i="5"/>
  <c r="V9" i="5"/>
  <c r="U9" i="5"/>
  <c r="X19" i="5"/>
  <c r="V21" i="5"/>
  <c r="U21" i="5"/>
  <c r="X21" i="5"/>
  <c r="W21" i="5"/>
  <c r="X26" i="5"/>
  <c r="W26" i="5"/>
  <c r="V26" i="5"/>
  <c r="U26" i="5"/>
  <c r="V20" i="5"/>
  <c r="U20" i="5"/>
  <c r="W20" i="5"/>
  <c r="X20" i="5" s="1"/>
  <c r="X82" i="5"/>
  <c r="X29" i="5"/>
  <c r="W29" i="5"/>
  <c r="V29" i="5"/>
  <c r="U29" i="5"/>
  <c r="U8" i="5"/>
  <c r="V8" i="5"/>
  <c r="X8" i="5"/>
  <c r="W8" i="5"/>
  <c r="X52" i="5"/>
  <c r="W52" i="5"/>
  <c r="U52" i="5"/>
  <c r="V52" i="5"/>
  <c r="X16" i="5"/>
  <c r="W16" i="5"/>
  <c r="V16" i="5"/>
  <c r="U16" i="5"/>
  <c r="X32" i="5"/>
  <c r="W32" i="5"/>
  <c r="X39" i="5"/>
  <c r="W39" i="5"/>
  <c r="V39" i="5"/>
  <c r="S50" i="5"/>
  <c r="S56" i="5"/>
  <c r="U85" i="5"/>
  <c r="S86" i="5"/>
  <c r="X87" i="5"/>
  <c r="W87" i="5"/>
  <c r="V87" i="5"/>
  <c r="U87" i="5"/>
  <c r="V91" i="5"/>
  <c r="U91" i="5"/>
  <c r="V92" i="5"/>
  <c r="U97" i="5"/>
  <c r="V97" i="5" s="1"/>
  <c r="W97" i="5" s="1"/>
  <c r="X97" i="5" s="1"/>
  <c r="W98" i="5"/>
  <c r="X98" i="5" s="1"/>
  <c r="V98" i="5"/>
  <c r="U98" i="5"/>
  <c r="S194" i="5"/>
  <c r="X69" i="5"/>
  <c r="W69" i="5"/>
  <c r="V69" i="5"/>
  <c r="S14" i="5"/>
  <c r="T230" i="5"/>
  <c r="T229" i="5"/>
  <c r="T231" i="5" s="1"/>
  <c r="T233" i="5"/>
  <c r="T232" i="5"/>
  <c r="T235" i="5" s="1"/>
  <c r="S3" i="5"/>
  <c r="S4" i="5"/>
  <c r="W12" i="5"/>
  <c r="S15" i="5"/>
  <c r="U25" i="5"/>
  <c r="S26" i="5"/>
  <c r="U32" i="5"/>
  <c r="W38" i="5"/>
  <c r="U39" i="5"/>
  <c r="X43" i="5"/>
  <c r="W43" i="5"/>
  <c r="V43" i="5"/>
  <c r="U43" i="5"/>
  <c r="U55" i="5"/>
  <c r="S73" i="5"/>
  <c r="T73" i="5" s="1"/>
  <c r="W84" i="5"/>
  <c r="V84" i="5"/>
  <c r="U84" i="5"/>
  <c r="V85" i="5"/>
  <c r="O90" i="5"/>
  <c r="W91" i="5"/>
  <c r="U92" i="5"/>
  <c r="U156" i="5"/>
  <c r="X156" i="5"/>
  <c r="V156" i="5"/>
  <c r="W156" i="5" s="1"/>
  <c r="X185" i="5"/>
  <c r="W185" i="5"/>
  <c r="V185" i="5"/>
  <c r="U185" i="5"/>
  <c r="X200" i="5"/>
  <c r="W200" i="5"/>
  <c r="V200" i="5"/>
  <c r="U200" i="5"/>
  <c r="W28" i="5"/>
  <c r="W44" i="5"/>
  <c r="V44" i="5"/>
  <c r="U44" i="5"/>
  <c r="U69" i="5"/>
  <c r="W122" i="5"/>
  <c r="V122" i="5"/>
  <c r="U122" i="5"/>
  <c r="X122" i="5"/>
  <c r="U166" i="5"/>
  <c r="X166" i="5"/>
  <c r="W166" i="5"/>
  <c r="V12" i="5"/>
  <c r="S25" i="5"/>
  <c r="X12" i="5"/>
  <c r="U15" i="5"/>
  <c r="V25" i="5"/>
  <c r="V32" i="5"/>
  <c r="X37" i="5"/>
  <c r="W37" i="5"/>
  <c r="V37" i="5"/>
  <c r="U37" i="5"/>
  <c r="W54" i="5"/>
  <c r="V54" i="5"/>
  <c r="U54" i="5"/>
  <c r="V55" i="5"/>
  <c r="S60" i="5"/>
  <c r="V71" i="5"/>
  <c r="U71" i="5"/>
  <c r="X72" i="5"/>
  <c r="W72" i="5"/>
  <c r="W85" i="5"/>
  <c r="X91" i="5"/>
  <c r="X95" i="5"/>
  <c r="W95" i="5"/>
  <c r="U96" i="5"/>
  <c r="X96" i="5"/>
  <c r="W96" i="5"/>
  <c r="S155" i="5"/>
  <c r="T211" i="5"/>
  <c r="S2" i="5"/>
  <c r="U5" i="5"/>
  <c r="V15" i="5"/>
  <c r="S16" i="5"/>
  <c r="W25" i="5"/>
  <c r="V31" i="5"/>
  <c r="U31" i="5"/>
  <c r="X31" i="5"/>
  <c r="X42" i="5"/>
  <c r="W42" i="5"/>
  <c r="X49" i="5"/>
  <c r="W49" i="5"/>
  <c r="V49" i="5"/>
  <c r="X54" i="5"/>
  <c r="W55" i="5"/>
  <c r="U65" i="5"/>
  <c r="S66" i="5"/>
  <c r="T66" i="5" s="1"/>
  <c r="X67" i="5"/>
  <c r="W67" i="5"/>
  <c r="V67" i="5"/>
  <c r="U67" i="5"/>
  <c r="W71" i="5"/>
  <c r="U72" i="5"/>
  <c r="X78" i="5"/>
  <c r="X83" i="5"/>
  <c r="W83" i="5"/>
  <c r="V83" i="5"/>
  <c r="U83" i="5"/>
  <c r="S90" i="5"/>
  <c r="U95" i="5"/>
  <c r="V96" i="5"/>
  <c r="X100" i="5"/>
  <c r="V100" i="5"/>
  <c r="W100" i="5"/>
  <c r="U100" i="5"/>
  <c r="X144" i="5"/>
  <c r="W144" i="5"/>
  <c r="V144" i="5"/>
  <c r="U144" i="5"/>
  <c r="X161" i="5"/>
  <c r="W161" i="5"/>
  <c r="V161" i="5"/>
  <c r="U161" i="5"/>
  <c r="S204" i="5"/>
  <c r="T204" i="5" s="1"/>
  <c r="X208" i="5"/>
  <c r="W208" i="5"/>
  <c r="V208" i="5"/>
  <c r="U208" i="5"/>
  <c r="X28" i="5"/>
  <c r="S33" i="5"/>
  <c r="X10" i="5"/>
  <c r="V5" i="5"/>
  <c r="S6" i="5"/>
  <c r="W15" i="5"/>
  <c r="S17" i="5"/>
  <c r="O22" i="5"/>
  <c r="S30" i="5"/>
  <c r="S36" i="5"/>
  <c r="U42" i="5"/>
  <c r="W48" i="5"/>
  <c r="U49" i="5"/>
  <c r="W64" i="5"/>
  <c r="V64" i="5"/>
  <c r="U64" i="5"/>
  <c r="V65" i="5"/>
  <c r="X71" i="5"/>
  <c r="V72" i="5"/>
  <c r="S83" i="5"/>
  <c r="W94" i="5"/>
  <c r="V94" i="5"/>
  <c r="U94" i="5"/>
  <c r="V95" i="5"/>
  <c r="S144" i="5"/>
  <c r="X57" i="5"/>
  <c r="W57" i="5"/>
  <c r="V57" i="5"/>
  <c r="U57" i="5"/>
  <c r="X46" i="5"/>
  <c r="W46" i="5"/>
  <c r="V46" i="5"/>
  <c r="U46" i="5"/>
  <c r="X130" i="5"/>
  <c r="V130" i="5"/>
  <c r="W130" i="5"/>
  <c r="U130" i="5"/>
  <c r="X140" i="5"/>
  <c r="V140" i="5"/>
  <c r="W140" i="5"/>
  <c r="U140" i="5"/>
  <c r="X147" i="5"/>
  <c r="W147" i="5"/>
  <c r="U147" i="5"/>
  <c r="V147" i="5"/>
  <c r="W5" i="5"/>
  <c r="S7" i="5"/>
  <c r="O12" i="5"/>
  <c r="V17" i="5"/>
  <c r="O40" i="5"/>
  <c r="V42" i="5"/>
  <c r="X48" i="5"/>
  <c r="X64" i="5"/>
  <c r="W65" i="5"/>
  <c r="S70" i="5"/>
  <c r="V81" i="5"/>
  <c r="U81" i="5"/>
  <c r="X94" i="5"/>
  <c r="W172" i="5"/>
  <c r="V172" i="5"/>
  <c r="U172" i="5"/>
  <c r="X172" i="5"/>
  <c r="V10" i="5"/>
  <c r="U10" i="5"/>
  <c r="X33" i="5"/>
  <c r="V33" i="5"/>
  <c r="U33" i="5"/>
  <c r="W74" i="5"/>
  <c r="V74" i="5"/>
  <c r="U74" i="5"/>
  <c r="S80" i="5"/>
  <c r="T80" i="5" s="1"/>
  <c r="W112" i="5"/>
  <c r="V112" i="5"/>
  <c r="U112" i="5"/>
  <c r="V149" i="5"/>
  <c r="U149" i="5"/>
  <c r="X149" i="5"/>
  <c r="W17" i="5"/>
  <c r="W34" i="5"/>
  <c r="V34" i="5"/>
  <c r="U34" i="5"/>
  <c r="X47" i="5"/>
  <c r="W47" i="5"/>
  <c r="V47" i="5"/>
  <c r="U47" i="5"/>
  <c r="X77" i="5"/>
  <c r="S101" i="5"/>
  <c r="X108" i="5"/>
  <c r="W108" i="5"/>
  <c r="V108" i="5"/>
  <c r="U108" i="5"/>
  <c r="X151" i="5"/>
  <c r="W151" i="5"/>
  <c r="V151" i="5"/>
  <c r="U151" i="5"/>
  <c r="X160" i="5"/>
  <c r="V160" i="5"/>
  <c r="W160" i="5"/>
  <c r="U160" i="5"/>
  <c r="X170" i="5"/>
  <c r="W170" i="5"/>
  <c r="V170" i="5"/>
  <c r="U170" i="5"/>
  <c r="X150" i="5"/>
  <c r="V150" i="5"/>
  <c r="S24" i="5"/>
  <c r="T24" i="5" s="1"/>
  <c r="V51" i="5"/>
  <c r="U51" i="5"/>
  <c r="S12" i="5"/>
  <c r="V28" i="5"/>
  <c r="X34" i="5"/>
  <c r="S40" i="5"/>
  <c r="S63" i="5"/>
  <c r="X81" i="5"/>
  <c r="S93" i="5"/>
  <c r="X127" i="5"/>
  <c r="W127" i="5"/>
  <c r="U127" i="5"/>
  <c r="V127" i="5"/>
  <c r="W150" i="5"/>
  <c r="V169" i="5"/>
  <c r="U169" i="5"/>
  <c r="X169" i="5"/>
  <c r="W169" i="5"/>
  <c r="X117" i="5"/>
  <c r="W117" i="5"/>
  <c r="U117" i="5"/>
  <c r="W132" i="5"/>
  <c r="V132" i="5"/>
  <c r="U132" i="5"/>
  <c r="V159" i="5"/>
  <c r="U159" i="5"/>
  <c r="S165" i="5"/>
  <c r="T165" i="5" s="1"/>
  <c r="W175" i="5"/>
  <c r="V175" i="5"/>
  <c r="U175" i="5"/>
  <c r="V117" i="5"/>
  <c r="S121" i="5"/>
  <c r="X128" i="5"/>
  <c r="W128" i="5"/>
  <c r="V128" i="5"/>
  <c r="U128" i="5"/>
  <c r="X132" i="5"/>
  <c r="W142" i="5"/>
  <c r="V142" i="5"/>
  <c r="U142" i="5"/>
  <c r="S154" i="5"/>
  <c r="O158" i="5"/>
  <c r="W159" i="5"/>
  <c r="X164" i="5"/>
  <c r="W164" i="5"/>
  <c r="V164" i="5"/>
  <c r="S184" i="5"/>
  <c r="S27" i="5"/>
  <c r="S37" i="5"/>
  <c r="S105" i="5"/>
  <c r="X110" i="5"/>
  <c r="V110" i="5"/>
  <c r="U116" i="5"/>
  <c r="X116" i="5"/>
  <c r="W116" i="5"/>
  <c r="X121" i="5"/>
  <c r="W121" i="5"/>
  <c r="V121" i="5"/>
  <c r="U121" i="5"/>
  <c r="X137" i="5"/>
  <c r="W137" i="5"/>
  <c r="U137" i="5"/>
  <c r="X159" i="5"/>
  <c r="X191" i="5"/>
  <c r="W191" i="5"/>
  <c r="V191" i="5"/>
  <c r="U191" i="5"/>
  <c r="X193" i="5"/>
  <c r="W193" i="5"/>
  <c r="V193" i="5"/>
  <c r="U206" i="5"/>
  <c r="X206" i="5"/>
  <c r="W206" i="5"/>
  <c r="W207" i="5"/>
  <c r="V209" i="5"/>
  <c r="U209" i="5"/>
  <c r="X209" i="5"/>
  <c r="S34" i="5"/>
  <c r="S44" i="5"/>
  <c r="S54" i="5"/>
  <c r="S64" i="5"/>
  <c r="S74" i="5"/>
  <c r="S84" i="5"/>
  <c r="S94" i="5"/>
  <c r="X104" i="5"/>
  <c r="W104" i="5"/>
  <c r="V104" i="5"/>
  <c r="V109" i="5"/>
  <c r="U110" i="5"/>
  <c r="S115" i="5"/>
  <c r="X120" i="5"/>
  <c r="V120" i="5"/>
  <c r="U126" i="5"/>
  <c r="X126" i="5"/>
  <c r="W126" i="5"/>
  <c r="V137" i="5"/>
  <c r="W152" i="5"/>
  <c r="V152" i="5"/>
  <c r="U163" i="5"/>
  <c r="S174" i="5"/>
  <c r="X190" i="5"/>
  <c r="W190" i="5"/>
  <c r="V190" i="5"/>
  <c r="U190" i="5"/>
  <c r="X197" i="5"/>
  <c r="W197" i="5"/>
  <c r="V197" i="5"/>
  <c r="U197" i="5"/>
  <c r="W202" i="5"/>
  <c r="V202" i="5"/>
  <c r="U202" i="5"/>
  <c r="V206" i="5"/>
  <c r="W209" i="5"/>
  <c r="S61" i="5"/>
  <c r="S71" i="5"/>
  <c r="S81" i="5"/>
  <c r="S91" i="5"/>
  <c r="S104" i="5"/>
  <c r="O108" i="5"/>
  <c r="W110" i="5"/>
  <c r="X114" i="5"/>
  <c r="W114" i="5"/>
  <c r="V114" i="5"/>
  <c r="V119" i="5"/>
  <c r="U119" i="5"/>
  <c r="U120" i="5"/>
  <c r="S125" i="5"/>
  <c r="U136" i="5"/>
  <c r="X136" i="5"/>
  <c r="W136" i="5"/>
  <c r="X148" i="5"/>
  <c r="W148" i="5"/>
  <c r="V148" i="5"/>
  <c r="U148" i="5"/>
  <c r="X152" i="5"/>
  <c r="X153" i="5"/>
  <c r="V163" i="5"/>
  <c r="X178" i="5"/>
  <c r="W178" i="5"/>
  <c r="V178" i="5"/>
  <c r="U178" i="5"/>
  <c r="X181" i="5"/>
  <c r="W181" i="5"/>
  <c r="V181" i="5"/>
  <c r="U181" i="5"/>
  <c r="X183" i="5"/>
  <c r="W183" i="5"/>
  <c r="V183" i="5"/>
  <c r="X202" i="5"/>
  <c r="S88" i="5"/>
  <c r="U104" i="5"/>
  <c r="S114" i="5"/>
  <c r="O118" i="5"/>
  <c r="W119" i="5"/>
  <c r="W120" i="5"/>
  <c r="X124" i="5"/>
  <c r="W124" i="5"/>
  <c r="V124" i="5"/>
  <c r="V129" i="5"/>
  <c r="U129" i="5"/>
  <c r="S135" i="5"/>
  <c r="S151" i="5"/>
  <c r="W162" i="5"/>
  <c r="V162" i="5"/>
  <c r="U162" i="5"/>
  <c r="X163" i="5"/>
  <c r="X168" i="5"/>
  <c r="W168" i="5"/>
  <c r="V168" i="5"/>
  <c r="U168" i="5"/>
  <c r="X180" i="5"/>
  <c r="W180" i="5"/>
  <c r="V180" i="5"/>
  <c r="U180" i="5"/>
  <c r="X187" i="5"/>
  <c r="W187" i="5"/>
  <c r="V187" i="5"/>
  <c r="U187" i="5"/>
  <c r="W192" i="5"/>
  <c r="V192" i="5"/>
  <c r="U192" i="5"/>
  <c r="X205" i="5"/>
  <c r="W205" i="5"/>
  <c r="V205" i="5"/>
  <c r="U205" i="5"/>
  <c r="S35" i="5"/>
  <c r="S45" i="5"/>
  <c r="T45" i="5" s="1"/>
  <c r="S55" i="5"/>
  <c r="S65" i="5"/>
  <c r="S85" i="5"/>
  <c r="S95" i="5"/>
  <c r="O128" i="5"/>
  <c r="X134" i="5"/>
  <c r="W134" i="5"/>
  <c r="V134" i="5"/>
  <c r="V139" i="5"/>
  <c r="U139" i="5"/>
  <c r="X171" i="5"/>
  <c r="W171" i="5"/>
  <c r="V171" i="5"/>
  <c r="U171" i="5"/>
  <c r="X195" i="5"/>
  <c r="W195" i="5"/>
  <c r="V195" i="5"/>
  <c r="U195" i="5"/>
  <c r="S96" i="5"/>
  <c r="W102" i="5"/>
  <c r="V102" i="5"/>
  <c r="U102" i="5"/>
  <c r="X118" i="5"/>
  <c r="W118" i="5"/>
  <c r="V118" i="5"/>
  <c r="U118" i="5"/>
  <c r="O138" i="5"/>
  <c r="S145" i="5"/>
  <c r="S161" i="5"/>
  <c r="X177" i="5"/>
  <c r="W177" i="5"/>
  <c r="V177" i="5"/>
  <c r="U177" i="5"/>
  <c r="X198" i="5"/>
  <c r="W198" i="5"/>
  <c r="V198" i="5"/>
  <c r="U198" i="5"/>
  <c r="X201" i="5"/>
  <c r="W201" i="5"/>
  <c r="V201" i="5"/>
  <c r="U201" i="5"/>
  <c r="S201" i="5"/>
  <c r="S175" i="5"/>
  <c r="S185" i="5"/>
  <c r="S195" i="5"/>
  <c r="S205" i="5"/>
  <c r="S102" i="5"/>
  <c r="S112" i="5"/>
  <c r="S122" i="5"/>
  <c r="S132" i="5"/>
  <c r="S142" i="5"/>
  <c r="S152" i="5"/>
  <c r="S162" i="5"/>
  <c r="S172" i="5"/>
  <c r="S182" i="5"/>
  <c r="S192" i="5"/>
  <c r="S202" i="5"/>
  <c r="S99" i="5"/>
  <c r="S109" i="5"/>
  <c r="S119" i="5"/>
  <c r="S129" i="5"/>
  <c r="S139" i="5"/>
  <c r="S149" i="5"/>
  <c r="S159" i="5"/>
  <c r="S169" i="5"/>
  <c r="S179" i="5"/>
  <c r="S209" i="5"/>
  <c r="S176" i="5"/>
  <c r="S206" i="5"/>
  <c r="S123" i="5"/>
  <c r="S143" i="5"/>
  <c r="T143" i="5" s="1"/>
  <c r="U143" i="5" s="1"/>
  <c r="V143" i="5" s="1"/>
  <c r="W143" i="5" s="1"/>
  <c r="X143" i="5" s="1"/>
  <c r="S153" i="5"/>
  <c r="S193" i="5"/>
  <c r="S203" i="5"/>
  <c r="U116" i="4"/>
  <c r="X6" i="4"/>
  <c r="U160" i="4"/>
  <c r="V80" i="4"/>
  <c r="W80" i="4" s="1"/>
  <c r="X80" i="4" s="1"/>
  <c r="U80" i="4"/>
  <c r="X30" i="4"/>
  <c r="W30" i="4"/>
  <c r="V30" i="4"/>
  <c r="U30" i="4"/>
  <c r="V73" i="4"/>
  <c r="W73" i="4" s="1"/>
  <c r="X73" i="4" s="1"/>
  <c r="U73" i="4"/>
  <c r="X83" i="4"/>
  <c r="W83" i="4"/>
  <c r="V83" i="4"/>
  <c r="U83" i="4"/>
  <c r="V103" i="4"/>
  <c r="X47" i="4"/>
  <c r="W47" i="4"/>
  <c r="U47" i="4"/>
  <c r="X37" i="4"/>
  <c r="W37" i="4"/>
  <c r="V37" i="4"/>
  <c r="U37" i="4"/>
  <c r="X13" i="4"/>
  <c r="W13" i="4"/>
  <c r="V13" i="4"/>
  <c r="U13" i="4"/>
  <c r="X8" i="4"/>
  <c r="W8" i="4"/>
  <c r="V8" i="4"/>
  <c r="U8" i="4"/>
  <c r="O11" i="4"/>
  <c r="V46" i="4"/>
  <c r="S51" i="4"/>
  <c r="T51" i="4" s="1"/>
  <c r="U58" i="4"/>
  <c r="O61" i="4"/>
  <c r="U89" i="4"/>
  <c r="X89" i="4"/>
  <c r="V92" i="4"/>
  <c r="U92" i="4"/>
  <c r="X113" i="4"/>
  <c r="W113" i="4"/>
  <c r="U113" i="4"/>
  <c r="V113" i="4"/>
  <c r="U143" i="4"/>
  <c r="V143" i="4"/>
  <c r="W143" i="4" s="1"/>
  <c r="X143" i="4" s="1"/>
  <c r="V152" i="4"/>
  <c r="U152" i="4"/>
  <c r="W152" i="4"/>
  <c r="X177" i="4"/>
  <c r="W177" i="4"/>
  <c r="V177" i="4"/>
  <c r="U177" i="4"/>
  <c r="S61" i="4"/>
  <c r="S67" i="4"/>
  <c r="X76" i="4"/>
  <c r="W76" i="4"/>
  <c r="X92" i="4"/>
  <c r="V102" i="4"/>
  <c r="U102" i="4"/>
  <c r="X102" i="4"/>
  <c r="W102" i="4"/>
  <c r="X148" i="4"/>
  <c r="W148" i="4"/>
  <c r="V148" i="4"/>
  <c r="U148" i="4"/>
  <c r="S161" i="4"/>
  <c r="X164" i="4"/>
  <c r="W164" i="4"/>
  <c r="V164" i="4"/>
  <c r="U164" i="4"/>
  <c r="W45" i="4"/>
  <c r="X67" i="4"/>
  <c r="W67" i="4"/>
  <c r="V67" i="4"/>
  <c r="U67" i="4"/>
  <c r="S11" i="4"/>
  <c r="S34" i="4"/>
  <c r="V5" i="4"/>
  <c r="W6" i="4"/>
  <c r="V32" i="4"/>
  <c r="U32" i="4"/>
  <c r="X33" i="4"/>
  <c r="W33" i="4"/>
  <c r="X39" i="4"/>
  <c r="X44" i="4"/>
  <c r="W44" i="4"/>
  <c r="V44" i="4"/>
  <c r="U44" i="4"/>
  <c r="X50" i="4"/>
  <c r="W50" i="4"/>
  <c r="V50" i="4"/>
  <c r="W55" i="4"/>
  <c r="V55" i="4"/>
  <c r="U55" i="4"/>
  <c r="W56" i="4"/>
  <c r="X75" i="4"/>
  <c r="X88" i="4"/>
  <c r="W88" i="4"/>
  <c r="V88" i="4"/>
  <c r="U88" i="4"/>
  <c r="X91" i="4"/>
  <c r="W91" i="4"/>
  <c r="V91" i="4"/>
  <c r="U91" i="4"/>
  <c r="W40" i="4"/>
  <c r="V40" i="4"/>
  <c r="V16" i="4"/>
  <c r="S21" i="4"/>
  <c r="T21" i="4" s="1"/>
  <c r="S27" i="4"/>
  <c r="T27" i="4" s="1"/>
  <c r="X28" i="4"/>
  <c r="W28" i="4"/>
  <c r="V28" i="4"/>
  <c r="U28" i="4"/>
  <c r="O31" i="4"/>
  <c r="W32" i="4"/>
  <c r="U33" i="4"/>
  <c r="S44" i="4"/>
  <c r="W49" i="4"/>
  <c r="U50" i="4"/>
  <c r="X55" i="4"/>
  <c r="V82" i="4"/>
  <c r="U82" i="4"/>
  <c r="S87" i="4"/>
  <c r="W135" i="4"/>
  <c r="V135" i="4"/>
  <c r="U135" i="4"/>
  <c r="X135" i="4"/>
  <c r="W7" i="4"/>
  <c r="X7" i="4"/>
  <c r="V7" i="4"/>
  <c r="U7" i="4"/>
  <c r="X71" i="4"/>
  <c r="W71" i="4"/>
  <c r="V71" i="4"/>
  <c r="U71" i="4"/>
  <c r="X18" i="4"/>
  <c r="W18" i="4"/>
  <c r="V18" i="4"/>
  <c r="U18" i="4"/>
  <c r="V4" i="4"/>
  <c r="X4" i="4"/>
  <c r="W4" i="4"/>
  <c r="U4" i="4"/>
  <c r="X10" i="4"/>
  <c r="W10" i="4"/>
  <c r="V10" i="4"/>
  <c r="W15" i="4"/>
  <c r="V15" i="4"/>
  <c r="U15" i="4"/>
  <c r="W16" i="4"/>
  <c r="X32" i="4"/>
  <c r="V33" i="4"/>
  <c r="U42" i="4"/>
  <c r="X43" i="4"/>
  <c r="W43" i="4"/>
  <c r="X49" i="4"/>
  <c r="X54" i="4"/>
  <c r="W54" i="4"/>
  <c r="V54" i="4"/>
  <c r="U54" i="4"/>
  <c r="W66" i="4"/>
  <c r="X66" i="4" s="1"/>
  <c r="X70" i="4"/>
  <c r="W70" i="4"/>
  <c r="U70" i="4"/>
  <c r="V70" i="4"/>
  <c r="S74" i="4"/>
  <c r="X124" i="4"/>
  <c r="V124" i="4"/>
  <c r="U124" i="4"/>
  <c r="X197" i="4"/>
  <c r="W197" i="4"/>
  <c r="V197" i="4"/>
  <c r="U197" i="4"/>
  <c r="X68" i="4"/>
  <c r="W68" i="4"/>
  <c r="V68" i="4"/>
  <c r="U68" i="4"/>
  <c r="U40" i="4"/>
  <c r="S4" i="4"/>
  <c r="W9" i="4"/>
  <c r="U10" i="4"/>
  <c r="X15" i="4"/>
  <c r="V26" i="4"/>
  <c r="S31" i="4"/>
  <c r="S37" i="4"/>
  <c r="X38" i="4"/>
  <c r="W38" i="4"/>
  <c r="V38" i="4"/>
  <c r="U38" i="4"/>
  <c r="O41" i="4"/>
  <c r="W42" i="4"/>
  <c r="U43" i="4"/>
  <c r="S54" i="4"/>
  <c r="X57" i="4"/>
  <c r="W57" i="4"/>
  <c r="V57" i="4"/>
  <c r="U57" i="4"/>
  <c r="X3" i="4"/>
  <c r="W3" i="4"/>
  <c r="W14" i="4"/>
  <c r="V14" i="4"/>
  <c r="U14" i="4"/>
  <c r="W25" i="4"/>
  <c r="V25" i="4"/>
  <c r="U25" i="4"/>
  <c r="W26" i="4"/>
  <c r="X42" i="4"/>
  <c r="V43" i="4"/>
  <c r="V52" i="4"/>
  <c r="U52" i="4"/>
  <c r="X64" i="4"/>
  <c r="W64" i="4"/>
  <c r="V64" i="4"/>
  <c r="U64" i="4"/>
  <c r="X77" i="4"/>
  <c r="W77" i="4"/>
  <c r="V77" i="4"/>
  <c r="U77" i="4"/>
  <c r="X81" i="4"/>
  <c r="W81" i="4"/>
  <c r="V81" i="4"/>
  <c r="U81" i="4"/>
  <c r="S94" i="4"/>
  <c r="U3" i="4"/>
  <c r="S14" i="4"/>
  <c r="X25" i="4"/>
  <c r="S41" i="4"/>
  <c r="S47" i="4"/>
  <c r="X48" i="4"/>
  <c r="W48" i="4"/>
  <c r="V48" i="4"/>
  <c r="U48" i="4"/>
  <c r="W52" i="4"/>
  <c r="U53" i="4"/>
  <c r="S64" i="4"/>
  <c r="U69" i="4"/>
  <c r="X69" i="4"/>
  <c r="S77" i="4"/>
  <c r="W85" i="4"/>
  <c r="V85" i="4"/>
  <c r="U85" i="4"/>
  <c r="V89" i="4"/>
  <c r="X34" i="4"/>
  <c r="W34" i="4"/>
  <c r="V34" i="4"/>
  <c r="U34" i="4"/>
  <c r="W46" i="4"/>
  <c r="S84" i="4"/>
  <c r="X45" i="4"/>
  <c r="V3" i="4"/>
  <c r="V12" i="4"/>
  <c r="U12" i="4"/>
  <c r="X19" i="4"/>
  <c r="X24" i="4"/>
  <c r="W24" i="4"/>
  <c r="V24" i="4"/>
  <c r="U24" i="4"/>
  <c r="V29" i="4"/>
  <c r="W35" i="4"/>
  <c r="V35" i="4"/>
  <c r="U35" i="4"/>
  <c r="U46" i="4"/>
  <c r="X52" i="4"/>
  <c r="V53" i="4"/>
  <c r="W53" i="4" s="1"/>
  <c r="X53" i="4" s="1"/>
  <c r="V62" i="4"/>
  <c r="U62" i="4"/>
  <c r="O71" i="4"/>
  <c r="X85" i="4"/>
  <c r="W89" i="4"/>
  <c r="X153" i="4"/>
  <c r="W153" i="4"/>
  <c r="U153" i="4"/>
  <c r="W184" i="4"/>
  <c r="X184" i="4" s="1"/>
  <c r="V184" i="4"/>
  <c r="U184" i="4"/>
  <c r="X187" i="4"/>
  <c r="W187" i="4"/>
  <c r="V187" i="4"/>
  <c r="U187" i="4"/>
  <c r="S107" i="4"/>
  <c r="S111" i="4"/>
  <c r="S127" i="4"/>
  <c r="S131" i="4"/>
  <c r="X144" i="4"/>
  <c r="W144" i="4"/>
  <c r="V144" i="4"/>
  <c r="U144" i="4"/>
  <c r="X170" i="4"/>
  <c r="W170" i="4"/>
  <c r="V170" i="4"/>
  <c r="U186" i="4"/>
  <c r="X186" i="4"/>
  <c r="V186" i="4"/>
  <c r="X200" i="4"/>
  <c r="W200" i="4"/>
  <c r="V200" i="4"/>
  <c r="X208" i="4"/>
  <c r="W208" i="4"/>
  <c r="V208" i="4"/>
  <c r="U208" i="4"/>
  <c r="X106" i="4"/>
  <c r="V106" i="4"/>
  <c r="U119" i="4"/>
  <c r="W119" i="4"/>
  <c r="V122" i="4"/>
  <c r="U122" i="4"/>
  <c r="X122" i="4"/>
  <c r="U139" i="4"/>
  <c r="W139" i="4"/>
  <c r="X139" i="4"/>
  <c r="S147" i="4"/>
  <c r="X167" i="4"/>
  <c r="W167" i="4"/>
  <c r="V167" i="4"/>
  <c r="U167" i="4"/>
  <c r="U170" i="4"/>
  <c r="W186" i="4"/>
  <c r="X190" i="4"/>
  <c r="W190" i="4"/>
  <c r="V190" i="4"/>
  <c r="X193" i="4"/>
  <c r="X205" i="4"/>
  <c r="W205" i="4"/>
  <c r="V205" i="4"/>
  <c r="U205" i="4"/>
  <c r="S71" i="4"/>
  <c r="S81" i="4"/>
  <c r="S91" i="4"/>
  <c r="U106" i="4"/>
  <c r="X110" i="4"/>
  <c r="W110" i="4"/>
  <c r="V110" i="4"/>
  <c r="X118" i="4"/>
  <c r="W118" i="4"/>
  <c r="V118" i="4"/>
  <c r="U118" i="4"/>
  <c r="W122" i="4"/>
  <c r="W130" i="4"/>
  <c r="X138" i="4"/>
  <c r="W138" i="4"/>
  <c r="V138" i="4"/>
  <c r="U138" i="4"/>
  <c r="V142" i="4"/>
  <c r="U142" i="4"/>
  <c r="X142" i="4"/>
  <c r="S151" i="4"/>
  <c r="W155" i="4"/>
  <c r="V155" i="4"/>
  <c r="U155" i="4"/>
  <c r="X180" i="4"/>
  <c r="W180" i="4"/>
  <c r="V180" i="4"/>
  <c r="X183" i="4"/>
  <c r="W183" i="4"/>
  <c r="U183" i="4"/>
  <c r="W192" i="4"/>
  <c r="V192" i="4"/>
  <c r="U192" i="4"/>
  <c r="X192" i="4"/>
  <c r="X195" i="4"/>
  <c r="W195" i="4"/>
  <c r="V195" i="4"/>
  <c r="U195" i="4"/>
  <c r="S97" i="4"/>
  <c r="T97" i="4" s="1"/>
  <c r="S101" i="4"/>
  <c r="W105" i="4"/>
  <c r="V105" i="4"/>
  <c r="U105" i="4"/>
  <c r="W106" i="4"/>
  <c r="W125" i="4"/>
  <c r="V125" i="4"/>
  <c r="U125" i="4"/>
  <c r="O154" i="4"/>
  <c r="U176" i="4"/>
  <c r="X176" i="4"/>
  <c r="V176" i="4"/>
  <c r="W182" i="4"/>
  <c r="V182" i="4"/>
  <c r="U182" i="4"/>
  <c r="X182" i="4"/>
  <c r="X185" i="4"/>
  <c r="W185" i="4"/>
  <c r="V185" i="4"/>
  <c r="U185" i="4"/>
  <c r="V189" i="4"/>
  <c r="U189" i="4"/>
  <c r="W189" i="4"/>
  <c r="W202" i="4"/>
  <c r="V202" i="4"/>
  <c r="U202" i="4"/>
  <c r="X202" i="4"/>
  <c r="T211" i="4"/>
  <c r="S96" i="4"/>
  <c r="U109" i="4"/>
  <c r="W109" i="4"/>
  <c r="S121" i="4"/>
  <c r="W145" i="4"/>
  <c r="V145" i="4"/>
  <c r="U145" i="4"/>
  <c r="X150" i="4"/>
  <c r="W150" i="4"/>
  <c r="V150" i="4"/>
  <c r="X160" i="4"/>
  <c r="W160" i="4"/>
  <c r="V160" i="4"/>
  <c r="W172" i="4"/>
  <c r="V172" i="4"/>
  <c r="U172" i="4"/>
  <c r="X172" i="4"/>
  <c r="X175" i="4"/>
  <c r="W175" i="4"/>
  <c r="V175" i="4"/>
  <c r="U175" i="4"/>
  <c r="X188" i="4"/>
  <c r="W188" i="4"/>
  <c r="V188" i="4"/>
  <c r="U188" i="4"/>
  <c r="X198" i="4"/>
  <c r="W198" i="4"/>
  <c r="V198" i="4"/>
  <c r="U198" i="4"/>
  <c r="S201" i="4"/>
  <c r="S2" i="4"/>
  <c r="S12" i="4"/>
  <c r="S22" i="4"/>
  <c r="T22" i="4" s="1"/>
  <c r="S32" i="4"/>
  <c r="S42" i="4"/>
  <c r="S52" i="4"/>
  <c r="S62" i="4"/>
  <c r="S72" i="4"/>
  <c r="S82" i="4"/>
  <c r="S92" i="4"/>
  <c r="X100" i="4"/>
  <c r="W100" i="4"/>
  <c r="V100" i="4"/>
  <c r="V109" i="4"/>
  <c r="X114" i="4"/>
  <c r="W114" i="4"/>
  <c r="V114" i="4"/>
  <c r="U114" i="4"/>
  <c r="X134" i="4"/>
  <c r="W134" i="4"/>
  <c r="S141" i="4"/>
  <c r="X145" i="4"/>
  <c r="U159" i="4"/>
  <c r="W159" i="4"/>
  <c r="X159" i="4"/>
  <c r="X163" i="4"/>
  <c r="W163" i="4"/>
  <c r="U163" i="4"/>
  <c r="U166" i="4"/>
  <c r="X166" i="4"/>
  <c r="V166" i="4"/>
  <c r="X178" i="4"/>
  <c r="W178" i="4"/>
  <c r="V178" i="4"/>
  <c r="U178" i="4"/>
  <c r="S191" i="4"/>
  <c r="T230" i="4"/>
  <c r="T229" i="4"/>
  <c r="T231" i="4" s="1"/>
  <c r="T233" i="4"/>
  <c r="T232" i="4"/>
  <c r="T235" i="4" s="1"/>
  <c r="X104" i="4"/>
  <c r="W104" i="4"/>
  <c r="V104" i="4"/>
  <c r="U104" i="4"/>
  <c r="X109" i="4"/>
  <c r="X116" i="4"/>
  <c r="V116" i="4"/>
  <c r="X120" i="4"/>
  <c r="W120" i="4"/>
  <c r="V120" i="4"/>
  <c r="U150" i="4"/>
  <c r="X158" i="4"/>
  <c r="W158" i="4"/>
  <c r="V158" i="4"/>
  <c r="U158" i="4"/>
  <c r="W162" i="4"/>
  <c r="V162" i="4"/>
  <c r="U162" i="4"/>
  <c r="X162" i="4"/>
  <c r="V169" i="4"/>
  <c r="U169" i="4"/>
  <c r="W169" i="4"/>
  <c r="S181" i="4"/>
  <c r="V112" i="4"/>
  <c r="U112" i="4"/>
  <c r="X112" i="4"/>
  <c r="V132" i="4"/>
  <c r="U132" i="4"/>
  <c r="X132" i="4"/>
  <c r="X140" i="4"/>
  <c r="W140" i="4"/>
  <c r="V140" i="4"/>
  <c r="X168" i="4"/>
  <c r="W168" i="4"/>
  <c r="V168" i="4"/>
  <c r="U168" i="4"/>
  <c r="S171" i="4"/>
  <c r="X207" i="4"/>
  <c r="W207" i="4"/>
  <c r="V207" i="4"/>
  <c r="U207" i="4"/>
  <c r="V209" i="4"/>
  <c r="U209" i="4"/>
  <c r="X209" i="4"/>
  <c r="W209" i="4"/>
  <c r="X108" i="4"/>
  <c r="W108" i="4"/>
  <c r="V108" i="4"/>
  <c r="U108" i="4"/>
  <c r="W112" i="4"/>
  <c r="X128" i="4"/>
  <c r="W128" i="4"/>
  <c r="V128" i="4"/>
  <c r="U128" i="4"/>
  <c r="W132" i="4"/>
  <c r="W149" i="4"/>
  <c r="X149" i="4"/>
  <c r="X154" i="4"/>
  <c r="W154" i="4"/>
  <c r="V154" i="4"/>
  <c r="U154" i="4"/>
  <c r="S157" i="4"/>
  <c r="X194" i="4"/>
  <c r="W194" i="4"/>
  <c r="U194" i="4"/>
  <c r="U200" i="4"/>
  <c r="U206" i="4"/>
  <c r="X206" i="4"/>
  <c r="W206" i="4"/>
  <c r="V206" i="4"/>
  <c r="S118" i="4"/>
  <c r="S128" i="4"/>
  <c r="S138" i="4"/>
  <c r="S148" i="4"/>
  <c r="S158" i="4"/>
  <c r="S168" i="4"/>
  <c r="S178" i="4"/>
  <c r="S188" i="4"/>
  <c r="S198" i="4"/>
  <c r="S208" i="4"/>
  <c r="S105" i="4"/>
  <c r="S115" i="4"/>
  <c r="T115" i="4" s="1"/>
  <c r="S125" i="4"/>
  <c r="S135" i="4"/>
  <c r="S145" i="4"/>
  <c r="S155" i="4"/>
  <c r="S165" i="4"/>
  <c r="S175" i="4"/>
  <c r="S185" i="4"/>
  <c r="S195" i="4"/>
  <c r="S205" i="4"/>
  <c r="S102" i="4"/>
  <c r="S112" i="4"/>
  <c r="S122" i="4"/>
  <c r="S132" i="4"/>
  <c r="S142" i="4"/>
  <c r="S152" i="4"/>
  <c r="S162" i="4"/>
  <c r="S172" i="4"/>
  <c r="S182" i="4"/>
  <c r="S192" i="4"/>
  <c r="S109" i="4"/>
  <c r="S209" i="4"/>
  <c r="S106" i="4"/>
  <c r="S116" i="4"/>
  <c r="S126" i="4"/>
  <c r="S136" i="4"/>
  <c r="S146" i="4"/>
  <c r="S156" i="4"/>
  <c r="T156" i="4" s="1"/>
  <c r="S186" i="4"/>
  <c r="S196" i="4"/>
  <c r="S206" i="4"/>
  <c r="S46" i="1"/>
  <c r="S51" i="1"/>
  <c r="T190" i="1"/>
  <c r="X190" i="1" s="1"/>
  <c r="S23" i="1"/>
  <c r="O38" i="1"/>
  <c r="S33" i="1"/>
  <c r="S38" i="1"/>
  <c r="S53" i="1"/>
  <c r="T53" i="1" s="1"/>
  <c r="O121" i="1"/>
  <c r="O131" i="1"/>
  <c r="O151" i="1"/>
  <c r="S139" i="1"/>
  <c r="S144" i="1"/>
  <c r="S149" i="1"/>
  <c r="O64" i="1"/>
  <c r="S20" i="1"/>
  <c r="T20" i="1" s="1"/>
  <c r="O52" i="1"/>
  <c r="O57" i="1"/>
  <c r="O92" i="1"/>
  <c r="O192" i="1"/>
  <c r="S129" i="1"/>
  <c r="S126" i="1"/>
  <c r="S165" i="1"/>
  <c r="T165" i="1" s="1"/>
  <c r="U165" i="1" s="1"/>
  <c r="V165" i="1" s="1"/>
  <c r="W165" i="1" s="1"/>
  <c r="X165" i="1" s="1"/>
  <c r="O69" i="1"/>
  <c r="S52" i="1"/>
  <c r="S201" i="1"/>
  <c r="S19" i="1"/>
  <c r="T189" i="1"/>
  <c r="U189" i="1" s="1"/>
  <c r="O157" i="1"/>
  <c r="S162" i="1"/>
  <c r="T175" i="1"/>
  <c r="X175" i="1" s="1"/>
  <c r="T180" i="1"/>
  <c r="V180" i="1" s="1"/>
  <c r="O5" i="1"/>
  <c r="O15" i="1"/>
  <c r="O20" i="1"/>
  <c r="O25" i="1"/>
  <c r="O55" i="1"/>
  <c r="O80" i="1"/>
  <c r="O85" i="1"/>
  <c r="O90" i="1"/>
  <c r="O115" i="1"/>
  <c r="O160" i="1"/>
  <c r="S34" i="1"/>
  <c r="O3" i="1"/>
  <c r="O78" i="1"/>
  <c r="O133" i="1"/>
  <c r="O153" i="1"/>
  <c r="O188" i="1"/>
  <c r="O202" i="1"/>
  <c r="S18" i="1"/>
  <c r="T59" i="1"/>
  <c r="W59" i="1" s="1"/>
  <c r="S60" i="1"/>
  <c r="T60" i="1" s="1"/>
  <c r="S179" i="1"/>
  <c r="O53" i="1"/>
  <c r="O181" i="1"/>
  <c r="O186" i="1"/>
  <c r="S119" i="1"/>
  <c r="S153" i="1"/>
  <c r="S166" i="1"/>
  <c r="S175" i="1"/>
  <c r="O36" i="1"/>
  <c r="O41" i="1"/>
  <c r="O113" i="1"/>
  <c r="O200" i="1"/>
  <c r="O205" i="1"/>
  <c r="S158" i="1"/>
  <c r="S189" i="1"/>
  <c r="S193" i="1"/>
  <c r="O9" i="1"/>
  <c r="O143" i="1"/>
  <c r="S15" i="1"/>
  <c r="S24" i="1"/>
  <c r="T24" i="1" s="1"/>
  <c r="S43" i="1"/>
  <c r="S48" i="1"/>
  <c r="S57" i="1"/>
  <c r="S181" i="1"/>
  <c r="S202" i="1"/>
  <c r="O7" i="1"/>
  <c r="O49" i="1"/>
  <c r="O141" i="1"/>
  <c r="O167" i="1"/>
  <c r="O172" i="1"/>
  <c r="O187" i="1"/>
  <c r="S44" i="1"/>
  <c r="S198" i="1"/>
  <c r="O201" i="1"/>
  <c r="S30" i="1"/>
  <c r="S35" i="1"/>
  <c r="S39" i="1"/>
  <c r="T194" i="1"/>
  <c r="X194" i="1" s="1"/>
  <c r="S208" i="1"/>
  <c r="T198" i="1"/>
  <c r="X198" i="1" s="1"/>
  <c r="T203" i="1"/>
  <c r="X203" i="1" s="1"/>
  <c r="O142" i="1"/>
  <c r="O147" i="1"/>
  <c r="O159" i="1"/>
  <c r="O163" i="1"/>
  <c r="O178" i="1"/>
  <c r="O183" i="1"/>
  <c r="T208" i="1"/>
  <c r="X208" i="1" s="1"/>
  <c r="O207" i="1"/>
  <c r="S22" i="1"/>
  <c r="S6" i="1"/>
  <c r="S10" i="1"/>
  <c r="S36" i="1"/>
  <c r="S128" i="1"/>
  <c r="O30" i="1"/>
  <c r="O67" i="1"/>
  <c r="O110" i="1"/>
  <c r="T167" i="1"/>
  <c r="X167" i="1" s="1"/>
  <c r="S28" i="1"/>
  <c r="S32" i="1"/>
  <c r="S124" i="1"/>
  <c r="S137" i="1"/>
  <c r="S182" i="1"/>
  <c r="O6" i="1"/>
  <c r="O23" i="1"/>
  <c r="O28" i="1"/>
  <c r="O35" i="1"/>
  <c r="O40" i="1"/>
  <c r="O50" i="1"/>
  <c r="O72" i="1"/>
  <c r="O84" i="1"/>
  <c r="O89" i="1"/>
  <c r="O125" i="1"/>
  <c r="O149" i="1"/>
  <c r="O196" i="1"/>
  <c r="T139" i="1"/>
  <c r="V139" i="1" s="1"/>
  <c r="O182" i="1"/>
  <c r="O194" i="1"/>
  <c r="O198" i="1"/>
  <c r="O203" i="1"/>
  <c r="S16" i="1"/>
  <c r="S42" i="1"/>
  <c r="S133" i="1"/>
  <c r="S150" i="1"/>
  <c r="S178" i="1"/>
  <c r="S207" i="1"/>
  <c r="O16" i="1"/>
  <c r="O21" i="1"/>
  <c r="O26" i="1"/>
  <c r="O43" i="1"/>
  <c r="O70" i="1"/>
  <c r="O82" i="1"/>
  <c r="O118" i="1"/>
  <c r="O128" i="1"/>
  <c r="O137" i="1"/>
  <c r="O180" i="1"/>
  <c r="T187" i="1"/>
  <c r="X187" i="1" s="1"/>
  <c r="S3" i="1"/>
  <c r="S25" i="1"/>
  <c r="S155" i="1"/>
  <c r="S199" i="1"/>
  <c r="O111" i="1"/>
  <c r="O135" i="1"/>
  <c r="O140" i="1"/>
  <c r="O145" i="1"/>
  <c r="T159" i="1"/>
  <c r="V159" i="1" s="1"/>
  <c r="O161" i="1"/>
  <c r="O166" i="1"/>
  <c r="O206" i="1"/>
  <c r="T128" i="1"/>
  <c r="X128" i="1" s="1"/>
  <c r="S143" i="1"/>
  <c r="T143" i="1" s="1"/>
  <c r="S147" i="1"/>
  <c r="S188" i="1"/>
  <c r="S192" i="1"/>
  <c r="S200" i="1"/>
  <c r="O24" i="1"/>
  <c r="O61" i="1"/>
  <c r="O66" i="1"/>
  <c r="O100" i="1"/>
  <c r="O105" i="1"/>
  <c r="O148" i="1"/>
  <c r="O155" i="1"/>
  <c r="O164" i="1"/>
  <c r="O199" i="1"/>
  <c r="T206" i="1"/>
  <c r="X206" i="1" s="1"/>
  <c r="S127" i="1"/>
  <c r="S167" i="1"/>
  <c r="S171" i="1"/>
  <c r="S180" i="1"/>
  <c r="S209" i="1"/>
  <c r="O22" i="1"/>
  <c r="S29" i="1"/>
  <c r="O44" i="1"/>
  <c r="O119" i="1"/>
  <c r="O124" i="1"/>
  <c r="T178" i="1"/>
  <c r="V178" i="1" s="1"/>
  <c r="S61" i="1"/>
  <c r="S148" i="1"/>
  <c r="O176" i="1"/>
  <c r="S14" i="1"/>
  <c r="O59" i="1"/>
  <c r="O98" i="1"/>
  <c r="O108" i="1"/>
  <c r="O117" i="1"/>
  <c r="O122" i="1"/>
  <c r="O127" i="1"/>
  <c r="O162" i="1"/>
  <c r="O174" i="1"/>
  <c r="O179" i="1"/>
  <c r="O184" i="1"/>
  <c r="S187" i="1"/>
  <c r="S173" i="1"/>
  <c r="T173" i="1" s="1"/>
  <c r="S194" i="1"/>
  <c r="O4" i="1"/>
  <c r="S8" i="1"/>
  <c r="O13" i="1"/>
  <c r="S17" i="1"/>
  <c r="O33" i="1"/>
  <c r="S37" i="1"/>
  <c r="S58" i="1"/>
  <c r="O63" i="1"/>
  <c r="O74" i="1"/>
  <c r="O81" i="1"/>
  <c r="O86" i="1"/>
  <c r="O91" i="1"/>
  <c r="O123" i="1"/>
  <c r="S152" i="1"/>
  <c r="S170" i="1"/>
  <c r="S177" i="1"/>
  <c r="S184" i="1"/>
  <c r="T184" i="1" s="1"/>
  <c r="U184" i="1" s="1"/>
  <c r="V184" i="1" s="1"/>
  <c r="W184" i="1" s="1"/>
  <c r="X184" i="1" s="1"/>
  <c r="S191" i="1"/>
  <c r="S204" i="1"/>
  <c r="T204" i="1" s="1"/>
  <c r="U204" i="1" s="1"/>
  <c r="V204" i="1" s="1"/>
  <c r="W204" i="1" s="1"/>
  <c r="X204" i="1" s="1"/>
  <c r="O11" i="1"/>
  <c r="O31" i="1"/>
  <c r="O47" i="1"/>
  <c r="O79" i="1"/>
  <c r="O96" i="1"/>
  <c r="O103" i="1"/>
  <c r="O130" i="1"/>
  <c r="S134" i="1"/>
  <c r="O150" i="1"/>
  <c r="T154" i="1"/>
  <c r="V154" i="1" s="1"/>
  <c r="O169" i="1"/>
  <c r="O189" i="1"/>
  <c r="O208" i="1"/>
  <c r="S13" i="1"/>
  <c r="S49" i="1"/>
  <c r="S56" i="1"/>
  <c r="S161" i="1"/>
  <c r="S164" i="1"/>
  <c r="S174" i="1"/>
  <c r="T174" i="1" s="1"/>
  <c r="U174" i="1" s="1"/>
  <c r="S185" i="1"/>
  <c r="S195" i="1"/>
  <c r="S205" i="1"/>
  <c r="S11" i="1"/>
  <c r="O27" i="1"/>
  <c r="S31" i="1"/>
  <c r="O45" i="1"/>
  <c r="S47" i="1"/>
  <c r="S54" i="1"/>
  <c r="O94" i="1"/>
  <c r="O101" i="1"/>
  <c r="O106" i="1"/>
  <c r="S116" i="1"/>
  <c r="O126" i="1"/>
  <c r="O146" i="1"/>
  <c r="O165" i="1"/>
  <c r="O185" i="1"/>
  <c r="O204" i="1"/>
  <c r="S157" i="1"/>
  <c r="T157" i="1" s="1"/>
  <c r="U157" i="1" s="1"/>
  <c r="V157" i="1" s="1"/>
  <c r="W157" i="1" s="1"/>
  <c r="X157" i="1" s="1"/>
  <c r="S27" i="1"/>
  <c r="T27" i="1" s="1"/>
  <c r="S59" i="1"/>
  <c r="S159" i="1"/>
  <c r="S186" i="1"/>
  <c r="S196" i="1"/>
  <c r="T196" i="1" s="1"/>
  <c r="U196" i="1" s="1"/>
  <c r="S206" i="1"/>
  <c r="S50" i="1"/>
  <c r="S75" i="1"/>
  <c r="S4" i="1"/>
  <c r="T179" i="1"/>
  <c r="U179" i="1" s="1"/>
  <c r="T199" i="1"/>
  <c r="U199" i="1" s="1"/>
  <c r="V199" i="1" s="1"/>
  <c r="W199" i="1" s="1"/>
  <c r="X199" i="1" s="1"/>
  <c r="O10" i="1"/>
  <c r="O19" i="1"/>
  <c r="O39" i="1"/>
  <c r="O46" i="1"/>
  <c r="O60" i="1"/>
  <c r="O71" i="1"/>
  <c r="O102" i="1"/>
  <c r="O107" i="1"/>
  <c r="O138" i="1"/>
  <c r="O158" i="1"/>
  <c r="O177" i="1"/>
  <c r="O197" i="1"/>
  <c r="S142" i="1"/>
  <c r="S169" i="1"/>
  <c r="S176" i="1"/>
  <c r="S183" i="1"/>
  <c r="S190" i="1"/>
  <c r="S197" i="1"/>
  <c r="S203" i="1"/>
  <c r="O8" i="1"/>
  <c r="O17" i="1"/>
  <c r="S21" i="1"/>
  <c r="T21" i="1" s="1"/>
  <c r="O37" i="1"/>
  <c r="S41" i="1"/>
  <c r="O51" i="1"/>
  <c r="O65" i="1"/>
  <c r="T67" i="1"/>
  <c r="U67" i="1" s="1"/>
  <c r="S73" i="1"/>
  <c r="T73" i="1" s="1"/>
  <c r="O76" i="1"/>
  <c r="O83" i="1"/>
  <c r="O120" i="1"/>
  <c r="V164" i="1"/>
  <c r="O56" i="1"/>
  <c r="O75" i="1"/>
  <c r="O95" i="1"/>
  <c r="O114" i="1"/>
  <c r="O134" i="1"/>
  <c r="O154" i="1"/>
  <c r="O173" i="1"/>
  <c r="O193" i="1"/>
  <c r="O54" i="1"/>
  <c r="O73" i="1"/>
  <c r="O93" i="1"/>
  <c r="O112" i="1"/>
  <c r="O132" i="1"/>
  <c r="O152" i="1"/>
  <c r="O171" i="1"/>
  <c r="O191" i="1"/>
  <c r="U155" i="1"/>
  <c r="O48" i="1"/>
  <c r="O68" i="1"/>
  <c r="O87" i="1"/>
  <c r="V150" i="1"/>
  <c r="V76" i="1"/>
  <c r="U145" i="1"/>
  <c r="O62" i="1"/>
  <c r="W7" i="1"/>
  <c r="S154" i="1"/>
  <c r="T77" i="1"/>
  <c r="V77" i="1" s="1"/>
  <c r="T61" i="1"/>
  <c r="U61" i="1" s="1"/>
  <c r="T68" i="1"/>
  <c r="U68" i="1" s="1"/>
  <c r="O58" i="1"/>
  <c r="O77" i="1"/>
  <c r="O97" i="1"/>
  <c r="O116" i="1"/>
  <c r="O136" i="1"/>
  <c r="O156" i="1"/>
  <c r="O175" i="1"/>
  <c r="O195" i="1"/>
  <c r="W3" i="1"/>
  <c r="U3" i="1"/>
  <c r="X3" i="1"/>
  <c r="V3" i="1"/>
  <c r="T6" i="1"/>
  <c r="S12" i="1"/>
  <c r="T17" i="1"/>
  <c r="T22" i="1"/>
  <c r="T32" i="1"/>
  <c r="T37" i="1"/>
  <c r="T42" i="1"/>
  <c r="T47" i="1"/>
  <c r="T52" i="1"/>
  <c r="V57" i="1"/>
  <c r="U57" i="1"/>
  <c r="X57" i="1"/>
  <c r="V12" i="1"/>
  <c r="U12" i="1"/>
  <c r="S9" i="1"/>
  <c r="T11" i="1"/>
  <c r="X12" i="1"/>
  <c r="T14" i="1"/>
  <c r="T19" i="1"/>
  <c r="T29" i="1"/>
  <c r="T34" i="1"/>
  <c r="T39" i="1"/>
  <c r="T44" i="1"/>
  <c r="T49" i="1"/>
  <c r="T54" i="1"/>
  <c r="X65" i="1"/>
  <c r="W65" i="1"/>
  <c r="V65" i="1"/>
  <c r="U65" i="1"/>
  <c r="V9" i="1"/>
  <c r="U9" i="1"/>
  <c r="W12" i="1"/>
  <c r="W9" i="1"/>
  <c r="V5" i="1"/>
  <c r="U5" i="1"/>
  <c r="S5" i="1"/>
  <c r="T8" i="1"/>
  <c r="X9" i="1"/>
  <c r="T16" i="1"/>
  <c r="T26" i="1"/>
  <c r="T31" i="1"/>
  <c r="T36" i="1"/>
  <c r="T41" i="1"/>
  <c r="T46" i="1"/>
  <c r="T51" i="1"/>
  <c r="T56" i="1"/>
  <c r="U69" i="1"/>
  <c r="X69" i="1"/>
  <c r="W69" i="1"/>
  <c r="V69" i="1"/>
  <c r="W5" i="1"/>
  <c r="T4" i="1"/>
  <c r="X5" i="1"/>
  <c r="T13" i="1"/>
  <c r="T18" i="1"/>
  <c r="T23" i="1"/>
  <c r="T28" i="1"/>
  <c r="T33" i="1"/>
  <c r="T38" i="1"/>
  <c r="T43" i="1"/>
  <c r="T48" i="1"/>
  <c r="T58" i="1"/>
  <c r="S64" i="1"/>
  <c r="T64" i="1"/>
  <c r="V7" i="1"/>
  <c r="U7" i="1"/>
  <c r="S7" i="1"/>
  <c r="T10" i="1"/>
  <c r="T15" i="1"/>
  <c r="T25" i="1"/>
  <c r="T30" i="1"/>
  <c r="T35" i="1"/>
  <c r="T40" i="1"/>
  <c r="T45" i="1"/>
  <c r="T50" i="1"/>
  <c r="T55" i="1"/>
  <c r="S92" i="1"/>
  <c r="T92" i="1"/>
  <c r="S102" i="1"/>
  <c r="T102" i="1"/>
  <c r="S111" i="1"/>
  <c r="T111" i="1" s="1"/>
  <c r="T131" i="1"/>
  <c r="S131" i="1"/>
  <c r="X137" i="1"/>
  <c r="W137" i="1"/>
  <c r="V137" i="1"/>
  <c r="U137" i="1"/>
  <c r="S65" i="1"/>
  <c r="T66" i="1"/>
  <c r="S74" i="1"/>
  <c r="T75" i="1"/>
  <c r="U76" i="1"/>
  <c r="S82" i="1"/>
  <c r="T82" i="1"/>
  <c r="S87" i="1"/>
  <c r="T87" i="1"/>
  <c r="S95" i="1"/>
  <c r="T95" i="1"/>
  <c r="S105" i="1"/>
  <c r="T105" i="1"/>
  <c r="S114" i="1"/>
  <c r="T114" i="1"/>
  <c r="S120" i="1"/>
  <c r="X135" i="1"/>
  <c r="W135" i="1"/>
  <c r="V135" i="1"/>
  <c r="U135" i="1"/>
  <c r="X151" i="1"/>
  <c r="W151" i="1"/>
  <c r="V151" i="1"/>
  <c r="U151" i="1"/>
  <c r="S98" i="1"/>
  <c r="T98" i="1" s="1"/>
  <c r="S108" i="1"/>
  <c r="T108" i="1"/>
  <c r="X160" i="1"/>
  <c r="W160" i="1"/>
  <c r="V160" i="1"/>
  <c r="U160" i="1"/>
  <c r="S63" i="1"/>
  <c r="T63" i="1" s="1"/>
  <c r="S72" i="1"/>
  <c r="T72" i="1" s="1"/>
  <c r="U74" i="1"/>
  <c r="W76" i="1"/>
  <c r="S81" i="1"/>
  <c r="T81" i="1"/>
  <c r="S86" i="1"/>
  <c r="T86" i="1" s="1"/>
  <c r="S91" i="1"/>
  <c r="T91" i="1"/>
  <c r="S101" i="1"/>
  <c r="T101" i="1"/>
  <c r="S110" i="1"/>
  <c r="T110" i="1"/>
  <c r="S122" i="1"/>
  <c r="V74" i="1"/>
  <c r="S94" i="1"/>
  <c r="T94" i="1"/>
  <c r="S104" i="1"/>
  <c r="T104" i="1"/>
  <c r="S113" i="1"/>
  <c r="T113" i="1"/>
  <c r="T62" i="1"/>
  <c r="T71" i="1"/>
  <c r="W74" i="1"/>
  <c r="S80" i="1"/>
  <c r="T80" i="1" s="1"/>
  <c r="S85" i="1"/>
  <c r="T85" i="1"/>
  <c r="S90" i="1"/>
  <c r="T90" i="1" s="1"/>
  <c r="S97" i="1"/>
  <c r="T97" i="1" s="1"/>
  <c r="S107" i="1"/>
  <c r="T107" i="1" s="1"/>
  <c r="W128" i="1"/>
  <c r="V128" i="1"/>
  <c r="U128" i="1"/>
  <c r="T136" i="1"/>
  <c r="S136" i="1"/>
  <c r="X140" i="1"/>
  <c r="W140" i="1"/>
  <c r="V140" i="1"/>
  <c r="U140" i="1"/>
  <c r="S70" i="1"/>
  <c r="S79" i="1"/>
  <c r="T79" i="1" s="1"/>
  <c r="S100" i="1"/>
  <c r="T100" i="1"/>
  <c r="X130" i="1"/>
  <c r="W130" i="1"/>
  <c r="V130" i="1"/>
  <c r="U130" i="1"/>
  <c r="X132" i="1"/>
  <c r="W132" i="1"/>
  <c r="V132" i="1"/>
  <c r="U132" i="1"/>
  <c r="S69" i="1"/>
  <c r="T70" i="1"/>
  <c r="S78" i="1"/>
  <c r="S84" i="1"/>
  <c r="T84" i="1"/>
  <c r="S89" i="1"/>
  <c r="T89" i="1"/>
  <c r="S93" i="1"/>
  <c r="T93" i="1"/>
  <c r="S103" i="1"/>
  <c r="T103" i="1" s="1"/>
  <c r="S112" i="1"/>
  <c r="T112" i="1"/>
  <c r="S121" i="1"/>
  <c r="S68" i="1"/>
  <c r="S77" i="1"/>
  <c r="T78" i="1"/>
  <c r="S96" i="1"/>
  <c r="T96" i="1"/>
  <c r="S106" i="1"/>
  <c r="T106" i="1"/>
  <c r="S115" i="1"/>
  <c r="T115" i="1" s="1"/>
  <c r="S67" i="1"/>
  <c r="S76" i="1"/>
  <c r="S83" i="1"/>
  <c r="T83" i="1"/>
  <c r="S88" i="1"/>
  <c r="T88" i="1"/>
  <c r="S99" i="1"/>
  <c r="T99" i="1" s="1"/>
  <c r="S109" i="1"/>
  <c r="T109" i="1"/>
  <c r="S118" i="1"/>
  <c r="S123" i="1"/>
  <c r="T123" i="1" s="1"/>
  <c r="X141" i="1"/>
  <c r="W141" i="1"/>
  <c r="V141" i="1"/>
  <c r="U141" i="1"/>
  <c r="T116" i="1"/>
  <c r="T117" i="1"/>
  <c r="T118" i="1"/>
  <c r="T119" i="1"/>
  <c r="T120" i="1"/>
  <c r="T121" i="1"/>
  <c r="T122" i="1"/>
  <c r="T124" i="1"/>
  <c r="T125" i="1"/>
  <c r="T126" i="1"/>
  <c r="T127" i="1"/>
  <c r="T133" i="1"/>
  <c r="T138" i="1"/>
  <c r="T148" i="1"/>
  <c r="T153" i="1"/>
  <c r="T158" i="1"/>
  <c r="T162" i="1"/>
  <c r="X166" i="1"/>
  <c r="W166" i="1"/>
  <c r="V166" i="1"/>
  <c r="U166" i="1"/>
  <c r="X168" i="1"/>
  <c r="W168" i="1"/>
  <c r="V168" i="1"/>
  <c r="U168" i="1"/>
  <c r="X170" i="1"/>
  <c r="W170" i="1"/>
  <c r="V170" i="1"/>
  <c r="U170" i="1"/>
  <c r="X172" i="1"/>
  <c r="W172" i="1"/>
  <c r="V172" i="1"/>
  <c r="U172" i="1"/>
  <c r="X176" i="1"/>
  <c r="W176" i="1"/>
  <c r="V176" i="1"/>
  <c r="U176" i="1"/>
  <c r="X178" i="1"/>
  <c r="X180" i="1"/>
  <c r="W180" i="1"/>
  <c r="U180" i="1"/>
  <c r="X182" i="1"/>
  <c r="W182" i="1"/>
  <c r="V182" i="1"/>
  <c r="U182" i="1"/>
  <c r="X186" i="1"/>
  <c r="W186" i="1"/>
  <c r="V186" i="1"/>
  <c r="U186" i="1"/>
  <c r="X188" i="1"/>
  <c r="W188" i="1"/>
  <c r="V188" i="1"/>
  <c r="U188" i="1"/>
  <c r="W190" i="1"/>
  <c r="U190" i="1"/>
  <c r="X142" i="1"/>
  <c r="W142" i="1"/>
  <c r="X147" i="1"/>
  <c r="W147" i="1"/>
  <c r="X152" i="1"/>
  <c r="W152" i="1"/>
  <c r="X161" i="1"/>
  <c r="W161" i="1"/>
  <c r="S141" i="1"/>
  <c r="U142" i="1"/>
  <c r="S146" i="1"/>
  <c r="T146" i="1" s="1"/>
  <c r="U147" i="1"/>
  <c r="S151" i="1"/>
  <c r="U152" i="1"/>
  <c r="S156" i="1"/>
  <c r="T156" i="1" s="1"/>
  <c r="S160" i="1"/>
  <c r="U161" i="1"/>
  <c r="V142" i="1"/>
  <c r="V147" i="1"/>
  <c r="V152" i="1"/>
  <c r="V161" i="1"/>
  <c r="S130" i="1"/>
  <c r="S135" i="1"/>
  <c r="S140" i="1"/>
  <c r="X145" i="1"/>
  <c r="W145" i="1"/>
  <c r="X150" i="1"/>
  <c r="W150" i="1"/>
  <c r="X155" i="1"/>
  <c r="W155" i="1"/>
  <c r="X164" i="1"/>
  <c r="W164" i="1"/>
  <c r="X169" i="1"/>
  <c r="W169" i="1"/>
  <c r="V169" i="1"/>
  <c r="U169" i="1"/>
  <c r="X171" i="1"/>
  <c r="W171" i="1"/>
  <c r="V171" i="1"/>
  <c r="U171" i="1"/>
  <c r="U175" i="1"/>
  <c r="X177" i="1"/>
  <c r="W177" i="1"/>
  <c r="V177" i="1"/>
  <c r="U177" i="1"/>
  <c r="X181" i="1"/>
  <c r="W181" i="1"/>
  <c r="V181" i="1"/>
  <c r="U181" i="1"/>
  <c r="X183" i="1"/>
  <c r="W183" i="1"/>
  <c r="V183" i="1"/>
  <c r="U183" i="1"/>
  <c r="X185" i="1"/>
  <c r="W185" i="1"/>
  <c r="V185" i="1"/>
  <c r="U185" i="1"/>
  <c r="X129" i="1"/>
  <c r="W129" i="1"/>
  <c r="X134" i="1"/>
  <c r="W134" i="1"/>
  <c r="X144" i="1"/>
  <c r="W144" i="1"/>
  <c r="X149" i="1"/>
  <c r="W149" i="1"/>
  <c r="X163" i="1"/>
  <c r="W163" i="1"/>
  <c r="U129" i="1"/>
  <c r="U134" i="1"/>
  <c r="U144" i="1"/>
  <c r="U149" i="1"/>
  <c r="U163" i="1"/>
  <c r="U191" i="1"/>
  <c r="U192" i="1"/>
  <c r="U193" i="1"/>
  <c r="U195" i="1"/>
  <c r="U197" i="1"/>
  <c r="U200" i="1"/>
  <c r="U201" i="1"/>
  <c r="U202" i="1"/>
  <c r="U205" i="1"/>
  <c r="U207" i="1"/>
  <c r="U209" i="1"/>
  <c r="V191" i="1"/>
  <c r="V192" i="1"/>
  <c r="V193" i="1"/>
  <c r="V195" i="1"/>
  <c r="V197" i="1"/>
  <c r="V198" i="1"/>
  <c r="V200" i="1"/>
  <c r="V201" i="1"/>
  <c r="V202" i="1"/>
  <c r="V203" i="1"/>
  <c r="V205" i="1"/>
  <c r="V206" i="1"/>
  <c r="V207" i="1"/>
  <c r="V209" i="1"/>
  <c r="W191" i="1"/>
  <c r="W192" i="1"/>
  <c r="W193" i="1"/>
  <c r="W195" i="1"/>
  <c r="W197" i="1"/>
  <c r="W198" i="1"/>
  <c r="W200" i="1"/>
  <c r="W201" i="1"/>
  <c r="W202" i="1"/>
  <c r="W205" i="1"/>
  <c r="W207" i="1"/>
  <c r="W209" i="1"/>
  <c r="G2" i="1"/>
  <c r="H2" i="1"/>
  <c r="K2" i="1"/>
  <c r="L2" i="1"/>
  <c r="J2" i="1"/>
  <c r="F2" i="1"/>
  <c r="I2" i="1"/>
  <c r="T211" i="1"/>
  <c r="Y184" i="9" l="1"/>
  <c r="Z184" i="9" s="1"/>
  <c r="X6" i="9"/>
  <c r="X145" i="9"/>
  <c r="Z145" i="9"/>
  <c r="Z168" i="9"/>
  <c r="W168" i="9"/>
  <c r="X16" i="9"/>
  <c r="Y16" i="9"/>
  <c r="Z16" i="9"/>
  <c r="V222" i="9"/>
  <c r="Z222" i="9"/>
  <c r="Y103" i="9"/>
  <c r="Z103" i="9" s="1"/>
  <c r="X89" i="9"/>
  <c r="Y89" i="9" s="1"/>
  <c r="Z89" i="9" s="1"/>
  <c r="W89" i="9"/>
  <c r="Y2" i="9"/>
  <c r="Y115" i="9"/>
  <c r="Z115" i="9" s="1"/>
  <c r="X115" i="9"/>
  <c r="W115" i="9"/>
  <c r="V214" i="9"/>
  <c r="X14" i="9"/>
  <c r="W14" i="9"/>
  <c r="Y14" i="9" s="1"/>
  <c r="Z14" i="9" s="1"/>
  <c r="X148" i="9"/>
  <c r="Y148" i="9" s="1"/>
  <c r="Z148" i="9" s="1"/>
  <c r="W148" i="9"/>
  <c r="W160" i="9"/>
  <c r="X160" i="9" s="1"/>
  <c r="Y160" i="9" s="1"/>
  <c r="Z160" i="9" s="1"/>
  <c r="W205" i="9"/>
  <c r="X205" i="9" s="1"/>
  <c r="Y205" i="9" s="1"/>
  <c r="Z205" i="9" s="1"/>
  <c r="Z13" i="9"/>
  <c r="Y13" i="9"/>
  <c r="X13" i="9"/>
  <c r="W13" i="9"/>
  <c r="Z62" i="9"/>
  <c r="X62" i="9"/>
  <c r="W62" i="9"/>
  <c r="Y62" i="9"/>
  <c r="Z166" i="9"/>
  <c r="Y166" i="9"/>
  <c r="X166" i="9"/>
  <c r="W166" i="9"/>
  <c r="Z181" i="9"/>
  <c r="Y181" i="9"/>
  <c r="X181" i="9"/>
  <c r="W181" i="9"/>
  <c r="W143" i="9"/>
  <c r="X143" i="9" s="1"/>
  <c r="Y143" i="9" s="1"/>
  <c r="Z143" i="9" s="1"/>
  <c r="Y94" i="9"/>
  <c r="X94" i="9"/>
  <c r="Z94" i="9"/>
  <c r="W94" i="9"/>
  <c r="Z139" i="9"/>
  <c r="Y139" i="9"/>
  <c r="X139" i="9"/>
  <c r="W139" i="9"/>
  <c r="Z76" i="9"/>
  <c r="W76" i="9"/>
  <c r="X76" i="9"/>
  <c r="Y76" i="9"/>
  <c r="Z110" i="9"/>
  <c r="Y110" i="9"/>
  <c r="X110" i="9"/>
  <c r="W110" i="9"/>
  <c r="W123" i="9"/>
  <c r="X123" i="9" s="1"/>
  <c r="Y123" i="9" s="1"/>
  <c r="Z123" i="9" s="1"/>
  <c r="Y104" i="9"/>
  <c r="X104" i="9"/>
  <c r="Z104" i="9"/>
  <c r="W104" i="9"/>
  <c r="Z28" i="9"/>
  <c r="X28" i="9"/>
  <c r="Y28" i="9"/>
  <c r="W28" i="9"/>
  <c r="Z186" i="9"/>
  <c r="Y186" i="9"/>
  <c r="X186" i="9"/>
  <c r="W186" i="9"/>
  <c r="X155" i="9"/>
  <c r="W155" i="9"/>
  <c r="Y155" i="9"/>
  <c r="Z155" i="9"/>
  <c r="Z176" i="9"/>
  <c r="Y176" i="9"/>
  <c r="X176" i="9"/>
  <c r="W176" i="9"/>
  <c r="X153" i="9"/>
  <c r="W153" i="9"/>
  <c r="Z153" i="9"/>
  <c r="Y153" i="9"/>
  <c r="Y200" i="9"/>
  <c r="X200" i="9"/>
  <c r="W200" i="9"/>
  <c r="Z200" i="9"/>
  <c r="Z120" i="9"/>
  <c r="Y120" i="9"/>
  <c r="X120" i="9"/>
  <c r="W120" i="9"/>
  <c r="Z96" i="9"/>
  <c r="Y96" i="9"/>
  <c r="W96" i="9"/>
  <c r="X96" i="9"/>
  <c r="Z17" i="9"/>
  <c r="X17" i="9"/>
  <c r="W17" i="9"/>
  <c r="Y17" i="9"/>
  <c r="Y3" i="9"/>
  <c r="X3" i="9"/>
  <c r="W3" i="9"/>
  <c r="Z3" i="9"/>
  <c r="W63" i="9"/>
  <c r="Z57" i="9"/>
  <c r="X57" i="9"/>
  <c r="W57" i="9"/>
  <c r="Y57" i="9"/>
  <c r="Z32" i="9"/>
  <c r="X32" i="9"/>
  <c r="W32" i="9"/>
  <c r="Y32" i="9"/>
  <c r="Z8" i="9"/>
  <c r="Y8" i="9"/>
  <c r="X8" i="9"/>
  <c r="W8" i="9"/>
  <c r="X180" i="9"/>
  <c r="W180" i="9"/>
  <c r="Z180" i="9"/>
  <c r="Y180" i="9"/>
  <c r="X99" i="9"/>
  <c r="W99" i="9"/>
  <c r="X196" i="9"/>
  <c r="W196" i="9"/>
  <c r="Y196" i="9" s="1"/>
  <c r="Z196" i="9" s="1"/>
  <c r="Z116" i="9"/>
  <c r="Y116" i="9"/>
  <c r="W116" i="9"/>
  <c r="X116" i="9"/>
  <c r="Z105" i="9"/>
  <c r="Y105" i="9"/>
  <c r="X105" i="9"/>
  <c r="W105" i="9"/>
  <c r="X175" i="9"/>
  <c r="Y175" i="9" s="1"/>
  <c r="Z175" i="9" s="1"/>
  <c r="W175" i="9"/>
  <c r="X150" i="9"/>
  <c r="Z150" i="9"/>
  <c r="Y150" i="9"/>
  <c r="W150" i="9"/>
  <c r="Z171" i="9"/>
  <c r="Y171" i="9"/>
  <c r="X171" i="9"/>
  <c r="W171" i="9"/>
  <c r="Z91" i="9"/>
  <c r="W91" i="9"/>
  <c r="Y91" i="9"/>
  <c r="X91" i="9"/>
  <c r="W111" i="9"/>
  <c r="X111" i="9"/>
  <c r="Y111" i="9" s="1"/>
  <c r="Z111" i="9" s="1"/>
  <c r="Z106" i="9"/>
  <c r="Y106" i="9"/>
  <c r="W106" i="9"/>
  <c r="X106" i="9"/>
  <c r="Z18" i="9"/>
  <c r="Y18" i="9"/>
  <c r="X18" i="9"/>
  <c r="W18" i="9"/>
  <c r="Z58" i="9"/>
  <c r="X58" i="9"/>
  <c r="Y58" i="9"/>
  <c r="W58" i="9"/>
  <c r="X126" i="9"/>
  <c r="Y126" i="9" s="1"/>
  <c r="Z126" i="9" s="1"/>
  <c r="W126" i="9"/>
  <c r="W101" i="9"/>
  <c r="X101" i="9" s="1"/>
  <c r="Y101" i="9" s="1"/>
  <c r="Z101" i="9" s="1"/>
  <c r="Y114" i="9"/>
  <c r="Z114" i="9" s="1"/>
  <c r="X114" i="9"/>
  <c r="W114" i="9"/>
  <c r="W60" i="9"/>
  <c r="X60" i="9" s="1"/>
  <c r="Y60" i="9" s="1"/>
  <c r="Z60" i="9" s="1"/>
  <c r="X161" i="9"/>
  <c r="Y161" i="9" s="1"/>
  <c r="Z161" i="9" s="1"/>
  <c r="W161" i="9"/>
  <c r="X170" i="9"/>
  <c r="W170" i="9"/>
  <c r="Z170" i="9"/>
  <c r="Y170" i="9"/>
  <c r="Y185" i="9"/>
  <c r="X185" i="9"/>
  <c r="W185" i="9"/>
  <c r="Z185" i="9"/>
  <c r="Y84" i="9"/>
  <c r="X84" i="9"/>
  <c r="Z84" i="9"/>
  <c r="W84" i="9"/>
  <c r="X90" i="9"/>
  <c r="Y90" i="9" s="1"/>
  <c r="Z90" i="9" s="1"/>
  <c r="W90" i="9"/>
  <c r="W86" i="9"/>
  <c r="X86" i="9"/>
  <c r="Y86" i="9" s="1"/>
  <c r="Z86" i="9" s="1"/>
  <c r="X53" i="9"/>
  <c r="Y53" i="9"/>
  <c r="Z53" i="9" s="1"/>
  <c r="W53" i="9"/>
  <c r="W52" i="9"/>
  <c r="X52" i="9" s="1"/>
  <c r="Y52" i="9" s="1"/>
  <c r="Z52" i="9" s="1"/>
  <c r="X27" i="9"/>
  <c r="W27" i="9"/>
  <c r="Z75" i="9"/>
  <c r="X75" i="9"/>
  <c r="W75" i="9"/>
  <c r="Y75" i="9"/>
  <c r="X20" i="9"/>
  <c r="W20" i="9"/>
  <c r="Z224" i="9" s="1"/>
  <c r="Z85" i="9"/>
  <c r="Y85" i="9"/>
  <c r="X85" i="9"/>
  <c r="W85" i="9"/>
  <c r="Z81" i="9"/>
  <c r="W81" i="9"/>
  <c r="Y81" i="9"/>
  <c r="X81" i="9"/>
  <c r="W133" i="9"/>
  <c r="Z133" i="9"/>
  <c r="Y133" i="9"/>
  <c r="X133" i="9"/>
  <c r="Z100" i="9"/>
  <c r="Y100" i="9"/>
  <c r="X100" i="9"/>
  <c r="W100" i="9"/>
  <c r="Z95" i="9"/>
  <c r="Y95" i="9"/>
  <c r="X95" i="9"/>
  <c r="W95" i="9"/>
  <c r="X48" i="9"/>
  <c r="Y48" i="9" s="1"/>
  <c r="Z48" i="9" s="1"/>
  <c r="W48" i="9"/>
  <c r="W22" i="9"/>
  <c r="X22" i="9" s="1"/>
  <c r="Y22" i="9" s="1"/>
  <c r="Z22" i="9" s="1"/>
  <c r="Z221" i="9"/>
  <c r="Z223" i="9" s="1"/>
  <c r="Y190" i="9"/>
  <c r="X190" i="9"/>
  <c r="W190" i="9"/>
  <c r="Z190" i="9"/>
  <c r="Z37" i="9"/>
  <c r="X37" i="9"/>
  <c r="W37" i="9"/>
  <c r="Y37" i="9"/>
  <c r="Z201" i="9"/>
  <c r="Y201" i="9"/>
  <c r="X201" i="9"/>
  <c r="W201" i="9"/>
  <c r="Z191" i="9"/>
  <c r="Y191" i="9"/>
  <c r="X191" i="9"/>
  <c r="W191" i="9"/>
  <c r="Y195" i="9"/>
  <c r="X195" i="9"/>
  <c r="W195" i="9"/>
  <c r="Z195" i="9"/>
  <c r="Z121" i="9"/>
  <c r="Y121" i="9"/>
  <c r="W121" i="9"/>
  <c r="X121" i="9"/>
  <c r="Z71" i="9"/>
  <c r="Y71" i="9"/>
  <c r="W71" i="9"/>
  <c r="X71" i="9"/>
  <c r="X80" i="9"/>
  <c r="W80" i="9"/>
  <c r="Y80" i="9" s="1"/>
  <c r="Z80" i="9" s="1"/>
  <c r="W49" i="9"/>
  <c r="X49" i="9" s="1"/>
  <c r="Y49" i="9" s="1"/>
  <c r="Z49" i="9" s="1"/>
  <c r="W21" i="9"/>
  <c r="Z43" i="9"/>
  <c r="X43" i="9"/>
  <c r="Y43" i="9"/>
  <c r="W43" i="9"/>
  <c r="Z47" i="9"/>
  <c r="X47" i="9"/>
  <c r="W47" i="9"/>
  <c r="Y47" i="9"/>
  <c r="Z229" i="9"/>
  <c r="Z231" i="9" s="1"/>
  <c r="Z167" i="9"/>
  <c r="Y167" i="9"/>
  <c r="W167" i="9"/>
  <c r="X167" i="9"/>
  <c r="Z206" i="9"/>
  <c r="Y206" i="9"/>
  <c r="X206" i="9"/>
  <c r="W206" i="9"/>
  <c r="Z70" i="9"/>
  <c r="X70" i="9"/>
  <c r="W70" i="9"/>
  <c r="Y70" i="9"/>
  <c r="Z38" i="9"/>
  <c r="X38" i="9"/>
  <c r="Y38" i="9"/>
  <c r="W38" i="9"/>
  <c r="X74" i="9"/>
  <c r="Y74" i="9"/>
  <c r="Z74" i="9"/>
  <c r="W74" i="9"/>
  <c r="X165" i="9"/>
  <c r="W165" i="9"/>
  <c r="Y165" i="9"/>
  <c r="Z165" i="9" s="1"/>
  <c r="X156" i="9"/>
  <c r="Y156" i="9" s="1"/>
  <c r="Z156" i="9" s="1"/>
  <c r="W156" i="9"/>
  <c r="X158" i="9"/>
  <c r="W158" i="9"/>
  <c r="Z158" i="9"/>
  <c r="Y158" i="9"/>
  <c r="Y141" i="9"/>
  <c r="Z141" i="9"/>
  <c r="X141" i="9"/>
  <c r="W141" i="9"/>
  <c r="Z129" i="9"/>
  <c r="Y129" i="9"/>
  <c r="X129" i="9"/>
  <c r="W129" i="9"/>
  <c r="Z33" i="9"/>
  <c r="X33" i="9"/>
  <c r="Y33" i="9"/>
  <c r="W33" i="9"/>
  <c r="Z67" i="9"/>
  <c r="X67" i="9"/>
  <c r="W67" i="9"/>
  <c r="Y67" i="9"/>
  <c r="Z42" i="9"/>
  <c r="X42" i="9"/>
  <c r="W42" i="9"/>
  <c r="Y42" i="9"/>
  <c r="Z23" i="9"/>
  <c r="Y23" i="9"/>
  <c r="X23" i="9"/>
  <c r="W23" i="9"/>
  <c r="V221" i="9"/>
  <c r="V223" i="9" s="1"/>
  <c r="V212" i="9"/>
  <c r="V213" i="9" s="1"/>
  <c r="X153" i="8"/>
  <c r="X122" i="8"/>
  <c r="X29" i="8"/>
  <c r="Y45" i="8"/>
  <c r="Z153" i="8"/>
  <c r="X191" i="8"/>
  <c r="Y122" i="8"/>
  <c r="Z77" i="8"/>
  <c r="Z114" i="8"/>
  <c r="Y29" i="8"/>
  <c r="X23" i="8"/>
  <c r="Y12" i="8"/>
  <c r="X24" i="8"/>
  <c r="Y191" i="8"/>
  <c r="Y117" i="8"/>
  <c r="X88" i="8"/>
  <c r="W3" i="8"/>
  <c r="Y23" i="8"/>
  <c r="Y24" i="8"/>
  <c r="Z191" i="8"/>
  <c r="W141" i="8"/>
  <c r="W117" i="8"/>
  <c r="X117" i="8" s="1"/>
  <c r="Y88" i="8"/>
  <c r="Y25" i="8"/>
  <c r="X3" i="8"/>
  <c r="X167" i="8"/>
  <c r="Y167" i="8" s="1"/>
  <c r="X141" i="8"/>
  <c r="Z117" i="8"/>
  <c r="Z88" i="8"/>
  <c r="W39" i="8"/>
  <c r="Z25" i="8"/>
  <c r="Z3" i="8"/>
  <c r="W7" i="8"/>
  <c r="W13" i="8"/>
  <c r="Y153" i="8"/>
  <c r="Z167" i="8"/>
  <c r="W151" i="8"/>
  <c r="X151" i="8" s="1"/>
  <c r="Y151" i="8" s="1"/>
  <c r="Z151" i="8" s="1"/>
  <c r="Y141" i="8"/>
  <c r="W81" i="8"/>
  <c r="V234" i="8"/>
  <c r="X39" i="8"/>
  <c r="W32" i="8"/>
  <c r="W25" i="8"/>
  <c r="X7" i="8"/>
  <c r="X13" i="8"/>
  <c r="Y147" i="8"/>
  <c r="W85" i="8"/>
  <c r="Y39" i="8"/>
  <c r="X32" i="8"/>
  <c r="Y7" i="8"/>
  <c r="W36" i="8"/>
  <c r="Z13" i="8"/>
  <c r="Z142" i="8"/>
  <c r="X147" i="8"/>
  <c r="X85" i="8"/>
  <c r="Z32" i="8"/>
  <c r="X45" i="8"/>
  <c r="X36" i="8"/>
  <c r="W17" i="8"/>
  <c r="Y81" i="8"/>
  <c r="Y77" i="8"/>
  <c r="X77" i="8"/>
  <c r="Z93" i="8"/>
  <c r="Y4" i="8"/>
  <c r="Y103" i="8"/>
  <c r="Z103" i="8" s="1"/>
  <c r="W103" i="8"/>
  <c r="X103" i="8"/>
  <c r="Y27" i="8"/>
  <c r="Z27" i="8" s="1"/>
  <c r="W89" i="8"/>
  <c r="X93" i="8"/>
  <c r="Y93" i="8" s="1"/>
  <c r="Y19" i="8"/>
  <c r="Y102" i="8"/>
  <c r="W197" i="8"/>
  <c r="Z197" i="8"/>
  <c r="Y157" i="8"/>
  <c r="X149" i="8"/>
  <c r="Z127" i="8"/>
  <c r="X89" i="8"/>
  <c r="Y89" i="8" s="1"/>
  <c r="Z89" i="8" s="1"/>
  <c r="Y18" i="8"/>
  <c r="X78" i="8"/>
  <c r="Z16" i="8"/>
  <c r="X4" i="8"/>
  <c r="X69" i="8"/>
  <c r="X6" i="8"/>
  <c r="Y177" i="8"/>
  <c r="X157" i="8"/>
  <c r="Y149" i="8"/>
  <c r="Y78" i="8"/>
  <c r="Y15" i="8"/>
  <c r="Y69" i="8"/>
  <c r="W44" i="8"/>
  <c r="W9" i="8"/>
  <c r="X132" i="8"/>
  <c r="Y132" i="8"/>
  <c r="X197" i="8"/>
  <c r="X16" i="8"/>
  <c r="W177" i="8"/>
  <c r="W149" i="8"/>
  <c r="W105" i="8"/>
  <c r="X14" i="8"/>
  <c r="Y14" i="8" s="1"/>
  <c r="Z14" i="8" s="1"/>
  <c r="Z78" i="8"/>
  <c r="Z67" i="8"/>
  <c r="X57" i="8"/>
  <c r="Z15" i="8"/>
  <c r="Z69" i="8"/>
  <c r="X44" i="8"/>
  <c r="X9" i="8"/>
  <c r="W6" i="8"/>
  <c r="W193" i="8"/>
  <c r="W150" i="8"/>
  <c r="X192" i="8"/>
  <c r="W134" i="8"/>
  <c r="X134" i="8" s="1"/>
  <c r="Y134" i="8" s="1"/>
  <c r="Z134" i="8" s="1"/>
  <c r="X105" i="8"/>
  <c r="X74" i="8"/>
  <c r="W67" i="8"/>
  <c r="Z57" i="8"/>
  <c r="W15" i="8"/>
  <c r="Y59" i="8"/>
  <c r="Y44" i="8"/>
  <c r="Y9" i="8"/>
  <c r="W158" i="8"/>
  <c r="Z158" i="8"/>
  <c r="W143" i="8"/>
  <c r="X193" i="8"/>
  <c r="Y192" i="8"/>
  <c r="Z105" i="8"/>
  <c r="Y74" i="8"/>
  <c r="X70" i="8"/>
  <c r="Z59" i="8"/>
  <c r="X21" i="8"/>
  <c r="Y21" i="8" s="1"/>
  <c r="Z21" i="8" s="1"/>
  <c r="W172" i="8"/>
  <c r="Y172" i="8"/>
  <c r="Z193" i="8"/>
  <c r="W188" i="8"/>
  <c r="Y150" i="8"/>
  <c r="X177" i="8"/>
  <c r="Z192" i="8"/>
  <c r="Z75" i="8"/>
  <c r="W94" i="8"/>
  <c r="Z74" i="8"/>
  <c r="Z70" i="8"/>
  <c r="W64" i="8"/>
  <c r="W42" i="8"/>
  <c r="W8" i="8"/>
  <c r="Y68" i="8"/>
  <c r="Z68" i="8" s="1"/>
  <c r="W49" i="8"/>
  <c r="X49" i="8" s="1"/>
  <c r="Y49" i="8" s="1"/>
  <c r="Z49" i="8" s="1"/>
  <c r="W59" i="8"/>
  <c r="Z143" i="8"/>
  <c r="X150" i="8"/>
  <c r="Z110" i="8"/>
  <c r="W98" i="8"/>
  <c r="X98" i="8"/>
  <c r="Z229" i="8"/>
  <c r="Z230" i="8"/>
  <c r="X20" i="8"/>
  <c r="Y20" i="8" s="1"/>
  <c r="Z20" i="8" s="1"/>
  <c r="W20" i="8"/>
  <c r="Z222" i="8"/>
  <c r="Z221" i="8"/>
  <c r="Z223" i="8" s="1"/>
  <c r="Y60" i="8"/>
  <c r="Z60" i="8" s="1"/>
  <c r="X99" i="8"/>
  <c r="W99" i="8"/>
  <c r="X156" i="8"/>
  <c r="W156" i="8"/>
  <c r="W126" i="8"/>
  <c r="X126" i="8" s="1"/>
  <c r="Y126" i="8" s="1"/>
  <c r="Z126" i="8" s="1"/>
  <c r="V214" i="8"/>
  <c r="V212" i="8"/>
  <c r="V213" i="8" s="1"/>
  <c r="W2" i="8"/>
  <c r="V221" i="8"/>
  <c r="V222" i="8"/>
  <c r="Z152" i="8"/>
  <c r="X152" i="8"/>
  <c r="Y152" i="8"/>
  <c r="W152" i="8"/>
  <c r="X195" i="8"/>
  <c r="W195" i="8"/>
  <c r="Z195" i="8"/>
  <c r="Y195" i="8"/>
  <c r="X185" i="8"/>
  <c r="W185" i="8"/>
  <c r="Z185" i="8"/>
  <c r="Y185" i="8"/>
  <c r="X179" i="8"/>
  <c r="Y179" i="8" s="1"/>
  <c r="Z179" i="8" s="1"/>
  <c r="W179" i="8"/>
  <c r="Z119" i="8"/>
  <c r="Y119" i="8"/>
  <c r="X119" i="8"/>
  <c r="W119" i="8"/>
  <c r="W87" i="8"/>
  <c r="X87" i="8"/>
  <c r="Z87" i="8"/>
  <c r="Y87" i="8"/>
  <c r="X31" i="8"/>
  <c r="W31" i="8"/>
  <c r="Z31" i="8"/>
  <c r="Y31" i="8"/>
  <c r="W148" i="8"/>
  <c r="X148" i="8" s="1"/>
  <c r="Y148" i="8" s="1"/>
  <c r="Z148" i="8" s="1"/>
  <c r="W90" i="8"/>
  <c r="X90" i="8"/>
  <c r="X200" i="8"/>
  <c r="W200" i="8"/>
  <c r="Z200" i="8"/>
  <c r="Y200" i="8"/>
  <c r="X174" i="8"/>
  <c r="W174" i="8"/>
  <c r="Z178" i="8"/>
  <c r="X178" i="8"/>
  <c r="W178" i="8"/>
  <c r="Y178" i="8"/>
  <c r="Y116" i="8"/>
  <c r="X116" i="8"/>
  <c r="W116" i="8"/>
  <c r="Z116" i="8"/>
  <c r="W139" i="8"/>
  <c r="Y139" i="8"/>
  <c r="Z139" i="8"/>
  <c r="X139" i="8"/>
  <c r="W86" i="8"/>
  <c r="X86" i="8"/>
  <c r="W73" i="8"/>
  <c r="X73" i="8"/>
  <c r="Y73" i="8"/>
  <c r="Z73" i="8"/>
  <c r="Y66" i="8"/>
  <c r="X66" i="8"/>
  <c r="W66" i="8"/>
  <c r="Z66" i="8"/>
  <c r="W63" i="8"/>
  <c r="X63" i="8"/>
  <c r="Y63" i="8" s="1"/>
  <c r="Z63" i="8" s="1"/>
  <c r="X194" i="8"/>
  <c r="W194" i="8"/>
  <c r="Y194" i="8"/>
  <c r="Z194" i="8" s="1"/>
  <c r="Z173" i="8"/>
  <c r="X173" i="8"/>
  <c r="W173" i="8"/>
  <c r="Y173" i="8"/>
  <c r="Y106" i="8"/>
  <c r="X106" i="8"/>
  <c r="W106" i="8"/>
  <c r="Z106" i="8"/>
  <c r="W138" i="8"/>
  <c r="Z138" i="8"/>
  <c r="X138" i="8"/>
  <c r="Y138" i="8"/>
  <c r="W72" i="8"/>
  <c r="X72" i="8" s="1"/>
  <c r="Y72" i="8" s="1"/>
  <c r="Z72" i="8" s="1"/>
  <c r="Z144" i="8"/>
  <c r="Y144" i="8"/>
  <c r="X144" i="8"/>
  <c r="W144" i="8"/>
  <c r="Z189" i="8"/>
  <c r="X189" i="8"/>
  <c r="W189" i="8"/>
  <c r="Y189" i="8"/>
  <c r="Y96" i="8"/>
  <c r="X96" i="8"/>
  <c r="W96" i="8"/>
  <c r="Z96" i="8"/>
  <c r="Y135" i="8"/>
  <c r="Z135" i="8"/>
  <c r="X135" i="8"/>
  <c r="W135" i="8"/>
  <c r="X51" i="8"/>
  <c r="Y51" i="8" s="1"/>
  <c r="Z51" i="8" s="1"/>
  <c r="W51" i="8"/>
  <c r="Y115" i="8"/>
  <c r="Z115" i="8"/>
  <c r="X115" i="8"/>
  <c r="W115" i="8"/>
  <c r="Z71" i="8"/>
  <c r="Y71" i="8"/>
  <c r="X71" i="8"/>
  <c r="W71" i="8"/>
  <c r="X155" i="8"/>
  <c r="Y155" i="8"/>
  <c r="Z155" i="8"/>
  <c r="W155" i="8"/>
  <c r="Z124" i="8"/>
  <c r="Y124" i="8"/>
  <c r="X124" i="8"/>
  <c r="W124" i="8"/>
  <c r="X175" i="8"/>
  <c r="Y175" i="8" s="1"/>
  <c r="Z175" i="8" s="1"/>
  <c r="W175" i="8"/>
  <c r="W121" i="8"/>
  <c r="Y121" i="8"/>
  <c r="X121" i="8"/>
  <c r="Z121" i="8"/>
  <c r="W131" i="8"/>
  <c r="X131" i="8"/>
  <c r="Y131" i="8" s="1"/>
  <c r="Z131" i="8" s="1"/>
  <c r="Y137" i="8"/>
  <c r="Z137" i="8"/>
  <c r="X137" i="8"/>
  <c r="W137" i="8"/>
  <c r="W97" i="8"/>
  <c r="X97" i="8" s="1"/>
  <c r="Y97" i="8" s="1"/>
  <c r="Z97" i="8" s="1"/>
  <c r="W53" i="8"/>
  <c r="Y53" i="8"/>
  <c r="X53" i="8"/>
  <c r="Z53" i="8"/>
  <c r="Z46" i="8"/>
  <c r="Y46" i="8"/>
  <c r="X46" i="8"/>
  <c r="W46" i="8"/>
  <c r="Z183" i="8"/>
  <c r="X183" i="8"/>
  <c r="W183" i="8"/>
  <c r="Y183" i="8"/>
  <c r="Z169" i="8"/>
  <c r="X169" i="8"/>
  <c r="W169" i="8"/>
  <c r="Y169" i="8"/>
  <c r="X180" i="8"/>
  <c r="W180" i="8"/>
  <c r="Z180" i="8"/>
  <c r="Y180" i="8"/>
  <c r="W136" i="8"/>
  <c r="Y136" i="8"/>
  <c r="Z136" i="8"/>
  <c r="X136" i="8"/>
  <c r="Z61" i="8"/>
  <c r="Y61" i="8"/>
  <c r="X61" i="8"/>
  <c r="W61" i="8"/>
  <c r="W83" i="8"/>
  <c r="X83" i="8"/>
  <c r="Y83" i="8"/>
  <c r="Z83" i="8"/>
  <c r="W48" i="8"/>
  <c r="Y48" i="8"/>
  <c r="Z48" i="8" s="1"/>
  <c r="X48" i="8"/>
  <c r="Z112" i="8"/>
  <c r="Y112" i="8"/>
  <c r="X112" i="8"/>
  <c r="W112" i="8"/>
  <c r="Z41" i="8"/>
  <c r="Y41" i="8"/>
  <c r="X41" i="8"/>
  <c r="W41" i="8"/>
  <c r="X10" i="8"/>
  <c r="W10" i="8"/>
  <c r="Z10" i="8"/>
  <c r="Y10" i="8"/>
  <c r="X5" i="8"/>
  <c r="W5" i="8"/>
  <c r="Z5" i="8"/>
  <c r="Y5" i="8"/>
  <c r="W205" i="8"/>
  <c r="X205" i="8" s="1"/>
  <c r="Y205" i="8" s="1"/>
  <c r="Z205" i="8" s="1"/>
  <c r="W164" i="8"/>
  <c r="X164" i="8" s="1"/>
  <c r="Y164" i="8" s="1"/>
  <c r="Z164" i="8" s="1"/>
  <c r="X165" i="8"/>
  <c r="Z165" i="8"/>
  <c r="Y165" i="8"/>
  <c r="W165" i="8"/>
  <c r="Z168" i="8"/>
  <c r="X168" i="8"/>
  <c r="W168" i="8"/>
  <c r="Y168" i="8"/>
  <c r="X170" i="8"/>
  <c r="Z170" i="8"/>
  <c r="Y170" i="8"/>
  <c r="W170" i="8"/>
  <c r="Y130" i="8"/>
  <c r="Z130" i="8"/>
  <c r="X130" i="8"/>
  <c r="W130" i="8"/>
  <c r="W43" i="8"/>
  <c r="Y43" i="8"/>
  <c r="X43" i="8"/>
  <c r="Z43" i="8"/>
  <c r="Y80" i="8"/>
  <c r="W80" i="8"/>
  <c r="Z80" i="8"/>
  <c r="X80" i="8"/>
  <c r="W113" i="8"/>
  <c r="X113" i="8"/>
  <c r="Y113" i="8"/>
  <c r="Z113" i="8"/>
  <c r="X28" i="8"/>
  <c r="W28" i="8"/>
  <c r="Z28" i="8"/>
  <c r="Y28" i="8"/>
  <c r="Z162" i="8"/>
  <c r="X162" i="8"/>
  <c r="W162" i="8"/>
  <c r="Y162" i="8"/>
  <c r="Z163" i="8"/>
  <c r="X163" i="8"/>
  <c r="W163" i="8"/>
  <c r="Y163" i="8"/>
  <c r="X184" i="8"/>
  <c r="W184" i="8"/>
  <c r="W160" i="8"/>
  <c r="X160" i="8" s="1"/>
  <c r="Y160" i="8" s="1"/>
  <c r="Z160" i="8" s="1"/>
  <c r="Z129" i="8"/>
  <c r="Y129" i="8"/>
  <c r="X129" i="8"/>
  <c r="W129" i="8"/>
  <c r="W38" i="8"/>
  <c r="Y38" i="8"/>
  <c r="X38" i="8"/>
  <c r="Z38" i="8"/>
  <c r="Z56" i="8"/>
  <c r="Y56" i="8"/>
  <c r="X56" i="8"/>
  <c r="W56" i="8"/>
  <c r="W22" i="8"/>
  <c r="X22" i="8" s="1"/>
  <c r="Y22" i="8" s="1"/>
  <c r="Z22" i="8" s="1"/>
  <c r="U157" i="5"/>
  <c r="V157" i="5"/>
  <c r="V175" i="1"/>
  <c r="U167" i="1"/>
  <c r="X59" i="1"/>
  <c r="W36" i="5"/>
  <c r="W200" i="6"/>
  <c r="V208" i="6"/>
  <c r="U124" i="6"/>
  <c r="X124" i="6"/>
  <c r="W139" i="6"/>
  <c r="V160" i="6"/>
  <c r="U122" i="6"/>
  <c r="U38" i="6"/>
  <c r="V54" i="6"/>
  <c r="V4" i="6"/>
  <c r="W66" i="6"/>
  <c r="V208" i="1"/>
  <c r="V194" i="1"/>
  <c r="W175" i="1"/>
  <c r="V167" i="1"/>
  <c r="V59" i="1"/>
  <c r="X36" i="5"/>
  <c r="X200" i="6"/>
  <c r="V180" i="6"/>
  <c r="U108" i="6"/>
  <c r="W42" i="6"/>
  <c r="X139" i="6"/>
  <c r="X160" i="6"/>
  <c r="W54" i="6"/>
  <c r="X4" i="6"/>
  <c r="W167" i="1"/>
  <c r="U154" i="6"/>
  <c r="W180" i="6"/>
  <c r="V167" i="6"/>
  <c r="U194" i="1"/>
  <c r="W154" i="6"/>
  <c r="X42" i="6"/>
  <c r="W167" i="6"/>
  <c r="U102" i="6"/>
  <c r="U48" i="6"/>
  <c r="W194" i="1"/>
  <c r="X102" i="6"/>
  <c r="V48" i="6"/>
  <c r="W103" i="4"/>
  <c r="X103" i="4" s="1"/>
  <c r="W208" i="1"/>
  <c r="V108" i="6"/>
  <c r="U208" i="1"/>
  <c r="U202" i="6"/>
  <c r="U47" i="6"/>
  <c r="U36" i="6"/>
  <c r="X66" i="6"/>
  <c r="U172" i="7"/>
  <c r="U51" i="7"/>
  <c r="V172" i="7"/>
  <c r="X172" i="7"/>
  <c r="W183" i="7"/>
  <c r="V43" i="7"/>
  <c r="X30" i="7"/>
  <c r="U3" i="7"/>
  <c r="V3" i="7"/>
  <c r="U173" i="1"/>
  <c r="V173" i="1"/>
  <c r="W173" i="1" s="1"/>
  <c r="X173" i="1" s="1"/>
  <c r="V115" i="4"/>
  <c r="W115" i="4"/>
  <c r="X115" i="4" s="1"/>
  <c r="U115" i="4"/>
  <c r="V73" i="7"/>
  <c r="U73" i="7"/>
  <c r="W73" i="7" s="1"/>
  <c r="X73" i="7" s="1"/>
  <c r="V138" i="5"/>
  <c r="W138" i="5" s="1"/>
  <c r="X138" i="5" s="1"/>
  <c r="U138" i="5"/>
  <c r="U173" i="5"/>
  <c r="W173" i="5"/>
  <c r="X173" i="5" s="1"/>
  <c r="V173" i="5"/>
  <c r="V190" i="1"/>
  <c r="W129" i="6"/>
  <c r="U86" i="6"/>
  <c r="X51" i="5"/>
  <c r="U197" i="6"/>
  <c r="X119" i="6"/>
  <c r="X129" i="6"/>
  <c r="V197" i="6"/>
  <c r="U129" i="6"/>
  <c r="X62" i="4"/>
  <c r="U203" i="1"/>
  <c r="V139" i="6"/>
  <c r="U59" i="1"/>
  <c r="U198" i="1"/>
  <c r="W5" i="4"/>
  <c r="U93" i="4"/>
  <c r="V129" i="4"/>
  <c r="W173" i="4"/>
  <c r="U133" i="4"/>
  <c r="V58" i="4"/>
  <c r="V93" i="4"/>
  <c r="U59" i="4"/>
  <c r="U78" i="4"/>
  <c r="W133" i="4"/>
  <c r="W58" i="4"/>
  <c r="W93" i="4"/>
  <c r="X133" i="4"/>
  <c r="X5" i="4"/>
  <c r="V69" i="4"/>
  <c r="V78" i="4"/>
  <c r="V136" i="4"/>
  <c r="U203" i="4"/>
  <c r="W78" i="4"/>
  <c r="X59" i="4"/>
  <c r="X65" i="4"/>
  <c r="U65" i="4"/>
  <c r="V95" i="4"/>
  <c r="W203" i="4"/>
  <c r="W59" i="4"/>
  <c r="V65" i="4"/>
  <c r="U87" i="4"/>
  <c r="U173" i="4"/>
  <c r="X173" i="4"/>
  <c r="V203" i="4"/>
  <c r="X136" i="4"/>
  <c r="U149" i="4"/>
  <c r="W129" i="4"/>
  <c r="W95" i="4"/>
  <c r="W36" i="4"/>
  <c r="W23" i="4"/>
  <c r="V87" i="4"/>
  <c r="V23" i="4"/>
  <c r="U75" i="4"/>
  <c r="W29" i="4"/>
  <c r="U95" i="4"/>
  <c r="U129" i="4"/>
  <c r="U134" i="4"/>
  <c r="U193" i="4"/>
  <c r="X23" i="4"/>
  <c r="X9" i="4"/>
  <c r="W87" i="4"/>
  <c r="U45" i="4"/>
  <c r="V75" i="4"/>
  <c r="W136" i="4"/>
  <c r="U76" i="4"/>
  <c r="V76" i="4"/>
  <c r="X130" i="4"/>
  <c r="V130" i="4"/>
  <c r="W193" i="4"/>
  <c r="U36" i="4"/>
  <c r="W62" i="5"/>
  <c r="W188" i="5"/>
  <c r="X62" i="5"/>
  <c r="W11" i="5"/>
  <c r="X188" i="5"/>
  <c r="X11" i="5"/>
  <c r="U76" i="5"/>
  <c r="U182" i="5"/>
  <c r="U158" i="5"/>
  <c r="X109" i="5"/>
  <c r="U61" i="5"/>
  <c r="W92" i="5"/>
  <c r="W61" i="5"/>
  <c r="W76" i="5"/>
  <c r="X129" i="5"/>
  <c r="W129" i="5"/>
  <c r="V182" i="5"/>
  <c r="V158" i="5"/>
  <c r="U207" i="5"/>
  <c r="V61" i="5"/>
  <c r="W189" i="5"/>
  <c r="V18" i="5"/>
  <c r="V59" i="5"/>
  <c r="W182" i="5"/>
  <c r="W158" i="5"/>
  <c r="V207" i="5"/>
  <c r="X41" i="5"/>
  <c r="U17" i="5"/>
  <c r="X189" i="5"/>
  <c r="X18" i="5"/>
  <c r="U6" i="5"/>
  <c r="W59" i="5"/>
  <c r="U56" i="5"/>
  <c r="W109" i="5"/>
  <c r="U41" i="5"/>
  <c r="U189" i="5"/>
  <c r="W18" i="5"/>
  <c r="V6" i="5"/>
  <c r="V56" i="5"/>
  <c r="V203" i="5"/>
  <c r="V154" i="5"/>
  <c r="U77" i="5"/>
  <c r="V41" i="5"/>
  <c r="U82" i="5"/>
  <c r="W19" i="5"/>
  <c r="W6" i="5"/>
  <c r="U3" i="5"/>
  <c r="W56" i="5"/>
  <c r="W203" i="5"/>
  <c r="W154" i="5"/>
  <c r="V77" i="5"/>
  <c r="U62" i="5"/>
  <c r="U188" i="5"/>
  <c r="V82" i="5"/>
  <c r="V19" i="5"/>
  <c r="U154" i="5"/>
  <c r="U203" i="5"/>
  <c r="U11" i="5"/>
  <c r="V63" i="7"/>
  <c r="U63" i="7"/>
  <c r="V90" i="7"/>
  <c r="U90" i="7"/>
  <c r="V99" i="7"/>
  <c r="U99" i="7"/>
  <c r="U159" i="7"/>
  <c r="V167" i="7"/>
  <c r="W111" i="7"/>
  <c r="U35" i="7"/>
  <c r="V159" i="7"/>
  <c r="X111" i="7"/>
  <c r="X122" i="7"/>
  <c r="V35" i="7"/>
  <c r="X5" i="7"/>
  <c r="U128" i="7"/>
  <c r="V141" i="7"/>
  <c r="V122" i="7"/>
  <c r="W35" i="7"/>
  <c r="U76" i="7"/>
  <c r="X198" i="7"/>
  <c r="W128" i="7"/>
  <c r="W141" i="7"/>
  <c r="W122" i="7"/>
  <c r="V76" i="7"/>
  <c r="X128" i="7"/>
  <c r="X141" i="7"/>
  <c r="V89" i="7"/>
  <c r="W76" i="7"/>
  <c r="U80" i="7"/>
  <c r="W187" i="7"/>
  <c r="W119" i="7"/>
  <c r="U154" i="7"/>
  <c r="W129" i="7"/>
  <c r="W89" i="7"/>
  <c r="V32" i="7"/>
  <c r="X33" i="7"/>
  <c r="V49" i="7"/>
  <c r="W62" i="7"/>
  <c r="U10" i="7"/>
  <c r="U72" i="7"/>
  <c r="V72" i="7" s="1"/>
  <c r="W72" i="7" s="1"/>
  <c r="X72" i="7" s="1"/>
  <c r="W17" i="7"/>
  <c r="W32" i="7"/>
  <c r="X71" i="7"/>
  <c r="U42" i="7"/>
  <c r="X17" i="7"/>
  <c r="U69" i="7"/>
  <c r="X15" i="7"/>
  <c r="V71" i="7"/>
  <c r="V42" i="7"/>
  <c r="V125" i="7"/>
  <c r="V90" i="4"/>
  <c r="U90" i="4"/>
  <c r="V196" i="5"/>
  <c r="W196" i="5" s="1"/>
  <c r="X196" i="5" s="1"/>
  <c r="U196" i="5"/>
  <c r="V73" i="5"/>
  <c r="U73" i="5"/>
  <c r="V63" i="4"/>
  <c r="U63" i="4"/>
  <c r="V66" i="5"/>
  <c r="U66" i="5"/>
  <c r="V20" i="4"/>
  <c r="U20" i="4"/>
  <c r="T222" i="4"/>
  <c r="V179" i="4"/>
  <c r="U179" i="4"/>
  <c r="V68" i="7"/>
  <c r="V56" i="4"/>
  <c r="U56" i="4"/>
  <c r="V196" i="1"/>
  <c r="X204" i="6"/>
  <c r="U66" i="6"/>
  <c r="W48" i="6"/>
  <c r="X119" i="7"/>
  <c r="T222" i="7"/>
  <c r="X56" i="4"/>
  <c r="W48" i="7"/>
  <c r="X48" i="7"/>
  <c r="V19" i="4"/>
  <c r="W19" i="4"/>
  <c r="W173" i="7"/>
  <c r="V94" i="7"/>
  <c r="X94" i="7"/>
  <c r="W94" i="7"/>
  <c r="U94" i="7"/>
  <c r="W206" i="1"/>
  <c r="W189" i="6"/>
  <c r="V169" i="6"/>
  <c r="W197" i="6"/>
  <c r="V114" i="6"/>
  <c r="W151" i="6"/>
  <c r="V36" i="6"/>
  <c r="U167" i="7"/>
  <c r="V195" i="7"/>
  <c r="W167" i="7"/>
  <c r="W197" i="7"/>
  <c r="W84" i="7"/>
  <c r="V57" i="7"/>
  <c r="V173" i="7"/>
  <c r="U138" i="7"/>
  <c r="V33" i="7"/>
  <c r="U16" i="7"/>
  <c r="W163" i="7"/>
  <c r="U163" i="7"/>
  <c r="U29" i="4"/>
  <c r="W78" i="5"/>
  <c r="V78" i="5"/>
  <c r="U49" i="4"/>
  <c r="U9" i="4"/>
  <c r="W187" i="1"/>
  <c r="W159" i="1"/>
  <c r="U189" i="6"/>
  <c r="V164" i="6"/>
  <c r="U207" i="6"/>
  <c r="U157" i="6"/>
  <c r="W114" i="6"/>
  <c r="U95" i="6"/>
  <c r="W119" i="6"/>
  <c r="W36" i="6"/>
  <c r="U81" i="6"/>
  <c r="V88" i="6"/>
  <c r="U198" i="7"/>
  <c r="U192" i="7"/>
  <c r="W195" i="7"/>
  <c r="U145" i="7"/>
  <c r="V14" i="7"/>
  <c r="W14" i="7" s="1"/>
  <c r="X14" i="7" s="1"/>
  <c r="V77" i="7"/>
  <c r="U14" i="7"/>
  <c r="W77" i="7"/>
  <c r="V138" i="7"/>
  <c r="V16" i="7"/>
  <c r="U78" i="5"/>
  <c r="X36" i="4"/>
  <c r="V38" i="5"/>
  <c r="X38" i="5"/>
  <c r="W203" i="1"/>
  <c r="X159" i="1"/>
  <c r="U187" i="1"/>
  <c r="V189" i="6"/>
  <c r="W164" i="6"/>
  <c r="V207" i="6"/>
  <c r="U184" i="6"/>
  <c r="W184" i="6" s="1"/>
  <c r="X184" i="6" s="1"/>
  <c r="V107" i="6"/>
  <c r="U24" i="6"/>
  <c r="U119" i="6"/>
  <c r="V81" i="6"/>
  <c r="V198" i="7"/>
  <c r="V192" i="7"/>
  <c r="V193" i="7"/>
  <c r="V145" i="7"/>
  <c r="W68" i="7"/>
  <c r="V150" i="7"/>
  <c r="U107" i="7"/>
  <c r="X77" i="7"/>
  <c r="W107" i="7"/>
  <c r="V51" i="7"/>
  <c r="W16" i="7"/>
  <c r="X139" i="5"/>
  <c r="W139" i="5"/>
  <c r="U38" i="5"/>
  <c r="V187" i="1"/>
  <c r="X164" i="6"/>
  <c r="V24" i="6"/>
  <c r="W171" i="7"/>
  <c r="U171" i="7"/>
  <c r="X84" i="7"/>
  <c r="V48" i="7"/>
  <c r="W150" i="7"/>
  <c r="U68" i="7"/>
  <c r="W51" i="7"/>
  <c r="U137" i="7"/>
  <c r="X137" i="7"/>
  <c r="V137" i="7"/>
  <c r="S2" i="1"/>
  <c r="W63" i="7"/>
  <c r="X63" i="7" s="1"/>
  <c r="U48" i="5"/>
  <c r="W39" i="4"/>
  <c r="V39" i="4"/>
  <c r="U72" i="6"/>
  <c r="V72" i="6" s="1"/>
  <c r="W72" i="6" s="1"/>
  <c r="X72" i="6" s="1"/>
  <c r="U77" i="6"/>
  <c r="W150" i="6"/>
  <c r="V150" i="6"/>
  <c r="W149" i="6"/>
  <c r="W77" i="6"/>
  <c r="V77" i="6"/>
  <c r="U150" i="6"/>
  <c r="V6" i="6"/>
  <c r="U18" i="6"/>
  <c r="U6" i="6"/>
  <c r="U15" i="6"/>
  <c r="V18" i="6"/>
  <c r="X150" i="6"/>
  <c r="U149" i="6"/>
  <c r="W6" i="6"/>
  <c r="W15" i="6"/>
  <c r="X18" i="6"/>
  <c r="U42" i="6"/>
  <c r="V149" i="6"/>
  <c r="T234" i="6"/>
  <c r="U60" i="7"/>
  <c r="V60" i="7" s="1"/>
  <c r="W60" i="7" s="1"/>
  <c r="X60" i="7" s="1"/>
  <c r="U27" i="7"/>
  <c r="V27" i="7"/>
  <c r="X229" i="7"/>
  <c r="X230" i="7"/>
  <c r="U22" i="7"/>
  <c r="V22" i="7" s="1"/>
  <c r="W22" i="7" s="1"/>
  <c r="X22" i="7" s="1"/>
  <c r="X221" i="7"/>
  <c r="U123" i="7"/>
  <c r="V123" i="7" s="1"/>
  <c r="W123" i="7" s="1"/>
  <c r="X123" i="7" s="1"/>
  <c r="V98" i="7"/>
  <c r="U98" i="7"/>
  <c r="X222" i="7"/>
  <c r="U156" i="7"/>
  <c r="V156" i="7"/>
  <c r="W156" i="7" s="1"/>
  <c r="X156" i="7" s="1"/>
  <c r="U116" i="7"/>
  <c r="W116" i="7"/>
  <c r="V116" i="7"/>
  <c r="X116" i="7"/>
  <c r="V184" i="7"/>
  <c r="W184" i="7" s="1"/>
  <c r="X184" i="7" s="1"/>
  <c r="U184" i="7"/>
  <c r="X158" i="7"/>
  <c r="W158" i="7"/>
  <c r="U158" i="7"/>
  <c r="V158" i="7"/>
  <c r="V143" i="7"/>
  <c r="W143" i="7" s="1"/>
  <c r="X143" i="7" s="1"/>
  <c r="U143" i="7"/>
  <c r="V86" i="7"/>
  <c r="U86" i="7"/>
  <c r="U166" i="7"/>
  <c r="W166" i="7"/>
  <c r="X166" i="7"/>
  <c r="V166" i="7"/>
  <c r="X178" i="7"/>
  <c r="W178" i="7"/>
  <c r="V178" i="7"/>
  <c r="U178" i="7"/>
  <c r="X34" i="7"/>
  <c r="W34" i="7"/>
  <c r="V34" i="7"/>
  <c r="U34" i="7"/>
  <c r="V204" i="7"/>
  <c r="U204" i="7"/>
  <c r="W204" i="7" s="1"/>
  <c r="X204" i="7" s="1"/>
  <c r="W127" i="7"/>
  <c r="V127" i="7"/>
  <c r="X127" i="7"/>
  <c r="U127" i="7"/>
  <c r="V147" i="7"/>
  <c r="U147" i="7"/>
  <c r="X147" i="7"/>
  <c r="W147" i="7"/>
  <c r="X168" i="7"/>
  <c r="W168" i="7"/>
  <c r="U168" i="7"/>
  <c r="V168" i="7"/>
  <c r="T234" i="7"/>
  <c r="W132" i="7"/>
  <c r="V132" i="7"/>
  <c r="X132" i="7"/>
  <c r="U132" i="7"/>
  <c r="X118" i="7"/>
  <c r="W118" i="7"/>
  <c r="V118" i="7"/>
  <c r="U118" i="7"/>
  <c r="U126" i="7"/>
  <c r="V126" i="7" s="1"/>
  <c r="W126" i="7" s="1"/>
  <c r="X126" i="7" s="1"/>
  <c r="V103" i="7"/>
  <c r="U103" i="7"/>
  <c r="U146" i="7"/>
  <c r="W146" i="7"/>
  <c r="X146" i="7"/>
  <c r="V146" i="7"/>
  <c r="U97" i="7"/>
  <c r="V97" i="7" s="1"/>
  <c r="W97" i="7" s="1"/>
  <c r="X97" i="7" s="1"/>
  <c r="V74" i="7"/>
  <c r="X74" i="7"/>
  <c r="W74" i="7"/>
  <c r="U74" i="7"/>
  <c r="V38" i="7"/>
  <c r="U38" i="7"/>
  <c r="X38" i="7"/>
  <c r="W38" i="7"/>
  <c r="W11" i="7"/>
  <c r="V11" i="7"/>
  <c r="U11" i="7"/>
  <c r="X11" i="7"/>
  <c r="U106" i="7"/>
  <c r="W106" i="7"/>
  <c r="X106" i="7"/>
  <c r="V106" i="7"/>
  <c r="X65" i="7"/>
  <c r="W65" i="7"/>
  <c r="V65" i="7"/>
  <c r="U65" i="7"/>
  <c r="X45" i="7"/>
  <c r="W45" i="7"/>
  <c r="V45" i="7"/>
  <c r="U45" i="7"/>
  <c r="X194" i="7"/>
  <c r="W194" i="7"/>
  <c r="V194" i="7"/>
  <c r="U194" i="7"/>
  <c r="W164" i="7"/>
  <c r="V164" i="7"/>
  <c r="U164" i="7"/>
  <c r="X164" i="7"/>
  <c r="U96" i="7"/>
  <c r="W96" i="7"/>
  <c r="X96" i="7"/>
  <c r="V96" i="7"/>
  <c r="T212" i="7"/>
  <c r="T213" i="7" s="1"/>
  <c r="T214" i="7"/>
  <c r="U2" i="7"/>
  <c r="V2" i="7" s="1"/>
  <c r="W2" i="7" s="1"/>
  <c r="X2" i="7" s="1"/>
  <c r="V109" i="7"/>
  <c r="U109" i="7"/>
  <c r="X109" i="7"/>
  <c r="W109" i="7"/>
  <c r="V153" i="7"/>
  <c r="X153" i="7"/>
  <c r="W153" i="7"/>
  <c r="U153" i="7"/>
  <c r="U37" i="7"/>
  <c r="W37" i="7"/>
  <c r="X37" i="7"/>
  <c r="V37" i="7"/>
  <c r="X24" i="7"/>
  <c r="W24" i="7"/>
  <c r="V24" i="7"/>
  <c r="U24" i="7"/>
  <c r="V20" i="7"/>
  <c r="U20" i="7"/>
  <c r="V179" i="7"/>
  <c r="U179" i="7"/>
  <c r="W179" i="7"/>
  <c r="X179" i="7" s="1"/>
  <c r="U21" i="7"/>
  <c r="V21" i="7" s="1"/>
  <c r="W21" i="7" s="1"/>
  <c r="X21" i="7" s="1"/>
  <c r="X85" i="7"/>
  <c r="W85" i="7"/>
  <c r="V85" i="7"/>
  <c r="U85" i="7"/>
  <c r="V44" i="7"/>
  <c r="X44" i="7"/>
  <c r="W44" i="7"/>
  <c r="U44" i="7"/>
  <c r="U176" i="7"/>
  <c r="W176" i="7"/>
  <c r="V176" i="7"/>
  <c r="X176" i="7"/>
  <c r="U104" i="7"/>
  <c r="W104" i="7"/>
  <c r="X104" i="7"/>
  <c r="V104" i="7"/>
  <c r="X134" i="7"/>
  <c r="W134" i="7"/>
  <c r="V134" i="7"/>
  <c r="U134" i="7"/>
  <c r="V174" i="7"/>
  <c r="U174" i="7"/>
  <c r="X4" i="7"/>
  <c r="W4" i="7"/>
  <c r="V4" i="7"/>
  <c r="U4" i="7"/>
  <c r="V54" i="7"/>
  <c r="X54" i="7"/>
  <c r="W54" i="7"/>
  <c r="U54" i="7"/>
  <c r="V64" i="7"/>
  <c r="X64" i="7"/>
  <c r="W64" i="7"/>
  <c r="U64" i="7"/>
  <c r="V114" i="7"/>
  <c r="U114" i="7"/>
  <c r="X114" i="7"/>
  <c r="W114" i="7"/>
  <c r="X144" i="7"/>
  <c r="W144" i="7"/>
  <c r="V144" i="7"/>
  <c r="U144" i="7"/>
  <c r="X117" i="7"/>
  <c r="U117" i="7"/>
  <c r="W117" i="7"/>
  <c r="V117" i="7"/>
  <c r="V113" i="7"/>
  <c r="X113" i="7"/>
  <c r="W113" i="7"/>
  <c r="U113" i="7"/>
  <c r="V133" i="7"/>
  <c r="X133" i="7"/>
  <c r="W133" i="7"/>
  <c r="U133" i="7"/>
  <c r="T221" i="7"/>
  <c r="W103" i="6"/>
  <c r="X103" i="6"/>
  <c r="V103" i="6"/>
  <c r="U103" i="6"/>
  <c r="U123" i="6"/>
  <c r="V123" i="6" s="1"/>
  <c r="W123" i="6" s="1"/>
  <c r="X123" i="6" s="1"/>
  <c r="V179" i="6"/>
  <c r="W179" i="6" s="1"/>
  <c r="X179" i="6" s="1"/>
  <c r="U179" i="6"/>
  <c r="U22" i="6"/>
  <c r="V22" i="6"/>
  <c r="X221" i="6"/>
  <c r="X223" i="6" s="1"/>
  <c r="X222" i="6"/>
  <c r="W60" i="6"/>
  <c r="X60" i="6" s="1"/>
  <c r="X233" i="6"/>
  <c r="U156" i="6"/>
  <c r="X232" i="6" s="1"/>
  <c r="V156" i="6"/>
  <c r="X229" i="6"/>
  <c r="X231" i="6" s="1"/>
  <c r="X230" i="6"/>
  <c r="T222" i="6"/>
  <c r="U143" i="6"/>
  <c r="V143" i="6"/>
  <c r="W143" i="6" s="1"/>
  <c r="X143" i="6" s="1"/>
  <c r="X171" i="6"/>
  <c r="W171" i="6"/>
  <c r="V171" i="6"/>
  <c r="U171" i="6"/>
  <c r="W141" i="6"/>
  <c r="V141" i="6"/>
  <c r="U141" i="6"/>
  <c r="X141" i="6"/>
  <c r="X145" i="6"/>
  <c r="W145" i="6"/>
  <c r="V145" i="6"/>
  <c r="U145" i="6"/>
  <c r="X84" i="6"/>
  <c r="W84" i="6"/>
  <c r="V84" i="6"/>
  <c r="U84" i="6"/>
  <c r="U82" i="6"/>
  <c r="X82" i="6"/>
  <c r="W82" i="6"/>
  <c r="V82" i="6"/>
  <c r="X161" i="6"/>
  <c r="W161" i="6"/>
  <c r="V161" i="6"/>
  <c r="U161" i="6"/>
  <c r="U97" i="6"/>
  <c r="V97" i="6"/>
  <c r="W97" i="6" s="1"/>
  <c r="X97" i="6" s="1"/>
  <c r="V174" i="6"/>
  <c r="W174" i="6" s="1"/>
  <c r="X174" i="6" s="1"/>
  <c r="U174" i="6"/>
  <c r="X94" i="6"/>
  <c r="W94" i="6"/>
  <c r="V94" i="6"/>
  <c r="U94" i="6"/>
  <c r="X16" i="6"/>
  <c r="W16" i="6"/>
  <c r="V16" i="6"/>
  <c r="U16" i="6"/>
  <c r="U80" i="6"/>
  <c r="X80" i="6"/>
  <c r="W80" i="6"/>
  <c r="V80" i="6"/>
  <c r="U10" i="6"/>
  <c r="X10" i="6"/>
  <c r="W10" i="6"/>
  <c r="V10" i="6"/>
  <c r="V26" i="6"/>
  <c r="U26" i="6"/>
  <c r="X26" i="6"/>
  <c r="W26" i="6"/>
  <c r="U50" i="6"/>
  <c r="X50" i="6"/>
  <c r="W50" i="6"/>
  <c r="V50" i="6"/>
  <c r="X165" i="6"/>
  <c r="W165" i="6"/>
  <c r="V165" i="6"/>
  <c r="U165" i="6"/>
  <c r="U92" i="6"/>
  <c r="W92" i="6"/>
  <c r="V92" i="6"/>
  <c r="X92" i="6"/>
  <c r="W68" i="6"/>
  <c r="V68" i="6"/>
  <c r="X68" i="6"/>
  <c r="U68" i="6"/>
  <c r="X79" i="6"/>
  <c r="W79" i="6"/>
  <c r="V79" i="6"/>
  <c r="U79" i="6"/>
  <c r="V87" i="6"/>
  <c r="U87" i="6"/>
  <c r="X87" i="6"/>
  <c r="W87" i="6"/>
  <c r="T212" i="6"/>
  <c r="T213" i="6" s="1"/>
  <c r="T214" i="6"/>
  <c r="U2" i="6"/>
  <c r="V2" i="6" s="1"/>
  <c r="W2" i="6" s="1"/>
  <c r="X2" i="6" s="1"/>
  <c r="V109" i="6"/>
  <c r="U109" i="6"/>
  <c r="X109" i="6"/>
  <c r="W109" i="6"/>
  <c r="X134" i="6"/>
  <c r="W134" i="6"/>
  <c r="U134" i="6"/>
  <c r="V134" i="6"/>
  <c r="W163" i="6"/>
  <c r="U163" i="6"/>
  <c r="X163" i="6"/>
  <c r="V163" i="6"/>
  <c r="U121" i="6"/>
  <c r="W121" i="6"/>
  <c r="V121" i="6"/>
  <c r="X121" i="6"/>
  <c r="X19" i="6"/>
  <c r="W19" i="6"/>
  <c r="V19" i="6"/>
  <c r="U19" i="6"/>
  <c r="X40" i="6"/>
  <c r="W40" i="6"/>
  <c r="V40" i="6"/>
  <c r="U40" i="6"/>
  <c r="W58" i="6"/>
  <c r="V58" i="6"/>
  <c r="X58" i="6"/>
  <c r="U58" i="6"/>
  <c r="X181" i="6"/>
  <c r="W181" i="6"/>
  <c r="V181" i="6"/>
  <c r="U181" i="6"/>
  <c r="U96" i="6"/>
  <c r="X96" i="6"/>
  <c r="W96" i="6"/>
  <c r="V96" i="6"/>
  <c r="U126" i="6"/>
  <c r="V126" i="6" s="1"/>
  <c r="W126" i="6" s="1"/>
  <c r="X126" i="6" s="1"/>
  <c r="X64" i="6"/>
  <c r="V64" i="6"/>
  <c r="U64" i="6"/>
  <c r="W64" i="6"/>
  <c r="X39" i="6"/>
  <c r="W39" i="6"/>
  <c r="V39" i="6"/>
  <c r="U39" i="6"/>
  <c r="U32" i="6"/>
  <c r="X32" i="6"/>
  <c r="W32" i="6"/>
  <c r="V32" i="6"/>
  <c r="X49" i="6"/>
  <c r="W49" i="6"/>
  <c r="V49" i="6"/>
  <c r="U49" i="6"/>
  <c r="X125" i="6"/>
  <c r="W125" i="6"/>
  <c r="V125" i="6"/>
  <c r="U125" i="6"/>
  <c r="X29" i="6"/>
  <c r="W29" i="6"/>
  <c r="V29" i="6"/>
  <c r="U29" i="6"/>
  <c r="X69" i="6"/>
  <c r="W69" i="6"/>
  <c r="V69" i="6"/>
  <c r="U69" i="6"/>
  <c r="U52" i="6"/>
  <c r="X52" i="6"/>
  <c r="W52" i="6"/>
  <c r="V52" i="6"/>
  <c r="X144" i="6"/>
  <c r="W144" i="6"/>
  <c r="V144" i="6"/>
  <c r="U144" i="6"/>
  <c r="X111" i="6"/>
  <c r="W111" i="6"/>
  <c r="V111" i="6"/>
  <c r="U111" i="6"/>
  <c r="X191" i="6"/>
  <c r="W191" i="6"/>
  <c r="V191" i="6"/>
  <c r="U191" i="6"/>
  <c r="W133" i="6"/>
  <c r="V133" i="6"/>
  <c r="X133" i="6"/>
  <c r="U133" i="6"/>
  <c r="T221" i="6"/>
  <c r="T223" i="6" s="1"/>
  <c r="X8" i="6"/>
  <c r="W8" i="6"/>
  <c r="V8" i="6"/>
  <c r="U8" i="6"/>
  <c r="W113" i="6"/>
  <c r="X113" i="6"/>
  <c r="V113" i="6"/>
  <c r="U113" i="6"/>
  <c r="V63" i="6"/>
  <c r="W63" i="6"/>
  <c r="X63" i="6" s="1"/>
  <c r="U63" i="6"/>
  <c r="X57" i="6"/>
  <c r="W57" i="6"/>
  <c r="V57" i="6"/>
  <c r="U57" i="6"/>
  <c r="U199" i="6"/>
  <c r="V199" i="6" s="1"/>
  <c r="W199" i="6" s="1"/>
  <c r="X199" i="6" s="1"/>
  <c r="X67" i="6"/>
  <c r="W67" i="6"/>
  <c r="V67" i="6"/>
  <c r="U67" i="6"/>
  <c r="X201" i="6"/>
  <c r="W201" i="6"/>
  <c r="V201" i="6"/>
  <c r="U201" i="6"/>
  <c r="X175" i="6"/>
  <c r="W175" i="6"/>
  <c r="V175" i="6"/>
  <c r="U175" i="6"/>
  <c r="W153" i="6"/>
  <c r="X153" i="6"/>
  <c r="V153" i="6"/>
  <c r="U153" i="6"/>
  <c r="X155" i="6"/>
  <c r="W155" i="6"/>
  <c r="V155" i="6"/>
  <c r="U155" i="6"/>
  <c r="X183" i="6"/>
  <c r="W183" i="6"/>
  <c r="U183" i="6"/>
  <c r="V183" i="6"/>
  <c r="X89" i="6"/>
  <c r="U89" i="6"/>
  <c r="W89" i="6"/>
  <c r="V89" i="6"/>
  <c r="U136" i="6"/>
  <c r="X136" i="6"/>
  <c r="W136" i="6"/>
  <c r="V136" i="6"/>
  <c r="X104" i="6"/>
  <c r="W104" i="6"/>
  <c r="V104" i="6"/>
  <c r="U104" i="6"/>
  <c r="X59" i="6"/>
  <c r="W59" i="6"/>
  <c r="V59" i="6"/>
  <c r="U59" i="6"/>
  <c r="V179" i="5"/>
  <c r="U179" i="5"/>
  <c r="W179" i="5"/>
  <c r="X179" i="5" s="1"/>
  <c r="T221" i="5"/>
  <c r="V63" i="5"/>
  <c r="U63" i="5"/>
  <c r="W63" i="5" s="1"/>
  <c r="X63" i="5" s="1"/>
  <c r="V27" i="5"/>
  <c r="U27" i="5"/>
  <c r="X230" i="5"/>
  <c r="X229" i="5"/>
  <c r="V86" i="5"/>
  <c r="U86" i="5"/>
  <c r="W86" i="5" s="1"/>
  <c r="X86" i="5" s="1"/>
  <c r="V99" i="5"/>
  <c r="W99" i="5" s="1"/>
  <c r="X99" i="5" s="1"/>
  <c r="U99" i="5"/>
  <c r="V174" i="5"/>
  <c r="U174" i="5"/>
  <c r="W174" i="5" s="1"/>
  <c r="X174" i="5" s="1"/>
  <c r="V90" i="5"/>
  <c r="W90" i="5" s="1"/>
  <c r="X90" i="5" s="1"/>
  <c r="U90" i="5"/>
  <c r="U123" i="5"/>
  <c r="V123" i="5"/>
  <c r="W123" i="5" s="1"/>
  <c r="X123" i="5" s="1"/>
  <c r="U22" i="5"/>
  <c r="U176" i="5"/>
  <c r="X176" i="5"/>
  <c r="W176" i="5"/>
  <c r="V176" i="5"/>
  <c r="W113" i="5"/>
  <c r="V113" i="5"/>
  <c r="U113" i="5"/>
  <c r="X113" i="5"/>
  <c r="V103" i="5"/>
  <c r="W103" i="5" s="1"/>
  <c r="X103" i="5" s="1"/>
  <c r="U103" i="5"/>
  <c r="U68" i="5"/>
  <c r="V68" i="5"/>
  <c r="W68" i="5"/>
  <c r="X68" i="5"/>
  <c r="X75" i="5"/>
  <c r="U75" i="5"/>
  <c r="V75" i="5"/>
  <c r="W75" i="5"/>
  <c r="X35" i="5"/>
  <c r="W35" i="5"/>
  <c r="V35" i="5"/>
  <c r="U35" i="5"/>
  <c r="V204" i="5"/>
  <c r="W204" i="5" s="1"/>
  <c r="X204" i="5" s="1"/>
  <c r="U204" i="5"/>
  <c r="X194" i="5"/>
  <c r="W194" i="5"/>
  <c r="V194" i="5"/>
  <c r="U194" i="5"/>
  <c r="X50" i="5"/>
  <c r="W50" i="5"/>
  <c r="V50" i="5"/>
  <c r="U50" i="5"/>
  <c r="U106" i="5"/>
  <c r="X106" i="5"/>
  <c r="W106" i="5"/>
  <c r="V106" i="5"/>
  <c r="X167" i="5"/>
  <c r="W167" i="5"/>
  <c r="U167" i="5"/>
  <c r="V167" i="5"/>
  <c r="X184" i="5"/>
  <c r="W184" i="5"/>
  <c r="V184" i="5"/>
  <c r="U184" i="5"/>
  <c r="V80" i="5"/>
  <c r="U80" i="5"/>
  <c r="X155" i="5"/>
  <c r="W155" i="5"/>
  <c r="V155" i="5"/>
  <c r="U155" i="5"/>
  <c r="W13" i="5"/>
  <c r="V13" i="5"/>
  <c r="X13" i="5"/>
  <c r="U13" i="5"/>
  <c r="X221" i="5"/>
  <c r="X93" i="5"/>
  <c r="W93" i="5"/>
  <c r="V93" i="5"/>
  <c r="U93" i="5"/>
  <c r="X125" i="5"/>
  <c r="W125" i="5"/>
  <c r="V125" i="5"/>
  <c r="U125" i="5"/>
  <c r="X70" i="5"/>
  <c r="W70" i="5"/>
  <c r="V70" i="5"/>
  <c r="U70" i="5"/>
  <c r="W23" i="5"/>
  <c r="V23" i="5"/>
  <c r="X23" i="5"/>
  <c r="U23" i="5"/>
  <c r="U58" i="5"/>
  <c r="X58" i="5"/>
  <c r="W58" i="5"/>
  <c r="V58" i="5"/>
  <c r="X30" i="5"/>
  <c r="W30" i="5"/>
  <c r="V30" i="5"/>
  <c r="U30" i="5"/>
  <c r="U165" i="5"/>
  <c r="V165" i="5" s="1"/>
  <c r="W165" i="5" s="1"/>
  <c r="X165" i="5" s="1"/>
  <c r="U146" i="5"/>
  <c r="V146" i="5"/>
  <c r="V45" i="5"/>
  <c r="W45" i="5" s="1"/>
  <c r="X45" i="5" s="1"/>
  <c r="U45" i="5"/>
  <c r="T212" i="5"/>
  <c r="T213" i="5" s="1"/>
  <c r="T214" i="5"/>
  <c r="U2" i="5"/>
  <c r="X2" i="5"/>
  <c r="W2" i="5"/>
  <c r="V2" i="5"/>
  <c r="T222" i="5"/>
  <c r="U131" i="5"/>
  <c r="V131" i="5" s="1"/>
  <c r="W131" i="5" s="1"/>
  <c r="X131" i="5" s="1"/>
  <c r="X145" i="5"/>
  <c r="W145" i="5"/>
  <c r="V145" i="5"/>
  <c r="U145" i="5"/>
  <c r="X141" i="5"/>
  <c r="W141" i="5"/>
  <c r="V141" i="5"/>
  <c r="U141" i="5"/>
  <c r="X101" i="5"/>
  <c r="W101" i="5"/>
  <c r="V101" i="5"/>
  <c r="U101" i="5"/>
  <c r="U88" i="5"/>
  <c r="X88" i="5"/>
  <c r="W88" i="5"/>
  <c r="V88" i="5"/>
  <c r="U60" i="5"/>
  <c r="V60" i="5" s="1"/>
  <c r="W60" i="5" s="1"/>
  <c r="X60" i="5" s="1"/>
  <c r="T234" i="5"/>
  <c r="W14" i="5"/>
  <c r="X14" i="5"/>
  <c r="V14" i="5"/>
  <c r="U14" i="5"/>
  <c r="U186" i="5"/>
  <c r="X186" i="5"/>
  <c r="W186" i="5"/>
  <c r="V186" i="5"/>
  <c r="V199" i="5"/>
  <c r="U199" i="5"/>
  <c r="W199" i="5"/>
  <c r="X199" i="5" s="1"/>
  <c r="X115" i="5"/>
  <c r="W115" i="5"/>
  <c r="V115" i="5"/>
  <c r="U115" i="5"/>
  <c r="X105" i="5"/>
  <c r="W105" i="5"/>
  <c r="V105" i="5"/>
  <c r="U105" i="5"/>
  <c r="X40" i="5"/>
  <c r="W40" i="5"/>
  <c r="V40" i="5"/>
  <c r="U40" i="5"/>
  <c r="U24" i="5"/>
  <c r="V24" i="5"/>
  <c r="W24" i="5" s="1"/>
  <c r="X24" i="5" s="1"/>
  <c r="W4" i="5"/>
  <c r="X4" i="5"/>
  <c r="V4" i="5"/>
  <c r="U4" i="5"/>
  <c r="X222" i="5"/>
  <c r="V111" i="5"/>
  <c r="U111" i="5"/>
  <c r="X135" i="5"/>
  <c r="W135" i="5"/>
  <c r="V135" i="5"/>
  <c r="U135" i="5"/>
  <c r="W133" i="5"/>
  <c r="X133" i="5"/>
  <c r="V133" i="5"/>
  <c r="U133" i="5"/>
  <c r="X7" i="5"/>
  <c r="U7" i="5"/>
  <c r="W7" i="5"/>
  <c r="V7" i="5"/>
  <c r="W63" i="4"/>
  <c r="X63" i="4" s="1"/>
  <c r="W90" i="4"/>
  <c r="X90" i="4" s="1"/>
  <c r="U126" i="4"/>
  <c r="V126" i="4" s="1"/>
  <c r="W126" i="4" s="1"/>
  <c r="X126" i="4" s="1"/>
  <c r="U72" i="4"/>
  <c r="V72" i="4" s="1"/>
  <c r="W72" i="4" s="1"/>
  <c r="X72" i="4" s="1"/>
  <c r="V27" i="4"/>
  <c r="U27" i="4"/>
  <c r="X230" i="4"/>
  <c r="X229" i="4"/>
  <c r="U21" i="4"/>
  <c r="V21" i="4" s="1"/>
  <c r="W21" i="4" s="1"/>
  <c r="X21" i="4" s="1"/>
  <c r="T221" i="4"/>
  <c r="U165" i="4"/>
  <c r="V165" i="4" s="1"/>
  <c r="W165" i="4" s="1"/>
  <c r="X165" i="4" s="1"/>
  <c r="V111" i="4"/>
  <c r="W111" i="4" s="1"/>
  <c r="X111" i="4" s="1"/>
  <c r="U111" i="4"/>
  <c r="V156" i="4"/>
  <c r="U156" i="4"/>
  <c r="U22" i="4"/>
  <c r="X222" i="4"/>
  <c r="X221" i="4"/>
  <c r="X117" i="4"/>
  <c r="W117" i="4"/>
  <c r="V117" i="4"/>
  <c r="U117" i="4"/>
  <c r="U97" i="4"/>
  <c r="V97" i="4" s="1"/>
  <c r="W97" i="4" s="1"/>
  <c r="X97" i="4" s="1"/>
  <c r="X147" i="4"/>
  <c r="W147" i="4"/>
  <c r="V147" i="4"/>
  <c r="U147" i="4"/>
  <c r="U196" i="4"/>
  <c r="W196" i="4" s="1"/>
  <c r="X196" i="4" s="1"/>
  <c r="V196" i="4"/>
  <c r="U99" i="4"/>
  <c r="V99" i="4"/>
  <c r="X74" i="4"/>
  <c r="W74" i="4"/>
  <c r="V74" i="4"/>
  <c r="U74" i="4"/>
  <c r="X61" i="4"/>
  <c r="W61" i="4"/>
  <c r="V61" i="4"/>
  <c r="U61" i="4"/>
  <c r="X11" i="4"/>
  <c r="W11" i="4"/>
  <c r="V11" i="4"/>
  <c r="U11" i="4"/>
  <c r="X121" i="4"/>
  <c r="W121" i="4"/>
  <c r="V121" i="4"/>
  <c r="U121" i="4"/>
  <c r="X171" i="4"/>
  <c r="W171" i="4"/>
  <c r="V171" i="4"/>
  <c r="U171" i="4"/>
  <c r="X137" i="4"/>
  <c r="W137" i="4"/>
  <c r="V137" i="4"/>
  <c r="U137" i="4"/>
  <c r="X127" i="4"/>
  <c r="W127" i="4"/>
  <c r="V127" i="4"/>
  <c r="U127" i="4"/>
  <c r="U79" i="4"/>
  <c r="V79" i="4"/>
  <c r="W79" i="4" s="1"/>
  <c r="X79" i="4" s="1"/>
  <c r="X17" i="4"/>
  <c r="W17" i="4"/>
  <c r="V17" i="4"/>
  <c r="U17" i="4"/>
  <c r="X94" i="4"/>
  <c r="W94" i="4"/>
  <c r="V94" i="4"/>
  <c r="U94" i="4"/>
  <c r="X181" i="4"/>
  <c r="W181" i="4"/>
  <c r="V181" i="4"/>
  <c r="U181" i="4"/>
  <c r="X96" i="4"/>
  <c r="V96" i="4"/>
  <c r="W96" i="4"/>
  <c r="U96" i="4"/>
  <c r="X41" i="4"/>
  <c r="W41" i="4"/>
  <c r="V41" i="4"/>
  <c r="U41" i="4"/>
  <c r="X161" i="4"/>
  <c r="W161" i="4"/>
  <c r="V161" i="4"/>
  <c r="U161" i="4"/>
  <c r="X201" i="4"/>
  <c r="W201" i="4"/>
  <c r="V201" i="4"/>
  <c r="U201" i="4"/>
  <c r="V146" i="4"/>
  <c r="W146" i="4"/>
  <c r="X146" i="4" s="1"/>
  <c r="U146" i="4"/>
  <c r="V157" i="4"/>
  <c r="W157" i="4" s="1"/>
  <c r="X157" i="4" s="1"/>
  <c r="U157" i="4"/>
  <c r="X131" i="4"/>
  <c r="W131" i="4"/>
  <c r="V131" i="4"/>
  <c r="U131" i="4"/>
  <c r="T234" i="4"/>
  <c r="X191" i="4"/>
  <c r="W191" i="4"/>
  <c r="V191" i="4"/>
  <c r="U191" i="4"/>
  <c r="V174" i="4"/>
  <c r="U174" i="4"/>
  <c r="X31" i="4"/>
  <c r="W31" i="4"/>
  <c r="V31" i="4"/>
  <c r="U31" i="4"/>
  <c r="V204" i="4"/>
  <c r="U204" i="4"/>
  <c r="X141" i="4"/>
  <c r="W141" i="4"/>
  <c r="V141" i="4"/>
  <c r="U141" i="4"/>
  <c r="X101" i="4"/>
  <c r="W101" i="4"/>
  <c r="V101" i="4"/>
  <c r="U101" i="4"/>
  <c r="X84" i="4"/>
  <c r="W84" i="4"/>
  <c r="V84" i="4"/>
  <c r="U84" i="4"/>
  <c r="V86" i="4"/>
  <c r="U86" i="4"/>
  <c r="U199" i="4"/>
  <c r="V199" i="4" s="1"/>
  <c r="W199" i="4" s="1"/>
  <c r="X199" i="4" s="1"/>
  <c r="U107" i="4"/>
  <c r="V107" i="4" s="1"/>
  <c r="W107" i="4" s="1"/>
  <c r="X107" i="4" s="1"/>
  <c r="T212" i="4"/>
  <c r="T213" i="4" s="1"/>
  <c r="T214" i="4"/>
  <c r="U2" i="4"/>
  <c r="V98" i="4"/>
  <c r="U98" i="4"/>
  <c r="X151" i="4"/>
  <c r="W151" i="4"/>
  <c r="V151" i="4"/>
  <c r="U151" i="4"/>
  <c r="V51" i="4"/>
  <c r="U51" i="4"/>
  <c r="W51" i="4" s="1"/>
  <c r="X51" i="4" s="1"/>
  <c r="W178" i="1"/>
  <c r="U139" i="1"/>
  <c r="U159" i="1"/>
  <c r="W139" i="1"/>
  <c r="X139" i="1"/>
  <c r="U178" i="1"/>
  <c r="W189" i="1"/>
  <c r="W68" i="1"/>
  <c r="V189" i="1"/>
  <c r="X189" i="1"/>
  <c r="U206" i="1"/>
  <c r="V174" i="1"/>
  <c r="W174" i="1" s="1"/>
  <c r="X174" i="1" s="1"/>
  <c r="X77" i="1"/>
  <c r="V179" i="1"/>
  <c r="W179" i="1" s="1"/>
  <c r="X179" i="1" s="1"/>
  <c r="V68" i="1"/>
  <c r="X68" i="1"/>
  <c r="W154" i="1"/>
  <c r="X61" i="1"/>
  <c r="V61" i="1"/>
  <c r="U154" i="1"/>
  <c r="X154" i="1"/>
  <c r="W77" i="1"/>
  <c r="W61" i="1"/>
  <c r="V67" i="1"/>
  <c r="W67" i="1"/>
  <c r="X67" i="1"/>
  <c r="W196" i="1"/>
  <c r="X196" i="1" s="1"/>
  <c r="U77" i="1"/>
  <c r="V99" i="1"/>
  <c r="U99" i="1"/>
  <c r="U156" i="1"/>
  <c r="V156" i="1" s="1"/>
  <c r="W156" i="1" s="1"/>
  <c r="X156" i="1" s="1"/>
  <c r="U97" i="1"/>
  <c r="V97" i="1" s="1"/>
  <c r="W97" i="1" s="1"/>
  <c r="X97" i="1" s="1"/>
  <c r="U98" i="1"/>
  <c r="V98" i="1" s="1"/>
  <c r="W98" i="1" s="1"/>
  <c r="X98" i="1" s="1"/>
  <c r="U123" i="1"/>
  <c r="V123" i="1" s="1"/>
  <c r="W123" i="1" s="1"/>
  <c r="X123" i="1" s="1"/>
  <c r="V80" i="1"/>
  <c r="U80" i="1"/>
  <c r="V111" i="1"/>
  <c r="U111" i="1"/>
  <c r="W138" i="1"/>
  <c r="X138" i="1" s="1"/>
  <c r="U138" i="1"/>
  <c r="V138" i="1"/>
  <c r="X119" i="1"/>
  <c r="W119" i="1"/>
  <c r="V119" i="1"/>
  <c r="U119" i="1"/>
  <c r="X83" i="1"/>
  <c r="W83" i="1"/>
  <c r="V83" i="1"/>
  <c r="U83" i="1"/>
  <c r="U78" i="1"/>
  <c r="X78" i="1"/>
  <c r="W78" i="1"/>
  <c r="V78" i="1"/>
  <c r="X62" i="1"/>
  <c r="W62" i="1"/>
  <c r="V62" i="1"/>
  <c r="U62" i="1"/>
  <c r="U72" i="1"/>
  <c r="V72" i="1" s="1"/>
  <c r="W72" i="1" s="1"/>
  <c r="X72" i="1" s="1"/>
  <c r="X114" i="1"/>
  <c r="W114" i="1"/>
  <c r="V114" i="1"/>
  <c r="U114" i="1"/>
  <c r="X92" i="1"/>
  <c r="W92" i="1"/>
  <c r="V92" i="1"/>
  <c r="U92" i="1"/>
  <c r="V20" i="1"/>
  <c r="U20" i="1"/>
  <c r="V48" i="1"/>
  <c r="U48" i="1"/>
  <c r="X48" i="1"/>
  <c r="W48" i="1"/>
  <c r="V4" i="1"/>
  <c r="U4" i="1"/>
  <c r="W4" i="1"/>
  <c r="X4" i="1"/>
  <c r="U21" i="1"/>
  <c r="V21" i="1" s="1"/>
  <c r="W21" i="1" s="1"/>
  <c r="X21" i="1" s="1"/>
  <c r="V14" i="1"/>
  <c r="U14" i="1"/>
  <c r="W14" i="1" s="1"/>
  <c r="X14" i="1" s="1"/>
  <c r="V17" i="1"/>
  <c r="U17" i="1"/>
  <c r="X17" i="1"/>
  <c r="W17" i="1"/>
  <c r="V89" i="1"/>
  <c r="U89" i="1"/>
  <c r="X89" i="1"/>
  <c r="W89" i="1"/>
  <c r="X104" i="1"/>
  <c r="W104" i="1"/>
  <c r="V104" i="1"/>
  <c r="U104" i="1"/>
  <c r="X91" i="1"/>
  <c r="W91" i="1"/>
  <c r="V91" i="1"/>
  <c r="U91" i="1"/>
  <c r="X75" i="1"/>
  <c r="W75" i="1"/>
  <c r="V75" i="1"/>
  <c r="U75" i="1"/>
  <c r="V15" i="1"/>
  <c r="U15" i="1"/>
  <c r="X15" i="1"/>
  <c r="W15" i="1"/>
  <c r="V43" i="1"/>
  <c r="U43" i="1"/>
  <c r="X43" i="1"/>
  <c r="W43" i="1"/>
  <c r="V16" i="1"/>
  <c r="U16" i="1"/>
  <c r="X16" i="1"/>
  <c r="W16" i="1"/>
  <c r="V63" i="1"/>
  <c r="U63" i="1"/>
  <c r="X105" i="1"/>
  <c r="W105" i="1"/>
  <c r="V105" i="1"/>
  <c r="U105" i="1"/>
  <c r="V38" i="1"/>
  <c r="U38" i="1"/>
  <c r="X38" i="1"/>
  <c r="W38" i="1"/>
  <c r="V54" i="1"/>
  <c r="U54" i="1"/>
  <c r="X54" i="1"/>
  <c r="W54" i="1"/>
  <c r="V11" i="1"/>
  <c r="U11" i="1"/>
  <c r="X11" i="1"/>
  <c r="W11" i="1"/>
  <c r="V6" i="1"/>
  <c r="U6" i="1"/>
  <c r="X6" i="1"/>
  <c r="W6" i="1"/>
  <c r="W127" i="1"/>
  <c r="X127" i="1"/>
  <c r="U127" i="1"/>
  <c r="V127" i="1"/>
  <c r="U126" i="1"/>
  <c r="V126" i="1" s="1"/>
  <c r="W126" i="1" s="1"/>
  <c r="X126" i="1" s="1"/>
  <c r="X116" i="1"/>
  <c r="W116" i="1"/>
  <c r="V116" i="1"/>
  <c r="U116" i="1"/>
  <c r="V84" i="1"/>
  <c r="U84" i="1"/>
  <c r="X84" i="1"/>
  <c r="W84" i="1"/>
  <c r="X94" i="1"/>
  <c r="W94" i="1"/>
  <c r="V94" i="1"/>
  <c r="U94" i="1"/>
  <c r="V86" i="1"/>
  <c r="U86" i="1"/>
  <c r="V55" i="1"/>
  <c r="U55" i="1"/>
  <c r="X55" i="1"/>
  <c r="W55" i="1"/>
  <c r="V33" i="1"/>
  <c r="U33" i="1"/>
  <c r="X33" i="1"/>
  <c r="W33" i="1"/>
  <c r="V56" i="1"/>
  <c r="U56" i="1"/>
  <c r="X56" i="1"/>
  <c r="W56" i="1"/>
  <c r="V8" i="1"/>
  <c r="U8" i="1"/>
  <c r="X8" i="1"/>
  <c r="W8" i="1"/>
  <c r="V49" i="1"/>
  <c r="U49" i="1"/>
  <c r="X49" i="1"/>
  <c r="W49" i="1"/>
  <c r="V52" i="1"/>
  <c r="U52" i="1"/>
  <c r="X52" i="1"/>
  <c r="W52" i="1"/>
  <c r="X125" i="1"/>
  <c r="W125" i="1"/>
  <c r="U125" i="1"/>
  <c r="V125" i="1"/>
  <c r="X109" i="1"/>
  <c r="W109" i="1"/>
  <c r="V109" i="1"/>
  <c r="U109" i="1"/>
  <c r="U115" i="1"/>
  <c r="W115" i="1"/>
  <c r="X115" i="1" s="1"/>
  <c r="V115" i="1"/>
  <c r="X100" i="1"/>
  <c r="W100" i="1"/>
  <c r="V100" i="1"/>
  <c r="U100" i="1"/>
  <c r="X136" i="1"/>
  <c r="W136" i="1"/>
  <c r="V136" i="1"/>
  <c r="U136" i="1"/>
  <c r="X85" i="1"/>
  <c r="W85" i="1"/>
  <c r="V85" i="1"/>
  <c r="U85" i="1"/>
  <c r="X95" i="1"/>
  <c r="W95" i="1"/>
  <c r="V95" i="1"/>
  <c r="U95" i="1"/>
  <c r="V66" i="1"/>
  <c r="U66" i="1"/>
  <c r="V50" i="1"/>
  <c r="U50" i="1"/>
  <c r="X50" i="1"/>
  <c r="W50" i="1"/>
  <c r="V28" i="1"/>
  <c r="U28" i="1"/>
  <c r="X28" i="1"/>
  <c r="W28" i="1"/>
  <c r="V51" i="1"/>
  <c r="U51" i="1"/>
  <c r="X51" i="1"/>
  <c r="W51" i="1"/>
  <c r="V44" i="1"/>
  <c r="U44" i="1"/>
  <c r="X44" i="1"/>
  <c r="W44" i="1"/>
  <c r="V47" i="1"/>
  <c r="U47" i="1"/>
  <c r="X47" i="1"/>
  <c r="W47" i="1"/>
  <c r="X117" i="1"/>
  <c r="W117" i="1"/>
  <c r="V117" i="1"/>
  <c r="U117" i="1"/>
  <c r="U60" i="1"/>
  <c r="V60" i="1" s="1"/>
  <c r="W60" i="1" s="1"/>
  <c r="X60" i="1" s="1"/>
  <c r="X162" i="1"/>
  <c r="W162" i="1"/>
  <c r="V162" i="1"/>
  <c r="U162" i="1"/>
  <c r="X124" i="1"/>
  <c r="W124" i="1"/>
  <c r="U124" i="1"/>
  <c r="V124" i="1"/>
  <c r="X112" i="1"/>
  <c r="V112" i="1"/>
  <c r="U112" i="1"/>
  <c r="W112" i="1"/>
  <c r="U79" i="1"/>
  <c r="V79" i="1" s="1"/>
  <c r="W79" i="1" s="1"/>
  <c r="X79" i="1" s="1"/>
  <c r="X81" i="1"/>
  <c r="W81" i="1"/>
  <c r="V81" i="1"/>
  <c r="U81" i="1"/>
  <c r="V131" i="1"/>
  <c r="W131" i="1" s="1"/>
  <c r="X131" i="1" s="1"/>
  <c r="U131" i="1"/>
  <c r="V45" i="1"/>
  <c r="U45" i="1"/>
  <c r="X45" i="1"/>
  <c r="W45" i="1"/>
  <c r="V23" i="1"/>
  <c r="U23" i="1"/>
  <c r="X23" i="1"/>
  <c r="W23" i="1"/>
  <c r="V46" i="1"/>
  <c r="U46" i="1"/>
  <c r="X46" i="1"/>
  <c r="W46" i="1"/>
  <c r="V39" i="1"/>
  <c r="U39" i="1"/>
  <c r="X39" i="1"/>
  <c r="W39" i="1"/>
  <c r="V42" i="1"/>
  <c r="U42" i="1"/>
  <c r="X42" i="1"/>
  <c r="W42" i="1"/>
  <c r="V10" i="1"/>
  <c r="U10" i="1"/>
  <c r="X10" i="1"/>
  <c r="W10" i="1"/>
  <c r="X158" i="1"/>
  <c r="W158" i="1"/>
  <c r="V158" i="1"/>
  <c r="U158" i="1"/>
  <c r="X106" i="1"/>
  <c r="U106" i="1"/>
  <c r="W106" i="1"/>
  <c r="V106" i="1"/>
  <c r="X87" i="1"/>
  <c r="W87" i="1"/>
  <c r="V87" i="1"/>
  <c r="U87" i="1"/>
  <c r="V40" i="1"/>
  <c r="U40" i="1"/>
  <c r="X40" i="1"/>
  <c r="W40" i="1"/>
  <c r="X64" i="1"/>
  <c r="W64" i="1"/>
  <c r="V64" i="1"/>
  <c r="U64" i="1"/>
  <c r="V18" i="1"/>
  <c r="U18" i="1"/>
  <c r="X18" i="1"/>
  <c r="W18" i="1"/>
  <c r="V41" i="1"/>
  <c r="U41" i="1"/>
  <c r="X41" i="1"/>
  <c r="W41" i="1"/>
  <c r="V34" i="1"/>
  <c r="U34" i="1"/>
  <c r="X34" i="1"/>
  <c r="W34" i="1"/>
  <c r="V37" i="1"/>
  <c r="U37" i="1"/>
  <c r="X37" i="1"/>
  <c r="W37" i="1"/>
  <c r="X133" i="1"/>
  <c r="W133" i="1"/>
  <c r="U133" i="1"/>
  <c r="V133" i="1"/>
  <c r="V90" i="1"/>
  <c r="U90" i="1"/>
  <c r="X153" i="1"/>
  <c r="W153" i="1"/>
  <c r="V153" i="1"/>
  <c r="U153" i="1"/>
  <c r="X122" i="1"/>
  <c r="W122" i="1"/>
  <c r="V122" i="1"/>
  <c r="U122" i="1"/>
  <c r="V103" i="1"/>
  <c r="U103" i="1"/>
  <c r="V70" i="1"/>
  <c r="U70" i="1"/>
  <c r="X70" i="1"/>
  <c r="W70" i="1"/>
  <c r="X110" i="1"/>
  <c r="W110" i="1"/>
  <c r="V110" i="1"/>
  <c r="U110" i="1"/>
  <c r="X108" i="1"/>
  <c r="W108" i="1"/>
  <c r="V108" i="1"/>
  <c r="U108" i="1"/>
  <c r="V35" i="1"/>
  <c r="U35" i="1"/>
  <c r="X35" i="1"/>
  <c r="W35" i="1"/>
  <c r="V13" i="1"/>
  <c r="U13" i="1"/>
  <c r="X13" i="1"/>
  <c r="W13" i="1"/>
  <c r="V36" i="1"/>
  <c r="U36" i="1"/>
  <c r="X36" i="1"/>
  <c r="W36" i="1"/>
  <c r="V29" i="1"/>
  <c r="U29" i="1"/>
  <c r="X29" i="1"/>
  <c r="W29" i="1"/>
  <c r="V32" i="1"/>
  <c r="U32" i="1"/>
  <c r="X32" i="1"/>
  <c r="W32" i="1"/>
  <c r="X148" i="1"/>
  <c r="W148" i="1"/>
  <c r="V148" i="1"/>
  <c r="U148" i="1"/>
  <c r="X96" i="1"/>
  <c r="U96" i="1"/>
  <c r="W96" i="1"/>
  <c r="V96" i="1"/>
  <c r="V146" i="1"/>
  <c r="U146" i="1"/>
  <c r="X82" i="1"/>
  <c r="W82" i="1"/>
  <c r="V82" i="1"/>
  <c r="U82" i="1"/>
  <c r="V30" i="1"/>
  <c r="U30" i="1"/>
  <c r="X30" i="1"/>
  <c r="W30" i="1"/>
  <c r="V58" i="1"/>
  <c r="U58" i="1"/>
  <c r="X58" i="1"/>
  <c r="W58" i="1"/>
  <c r="V31" i="1"/>
  <c r="U31" i="1"/>
  <c r="X31" i="1"/>
  <c r="W31" i="1"/>
  <c r="V24" i="1"/>
  <c r="W24" i="1" s="1"/>
  <c r="X24" i="1" s="1"/>
  <c r="U24" i="1"/>
  <c r="U27" i="1"/>
  <c r="V27" i="1" s="1"/>
  <c r="W27" i="1" s="1"/>
  <c r="X27" i="1" s="1"/>
  <c r="X118" i="1"/>
  <c r="W118" i="1"/>
  <c r="V118" i="1"/>
  <c r="U118" i="1"/>
  <c r="X121" i="1"/>
  <c r="W121" i="1"/>
  <c r="V121" i="1"/>
  <c r="U121" i="1"/>
  <c r="X88" i="1"/>
  <c r="W88" i="1"/>
  <c r="V88" i="1"/>
  <c r="U88" i="1"/>
  <c r="U107" i="1"/>
  <c r="V107" i="1" s="1"/>
  <c r="W107" i="1" s="1"/>
  <c r="X107" i="1" s="1"/>
  <c r="X102" i="1"/>
  <c r="W102" i="1"/>
  <c r="V102" i="1"/>
  <c r="U102" i="1"/>
  <c r="U143" i="1"/>
  <c r="V143" i="1" s="1"/>
  <c r="W143" i="1" s="1"/>
  <c r="X143" i="1" s="1"/>
  <c r="X120" i="1"/>
  <c r="W120" i="1"/>
  <c r="V120" i="1"/>
  <c r="U120" i="1"/>
  <c r="X93" i="1"/>
  <c r="V93" i="1"/>
  <c r="U93" i="1"/>
  <c r="W93" i="1"/>
  <c r="X71" i="1"/>
  <c r="W71" i="1"/>
  <c r="V71" i="1"/>
  <c r="U71" i="1"/>
  <c r="X113" i="1"/>
  <c r="W113" i="1"/>
  <c r="V113" i="1"/>
  <c r="U113" i="1"/>
  <c r="X101" i="1"/>
  <c r="W101" i="1"/>
  <c r="V101" i="1"/>
  <c r="U101" i="1"/>
  <c r="U73" i="1"/>
  <c r="V73" i="1" s="1"/>
  <c r="W73" i="1" s="1"/>
  <c r="X73" i="1" s="1"/>
  <c r="V25" i="1"/>
  <c r="U25" i="1"/>
  <c r="X25" i="1"/>
  <c r="W25" i="1"/>
  <c r="U53" i="1"/>
  <c r="V53" i="1" s="1"/>
  <c r="W53" i="1" s="1"/>
  <c r="X53" i="1" s="1"/>
  <c r="V26" i="1"/>
  <c r="U26" i="1"/>
  <c r="X26" i="1"/>
  <c r="W26" i="1"/>
  <c r="V19" i="1"/>
  <c r="U19" i="1"/>
  <c r="X19" i="1"/>
  <c r="W19" i="1"/>
  <c r="U22" i="1"/>
  <c r="V22" i="1" s="1"/>
  <c r="W22" i="1" s="1"/>
  <c r="X22" i="1" s="1"/>
  <c r="T230" i="1"/>
  <c r="T232" i="1"/>
  <c r="T235" i="1" s="1"/>
  <c r="T229" i="1"/>
  <c r="T231" i="1" s="1"/>
  <c r="T2" i="1"/>
  <c r="T233" i="1"/>
  <c r="Y20" i="9" l="1"/>
  <c r="Z20" i="9" s="1"/>
  <c r="X63" i="9"/>
  <c r="Y63" i="9" s="1"/>
  <c r="Z63" i="9" s="1"/>
  <c r="V224" i="9"/>
  <c r="Y99" i="9"/>
  <c r="Z99" i="9" s="1"/>
  <c r="W210" i="9"/>
  <c r="V216" i="9" s="1"/>
  <c r="Z233" i="9"/>
  <c r="Z2" i="9"/>
  <c r="X21" i="9"/>
  <c r="X210" i="9" s="1"/>
  <c r="V217" i="9" s="1"/>
  <c r="Z225" i="9"/>
  <c r="Z226" i="9" s="1"/>
  <c r="Z227" i="9" s="1"/>
  <c r="Y27" i="9"/>
  <c r="Z27" i="9" s="1"/>
  <c r="V215" i="9"/>
  <c r="Z232" i="9"/>
  <c r="Z233" i="8"/>
  <c r="Y99" i="8"/>
  <c r="Z99" i="8" s="1"/>
  <c r="Y156" i="8"/>
  <c r="Z156" i="8" s="1"/>
  <c r="Z231" i="8"/>
  <c r="Y174" i="8"/>
  <c r="Z174" i="8" s="1"/>
  <c r="Y86" i="8"/>
  <c r="Z86" i="8" s="1"/>
  <c r="Y90" i="8"/>
  <c r="Z90" i="8" s="1"/>
  <c r="Y184" i="8"/>
  <c r="Z184" i="8" s="1"/>
  <c r="Y98" i="8"/>
  <c r="Z98" i="8" s="1"/>
  <c r="Z224" i="8"/>
  <c r="V215" i="8"/>
  <c r="Z225" i="8"/>
  <c r="V223" i="8"/>
  <c r="W210" i="8"/>
  <c r="V216" i="8" s="1"/>
  <c r="V224" i="8"/>
  <c r="X2" i="8"/>
  <c r="Z232" i="8"/>
  <c r="Z234" i="8" s="1"/>
  <c r="T223" i="4"/>
  <c r="W146" i="5"/>
  <c r="X146" i="5" s="1"/>
  <c r="W99" i="7"/>
  <c r="X99" i="7" s="1"/>
  <c r="W157" i="5"/>
  <c r="X157" i="5" s="1"/>
  <c r="W90" i="7"/>
  <c r="X90" i="7" s="1"/>
  <c r="W20" i="4"/>
  <c r="X20" i="4" s="1"/>
  <c r="W204" i="4"/>
  <c r="X204" i="4" s="1"/>
  <c r="T215" i="4"/>
  <c r="X231" i="5"/>
  <c r="W27" i="4"/>
  <c r="X27" i="4" s="1"/>
  <c r="X223" i="5"/>
  <c r="W80" i="5"/>
  <c r="X80" i="5" s="1"/>
  <c r="W73" i="5"/>
  <c r="X73" i="5" s="1"/>
  <c r="T223" i="7"/>
  <c r="W103" i="7"/>
  <c r="X103" i="7" s="1"/>
  <c r="W98" i="7"/>
  <c r="X98" i="7" s="1"/>
  <c r="X223" i="7"/>
  <c r="W179" i="4"/>
  <c r="X179" i="4" s="1"/>
  <c r="W111" i="5"/>
  <c r="X111" i="5" s="1"/>
  <c r="W86" i="7"/>
  <c r="X86" i="7" s="1"/>
  <c r="W86" i="4"/>
  <c r="X86" i="4" s="1"/>
  <c r="W174" i="4"/>
  <c r="X174" i="4" s="1"/>
  <c r="T215" i="6"/>
  <c r="W174" i="7"/>
  <c r="X174" i="7" s="1"/>
  <c r="T215" i="7"/>
  <c r="W66" i="5"/>
  <c r="X66" i="5" s="1"/>
  <c r="X234" i="6"/>
  <c r="X224" i="5"/>
  <c r="X231" i="7"/>
  <c r="X233" i="7"/>
  <c r="W27" i="7"/>
  <c r="X27" i="7" s="1"/>
  <c r="X225" i="7"/>
  <c r="X232" i="7"/>
  <c r="W20" i="7"/>
  <c r="X20" i="7" s="1"/>
  <c r="U210" i="7"/>
  <c r="T216" i="7" s="1"/>
  <c r="T224" i="7"/>
  <c r="X224" i="7"/>
  <c r="V210" i="7"/>
  <c r="T217" i="7" s="1"/>
  <c r="T225" i="7"/>
  <c r="X225" i="6"/>
  <c r="W22" i="6"/>
  <c r="X22" i="6" s="1"/>
  <c r="U210" i="6"/>
  <c r="T216" i="6" s="1"/>
  <c r="T224" i="6"/>
  <c r="W156" i="6"/>
  <c r="X156" i="6" s="1"/>
  <c r="X224" i="6"/>
  <c r="V210" i="6"/>
  <c r="T217" i="6" s="1"/>
  <c r="T225" i="6"/>
  <c r="X235" i="6"/>
  <c r="T215" i="5"/>
  <c r="V22" i="5"/>
  <c r="V210" i="5" s="1"/>
  <c r="T217" i="5" s="1"/>
  <c r="T223" i="5"/>
  <c r="X232" i="5"/>
  <c r="T225" i="5"/>
  <c r="X233" i="5"/>
  <c r="U210" i="5"/>
  <c r="T216" i="5" s="1"/>
  <c r="T224" i="5"/>
  <c r="W27" i="5"/>
  <c r="X27" i="5" s="1"/>
  <c r="W156" i="4"/>
  <c r="X156" i="4" s="1"/>
  <c r="W98" i="4"/>
  <c r="X98" i="4" s="1"/>
  <c r="W99" i="4"/>
  <c r="X99" i="4" s="1"/>
  <c r="X231" i="4"/>
  <c r="X223" i="4"/>
  <c r="U210" i="4"/>
  <c r="T216" i="4" s="1"/>
  <c r="T224" i="4"/>
  <c r="V2" i="4"/>
  <c r="X224" i="4"/>
  <c r="V22" i="4"/>
  <c r="X232" i="4"/>
  <c r="X233" i="4"/>
  <c r="W20" i="1"/>
  <c r="X20" i="1" s="1"/>
  <c r="W103" i="1"/>
  <c r="X103" i="1" s="1"/>
  <c r="W90" i="1"/>
  <c r="X90" i="1" s="1"/>
  <c r="W99" i="1"/>
  <c r="X99" i="1" s="1"/>
  <c r="W146" i="1"/>
  <c r="X146" i="1" s="1"/>
  <c r="W80" i="1"/>
  <c r="X80" i="1" s="1"/>
  <c r="W66" i="1"/>
  <c r="X66" i="1" s="1"/>
  <c r="W86" i="1"/>
  <c r="X86" i="1" s="1"/>
  <c r="W63" i="1"/>
  <c r="X63" i="1" s="1"/>
  <c r="W111" i="1"/>
  <c r="X111" i="1" s="1"/>
  <c r="X232" i="1"/>
  <c r="T222" i="1"/>
  <c r="T221" i="1"/>
  <c r="X230" i="1"/>
  <c r="X229" i="1"/>
  <c r="X221" i="1"/>
  <c r="X222" i="1"/>
  <c r="T234" i="1"/>
  <c r="X233" i="1"/>
  <c r="U2" i="1"/>
  <c r="V2" i="1" s="1"/>
  <c r="T214" i="1"/>
  <c r="T212" i="1"/>
  <c r="T213" i="1" s="1"/>
  <c r="Y21" i="9" l="1"/>
  <c r="V225" i="9"/>
  <c r="V226" i="9" s="1"/>
  <c r="V227" i="9" s="1"/>
  <c r="Z234" i="9"/>
  <c r="Z235" i="9" s="1"/>
  <c r="Z226" i="8"/>
  <c r="X210" i="8"/>
  <c r="V217" i="8" s="1"/>
  <c r="V225" i="8"/>
  <c r="V226" i="8" s="1"/>
  <c r="V227" i="8" s="1"/>
  <c r="Y2" i="8"/>
  <c r="Z235" i="8"/>
  <c r="Z227" i="8"/>
  <c r="X234" i="5"/>
  <c r="W210" i="6"/>
  <c r="T226" i="6"/>
  <c r="T227" i="6" s="1"/>
  <c r="W210" i="7"/>
  <c r="X226" i="7"/>
  <c r="X227" i="7" s="1"/>
  <c r="T226" i="7"/>
  <c r="T227" i="7" s="1"/>
  <c r="X234" i="7"/>
  <c r="X235" i="7" s="1"/>
  <c r="X226" i="6"/>
  <c r="X227" i="6" s="1"/>
  <c r="T226" i="5"/>
  <c r="T227" i="5" s="1"/>
  <c r="X235" i="5"/>
  <c r="X225" i="5"/>
  <c r="X226" i="5" s="1"/>
  <c r="X227" i="5" s="1"/>
  <c r="W22" i="5"/>
  <c r="X234" i="4"/>
  <c r="X235" i="4" s="1"/>
  <c r="X225" i="4"/>
  <c r="X226" i="4" s="1"/>
  <c r="X227" i="4" s="1"/>
  <c r="W22" i="4"/>
  <c r="X22" i="4" s="1"/>
  <c r="V210" i="4"/>
  <c r="T217" i="4" s="1"/>
  <c r="T225" i="4"/>
  <c r="T226" i="4" s="1"/>
  <c r="T227" i="4" s="1"/>
  <c r="W2" i="4"/>
  <c r="X223" i="1"/>
  <c r="T223" i="1"/>
  <c r="X224" i="1"/>
  <c r="U210" i="1"/>
  <c r="T216" i="1" s="1"/>
  <c r="X231" i="1"/>
  <c r="V210" i="1"/>
  <c r="T217" i="1" s="1"/>
  <c r="T225" i="1"/>
  <c r="W2" i="1"/>
  <c r="X2" i="1" s="1"/>
  <c r="T224" i="1"/>
  <c r="X225" i="1"/>
  <c r="T215" i="1"/>
  <c r="X234" i="1"/>
  <c r="X235" i="1" s="1"/>
  <c r="Z21" i="9" l="1"/>
  <c r="Y210" i="9"/>
  <c r="Y210" i="8"/>
  <c r="Z2" i="8"/>
  <c r="X210" i="6"/>
  <c r="T218" i="6"/>
  <c r="T219" i="6" s="1"/>
  <c r="X210" i="7"/>
  <c r="T218" i="7"/>
  <c r="T219" i="7" s="1"/>
  <c r="X22" i="5"/>
  <c r="W210" i="5"/>
  <c r="W210" i="4"/>
  <c r="X2" i="4"/>
  <c r="X226" i="1"/>
  <c r="X227" i="1" s="1"/>
  <c r="T226" i="1"/>
  <c r="T227" i="1" s="1"/>
  <c r="W210" i="1"/>
  <c r="Z210" i="9" l="1"/>
  <c r="V218" i="9"/>
  <c r="V219" i="9" s="1"/>
  <c r="Z210" i="8"/>
  <c r="V218" i="8"/>
  <c r="V219" i="8" s="1"/>
  <c r="X210" i="4"/>
  <c r="T218" i="4"/>
  <c r="T219" i="4" s="1"/>
  <c r="X210" i="5"/>
  <c r="T218" i="5"/>
  <c r="T219" i="5" s="1"/>
  <c r="X210" i="1"/>
  <c r="T218" i="1"/>
  <c r="T219" i="1" s="1"/>
</calcChain>
</file>

<file path=xl/sharedStrings.xml><?xml version="1.0" encoding="utf-8"?>
<sst xmlns="http://schemas.openxmlformats.org/spreadsheetml/2006/main" count="4141" uniqueCount="1309">
  <si>
    <t>G_Id</t>
  </si>
  <si>
    <t>G_Date</t>
  </si>
  <si>
    <t>G_Bookie_TotalOver</t>
  </si>
  <si>
    <t>G_H_Id</t>
  </si>
  <si>
    <t>G_V_Id</t>
  </si>
  <si>
    <t>G_PH_Win</t>
  </si>
  <si>
    <t>G_H_Runs</t>
  </si>
  <si>
    <t>G_V_Runs</t>
  </si>
  <si>
    <t>G_Actual_Runs_Diff</t>
  </si>
  <si>
    <t>Pred_Id</t>
  </si>
  <si>
    <t>Date</t>
  </si>
  <si>
    <t>MonthWeekNum</t>
  </si>
  <si>
    <t>Bookie_Perc_Hold</t>
  </si>
  <si>
    <t>V_Id</t>
  </si>
  <si>
    <t>V_Team</t>
  </si>
  <si>
    <t>V_Bookie_Opening_Price</t>
  </si>
  <si>
    <t>V_Bookie_Opening_Prob</t>
  </si>
  <si>
    <t>V_Bookie_Bet_Price</t>
  </si>
  <si>
    <t>V_Bookie_Bet_Prob</t>
  </si>
  <si>
    <t>V_Bookie_Bet_DevigProb</t>
  </si>
  <si>
    <t>V_SP_Id</t>
  </si>
  <si>
    <t>V_SP_isNull</t>
  </si>
  <si>
    <t>V_WinningForm_Price</t>
  </si>
  <si>
    <t>V_MenOnBaseStrengthYTD_Price</t>
  </si>
  <si>
    <t>V_MenOnBaseStrengthYTD_strPrice</t>
  </si>
  <si>
    <t>V_MenOnBaseStrengthYTD_StrengthCategory</t>
  </si>
  <si>
    <t>V_SP_Strikeouts_YTD_Price</t>
  </si>
  <si>
    <t>V_SP_Strikeouts_YTD_strPrice</t>
  </si>
  <si>
    <t>V_SP_Strikeouts_YTD_StrengthCategory</t>
  </si>
  <si>
    <t>H_Id</t>
  </si>
  <si>
    <t>H_Team</t>
  </si>
  <si>
    <t>H_Bookie_Opening_Price</t>
  </si>
  <si>
    <t>H_Bookie_Opening_Prob</t>
  </si>
  <si>
    <t>H_Bookie_Bet_Price</t>
  </si>
  <si>
    <t>H_Bookie_Bet_Prob</t>
  </si>
  <si>
    <t>H_Bookie_Bet_DevigProb</t>
  </si>
  <si>
    <t>H_SP_Id</t>
  </si>
  <si>
    <t>H_SP_isNull</t>
  </si>
  <si>
    <t>H_WinningForm_Price</t>
  </si>
  <si>
    <t>H_MenOnBaseStrengthYTD_Price</t>
  </si>
  <si>
    <t>H_MenOnBaseStrengthYTD_strPrice</t>
  </si>
  <si>
    <t>H_MenOnBaseStrengthYTD_StrengthCategory</t>
  </si>
  <si>
    <t>H_SP_Strikeouts_YTD_Price</t>
  </si>
  <si>
    <t>H_SP_Strikeouts_YTD_strPrice</t>
  </si>
  <si>
    <t>H_SP_Strikeouts_YTD_StrengthCategory</t>
  </si>
  <si>
    <t>PM150LineStat_VoterProfile</t>
  </si>
  <si>
    <t>PM150LineStat_MajorityVote</t>
  </si>
  <si>
    <t>PM150LineStat_NumVoters</t>
  </si>
  <si>
    <t>PM150LineStat_VoteAgreement</t>
  </si>
  <si>
    <t>PM150LineStat_H_Probability</t>
  </si>
  <si>
    <t>PM150LineStat_H_ProbabilityEdge</t>
  </si>
  <si>
    <t>PM150LineStat_H_Price</t>
  </si>
  <si>
    <t>PM150LineStat_PlayPosition</t>
  </si>
  <si>
    <t>PM150LineStat_PlayStake</t>
  </si>
  <si>
    <t>PM150LineStat_PlayPayoutMultiplier</t>
  </si>
  <si>
    <t>PM150StatOnly_VoterProfile</t>
  </si>
  <si>
    <t>PM150StatOnly_MajorityVote</t>
  </si>
  <si>
    <t>PM150StatOnly_NumVoters</t>
  </si>
  <si>
    <t>PM150StatOnly_VoteAgreement</t>
  </si>
  <si>
    <t>PM150StatOnly_H_Probability</t>
  </si>
  <si>
    <t>PM150StatOnly_H_ProbabilityEdge</t>
  </si>
  <si>
    <t>PM150StatOnly_H_Price</t>
  </si>
  <si>
    <t>PM150StatOnly_PlayPosition</t>
  </si>
  <si>
    <t>PM150StatOnly_PlayStake</t>
  </si>
  <si>
    <t>PM150StatOnly_PlayPayoutMultiplier</t>
  </si>
  <si>
    <t>Scion_Side_Play_Position</t>
  </si>
  <si>
    <t>Scion_H_ProbabilityEdge</t>
  </si>
  <si>
    <t>Scion_Side_Play_Stake</t>
  </si>
  <si>
    <t>Scion_Side_Play_PayoutMultiplier</t>
  </si>
  <si>
    <t>Scion_Side_Stars</t>
  </si>
  <si>
    <t>Scion_Side_Play_Confidence</t>
  </si>
  <si>
    <t>Comments</t>
  </si>
  <si>
    <t>PIT</t>
  </si>
  <si>
    <t>Average</t>
  </si>
  <si>
    <t>ATL</t>
  </si>
  <si>
    <t>HomFave</t>
  </si>
  <si>
    <t xml:space="preserve">824915. Play determined by LineStatEns and StatOnlyEns agreement. </t>
  </si>
  <si>
    <t>WAS</t>
  </si>
  <si>
    <t>Weak</t>
  </si>
  <si>
    <t>ARZ</t>
  </si>
  <si>
    <t>-137.5 #</t>
  </si>
  <si>
    <t>Strong</t>
  </si>
  <si>
    <t>["M16_V123 [0.52, 'HomFave']", "M17_V123 [0.53, 'HomFave']", "M18_V123 [0.57, 'HomFave']", "M19_V123 [0.55, 'HomFave']", "M20_V123 [0.55, 'HomFave']", "M21_V123 [0.56, 'HomFave']", "M22_V123 [0.55, 'HomFave']", "M23_V123 [0.53, 'HomFave']", "M24_V123 [0.55, 'HomFave']", "M25_V123 [0.54, 'HomFave']", "M26_V123 [0.56, 'HomFave']", "M27_V123 [0.56, 'HomFave']", "M28_V123 [0.51, 'HomFave']", "M29_V123 [0.57, 'HomFave']", "M30_V123 [0.55, 'HomFave']", "M31_V123 [0.52, 'HomFave']", "M32_V123 [0.54, 'HomFave']", "M33_V123 [0.58, 'HomFave']", "M34_V123 [0.56, 'HomFave']", "M35_V123 [0.49, 'VisDog']", "M36_V123 [0.54, 'HomFave']", "M37_V123 [0.56, 'HomFave']", "M38_V123 [0.56, 'HomFave']", "M39_V123 [0.52, 'HomFave']", "M40_V123 [0.56, 'HomFave']", "M41_V123 [0.54, 'HomFave']", "M42_V123 [0.51, 'HomFave']", "M43_V123 [0.53, 'HomFave']", "M44_V123 [0.6, 'HomFave']", "M45_V123 [0.56, 'HomFave']", "M46_V123 [0.54, 'HomFave']", "M47_V123 [0.57, 'HomFave']", "M48_V123 [0.55, 'HomFave']", "M49_V123 [0.53, 'HomFave']", "M50_V123 [0.54, 'HomFave']", "M51_V123 [0.56, 'HomFave']", "M52_V123 [0.55, 'HomFave']", "M53_V123 [0.52, 'HomFave']", "M54_V123 [0.54, 'HomFave']", "M55_V123 [0.55, 'HomFave']", "M56_V123 [0.5, 'HomFave']"]</t>
  </si>
  <si>
    <t>No Play</t>
  </si>
  <si>
    <t>SF</t>
  </si>
  <si>
    <t>CHC</t>
  </si>
  <si>
    <t>-110.5 #</t>
  </si>
  <si>
    <t>["M16_V123 [0.54, 'HomFave']", "M17_V123 [0.56, 'HomFave']", "M18_V123 [0.52, 'HomFave']", "M19_V123 [0.51, 'HomFave']", "M20_V123 [0.54, 'HomFave']", "M21_V123 [0.53, 'HomFave']", "M22_V123 [0.52, 'HomFave']", "M23_V123 [0.55, 'HomFave']", "M24_V123 [0.52, 'HomFave']", "M25_V123 [0.52, 'HomFave']", "M26_V123 [0.52, 'HomFave']", "M27_V123 [0.5, 'HomFave']", "M28_V123 [0.52, 'HomFave']", "M29_V123 [0.55, 'HomFave']", "M30_V123 [0.51, 'HomFave']", "M31_V123 [0.75, 'HomFave']", "M32_V123 [0.5, 'HomFave']", "M33_V123 [0.54, 'HomFave']", "M34_V123 [0.53, 'HomFave']", "M35_V123 [0.47, 'VisDog']", "M36_V123 [0.5, 'HomFave']", "M37_V123 [0.53, 'HomFave']", "M38_V123 [0.56, 'HomFave']", "M39_V123 [0.48, 'VisDog']", "M40_V123 [0.5, 'HomFave']", "M41_V123 [0.51, 'HomFave']", "M42_V123 [0.48, 'VisDog']", "M43_V123 [0.51, 'HomFave']", "M44_V123 [0.5, 'HomFave']", "M45_V123 [0.5, 'HomFave']", "M46_V123 [0.54, 'HomFave']", "M47_V123 [0.55, 'HomFave']", "M48_V123 [0.41, 'VisDog']", "M49_V123 [0.55, 'HomFave']", "M50_V123 [0.53, 'HomFave']", "M51_V123 [0.56, 'HomFave']", "M52_V123 [0.53, 'HomFave']", "M53_V123 [0.49, 'VisDog']", "M54_V123 [0.53, 'HomFave']", "M55_V123 [0.52, 'HomFave']", "M56_V123 [0.51, 'HomFave']"]</t>
  </si>
  <si>
    <t xml:space="preserve">824669. LineStatEns probability points gap does not exceed threshold (no edge found)! StatOnlyEns probability points gap does not exceed threshold (no edge found)! No play due to strategy constraints. </t>
  </si>
  <si>
    <t>MLW</t>
  </si>
  <si>
    <t>-117.1 #</t>
  </si>
  <si>
    <t>-190.0 #</t>
  </si>
  <si>
    <t>COL</t>
  </si>
  <si>
    <t>Extremely Weak</t>
  </si>
  <si>
    <t>VisFave</t>
  </si>
  <si>
    <t xml:space="preserve">824351. LineStatEns is NoPlay as bookie-line outside range. StatOnlyEns is NoPlay as bookie-line outside range. No play due to strategy constraints. </t>
  </si>
  <si>
    <t>SEA</t>
  </si>
  <si>
    <t>DET</t>
  </si>
  <si>
    <t>["M16_V123 [0.48, 'VisFave']", "M17_V123 [0.44, 'VisFave']", "M18_V123 [0.48, 'VisFave']", "M19_V123 [0.46, 'VisFave']", "M20_V123 [0.46, 'VisFave']", "M21_V123 [0.47, 'VisFave']", "M22_V123 [0.47, 'VisFave']", "M23_V123 [0.41, 'VisFave']", "M24_V123 [0.46, 'VisFave']", "M25_V123 [0.48, 'VisFave']", "M26_V123 [0.47, 'VisFave']", "M27_V123 [0.44, 'VisFave']", "M28_V123 [0.46, 'VisFave']", "M29_V123 [0.45, 'VisFave']", "M30_V123 [0.45, 'VisFave']", "M31_V123 [0.26, 'VisFave']", "M32_V123 [0.44, 'VisFave']", "M33_V123 [0.45, 'VisFave']", "M34_V123 [0.48, 'VisFave']", "M35_V123 [0.43, 'VisFave']", "M36_V123 [0.42, 'VisFave']", "M37_V123 [0.44, 'VisFave']", "M38_V123 [0.46, 'VisFave']", "M39_V123 [0.42, 'VisFave']", "M40_V123 [0.45, 'VisFave']", "M41_V123 [0.46, 'VisFave']", "M42_V123 [0.5, 'HomDog']", "M43_V123 [0.46, 'VisFave']", "M44_V123 [0.44, 'VisFave']", "M45_V123 [0.45, 'VisFave']", "M46_V123 [0.42, 'VisFave']", "M47_V123 [0.46, 'VisFave']", "M48_V123 [0.47, 'VisFave']", "M49_V123 [0.49, 'VisFave']", "M50_V123 [0.45, 'VisFave']", "M51_V123 [0.44, 'VisFave']", "M52_V123 [0.45, 'VisFave']", "M53_V123 [0.44, 'VisFave']", "M54_V123 [0.46, 'VisFave']", "M55_V123 [0.45, 'VisFave']", "M56_V123 [0.36, 'VisFave']"]</t>
  </si>
  <si>
    <t xml:space="preserve">824269. VF plays are disallowed. No play due to strategy constraints. </t>
  </si>
  <si>
    <t>20260606_MWK6.1_TB@FLO_117</t>
  </si>
  <si>
    <t>TB</t>
  </si>
  <si>
    <t>-192.8 #</t>
  </si>
  <si>
    <t>FLO</t>
  </si>
  <si>
    <t>["M1_V119 [0.42, 'VisFave']", "M2_V119 [0.45, 'VisFave']", "M3_V119 [0.42, 'VisFave']", "M4_V119 [0.43, 'VisFave']", "M5_V119 [0.43, 'VisFave']", "M6_V119 [0.4, 'VisFave']", "M7_V119 [0.43, 'VisFave']", "M8_V119 [0.39, 'VisFave']", "M9_V119 [0.53, 'HomDog']", "M10_V119 [0.42, 'VisFave']", "M11_V119 [0.44, 'VisFave']", "M12_V119 [0.46, 'VisFave']", "M13_V119 [0.38, 'VisFave']", "M14_V119 [0.41, 'VisFave']", "M15_V119 [0.36, 'VisFave']"]</t>
  </si>
  <si>
    <t>["M16_V123 [0.48, 'VisFave']", "M17_V123 [0.47, 'VisFave']", "M18_V123 [0.51, 'HomDog']", "M19_V123 [0.49, 'VisFave']", "M20_V123 [0.44, 'VisFave']", "M21_V123 [0.5, 'HomDog']", "M22_V123 [0.49, 'VisFave']", "M23_V123 [0.49, 'VisFave']", "M24_V123 [0.5, 'HomDog']", "M25_V123 [0.48, 'VisFave']", "M26_V123 [0.48, 'VisFave']", "M27_V123 [0.47, 'VisFave']", "M28_V123 [0.6, 'HomDog']", "M29_V123 [0.5, 'HomDog']", "M30_V123 [0.46, 'VisFave']", "M31_V123 [0.43, 'VisFave']", "M32_V123 [0.47, 'VisFave']", "M33_V123 [0.49, 'VisFave']", "M34_V123 [0.49, 'VisFave']", "M35_V123 [0.46, 'VisFave']", "M36_V123 [0.47, 'VisFave']", "M37_V123 [0.51, 'HomDog']", "M38_V123 [0.48, 'VisFave']", "M39_V123 [0.48, 'VisFave']", "M40_V123 [0.46, 'VisFave']", "M41_V123 [0.46, 'VisFave']", "M42_V123 [0.46, 'VisFave']", "M43_V123 [0.48, 'VisFave']", "M44_V123 [0.48, 'VisFave']", "M45_V123 [0.47, 'VisFave']", "M46_V123 [0.5, 'HomDog']", "M47_V123 [0.49, 'VisFave']", "M48_V123 [0.75, 'HomDog']", "M49_V123 [0.49, 'VisFave']", "M50_V123 [0.45, 'VisFave']", "M51_V123 [0.5, 'HomDog']", "M52_V123 [0.48, 'VisFave']", "M53_V123 [0.48, 'VisFave']", "M54_V123 [0.45, 'VisFave']", "M55_V123 [0.47, 'VisFave']", "M56_V123 [0.64, 'HomDog']"]</t>
  </si>
  <si>
    <t xml:space="preserve">823859. VF plays are disallowed. No play due to strategy constraints. </t>
  </si>
  <si>
    <t>OAK</t>
  </si>
  <si>
    <t>HOU</t>
  </si>
  <si>
    <t>VisDog</t>
  </si>
  <si>
    <t xml:space="preserve">824184. V_SP is Null, team-based avg used. NoPlay as V_SP is Null. </t>
  </si>
  <si>
    <t>LAA</t>
  </si>
  <si>
    <t>Very Weak</t>
  </si>
  <si>
    <t>LA</t>
  </si>
  <si>
    <t>-115.9 #</t>
  </si>
  <si>
    <t>-205.6 #</t>
  </si>
  <si>
    <t>Very Strong</t>
  </si>
  <si>
    <t xml:space="preserve">823942. LineStatEns is NoPlay as bookie-line outside range. StatOnlyEns is NoPlay as bookie-line outside range. No play due to strategy constraints. </t>
  </si>
  <si>
    <t>KC</t>
  </si>
  <si>
    <t>MIN</t>
  </si>
  <si>
    <t>["M16_V123 [0.47, 'VisDog']", "M17_V123 [0.52, 'HomFave']", "M18_V123 [0.5, 'HomFave']", "M19_V123 [0.54, 'HomFave']", "M20_V123 [0.5, 'HomFave']", "M21_V123 [0.53, 'HomFave']", "M22_V123 [0.51, 'HomFave']", "M23_V123 [0.53, 'HomFave']", "M24_V123 [0.5, 'HomFave']", "M25_V123 [0.51, 'HomFave']", "M26_V123 [0.51, 'HomFave']", "M27_V123 [0.5, 'HomFave']", "M28_V123 [0.47, 'VisDog']", "M29_V123 [0.48, 'VisDog']", "M30_V123 [0.5, 'HomFave']", "M31_V123 [0.56, 'HomFave']", "M32_V123 [0.5, 'HomFave']", "M33_V123 [0.55, 'HomFave']", "M34_V123 [0.54, 'HomFave']", "M35_V123 [0.45, 'VisDog']", "M36_V123 [0.48, 'VisDog']", "M37_V123 [0.51, 'HomFave']", "M38_V123 [0.52, 'HomFave']", "M39_V123 [0.5, 'HomFave']", "M40_V123 [0.5, 'HomFave']", "M41_V123 [0.5, 'HomFave']", "M42_V123 [0.52, 'HomFave']", "M43_V123 [0.51, 'HomFave']", "M44_V123 [0.5, 'HomFave']", "M45_V123 [0.51, 'HomFave']", "M46_V123 [0.44, 'VisDog']", "M47_V123 [0.53, 'HomFave']", "M48_V123 [0.41, 'VisDog']", "M49_V123 [0.51, 'HomFave']", "M50_V123 [0.52, 'HomFave']", "M51_V123 [0.52, 'HomFave']", "M52_V123 [0.5, 'HomFave']", "M53_V123 [0.52, 'HomFave']", "M54_V123 [0.51, 'HomFave']", "M55_V123 [0.53, 'HomFave']", "M56_V123 [0.54, 'HomFave']"]</t>
  </si>
  <si>
    <t xml:space="preserve">823697. LineStatEns probability points gap does not exceed threshold (no edge found)! StatOnlyEns probability points gap does not exceed threshold (no edge found)! No play due to strategy constraints. </t>
  </si>
  <si>
    <t>BOS</t>
  </si>
  <si>
    <t>NYY</t>
  </si>
  <si>
    <t>-111.6 #</t>
  </si>
  <si>
    <t>CWS</t>
  </si>
  <si>
    <t>Trash</t>
  </si>
  <si>
    <t>PHI</t>
  </si>
  <si>
    <t>Invincible</t>
  </si>
  <si>
    <t>NYM</t>
  </si>
  <si>
    <t>SD</t>
  </si>
  <si>
    <t>["M16_V123 [0.48, 'VisFave']", "M17_V123 [0.49, 'VisFave']", "M18_V123 [0.47, 'VisFave']", "M19_V123 [0.47, 'VisFave']", "M20_V123 [0.47, 'VisFave']", "M21_V123 [0.48, 'VisFave']", "M22_V123 [0.49, 'VisFave']", "M23_V123 [0.48, 'VisFave']", "M24_V123 [0.46, 'VisFave']", "M25_V123 [0.5, 'HomDog']", "M26_V123 [0.49, 'VisFave']", "M27_V123 [0.49, 'VisFave']", "M28_V123 [0.47, 'VisFave']", "M29_V123 [0.47, 'VisFave']", "M30_V123 [0.49, 'VisFave']", "M31_V123 [0.67, 'HomDog']", "M32_V123 [0.47, 'VisFave']", "M33_V123 [0.49, 'VisFave']", "M34_V123 [0.47, 'VisFave']", "M35_V123 [0.46, 'VisFave']", "M36_V123 [0.45, 'VisFave']", "M37_V123 [0.48, 'VisFave']", "M38_V123 [0.47, 'VisFave']", "M39_V123 [0.43, 'VisFave']", "M40_V123 [0.49, 'VisFave']", "M41_V123 [0.48, 'VisFave']", "M42_V123 [0.5, 'HomDog']", "M43_V123 [0.45, 'VisFave']", "M44_V123 [0.46, 'VisFave']", "M45_V123 [0.47, 'VisFave']", "M46_V123 [0.49, 'VisFave']", "M47_V123 [0.48, 'VisFave']", "M48_V123 [0.46, 'VisFave']", "M49_V123 [0.48, 'VisFave']", "M50_V123 [0.46, 'VisFave']", "M51_V123 [0.5, 'HomDog']", "M52_V123 [0.49, 'VisFave']", "M53_V123 [0.48, 'VisFave']", "M54_V123 [0.46, 'VisFave']", "M55_V123 [0.47, 'VisFave']", "M56_V123 [0.49, 'VisFave']"]</t>
  </si>
  <si>
    <t xml:space="preserve">823292. VF plays are disallowed. No play due to strategy constraints. </t>
  </si>
  <si>
    <t>CIN</t>
  </si>
  <si>
    <t>STL</t>
  </si>
  <si>
    <t>["M16_V123 [0.51, 'HomFave']", "M17_V123 [0.48, 'VisDog']", "M18_V123 [0.49, 'VisDog']", "M19_V123 [0.5, 'HomFave']", "M20_V123 [0.49, 'VisDog']", "M21_V123 [0.53, 'HomFave']", "M22_V123 [0.49, 'VisDog']", "M23_V123 [0.49, 'VisDog']", "M24_V123 [0.51, 'HomFave']", "M25_V123 [0.48, 'VisDog']", "M26_V123 [0.51, 'HomFave']", "M27_V123 [0.47, 'VisDog']", "M28_V123 [0.58, 'HomFave']", "M29_V123 [0.49, 'VisDog']", "M30_V123 [0.5, 'HomFave']", "M31_V123 [0.69, 'HomFave']", "M32_V123 [0.47, 'VisDog']", "M33_V123 [0.52, 'HomFave']", "M34_V123 [0.51, 'HomFave']", "M35_V123 [0.49, 'VisDog']", "M36_V123 [0.47, 'VisDog']", "M37_V123 [0.52, 'HomFave']", "M38_V123 [0.47, 'VisDog']", "M39_V123 [0.57, 'HomFave']", "M40_V123 [0.5, 'HomFave']", "M41_V123 [0.48, 'VisDog']", "M42_V123 [0.5, 'HomFave']", "M43_V123 [0.49, 'VisDog']", "M44_V123 [0.51, 'HomFave']", "M45_V123 [0.47, 'VisDog']", "M46_V123 [0.46, 'VisDog']", "M47_V123 [0.5, 'HomFave']", "M48_V123 [0.67, 'HomFave']", "M49_V123 [0.55, 'HomFave']", "M50_V123 [0.5, 'HomFave']", "M51_V123 [0.52, 'HomFave']", "M52_V123 [0.5, 'HomFave']", "M53_V123 [0.5, 'HomFave']", "M54_V123 [0.5, 'HomFave']", "M55_V123 [0.48, 'VisDog']", "M56_V123 [0.61, 'HomFave']"]</t>
  </si>
  <si>
    <t xml:space="preserve">823048. LineStatEns probability points gap does not exceed threshold (no edge found)! StatOnlyEns probability points gap does not exceed threshold (no edge found)! No play due to strategy constraints. </t>
  </si>
  <si>
    <t>CLE</t>
  </si>
  <si>
    <t>TEX</t>
  </si>
  <si>
    <t xml:space="preserve">822891. LineStatEns probability points gap does not exceed threshold (no edge found)! No play due to strategy constraints. </t>
  </si>
  <si>
    <t>20260606_MWK6.1_BAL@TOR_-103</t>
  </si>
  <si>
    <t>BAL</t>
  </si>
  <si>
    <t>-372.5 #</t>
  </si>
  <si>
    <t>Extremely Strong</t>
  </si>
  <si>
    <t>TOR</t>
  </si>
  <si>
    <t>["M1_V119 [0.45, 'VisFave']", "M2_V119 [0.5, 'HomDog']", "M3_V119 [0.49, 'VisFave']", "M4_V119 [0.44, 'VisFave']", "M5_V119 [0.44, 'VisFave']", "M6_V119 [0.47, 'VisFave']", "M7_V119 [0.48, 'VisFave']", "M8_V119 [0.44, 'VisFave']", "M9_V119 [0.44, 'VisFave']", "M10_V119 [0.43, 'VisFave']", "M11_V119 [0.48, 'VisFave']", "M12_V119 [0.57, 'HomDog']", "M13_V119 [0.45, 'VisFave']", "M14_V119 [0.48, 'VisFave']", "M15_V119 [0.42, 'VisFave']"]</t>
  </si>
  <si>
    <t>["M16_V123 [0.49, 'VisFave']", "M17_V123 [0.5, 'HomDog']", "M18_V123 [0.5, 'HomDog']", "M19_V123 [0.49, 'VisFave']", "M20_V123 [0.5, 'HomDog']", "M21_V123 [0.48, 'VisFave']", "M22_V123 [0.49, 'VisFave']", "M23_V123 [0.51, 'HomDog']", "M24_V123 [0.5, 'HomDog']", "M25_V123 [0.49, 'VisFave']", "M26_V123 [0.48, 'VisFave']", "M27_V123 [0.51, 'HomDog']", "M28_V123 [0.51, 'HomDog']", "M29_V123 [0.49, 'VisFave']", "M30_V123 [0.47, 'VisFave']", "M31_V123 [0.65, 'HomDog']", "M32_V123 [0.46, 'VisFave']", "M33_V123 [0.49, 'VisFave']", "M34_V123 [0.49, 'VisFave']", "M35_V123 [0.47, 'VisFave']", "M36_V123 [0.48, 'VisFave']", "M37_V123 [0.51, 'HomDog']", "M38_V123 [0.47, 'VisFave']", "M39_V123 [0.48, 'VisFave']", "M40_V123 [0.47, 'VisFave']", "M41_V123 [0.49, 'VisFave']", "M42_V123 [0.48, 'VisFave']", "M43_V123 [0.48, 'VisFave']", "M44_V123 [0.48, 'VisFave']", "M45_V123 [0.47, 'VisFave']", "M46_V123 [0.48, 'VisFave']", "M47_V123 [0.51, 'HomDog']", "M48_V123 [0.48, 'VisFave']", "M49_V123 [0.5, 'HomDog']", "M50_V123 [0.47, 'VisFave']", "M51_V123 [0.5, 'HomDog']", "M52_V123 [0.5, 'HomDog']", "M53_V123 [0.49, 'VisFave']", "M54_V123 [0.5, 'HomDog']", "M55_V123 [0.48, 'VisFave']", "M56_V123 [0.5, 'HomDog']"]</t>
  </si>
  <si>
    <t xml:space="preserve">822808. VF plays are disallowed. No play due to strategy constraints. </t>
  </si>
  <si>
    <t>20260607_MWK6.1_PIT@ATL_-145</t>
  </si>
  <si>
    <t>-301.2 #</t>
  </si>
  <si>
    <t xml:space="preserve">824916. LineStatEns probability points gap does not exceed threshold (no edge found)! StatOnlyEns probability points gap does not exceed threshold (no edge found)! No play due to strategy constraints. </t>
  </si>
  <si>
    <t>20260607_MWK6.1_WAS@ARZ_-125</t>
  </si>
  <si>
    <t>["M1_V119 [0.53, 'HomFave']", "M2_V119 [0.52, 'HomFave']", "M3_V119 [0.53, 'HomFave']", "M4_V119 [0.52, 'HomFave']", "M5_V119 [0.52, 'HomFave']", "M6_V119 [0.54, 'HomFave']", "M7_V119 [0.52, 'HomFave']", "M8_V119 [0.53, 'HomFave']", "M9_V119 [0.47, 'VisDog']", "M10_V119 [0.44, 'VisDog']", "M11_V119 [0.6, 'HomFave']", "M12_V119 [0.6, 'HomFave']", "M13_V119 [0.51, 'HomFave']", "M14_V119 [0.5, 'HomFave']", "M15_V119 [0.48, 'VisDog']"]</t>
  </si>
  <si>
    <t>["M16_V123 [0.53, 'HomFave']", "M17_V123 [0.51, 'HomFave']", "M18_V123 [0.53, 'HomFave']", "M19_V123 [0.55, 'HomFave']", "M20_V123 [0.56, 'HomFave']", "M21_V123 [0.53, 'HomFave']", "M22_V123 [0.52, 'HomFave']", "M23_V123 [0.54, 'HomFave']", "M24_V123 [0.54, 'HomFave']", "M25_V123 [0.52, 'HomFave']", "M26_V123 [0.55, 'HomFave']", "M27_V123 [0.52, 'HomFave']", "M28_V123 [0.55, 'HomFave']", "M29_V123 [0.53, 'HomFave']", "M30_V123 [0.53, 'HomFave']", "M31_V123 [0.57, 'HomFave']", "M32_V123 [0.53, 'HomFave']", "M33_V123 [0.55, 'HomFave']", "M34_V123 [0.52, 'HomFave']", "M35_V123 [0.57, 'HomFave']", "M36_V123 [0.48, 'VisDog']", "M37_V123 [0.54, 'HomFave']", "M38_V123 [0.54, 'HomFave']", "M39_V123 [0.53, 'HomFave']", "M40_V123 [0.53, 'HomFave']", "M41_V123 [0.52, 'HomFave']", "M42_V123 [0.56, 'HomFave']", "M43_V123 [0.52, 'HomFave']", "M44_V123 [0.57, 'HomFave']", "M45_V123 [0.54, 'HomFave']", "M46_V123 [0.49, 'VisDog']", "M47_V123 [0.53, 'HomFave']", "M48_V123 [0.78, 'HomFave']", "M49_V123 [0.53, 'HomFave']", "M50_V123 [0.54, 'HomFave']", "M51_V123 [0.54, 'HomFave']", "M52_V123 [0.53, 'HomFave']", "M53_V123 [0.52, 'HomFave']", "M54_V123 [0.53, 'HomFave']", "M55_V123 [0.53, 'HomFave']", "M56_V123 [0.51, 'HomFave']"]</t>
  </si>
  <si>
    <t xml:space="preserve">825074. LineStatEns probability points gap does not exceed threshold (no edge found)! StatOnlyEns probability points gap does not exceed threshold (no edge found)! No play due to strategy constraints. </t>
  </si>
  <si>
    <t>20260607_MWK6.1_SF@CHC_-126</t>
  </si>
  <si>
    <t>["M1_V119 [0.55, 'HomFave']", "M2_V119 [0.51, 'HomFave']", "M3_V119 [0.53, 'HomFave']", "M4_V119 [0.54, 'HomFave']", "M5_V119 [0.54, 'HomFave']", "M6_V119 [0.5, 'HomFave']", "M7_V119 [0.54, 'HomFave']", "M8_V119 [0.5, 'HomFave']", "M9_V119 [0.51, 'HomFave']", "M10_V119 [0.46, 'VisDog']", "M11_V119 [0.4, 'VisDog']", "M12_V119 [0.58, 'HomFave']", "M13_V119 [0.49, 'VisDog']", "M14_V119 [0.57, 'HomFave']", "M15_V119 [0.54, 'HomFave']"]</t>
  </si>
  <si>
    <t xml:space="preserve">824670. LineStatEns probability points gap does not exceed threshold (no edge found)! StatOnlyEns probability points gap does not exceed threshold (no edge found)! No play due to strategy constraints. </t>
  </si>
  <si>
    <t>20260607_MWK6.1_MLW@COL_160</t>
  </si>
  <si>
    <t>-117.7 #</t>
  </si>
  <si>
    <t>["M1_V119 [0.48, 'VisFave']", "M2_V119 [0.47, 'VisFave']", "M3_V119 [0.45, 'VisFave']", "M4_V119 [0.39, 'VisFave']", "M5_V119 [0.39, 'VisFave']", "M6_V119 [0.43, 'VisFave']", "M7_V119 [0.43, 'VisFave']", "M8_V119 [0.46, 'VisFave']", "M9_V119 [0.44, 'VisFave']", "M10_V119 [0.34, 'VisFave']", "M11_V119 [0.4, 'VisFave']", "M12_V119 [0.42, 'VisFave']", "M13_V119 [0.39, 'VisFave']", "M14_V119 [0.49, 'VisFave']", "M15_V119 [0.4, 'VisFave']"]</t>
  </si>
  <si>
    <t xml:space="preserve">824349. LineStatEns is NoPlay as bookie-line outside range. StatOnlyEns is NoPlay as bookie-line outside range. No play due to strategy constraints. </t>
  </si>
  <si>
    <t>20260607_MWK6.1_SEA@DET_-111</t>
  </si>
  <si>
    <t xml:space="preserve">824268. Play determined by LineStatEns and StatOnlyEns agreement. </t>
  </si>
  <si>
    <t>20260607_MWK6.1_TB@FLO_-105</t>
  </si>
  <si>
    <t>-182.4 #</t>
  </si>
  <si>
    <t>["M1_V119 [0.52, 'HomFave']", "M2_V119 [0.54, 'HomFave']", "M3_V119 [0.51, 'HomFave']", "M4_V119 [0.5, 'HomFave']", "M5_V119 [0.5, 'HomFave']", "M6_V119 [0.52, 'HomFave']", "M7_V119 [0.52, 'HomFave']", "M8_V119 [0.51, 'HomFave']", "M9_V119 [0.45, 'VisDog']", "M10_V119 [0.54, 'HomFave']", "M11_V119 [0.58, 'HomFave']", "M12_V119 [0.52, 'HomFave']", "M13_V119 [0.49, 'VisDog']", "M14_V119 [0.49, 'VisDog']", "M15_V119 [0.41, 'VisDog']"]</t>
  </si>
  <si>
    <t>["M16_V123 [0.52, 'HomFave']", "M17_V123 [0.56, 'HomFave']", "M18_V123 [0.55, 'HomFave']", "M19_V123 [0.53, 'HomFave']", "M20_V123 [0.54, 'HomFave']", "M21_V123 [0.54, 'HomFave']", "M22_V123 [0.54, 'HomFave']", "M23_V123 [0.52, 'HomFave']", "M24_V123 [0.52, 'HomFave']", "M25_V123 [0.53, 'HomFave']", "M26_V123 [0.54, 'HomFave']", "M27_V123 [0.52, 'HomFave']", "M28_V123 [0.61, 'HomFave']", "M29_V123 [0.56, 'HomFave']", "M30_V123 [0.54, 'HomFave']", "M31_V123 [0.47, 'VisDog']", "M32_V123 [0.52, 'HomFave']", "M33_V123 [0.54, 'HomFave']", "M34_V123 [0.53, 'HomFave']", "M35_V123 [0.56, 'HomFave']", "M36_V123 [0.51, 'HomFave']", "M37_V123 [0.55, 'HomFave']", "M38_V123 [0.54, 'HomFave']", "M39_V123 [0.51, 'HomFave']", "M40_V123 [0.52, 'HomFave']", "M41_V123 [0.5, 'HomFave']", "M42_V123 [0.57, 'HomFave']", "M43_V123 [0.52, 'HomFave']", "M44_V123 [0.53, 'HomFave']", "M45_V123 [0.52, 'HomFave']", "M46_V123 [0.54, 'HomFave']", "M47_V123 [0.54, 'HomFave']", "M48_V123 [0.46, 'VisDog']", "M49_V123 [0.55, 'HomFave']", "M50_V123 [0.51, 'HomFave']", "M51_V123 [0.53, 'HomFave']", "M52_V123 [0.52, 'HomFave']", "M53_V123 [0.51, 'HomFave']", "M54_V123 [0.51, 'HomFave']", "M55_V123 [0.53, 'HomFave']", "M56_V123 [0.69, 'HomFave']"]</t>
  </si>
  <si>
    <t xml:space="preserve">823857. Play determined by LineStatEns and StatOnlyEns agreement. </t>
  </si>
  <si>
    <t>20260607_MWK6.1_OAK@HOU_-105</t>
  </si>
  <si>
    <t>20260607_MWK6.1_LAA@LA_-206</t>
  </si>
  <si>
    <t>-116.5 #</t>
  </si>
  <si>
    <t>["M1_V119 [0.61, 'HomFave']", "M2_V119 [0.54, 'HomFave']", "M3_V119 [0.57, 'HomFave']", "M4_V119 [0.56, 'HomFave']", "M5_V119 [0.56, 'HomFave']", "M6_V119 [0.57, 'HomFave']", "M7_V119 [0.56, 'HomFave']", "M8_V119 [0.57, 'HomFave']", "M9_V119 [0.36, 'VisDog']", "M10_V119 [0.54, 'HomFave']", "M11_V119 [0.45, 'VisDog']", "M12_V119 [0.39, 'VisDog']", "M13_V119 [0.56, 'HomFave']", "M14_V119 [0.59, 'HomFave']", "M15_V119 [0.58, 'HomFave']"]</t>
  </si>
  <si>
    <t>["M16_V123 [0.53, 'HomFave']", "M17_V123 [0.52, 'HomFave']", "M18_V123 [0.56, 'HomFave']", "M19_V123 [0.52, 'HomFave']", "M20_V123 [0.55, 'HomFave']", "M21_V123 [0.53, 'HomFave']", "M22_V123 [0.53, 'HomFave']", "M23_V123 [0.52, 'HomFave']", "M24_V123 [0.56, 'HomFave']", "M25_V123 [0.54, 'HomFave']", "M26_V123 [0.53, 'HomFave']", "M27_V123 [0.54, 'HomFave']", "M28_V123 [0.54, 'HomFave']", "M29_V123 [0.54, 'HomFave']", "M30_V123 [0.53, 'HomFave']", "M31_V123 [0.4, 'VisDog']", "M32_V123 [0.55, 'HomFave']", "M33_V123 [0.57, 'HomFave']", "M34_V123 [0.54, 'HomFave']", "M35_V123 [0.51, 'HomFave']", "M36_V123 [0.54, 'HomFave']", "M37_V123 [0.54, 'HomFave']", "M38_V123 [0.52, 'HomFave']", "M39_V123 [0.52, 'HomFave']", "M40_V123 [0.54, 'HomFave']", "M41_V123 [0.53, 'HomFave']", "M42_V123 [0.49, 'VisDog']", "M43_V123 [0.55, 'HomFave']", "M44_V123 [0.49, 'VisDog']", "M45_V123 [0.54, 'HomFave']", "M46_V123 [0.53, 'HomFave']", "M47_V123 [0.54, 'HomFave']", "M48_V123 [0.27, 'VisDog']", "M49_V123 [0.56, 'HomFave']", "M50_V123 [0.54, 'HomFave']", "M51_V123 [0.52, 'HomFave']", "M52_V123 [0.56, 'HomFave']", "M53_V123 [0.53, 'HomFave']", "M54_V123 [0.55, 'HomFave']", "M55_V123 [0.52, 'HomFave']", "M56_V123 [0.38, 'VisDog']"]</t>
  </si>
  <si>
    <t xml:space="preserve">823941. LineStatEns is NoPlay as bookie-line outside range. StatOnlyEns is NoPlay as bookie-line outside range. No play due to strategy constraints. </t>
  </si>
  <si>
    <t>20260607_MWK6.1_KC@MIN_107</t>
  </si>
  <si>
    <t>["M1_V119 [0.47, 'VisFave']", "M2_V119 [0.48, 'VisFave']", "M3_V119 [0.49, 'VisFave']", "M4_V119 [0.48, 'VisFave']", "M5_V119 [0.48, 'VisFave']", "M6_V119 [0.46, 'VisFave']", "M7_V119 [0.47, 'VisFave']", "M8_V119 [0.47, 'VisFave']", "M9_V119 [0.43, 'VisFave']", "M10_V119 [0.51, 'HomDog']", "M11_V119 [0.48, 'VisFave']", "M12_V119 [0.52, 'HomDog']", "M13_V119 [0.45, 'VisFave']", "M14_V119 [0.5, 'HomDog']", "M15_V119 [0.43, 'VisFave']"]</t>
  </si>
  <si>
    <t>["M16_V123 [0.52, 'HomDog']", "M17_V123 [0.49, 'VisFave']", "M18_V123 [0.52, 'HomDog']", "M19_V123 [0.5, 'HomDog']", "M20_V123 [0.49, 'VisFave']", "M21_V123 [0.52, 'HomDog']", "M22_V123 [0.5, 'HomDog']", "M23_V123 [0.5, 'HomDog']", "M24_V123 [0.49, 'VisFave']", "M25_V123 [0.49, 'VisFave']", "M26_V123 [0.49, 'VisFave']", "M27_V123 [0.49, 'VisFave']", "M28_V123 [0.51, 'HomDog']", "M29_V123 [0.47, 'VisFave']", "M30_V123 [0.46, 'VisFave']", "M31_V123 [0.69, 'HomDog']", "M32_V123 [0.48, 'VisFave']", "M33_V123 [0.52, 'HomDog']", "M34_V123 [0.51, 'HomDog']", "M35_V123 [0.57, 'HomDog']", "M36_V123 [0.46, 'VisFave']", "M37_V123 [0.49, 'VisFave']", "M38_V123 [0.49, 'VisFave']", "M39_V123 [0.52, 'HomDog']", "M40_V123 [0.46, 'VisFave']", "M41_V123 [0.49, 'VisFave']", "M42_V123 [0.54, 'HomDog']", "M43_V123 [0.49, 'VisFave']", "M44_V123 [0.48, 'VisFave']", "M45_V123 [0.49, 'VisFave']", "M46_V123 [0.44, 'VisFave']", "M47_V123 [0.52, 'HomDog']", "M48_V123 [0.5, 'HomDog']", "M49_V123 [0.46, 'VisFave']", "M50_V123 [0.48, 'VisFave']", "M51_V123 [0.52, 'HomDog']", "M52_V123 [0.5, 'HomDog']", "M53_V123 [0.49, 'VisFave']", "M54_V123 [0.49, 'VisFave']", "M55_V123 [0.51, 'HomDog']", "M56_V123 [0.51, 'HomDog']"]</t>
  </si>
  <si>
    <t xml:space="preserve">823696. VF plays are disallowed. No play due to strategy constraints. </t>
  </si>
  <si>
    <t>20260607_MWK6.1_BOS@NYY_-139</t>
  </si>
  <si>
    <t>-111.3 #</t>
  </si>
  <si>
    <t xml:space="preserve">823537. LineStatEns probability points gap does not exceed threshold (no edge found)! StatOnlyEns probability points gap does not exceed threshold (no edge found)! No play due to strategy constraints. </t>
  </si>
  <si>
    <t>20260607_MWK6.1_CWS@PHI_-163</t>
  </si>
  <si>
    <t>["M1_V119 [0.58, 'HomFave']", "M2_V119 [0.58, 'HomFave']", "M3_V119 [0.56, 'HomFave']", "M4_V119 [0.53, 'HomFave']", "M5_V119 [0.53, 'HomFave']", "M6_V119 [0.54, 'HomFave']", "M7_V119 [0.56, 'HomFave']", "M8_V119 [0.53, 'HomFave']", "M9_V119 [0.58, 'HomFave']", "M10_V119 [0.58, 'HomFave']", "M11_V119 [0.75, 'HomFave']", "M12_V119 [0.59, 'HomFave']", "M13_V119 [0.55, 'HomFave']", "M14_V119 [0.59, 'HomFave']", "M15_V119 [0.5, 'HomFave']"]</t>
  </si>
  <si>
    <t>["M16_V123 [0.56, 'HomFave']", "M17_V123 [0.54, 'HomFave']", "M18_V123 [0.53, 'HomFave']", "M19_V123 [0.53, 'HomFave']", "M20_V123 [0.57, 'HomFave']", "M21_V123 [0.56, 'HomFave']", "M22_V123 [0.54, 'HomFave']", "M23_V123 [0.56, 'HomFave']", "M24_V123 [0.55, 'HomFave']", "M25_V123 [0.53, 'HomFave']", "M26_V123 [0.53, 'HomFave']", "M27_V123 [0.56, 'HomFave']", "M28_V123 [0.59, 'HomFave']", "M29_V123 [0.52, 'HomFave']", "M30_V123 [0.53, 'HomFave']", "M31_V123 [0.66, 'HomFave']", "M32_V123 [0.53, 'HomFave']", "M33_V123 [0.53, 'HomFave']", "M34_V123 [0.56, 'HomFave']", "M35_V123 [0.54, 'HomFave']", "M36_V123 [0.53, 'HomFave']", "M37_V123 [0.53, 'HomFave']", "M38_V123 [0.56, 'HomFave']", "M39_V123 [0.55, 'HomFave']", "M40_V123 [0.55, 'HomFave']", "M41_V123 [0.53, 'HomFave']", "M42_V123 [0.51, 'HomFave']", "M43_V123 [0.51, 'HomFave']", "M44_V123 [0.54, 'HomFave']", "M45_V123 [0.52, 'HomFave']", "M46_V123 [0.51, 'HomFave']", "M47_V123 [0.53, 'HomFave']", "M48_V123 [0.55, 'HomFave']", "M49_V123 [0.46, 'VisDog']", "M50_V123 [0.54, 'HomFave']", "M51_V123 [0.56, 'HomFave']", "M52_V123 [0.55, 'HomFave']", "M53_V123 [0.52, 'HomFave']", "M54_V123 [0.56, 'HomFave']", "M55_V123 [0.52, 'HomFave']", "M56_V123 [0.69, 'HomFave']"]</t>
  </si>
  <si>
    <t xml:space="preserve">823453. LineStatEns is NoPlay as bookie-line outside range. StatOnlyEns is NoPlay as bookie-line outside range. No play due to strategy constraints. </t>
  </si>
  <si>
    <t>20260607_MWK6.1_NYM@SD_-103</t>
  </si>
  <si>
    <t>HomDog</t>
  </si>
  <si>
    <t xml:space="preserve">823291. Play determined by LineStatEns and StatOnlyEns agreement. </t>
  </si>
  <si>
    <t>20260607_MWK6.1_CIN@STL_-141</t>
  </si>
  <si>
    <t>["M1_V119 [0.59, 'HomFave']", "M2_V119 [0.57, 'HomFave']", "M3_V119 [0.57, 'HomFave']", "M4_V119 [0.6, 'HomFave']", "M5_V119 [0.6, 'HomFave']", "M6_V119 [0.59, 'HomFave']", "M7_V119 [0.57, 'HomFave']", "M8_V119 [0.57, 'HomFave']", "M9_V119 [0.57, 'HomFave']", "M10_V119 [0.65, 'HomFave']", "M11_V119 [0.58, 'HomFave']", "M12_V119 [0.53, 'HomFave']", "M13_V119 [0.56, 'HomFave']", "M14_V119 [0.59, 'HomFave']", "M15_V119 [0.54, 'HomFave']"]</t>
  </si>
  <si>
    <t>["M16_V123 [0.56, 'HomFave']", "M17_V123 [0.55, 'HomFave']", "M18_V123 [0.54, 'HomFave']", "M19_V123 [0.56, 'HomFave']", "M20_V123 [0.58, 'HomFave']", "M21_V123 [0.57, 'HomFave']", "M22_V123 [0.55, 'HomFave']", "M23_V123 [0.55, 'HomFave']", "M24_V123 [0.55, 'HomFave']", "M25_V123 [0.57, 'HomFave']", "M26_V123 [0.54, 'HomFave']", "M27_V123 [0.54, 'HomFave']", "M28_V123 [0.61, 'HomFave']", "M29_V123 [0.56, 'HomFave']", "M30_V123 [0.55, 'HomFave']", "M31_V123 [0.82, 'HomFave']", "M32_V123 [0.56, 'HomFave']", "M33_V123 [0.57, 'HomFave']", "M34_V123 [0.57, 'HomFave']", "M35_V123 [0.54, 'HomFave']", "M36_V123 [0.53, 'HomFave']", "M37_V123 [0.56, 'HomFave']", "M38_V123 [0.57, 'HomFave']", "M39_V123 [0.6, 'HomFave']", "M40_V123 [0.54, 'HomFave']", "M41_V123 [0.54, 'HomFave']", "M42_V123 [0.53, 'HomFave']", "M43_V123 [0.57, 'HomFave']", "M44_V123 [0.54, 'HomFave']", "M45_V123 [0.55, 'HomFave']", "M46_V123 [0.53, 'HomFave']", "M47_V123 [0.55, 'HomFave']", "M48_V123 [0.75, 'HomFave']", "M49_V123 [0.58, 'HomFave']", "M50_V123 [0.56, 'HomFave']", "M51_V123 [0.58, 'HomFave']", "M52_V123 [0.56, 'HomFave']", "M53_V123 [0.57, 'HomFave']", "M54_V123 [0.54, 'HomFave']", "M55_V123 [0.54, 'HomFave']", "M56_V123 [0.58, 'HomFave']"]</t>
  </si>
  <si>
    <t xml:space="preserve">823047. LineStatEns probability points gap does not exceed threshold (no edge found)! StatOnlyEns probability points gap does not exceed threshold (no edge found)! No play due to strategy constraints. </t>
  </si>
  <si>
    <t>20260607_MWK6.1_CLE@TEX_-137</t>
  </si>
  <si>
    <t xml:space="preserve">822890. LineStatEns probability points gap does not exceed threshold (no edge found)! StatOnlyEns probability points gap does not exceed threshold (no edge found)! No play due to strategy constraints. </t>
  </si>
  <si>
    <t>20260607_MWK6.1_BAL@TOR_-130</t>
  </si>
  <si>
    <t>["M1_V119 [0.54, 'HomFave']", "M2_V119 [0.58, 'HomFave']", "M3_V119 [0.55, 'HomFave']", "M4_V119 [0.54, 'HomFave']", "M5_V119 [0.54, 'HomFave']", "M6_V119 [0.54, 'HomFave']", "M7_V119 [0.54, 'HomFave']", "M8_V119 [0.53, 'HomFave']", "M9_V119 [0.48, 'VisDog']", "M10_V119 [0.59, 'HomFave']", "M11_V119 [0.49, 'VisDog']", "M12_V119 [0.57, 'HomFave']", "M13_V119 [0.51, 'HomFave']", "M14_V119 [0.59, 'HomFave']", "M15_V119 [0.54, 'HomFave']"]</t>
  </si>
  <si>
    <t>["M16_V123 [0.52, 'HomFave']", "M17_V123 [0.56, 'HomFave']", "M18_V123 [0.54, 'HomFave']", "M19_V123 [0.54, 'HomFave']", "M20_V123 [0.53, 'HomFave']", "M21_V123 [0.52, 'HomFave']", "M22_V123 [0.52, 'HomFave']", "M23_V123 [0.53, 'HomFave']", "M24_V123 [0.54, 'HomFave']", "M25_V123 [0.54, 'HomFave']", "M26_V123 [0.52, 'HomFave']", "M27_V123 [0.52, 'HomFave']", "M28_V123 [0.54, 'HomFave']", "M29_V123 [0.53, 'HomFave']", "M30_V123 [0.53, 'HomFave']", "M31_V123 [0.63, 'HomFave']", "M32_V123 [0.5, 'HomFave']", "M33_V123 [0.55, 'HomFave']", "M34_V123 [0.53, 'HomFave']", "M35_V123 [0.52, 'HomFave']", "M36_V123 [0.54, 'HomFave']", "M37_V123 [0.56, 'HomFave']", "M38_V123 [0.54, 'HomFave']", "M39_V123 [0.54, 'HomFave']", "M40_V123 [0.52, 'HomFave']", "M41_V123 [0.54, 'HomFave']", "M42_V123 [0.54, 'HomFave']", "M43_V123 [0.51, 'HomFave']", "M44_V123 [0.55, 'HomFave']", "M45_V123 [0.52, 'HomFave']", "M46_V123 [0.52, 'HomFave']", "M47_V123 [0.55, 'HomFave']", "M48_V123 [0.76, 'HomFave']", "M49_V123 [0.53, 'HomFave']", "M50_V123 [0.54, 'HomFave']", "M51_V123 [0.53, 'HomFave']", "M52_V123 [0.52, 'HomFave']", "M53_V123 [0.53, 'HomFave']", "M54_V123 [0.52, 'HomFave']", "M55_V123 [0.52, 'HomFave']", "M56_V123 [0.62, 'HomFave']"]</t>
  </si>
  <si>
    <t xml:space="preserve">822807. LineStatEns probability points gap does not exceed threshold (no edge found)! StatOnlyEns probability points gap does not exceed threshold (no edge found)! No play due to strategy constraints. </t>
  </si>
  <si>
    <t>20260608_MWK6.2_SEA@BAL_111</t>
  </si>
  <si>
    <t>-111.4 #</t>
  </si>
  <si>
    <t>-340.7 #</t>
  </si>
  <si>
    <t>["M1_V119 [0.42, 'VisFave']", "M2_V119 [0.45, 'VisFave']", "M3_V119 [0.44, 'VisFave']", "M4_V119 [0.43, 'VisFave']", "M5_V119 [0.43, 'VisFave']", "M6_V119 [0.39, 'VisFave']", "M7_V119 [0.42, 'VisFave']", "M8_V119 [0.4, 'VisFave']", "M9_V119 [0.46, 'VisFave']", "M10_V119 [0.44, 'VisFave']", "M11_V119 [0.39, 'VisFave']", "M12_V119 [0.41, 'VisFave']", "M13_V119 [0.41, 'VisFave']", "M14_V119 [0.46, 'VisFave']", "M15_V119 [0.44, 'VisFave']"]</t>
  </si>
  <si>
    <t xml:space="preserve">824829. VF plays are disallowed. No play due to strategy constraints. </t>
  </si>
  <si>
    <t>20260608_MWK6.2_HOU@LAA_112</t>
  </si>
  <si>
    <t>["M1_V119 [0.42, 'VisFave']", "M2_V119 [0.46, 'VisFave']", "M3_V119 [0.48, 'VisFave']", "M4_V119 [0.44, 'VisFave']", "M5_V119 [0.44, 'VisFave']", "M6_V119 [0.42, 'VisFave']", "M7_V119 [0.45, 'VisFave']", "M8_V119 [0.42, 'VisFave']", "M9_V119 [0.34, 'VisFave']", "M10_V119 [0.54, 'HomDog']", "M11_V119 [0.45, 'VisFave']", "M12_V119 [0.46, 'VisFave']", "M13_V119 [0.42, 'VisFave']", "M14_V119 [0.48, 'VisFave']", "M15_V119 [0.4, 'VisFave']"]</t>
  </si>
  <si>
    <t>["M16_V123 [0.45, 'VisFave']", "M17_V123 [0.44, 'VisFave']", "M18_V123 [0.46, 'VisFave']", "M19_V123 [0.46, 'VisFave']", "M20_V123 [0.46, 'VisFave']", "M21_V123 [0.46, 'VisFave']", "M22_V123 [0.46, 'VisFave']", "M23_V123 [0.44, 'VisFave']", "M24_V123 [0.47, 'VisFave']", "M25_V123 [0.47, 'VisFave']", "M26_V123 [0.45, 'VisFave']", "M27_V123 [0.45, 'VisFave']", "M28_V123 [0.46, 'VisFave']", "M29_V123 [0.45, 'VisFave']", "M30_V123 [0.45, 'VisFave']", "M31_V123 [0.54, 'HomDog']", "M32_V123 [0.45, 'VisFave']", "M33_V123 [0.48, 'VisFave']", "M34_V123 [0.45, 'VisFave']", "M35_V123 [0.46, 'VisFave']", "M36_V123 [0.42, 'VisFave']", "M37_V123 [0.47, 'VisFave']", "M38_V123 [0.44, 'VisFave']", "M39_V123 [0.39, 'VisFave']", "M40_V123 [0.47, 'VisFave']", "M41_V123 [0.46, 'VisFave']", "M42_V123 [0.46, 'VisFave']", "M43_V123 [0.43, 'VisFave']", "M44_V123 [0.4, 'VisFave']", "M45_V123 [0.46, 'VisFave']", "M46_V123 [0.44, 'VisFave']", "M47_V123 [0.45, 'VisFave']", "M48_V123 [0.63, 'HomDog']", "M49_V123 [0.45, 'VisFave']", "M50_V123 [0.46, 'VisFave']", "M51_V123 [0.45, 'VisFave']", "M52_V123 [0.47, 'VisFave']", "M53_V123 [0.42, 'VisFave']", "M54_V123 [0.47, 'VisFave']", "M55_V123 [0.44, 'VisFave']", "M56_V123 [0.32, 'VisFave']"]</t>
  </si>
  <si>
    <t xml:space="preserve">824025. VF plays are disallowed. No play due to strategy constraints. </t>
  </si>
  <si>
    <t>20260608_MWK6.2_NYY@CLE_-122</t>
  </si>
  <si>
    <t>-112.3 #</t>
  </si>
  <si>
    <t>["M1_V119 [0.52, 'HomFave']", "M2_V119 [0.53, 'HomFave']", "M3_V119 [0.55, 'HomFave']", "M4_V119 [0.51, 'HomFave']", "M5_V119 [0.51, 'HomFave']", "M6_V119 [0.53, 'HomFave']", "M7_V119 [0.53, 'HomFave']", "M8_V119 [0.53, 'HomFave']", "M9_V119 [0.61, 'HomFave']", "M10_V119 [0.67, 'HomFave']", "M11_V119 [0.77, 'HomFave']", "M12_V119 [0.68, 'HomFave']", "M13_V119 [0.51, 'HomFave']", "M14_V119 [0.55, 'HomFave']", "M15_V119 [0.53, 'HomFave']"]</t>
  </si>
  <si>
    <t xml:space="preserve">824427. LineStatEns probability points gap does not exceed threshold (no edge found)! StatOnlyEns probability points gap does not exceed threshold (no edge found)! No play due to strategy constraints. </t>
  </si>
  <si>
    <t>-118.6 #</t>
  </si>
  <si>
    <t>["M16_V123 [0.44, 'VisFave']", "M17_V123 [0.46, 'VisFave']", "M18_V123 [0.46, 'VisFave']", "M19_V123 [0.47, 'VisFave']", "M20_V123 [0.45, 'VisFave']", "M21_V123 [0.43, 'VisFave']", "M22_V123 [0.43, 'VisFave']", "M23_V123 [0.47, 'VisFave']", "M24_V123 [0.45, 'VisFave']", "M25_V123 [0.42, 'VisFave']", "M26_V123 [0.43, 'VisFave']", "M27_V123 [0.43, 'VisFave']", "M28_V123 [0.35, 'VisFave']", "M29_V123 [0.45, 'VisFave']", "M30_V123 [0.41, 'VisFave']", "M31_V123 [0.69, 'HomDog']", "M32_V123 [0.46, 'VisFave']", "M33_V123 [0.47, 'VisFave']", "M34_V123 [0.47, 'VisFave']", "M35_V123 [0.4, 'VisFave']", "M36_V123 [0.44, 'VisFave']", "M37_V123 [0.42, 'VisFave']", "M38_V123 [0.49, 'VisFave']", "M39_V123 [0.4, 'VisFave']", "M40_V123 [0.42, 'VisFave']", "M41_V123 [0.42, 'VisFave']", "M42_V123 [0.43, 'VisFave']", "M43_V123 [0.45, 'VisFave']", "M44_V123 [0.39, 'VisFave']", "M45_V123 [0.45, 'VisFave']", "M46_V123 [0.42, 'VisFave']", "M47_V123 [0.46, 'VisFave']", "M48_V123 [0.47, 'VisFave']", "M49_V123 [0.52, 'HomDog']", "M50_V123 [0.44, 'VisFave']", "M51_V123 [0.46, 'VisFave']", "M52_V123 [0.46, 'VisFave']", "M53_V123 [0.43, 'VisFave']", "M54_V123 [0.46, 'VisFave']", "M55_V123 [0.44, 'VisFave']", "M56_V123 [0.51, 'HomDog']"]</t>
  </si>
  <si>
    <t xml:space="preserve">824998. VF plays are disallowed. No play due to strategy constraints. </t>
  </si>
  <si>
    <t xml:space="preserve">823289. LineStatEns probability points gap does not exceed threshold (no edge found)! StatOnlyEns probability points gap does not exceed threshold (no edge found)! No play due to strategy constraints. </t>
  </si>
  <si>
    <t>20260608_MWK6.2_WAS@SF_-145</t>
  </si>
  <si>
    <t>["M1_V119 [0.54, 'HomFave']", "M2_V119 [0.55, 'HomFave']", "M3_V119 [0.54, 'HomFave']", "M4_V119 [0.56, 'HomFave']", "M5_V119 [0.56, 'HomFave']", "M6_V119 [0.56, 'HomFave']", "M7_V119 [0.56, 'HomFave']", "M8_V119 [0.53, 'HomFave']", "M9_V119 [0.39, 'VisDog']", "M10_V119 [0.5, 'HomFave']", "M11_V119 [0.34, 'VisDog']", "M12_V119 [0.53, 'HomFave']", "M13_V119 [0.54, 'HomFave']", "M14_V119 [0.58, 'HomFave']", "M15_V119 [0.53, 'HomFave']"]</t>
  </si>
  <si>
    <t>["M16_V123 [0.55, 'HomFave']", "M17_V123 [0.56, 'HomFave']", "M18_V123 [0.53, 'HomFave']", "M19_V123 [0.52, 'HomFave']", "M20_V123 [0.56, 'HomFave']", "M21_V123 [0.55, 'HomFave']", "M22_V123 [0.54, 'HomFave']", "M23_V123 [0.52, 'HomFave']", "M24_V123 [0.51, 'HomFave']", "M25_V123 [0.53, 'HomFave']", "M26_V123 [0.53, 'HomFave']", "M27_V123 [0.5, 'HomFave']", "M28_V123 [0.59, 'HomFave']", "M29_V123 [0.53, 'HomFave']", "M30_V123 [0.54, 'HomFave']", "M31_V123 [0.35, 'VisDog']", "M32_V123 [0.51, 'HomFave']", "M33_V123 [0.53, 'HomFave']", "M34_V123 [0.53, 'HomFave']", "M35_V123 [0.52, 'HomFave']", "M36_V123 [0.53, 'HomFave']", "M37_V123 [0.54, 'HomFave']", "M38_V123 [0.52, 'HomFave']", "M39_V123 [0.5, 'HomFave']", "M40_V123 [0.52, 'HomFave']", "M41_V123 [0.51, 'HomFave']", "M42_V123 [0.53, 'HomFave']", "M43_V123 [0.51, 'HomFave']", "M44_V123 [0.49, 'VisDog']", "M45_V123 [0.52, 'HomFave']", "M46_V123 [0.52, 'HomFave']", "M47_V123 [0.53, 'HomFave']", "M48_V123 [0.46, 'VisDog']", "M49_V123 [0.54, 'HomFave']", "M50_V123 [0.51, 'HomFave']", "M51_V123 [0.54, 'HomFave']", "M52_V123 [0.55, 'HomFave']", "M53_V123 [0.51, 'HomFave']", "M54_V123 [0.53, 'HomFave']", "M55_V123 [0.54, 'HomFave']", "M56_V123 [0.55, 'HomFave']"]</t>
  </si>
  <si>
    <t xml:space="preserve">823218. LineStatEns probability points gap does not exceed threshold (no edge found)! StatOnlyEns probability points gap does not exceed threshold (no edge found)! No play due to strategy constraints. </t>
  </si>
  <si>
    <t xml:space="preserve">822972. VF plays are disallowed. No play due to strategy constraints. </t>
  </si>
  <si>
    <t>-216.1 #</t>
  </si>
  <si>
    <t xml:space="preserve">822806. LineStatEns is NoPlay as bookie-line outside range. StatOnlyEns is NoPlay as bookie-line outside range. No play due to strategy constraints. </t>
  </si>
  <si>
    <t>20260609_MWK6.2_HOU@LAA_111</t>
  </si>
  <si>
    <t>["M1_V119 [0.45, 'VisFave']", "M2_V119 [0.49, 'VisFave']", "M3_V119 [0.49, 'VisFave']", "M4_V119 [0.46, 'VisFave']", "M5_V119 [0.46, 'VisFave']", "M6_V119 [0.45, 'VisFave']", "M7_V119 [0.5, 'HomDog']", "M8_V119 [0.46, 'VisFave']", "M9_V119 [0.49, 'VisFave']", "M10_V119 [0.52, 'HomDog']", "M11_V119 [0.52, 'HomDog']", "M12_V119 [0.52, 'HomDog']", "M13_V119 [0.44, 'VisFave']", "M14_V119 [0.48, 'VisFave']", "M15_V119 [0.46, 'VisFave']"]</t>
  </si>
  <si>
    <t>["M16_V123 [0.51, 'HomDog']", "M17_V123 [0.51, 'HomDog']", "M18_V123 [0.49, 'VisFave']", "M19_V123 [0.5, 'HomDog']", "M20_V123 [0.52, 'HomDog']", "M21_V123 [0.5, 'HomDog']", "M22_V123 [0.49, 'VisFave']", "M23_V123 [0.5, 'HomDog']", "M24_V123 [0.5, 'HomDog']", "M25_V123 [0.51, 'HomDog']", "M26_V123 [0.49, 'VisFave']", "M27_V123 [0.48, 'VisFave']", "M28_V123 [0.47, 'VisFave']", "M29_V123 [0.49, 'VisFave']", "M30_V123 [0.5, 'HomDog']", "M31_V123 [0.62, 'HomDog']", "M32_V123 [0.47, 'VisFave']", "M33_V123 [0.52, 'HomDog']", "M34_V123 [0.51, 'HomDog']", "M35_V123 [0.47, 'VisFave']", "M36_V123 [0.48, 'VisFave']", "M37_V123 [0.49, 'VisFave']", "M38_V123 [0.52, 'HomDog']", "M39_V123 [0.49, 'VisFave']", "M40_V123 [0.49, 'VisFave']", "M41_V123 [0.48, 'VisFave']", "M42_V123 [0.52, 'HomDog']", "M43_V123 [0.47, 'VisFave']", "M44_V123 [0.47, 'VisFave']", "M45_V123 [0.49, 'VisFave']", "M46_V123 [0.44, 'VisFave']", "M47_V123 [0.49, 'VisFave']", "M48_V123 [0.46, 'VisFave']", "M49_V123 [0.5, 'HomDog']", "M50_V123 [0.48, 'VisFave']", "M51_V123 [0.51, 'HomDog']", "M52_V123 [0.5, 'HomDog']", "M53_V123 [0.48, 'VisFave']", "M54_V123 [0.5, 'HomDog']", "M55_V123 [0.5, 'HomDog']", "M56_V123 [0.45, 'VisFave']"]</t>
  </si>
  <si>
    <t xml:space="preserve">824023. VF plays are disallowed. No play due to strategy constraints. </t>
  </si>
  <si>
    <t>-112.4 #</t>
  </si>
  <si>
    <t xml:space="preserve">824429. VF plays are disallowed. No play due to strategy constraints. </t>
  </si>
  <si>
    <t>20260609_MWK6.2_CHC@COL_141</t>
  </si>
  <si>
    <t xml:space="preserve">824347. VF plays are disallowed. No play due to strategy constraints. </t>
  </si>
  <si>
    <t>20260609_MWK6.2_ATL@CWS_139</t>
  </si>
  <si>
    <t>-533.0 #</t>
  </si>
  <si>
    <t>Invincible!</t>
  </si>
  <si>
    <t>["M1_V119 [0.41, 'VisFave']", "M2_V119 [0.4, 'VisFave']", "M3_V119 [0.4, 'VisFave']", "M4_V119 [0.34, 'VisFave']", "M5_V119 [0.34, 'VisFave']", "M6_V119 [0.38, 'VisFave']", "M7_V119 [0.39, 'VisFave']", "M8_V119 [0.34, 'VisFave']", "M9_V119 [0.17, 'VisFave']", "M10_V119 [0.24, 'VisFave']", "M11_V119 [0.18, 'VisFave']", "M12_V119 [0.32, 'VisFave']", "M13_V119 [0.39, 'VisFave']", "M14_V119 [0.41, 'VisFave']", "M15_V119 [0.3, 'VisFave']"]</t>
  </si>
  <si>
    <t>["M16_V123 [0.41, 'VisFave']", "M17_V123 [0.4, 'VisFave']", "M18_V123 [0.42, 'VisFave']", "M19_V123 [0.43, 'VisFave']", "M20_V123 [0.43, 'VisFave']", "M21_V123 [0.41, 'VisFave']", "M22_V123 [0.44, 'VisFave']", "M23_V123 [0.39, 'VisFave']", "M24_V123 [0.43, 'VisFave']", "M25_V123 [0.38, 'VisFave']", "M26_V123 [0.41, 'VisFave']", "M27_V123 [0.41, 'VisFave']", "M28_V123 [0.43, 'VisFave']", "M29_V123 [0.43, 'VisFave']", "M30_V123 [0.43, 'VisFave']", "M31_V123 [0.33, 'VisFave']", "M32_V123 [0.39, 'VisFave']", "M33_V123 [0.41, 'VisFave']", "M34_V123 [0.41, 'VisFave']", "M35_V123 [0.37, 'VisFave']", "M36_V123 [0.42, 'VisFave']", "M37_V123 [0.41, 'VisFave']", "M38_V123 [0.44, 'VisFave']", "M39_V123 [0.39, 'VisFave']", "M40_V123 [0.42, 'VisFave']", "M41_V123 [0.43, 'VisFave']", "M42_V123 [0.44, 'VisFave']", "M43_V123 [0.39, 'VisFave']", "M44_V123 [0.41, 'VisFave']", "M45_V123 [0.4, 'VisFave']", "M46_V123 [0.4, 'VisFave']", "M47_V123 [0.42, 'VisFave']", "M48_V123 [0.58, 'HomDog']", "M49_V123 [0.44, 'VisFave']", "M50_V123 [0.41, 'VisFave']", "M51_V123 [0.41, 'VisFave']", "M52_V123 [0.42, 'VisFave']", "M53_V123 [0.37, 'VisFave']", "M54_V123 [0.42, 'VisFave']", "M55_V123 [0.41, 'VisFave']", "M56_V123 [0.45, 'VisFave']"]</t>
  </si>
  <si>
    <t xml:space="preserve">824591. LineStatEns price is outside allowable range! VF plays are disallowed. No play due to strategy constraints. </t>
  </si>
  <si>
    <t>20260609_MWK6.2_MIN@DET_-122</t>
  </si>
  <si>
    <t>["M1_V119 [0.52, 'HomFave']", "M2_V119 [0.52, 'HomFave']", "M3_V119 [0.54, 'HomFave']", "M4_V119 [0.5, 'HomFave']", "M5_V119 [0.5, 'HomFave']", "M6_V119 [0.48, 'VisDog']", "M7_V119 [0.53, 'HomFave']", "M8_V119 [0.52, 'HomFave']", "M9_V119 [0.55, 'HomFave']", "M10_V119 [0.41, 'VisDog']", "M11_V119 [0.58, 'HomFave']", "M12_V119 [0.47, 'VisDog']", "M13_V119 [0.51, 'HomFave']", "M14_V119 [0.52, 'HomFave']", "M15_V119 [0.43, 'VisDog']"]</t>
  </si>
  <si>
    <t>["M16_V123 [0.46, 'VisDog']", "M17_V123 [0.51, 'HomFave']", "M18_V123 [0.52, 'HomFave']", "M19_V123 [0.5, 'HomFave']", "M20_V123 [0.51, 'HomFave']", "M21_V123 [0.5, 'HomFave']", "M22_V123 [0.5, 'HomFave']", "M23_V123 [0.5, 'HomFave']", "M24_V123 [0.5, 'HomFave']", "M25_V123 [0.53, 'HomFave']", "M26_V123 [0.5, 'HomFave']", "M27_V123 [0.5, 'HomFave']", "M28_V123 [0.4, 'VisDog']", "M29_V123 [0.51, 'HomFave']", "M30_V123 [0.5, 'HomFave']", "M31_V123 [0.23, 'VisDog']", "M32_V123 [0.49, 'VisDog']", "M33_V123 [0.53, 'HomFave']", "M34_V123 [0.51, 'HomFave']", "M35_V123 [0.5, 'HomFave']", "M36_V123 [0.48, 'VisDog']", "M37_V123 [0.52, 'HomFave']", "M38_V123 [0.48, 'VisDog']", "M39_V123 [0.44, 'VisDog']", "M40_V123 [0.51, 'HomFave']", "M41_V123 [0.5, 'HomFave']", "M42_V123 [0.52, 'HomFave']", "M43_V123 [0.5, 'HomFave']", "M44_V123 [0.44, 'VisDog']", "M45_V123 [0.5, 'HomFave']", "M46_V123 [0.51, 'HomFave']", "M47_V123 [0.52, 'HomFave']", "M48_V123 [0.4, 'VisDog']", "M49_V123 [0.55, 'HomFave']", "M50_V123 [0.48, 'VisDog']", "M51_V123 [0.51, 'HomFave']", "M52_V123 [0.52, 'HomFave']", "M53_V123 [0.51, 'HomFave']", "M54_V123 [0.5, 'HomFave']", "M55_V123 [0.51, 'HomFave']", "M56_V123 [0.4, 'VisDog']"]</t>
  </si>
  <si>
    <t xml:space="preserve">824267. LineStatEns probability points gap does not exceed threshold (no edge found)! StatOnlyEns probability points gap does not exceed threshold (no edge found)! No play due to strategy constraints. </t>
  </si>
  <si>
    <t>-139.4 #</t>
  </si>
  <si>
    <t>["M16_V123 [0.5, 'HomFave']", "M17_V123 [0.54, 'HomFave']", "M18_V123 [0.53, 'HomFave']", "M19_V123 [0.51, 'HomFave']", "M20_V123 [0.52, 'HomFave']", "M21_V123 [0.53, 'HomFave']", "M22_V123 [0.53, 'HomFave']", "M23_V123 [0.53, 'HomFave']", "M24_V123 [0.53, 'HomFave']", "M25_V123 [0.53, 'HomFave']", "M26_V123 [0.51, 'HomFave']", "M27_V123 [0.53, 'HomFave']", "M28_V123 [0.52, 'HomFave']", "M29_V123 [0.54, 'HomFave']", "M30_V123 [0.53, 'HomFave']", "M31_V123 [0.28, 'VisDog']", "M32_V123 [0.51, 'HomFave']", "M33_V123 [0.55, 'HomFave']", "M34_V123 [0.53, 'HomFave']", "M35_V123 [0.51, 'HomFave']", "M36_V123 [0.51, 'HomFave']", "M37_V123 [0.56, 'HomFave']", "M38_V123 [0.54, 'HomFave']", "M39_V123 [0.48, 'VisDog']", "M40_V123 [0.54, 'HomFave']", "M41_V123 [0.52, 'HomFave']", "M42_V123 [0.49, 'VisDog']", "M43_V123 [0.53, 'HomFave']", "M44_V123 [0.52, 'HomFave']", "M45_V123 [0.52, 'HomFave']", "M46_V123 [0.51, 'HomFave']", "M47_V123 [0.55, 'HomFave']", "M48_V123 [0.5, 'HomFave']", "M49_V123 [0.52, 'HomFave']", "M50_V123 [0.52, 'HomFave']", "M51_V123 [0.54, 'HomFave']", "M52_V123 [0.52, 'HomFave']", "M53_V123 [0.53, 'HomFave']", "M54_V123 [0.52, 'HomFave']", "M55_V123 [0.53, 'HomFave']", "M56_V123 [0.49, 'VisDog']"]</t>
  </si>
  <si>
    <t xml:space="preserve">823858. LineStatEns probability points gap does not exceed threshold (no edge found)! StatOnlyEns probability points gap does not exceed threshold (no edge found)! No play due to strategy constraints. </t>
  </si>
  <si>
    <t>["M16_V123 [0.49, 'VisFave']", "M17_V123 [0.45, 'VisFave']", "M18_V123 [0.5, 'HomDog']", "M19_V123 [0.45, 'VisFave']", "M20_V123 [0.46, 'VisFave']", "M21_V123 [0.49, 'VisFave']", "M22_V123 [0.46, 'VisFave']", "M23_V123 [0.5, 'HomDog']", "M24_V123 [0.47, 'VisFave']", "M25_V123 [0.45, 'VisFave']", "M26_V123 [0.44, 'VisFave']", "M27_V123 [0.47, 'VisFave']", "M28_V123 [0.51, 'HomDog']", "M29_V123 [0.44, 'VisFave']", "M30_V123 [0.48, 'VisFave']", "M31_V123 [0.34, 'VisFave']", "M32_V123 [0.45, 'VisFave']", "M33_V123 [0.47, 'VisFave']", "M34_V123 [0.47, 'VisFave']", "M35_V123 [0.44, 'VisFave']", "M36_V123 [0.49, 'VisFave']", "M37_V123 [0.46, 'VisFave']", "M38_V123 [0.47, 'VisFave']", "M39_V123 [0.45, 'VisFave']", "M40_V123 [0.46, 'VisFave']", "M41_V123 [0.45, 'VisFave']", "M42_V123 [0.48, 'VisFave']", "M43_V123 [0.47, 'VisFave']", "M44_V123 [0.41, 'VisFave']", "M45_V123 [0.48, 'VisFave']", "M46_V123 [0.42, 'VisFave']", "M47_V123 [0.49, 'VisFave']", "M48_V123 [0.36, 'VisFave']", "M49_V123 [0.5, 'HomDog']", "M50_V123 [0.44, 'VisFave']", "M51_V123 [0.49, 'VisFave']", "M52_V123 [0.47, 'VisFave']", "M53_V123 [0.45, 'VisFave']", "M54_V123 [0.47, 'VisFave']", "M55_V123 [0.46, 'VisFave']", "M56_V123 [0.48, 'VisFave']"]</t>
  </si>
  <si>
    <t xml:space="preserve">824105. VF plays are disallowed. No play due to strategy constraints. </t>
  </si>
  <si>
    <t>["M16_V123 [0.51, 'HomFave']", "M17_V123 [0.54, 'HomFave']", "M18_V123 [0.53, 'HomFave']", "M19_V123 [0.51, 'HomFave']", "M20_V123 [0.54, 'HomFave']", "M21_V123 [0.51, 'HomFave']", "M22_V123 [0.53, 'HomFave']", "M23_V123 [0.52, 'HomFave']", "M24_V123 [0.52, 'HomFave']", "M25_V123 [0.51, 'HomFave']", "M26_V123 [0.52, 'HomFave']", "M27_V123 [0.53, 'HomFave']", "M28_V123 [0.52, 'HomFave']", "M29_V123 [0.54, 'HomFave']", "M30_V123 [0.52, 'HomFave']", "M31_V123 [0.55, 'HomFave']", "M32_V123 [0.52, 'HomFave']", "M33_V123 [0.54, 'HomFave']", "M34_V123 [0.53, 'HomFave']", "M35_V123 [0.51, 'HomFave']", "M36_V123 [0.51, 'HomFave']", "M37_V123 [0.56, 'HomFave']", "M38_V123 [0.54, 'HomFave']", "M39_V123 [0.5, 'HomFave']", "M40_V123 [0.52, 'HomFave']", "M41_V123 [0.51, 'HomFave']", "M42_V123 [0.52, 'HomFave']", "M43_V123 [0.5, 'HomFave']", "M44_V123 [0.51, 'HomFave']", "M45_V123 [0.51, 'HomFave']", "M46_V123 [0.52, 'HomFave']", "M47_V123 [0.52, 'HomFave']", "M48_V123 [0.57, 'HomFave']", "M49_V123 [0.52, 'HomFave']", "M50_V123 [0.54, 'HomFave']", "M51_V123 [0.53, 'HomFave']", "M52_V123 [0.52, 'HomFave']", "M53_V123 [0.52, 'HomFave']", "M54_V123 [0.52, 'HomFave']", "M55_V123 [0.51, 'HomFave']", "M56_V123 [0.63, 'HomFave']"]</t>
  </si>
  <si>
    <t xml:space="preserve">823620. LineStatEns probability points gap does not exceed threshold (no edge found)! StatOnlyEns probability points gap does not exceed threshold (no edge found)! No play due to strategy constraints. </t>
  </si>
  <si>
    <t>20260609_MWK6.2_MLW@OAK_-106</t>
  </si>
  <si>
    <t>-118.1 #</t>
  </si>
  <si>
    <t>-145.9 #</t>
  </si>
  <si>
    <t>["M1_V119 [0.53, 'HomFave']", "M2_V119 [0.47, 'VisDog']", "M3_V119 [0.48, 'VisDog']", "M4_V119 [0.5, 'HomFave']", "M5_V119 [0.5, 'HomFave']", "M6_V119 [0.49, 'VisDog']", "M7_V119 [0.47, 'VisDog']", "M8_V119 [0.51, 'HomFave']", "M9_V119 [0.54, 'HomFave']", "M10_V119 [0.42, 'VisDog']", "M11_V119 [0.45, 'VisDog']", "M12_V119 [0.63, 'HomFave']", "M13_V119 [0.5, 'HomFave']", "M14_V119 [0.5, 'HomFave']", "M15_V119 [0.42, 'VisDog']"]</t>
  </si>
  <si>
    <t>["M16_V123 [0.43, 'VisDog']", "M17_V123 [0.46, 'VisDog']", "M18_V123 [0.45, 'VisDog']", "M19_V123 [0.47, 'VisDog']", "M20_V123 [0.45, 'VisDog']", "M21_V123 [0.45, 'VisDog']", "M22_V123 [0.44, 'VisDog']", "M23_V123 [0.45, 'VisDog']", "M24_V123 [0.47, 'VisDog']", "M25_V123 [0.4, 'VisDog']", "M26_V123 [0.46, 'VisDog']", "M27_V123 [0.43, 'VisDog']", "M28_V123 [0.52, 'HomFave']", "M29_V123 [0.47, 'VisDog']", "M30_V123 [0.44, 'VisDog']", "M31_V123 [0.54, 'HomFave']", "M32_V123 [0.44, 'VisDog']", "M33_V123 [0.46, 'VisDog']", "M34_V123 [0.44, 'VisDog']", "M35_V123 [0.44, 'VisDog']", "M36_V123 [0.44, 'VisDog']", "M37_V123 [0.44, 'VisDog']", "M38_V123 [0.46, 'VisDog']", "M39_V123 [0.41, 'VisDog']", "M40_V123 [0.44, 'VisDog']", "M41_V123 [0.45, 'VisDog']", "M42_V123 [0.46, 'VisDog']", "M43_V123 [0.43, 'VisDog']", "M44_V123 [0.42, 'VisDog']", "M45_V123 [0.44, 'VisDog']", "M46_V123 [0.43, 'VisDog']", "M47_V123 [0.45, 'VisDog']", "M48_V123 [0.33, 'VisDog']", "M49_V123 [0.48, 'VisDog']", "M50_V123 [0.47, 'VisDog']", "M51_V123 [0.44, 'VisDog']", "M52_V123 [0.43, 'VisDog']", "M53_V123 [0.44, 'VisDog']", "M54_V123 [0.46, 'VisDog']", "M55_V123 [0.42, 'VisDog']", "M56_V123 [0.52, 'HomFave']"]</t>
  </si>
  <si>
    <t xml:space="preserve">824999. LineStatEns probability points gap does not exceed threshold (no edge found)! No play due to strategy constraints. </t>
  </si>
  <si>
    <t>-115.8 #</t>
  </si>
  <si>
    <t>-266.0 #</t>
  </si>
  <si>
    <t xml:space="preserve">823374. LineStatEns probability points gap does not exceed threshold (no edge found)! No play due to strategy constraints. </t>
  </si>
  <si>
    <t>-250.9 #</t>
  </si>
  <si>
    <t>["M16_V123 [0.45, 'VisFave']", "M17_V123 [0.48, 'VisFave']", "M18_V123 [0.5, 'HomDog']", "M19_V123 [0.5, 'HomDog']", "M20_V123 [0.5, 'HomDog']", "M21_V123 [0.5, 'HomDog']", "M22_V123 [0.49, 'VisFave']", "M23_V123 [0.48, 'VisFave']", "M24_V123 [0.47, 'VisFave']", "M25_V123 [0.47, 'VisFave']", "M26_V123 [0.48, 'VisFave']", "M27_V123 [0.5, 'HomDog']", "M28_V123 [0.43, 'VisFave']", "M29_V123 [0.5, 'HomDog']", "M30_V123 [0.45, 'VisFave']", "M31_V123 [0.39, 'VisFave']", "M32_V123 [0.48, 'VisFave']", "M33_V123 [0.5, 'HomDog']", "M34_V123 [0.48, 'VisFave']", "M35_V123 [0.5, 'HomDog']", "M36_V123 [0.48, 'VisFave']", "M37_V123 [0.5, 'HomDog']", "M38_V123 [0.48, 'VisFave']", "M39_V123 [0.45, 'VisFave']", "M40_V123 [0.49, 'VisFave']", "M41_V123 [0.49, 'VisFave']", "M42_V123 [0.47, 'VisFave']", "M43_V123 [0.48, 'VisFave']", "M44_V123 [0.47, 'VisFave']", "M45_V123 [0.49, 'VisFave']", "M46_V123 [0.49, 'VisFave']", "M47_V123 [0.49, 'VisFave']", "M48_V123 [0.34, 'VisFave']", "M49_V123 [0.5, 'HomDog']", "M50_V123 [0.48, 'VisFave']", "M51_V123 [0.5, 'HomDog']", "M52_V123 [0.47, 'VisFave']", "M53_V123 [0.47, 'VisFave']", "M54_V123 [0.49, 'VisFave']", "M55_V123 [0.47, 'VisFave']", "M56_V123 [0.45, 'VisFave']"]</t>
  </si>
  <si>
    <t xml:space="preserve">823290. VF plays are disallowed. No play due to strategy constraints. </t>
  </si>
  <si>
    <t xml:space="preserve">823214. VF plays are disallowed. No play due to strategy constraints. </t>
  </si>
  <si>
    <t>-163.7 #</t>
  </si>
  <si>
    <t>["M16_V123 [0.52, 'HomFave']", "M17_V123 [0.52, 'HomFave']", "M18_V123 [0.51, 'HomFave']", "M19_V123 [0.51, 'HomFave']", "M20_V123 [0.5, 'HomFave']", "M21_V123 [0.51, 'HomFave']", "M22_V123 [0.5, 'HomFave']", "M23_V123 [0.5, 'HomFave']", "M24_V123 [0.5, 'HomFave']", "M25_V123 [0.5, 'HomFave']", "M26_V123 [0.52, 'HomFave']", "M27_V123 [0.54, 'HomFave']", "M28_V123 [0.51, 'HomFave']", "M29_V123 [0.53, 'HomFave']", "M30_V123 [0.5, 'HomFave']", "M31_V123 [0.6, 'HomFave']", "M32_V123 [0.47, 'VisDog']", "M33_V123 [0.54, 'HomFave']", "M34_V123 [0.53, 'HomFave']", "M35_V123 [0.47, 'VisDog']", "M36_V123 [0.52, 'HomFave']", "M37_V123 [0.53, 'HomFave']", "M38_V123 [0.53, 'HomFave']", "M39_V123 [0.51, 'HomFave']", "M40_V123 [0.49, 'VisDog']", "M41_V123 [0.5, 'HomFave']", "M42_V123 [0.5, 'HomFave']", "M43_V123 [0.5, 'HomFave']", "M44_V123 [0.53, 'HomFave']", "M45_V123 [0.5, 'HomFave']", "M46_V123 [0.52, 'HomFave']", "M47_V123 [0.52, 'HomFave']", "M48_V123 [0.46, 'VisDog']", "M49_V123 [0.53, 'HomFave']", "M50_V123 [0.52, 'HomFave']", "M51_V123 [0.54, 'HomFave']", "M52_V123 [0.54, 'HomFave']", "M53_V123 [0.5, 'HomFave']", "M54_V123 [0.52, 'HomFave']", "M55_V123 [0.51, 'HomFave']", "M56_V123 [0.52, 'HomFave']"]</t>
  </si>
  <si>
    <t>20260610_MWK6.2_SEA@BAL_-104</t>
  </si>
  <si>
    <t>-111.0 #</t>
  </si>
  <si>
    <t xml:space="preserve">824831. VF plays are disallowed. No play due to strategy constraints. </t>
  </si>
  <si>
    <t>20260610_MWK6.2_HOU@LAA_-111</t>
  </si>
  <si>
    <t>["M1_V119 [0.49, 'VisDog']", "M2_V119 [0.51, 'HomFave']", "M3_V119 [0.5, 'HomFave']", "M4_V119 [0.5, 'HomFave']", "M5_V119 [0.5, 'HomFave']", "M6_V119 [0.49, 'VisDog']", "M7_V119 [0.52, 'HomFave']", "M8_V119 [0.49, 'VisDog']", "M9_V119 [0.44, 'VisDog']", "M10_V119 [0.55, 'HomFave']", "M11_V119 [0.51, 'HomFave']", "M12_V119 [0.55, 'HomFave']", "M13_V119 [0.48, 'VisDog']", "M14_V119 [0.52, 'HomFave']", "M15_V119 [0.47, 'VisDog']"]</t>
  </si>
  <si>
    <t>["M16_V123 [0.52, 'HomFave']", "M17_V123 [0.49, 'VisDog']", "M18_V123 [0.49, 'VisDog']", "M19_V123 [0.49, 'VisDog']", "M20_V123 [0.54, 'HomFave']", "M21_V123 [0.5, 'HomFave']", "M22_V123 [0.49, 'VisDog']", "M23_V123 [0.51, 'HomFave']", "M24_V123 [0.49, 'VisDog']", "M25_V123 [0.52, 'HomFave']", "M26_V123 [0.48, 'VisDog']", "M27_V123 [0.49, 'VisDog']", "M28_V123 [0.55, 'HomFave']", "M29_V123 [0.48, 'VisDog']", "M30_V123 [0.49, 'VisDog']", "M31_V123 [0.69, 'HomFave']", "M32_V123 [0.49, 'VisDog']", "M33_V123 [0.54, 'HomFave']", "M34_V123 [0.52, 'HomFave']", "M35_V123 [0.52, 'HomFave']", "M36_V123 [0.49, 'VisDog']", "M37_V123 [0.51, 'HomFave']", "M38_V123 [0.52, 'HomFave']", "M39_V123 [0.53, 'HomFave']", "M40_V123 [0.47, 'VisDog']", "M41_V123 [0.47, 'VisDog']", "M42_V123 [0.52, 'HomFave']", "M43_V123 [0.48, 'VisDog']", "M44_V123 [0.51, 'HomFave']", "M45_V123 [0.48, 'VisDog']", "M46_V123 [0.44, 'VisDog']", "M47_V123 [0.51, 'HomFave']", "M48_V123 [0.58, 'HomFave']", "M49_V123 [0.52, 'HomFave']", "M50_V123 [0.48, 'VisDog']", "M51_V123 [0.53, 'HomFave']", "M52_V123 [0.52, 'HomFave']", "M53_V123 [0.46, 'VisDog']", "M54_V123 [0.49, 'VisDog']", "M55_V123 [0.51, 'HomFave']", "M56_V123 [0.6, 'HomFave']"]</t>
  </si>
  <si>
    <t xml:space="preserve">824022. LineStatEns probability points gap does not exceed threshold (no edge found)! StatOnlyEns probability points gap does not exceed threshold (no edge found)! No play due to strategy constraints. </t>
  </si>
  <si>
    <t>20260610_MWK6.2_NYY@CLE_-115</t>
  </si>
  <si>
    <t xml:space="preserve">824428. LineStatEns probability points gap does not exceed threshold (no edge found)! StatOnlyEns probability points gap does not exceed threshold (no edge found)! No play due to strategy constraints. </t>
  </si>
  <si>
    <t>20260610_MWK6.2_CHC@COL_149</t>
  </si>
  <si>
    <t xml:space="preserve">824348. VF plays are disallowed. No play due to strategy constraints. </t>
  </si>
  <si>
    <t>20260610_MWK6.2_ATL@CWS_132</t>
  </si>
  <si>
    <t>["M1_V119 [0.4, 'VisFave']", "M2_V119 [0.39, 'VisFave']", "M3_V119 [0.4, 'VisFave']", "M4_V119 [0.4, 'VisFave']", "M5_V119 [0.4, 'VisFave']", "M6_V119 [0.39, 'VisFave']", "M7_V119 [0.37, 'VisFave']", "M8_V119 [0.38, 'VisFave']", "M9_V119 [0.3, 'VisFave']", "M10_V119 [0.32, 'VisFave']", "M11_V119 [0.09, 'VisFave']", "M12_V119 [0.31, 'VisFave']", "M13_V119 [0.39, 'VisFave']", "M14_V119 [0.41, 'VisFave']", "M15_V119 [0.36, 'VisFave']"]</t>
  </si>
  <si>
    <t>["M16_V123 [0.35, 'VisFave']", "M17_V123 [0.38, 'VisFave']", "M18_V123 [0.38, 'VisFave']", "M19_V123 [0.39, 'VisFave']", "M20_V123 [0.42, 'VisFave']", "M21_V123 [0.4, 'VisFave']", "M22_V123 [0.43, 'VisFave']", "M23_V123 [0.36, 'VisFave']", "M24_V123 [0.39, 'VisFave']", "M25_V123 [0.37, 'VisFave']", "M26_V123 [0.38, 'VisFave']", "M27_V123 [0.39, 'VisFave']", "M28_V123 [0.37, 'VisFave']", "M29_V123 [0.41, 'VisFave']", "M30_V123 [0.44, 'VisFave']", "M31_V123 [0.26, 'VisFave']", "M32_V123 [0.37, 'VisFave']", "M33_V123 [0.41, 'VisFave']", "M34_V123 [0.36, 'VisFave']", "M35_V123 [0.36, 'VisFave']", "M36_V123 [0.4, 'VisFave']", "M37_V123 [0.4, 'VisFave']", "M38_V123 [0.39, 'VisFave']", "M39_V123 [0.36, 'VisFave']", "M40_V123 [0.41, 'VisFave']", "M41_V123 [0.43, 'VisFave']", "M42_V123 [0.44, 'VisFave']", "M43_V123 [0.42, 'VisFave']", "M44_V123 [0.34, 'VisFave']", "M45_V123 [0.39, 'VisFave']", "M46_V123 [0.4, 'VisFave']", "M47_V123 [0.41, 'VisFave']", "M48_V123 [0.32, 'VisFave']", "M49_V123 [0.45, 'VisFave']", "M50_V123 [0.36, 'VisFave']", "M51_V123 [0.43, 'VisFave']", "M52_V123 [0.43, 'VisFave']", "M53_V123 [0.37, 'VisFave']", "M54_V123 [0.41, 'VisFave']", "M55_V123 [0.39, 'VisFave']", "M56_V123 [0.26, 'VisFave']"]</t>
  </si>
  <si>
    <t xml:space="preserve">824590. LineStatEns price is outside allowable range! StatOnlyEns price is outside allowable range! No play due to strategy constraints. </t>
  </si>
  <si>
    <t>20260610_MWK6.2_MIN@DET_-164</t>
  </si>
  <si>
    <t xml:space="preserve">824266. V_SP is Null, team-based avg used. NoPlay as V_SP is Null. </t>
  </si>
  <si>
    <t>20260610_MWK6.2_ARZ@FLO_102</t>
  </si>
  <si>
    <t>-169.5 #</t>
  </si>
  <si>
    <t xml:space="preserve">823856. Play determined by LineStatEns and StatOnlyEns agreement. </t>
  </si>
  <si>
    <t>20260610_MWK6.2_TEX@KC_108</t>
  </si>
  <si>
    <t xml:space="preserve">824103. VF plays are disallowed. No play due to strategy constraints. </t>
  </si>
  <si>
    <t>20260610_MWK6.2_STL@NYM_-128</t>
  </si>
  <si>
    <t>-900.0 #</t>
  </si>
  <si>
    <t xml:space="preserve">823618. LineStatEns probability points gap does not exceed threshold (no edge found)! StatOnlyEns probability points gap does not exceed threshold (no edge found)! No play due to strategy constraints. </t>
  </si>
  <si>
    <t>20260610_MWK6.2_MLW@OAK_-105</t>
  </si>
  <si>
    <t>-118.4 #</t>
  </si>
  <si>
    <t xml:space="preserve">824996. Play determined by StatOnlyEns when it disagrees with LineStatEns. </t>
  </si>
  <si>
    <t>20260610_MWK6.2_LA@PIT_175</t>
  </si>
  <si>
    <t>["M1_V119 [0.41, 'VisFave']", "M2_V119 [0.42, 'VisFave']", "M3_V119 [0.42, 'VisFave']", "M4_V119 [0.37, 'VisFave']", "M5_V119 [0.37, 'VisFave']", "M6_V119 [0.4, 'VisFave']", "M7_V119 [0.42, 'VisFave']", "M8_V119 [0.39, 'VisFave']", "M9_V119 [0.19, 'VisFave']", "M10_V119 [0.39, 'VisFave']", "M11_V119 [0.4, 'VisFave']", "M12_V119 [0.29, 'VisFave']", "M13_V119 [0.42, 'VisFave']", "M14_V119 [0.44, 'VisFave']", "M15_V119 [0.31, 'VisFave']"]</t>
  </si>
  <si>
    <t xml:space="preserve">823372. LineStatEns is NoPlay as bookie-line outside range. StatOnlyEns is NoPlay as bookie-line outside range. No play due to strategy constraints. </t>
  </si>
  <si>
    <t>20260610_MWK6.2_CIN@SD_-158</t>
  </si>
  <si>
    <t xml:space="preserve">823287. LineStatEns is NoPlay as bookie-line outside range. StatOnlyEns is NoPlay as bookie-line outside range. No play due to strategy constraints. </t>
  </si>
  <si>
    <t>20260610_MWK6.2_WAS@SF_-105</t>
  </si>
  <si>
    <t>["M1_V119 [0.49, 'VisDog']", "M2_V119 [0.48, 'VisDog']", "M3_V119 [0.48, 'VisDog']", "M4_V119 [0.48, 'VisDog']", "M5_V119 [0.48, 'VisDog']", "M6_V119 [0.47, 'VisDog']", "M7_V119 [0.48, 'VisDog']", "M8_V119 [0.47, 'VisDog']", "M9_V119 [0.4, 'VisDog']", "M10_V119 [0.47, 'VisDog']", "M11_V119 [0.3, 'VisDog']", "M12_V119 [0.42, 'VisDog']", "M13_V119 [0.47, 'VisDog']", "M14_V119 [0.55, 'HomFave']", "M15_V119 [0.36, 'VisDog']"]</t>
  </si>
  <si>
    <t>["M16_V123 [0.49, 'VisDog']", "M17_V123 [0.51, 'HomFave']", "M18_V123 [0.48, 'VisDog']", "M19_V123 [0.5, 'HomFave']", "M20_V123 [0.53, 'HomFave']", "M21_V123 [0.52, 'HomFave']", "M22_V123 [0.5, 'HomFave']", "M23_V123 [0.51, 'HomFave']", "M24_V123 [0.51, 'HomFave']", "M25_V123 [0.49, 'VisDog']", "M26_V123 [0.5, 'HomFave']", "M27_V123 [0.52, 'HomFave']", "M28_V123 [0.49, 'VisDog']", "M29_V123 [0.53, 'HomFave']", "M30_V123 [0.5, 'HomFave']", "M31_V123 [0.44, 'VisDog']", "M32_V123 [0.51, 'HomFave']", "M33_V123 [0.51, 'HomFave']", "M34_V123 [0.5, 'HomFave']", "M35_V123 [0.49, 'VisDog']", "M36_V123 [0.52, 'HomFave']", "M37_V123 [0.53, 'HomFave']", "M38_V123 [0.5, 'HomFave']", "M39_V123 [0.49, 'VisDog']", "M40_V123 [0.5, 'HomFave']", "M41_V123 [0.51, 'HomFave']", "M42_V123 [0.53, 'HomFave']", "M43_V123 [0.48, 'VisDog']", "M44_V123 [0.5, 'HomFave']", "M45_V123 [0.5, 'HomFave']", "M46_V123 [0.48, 'VisDog']", "M47_V123 [0.5, 'HomFave']", "M48_V123 [0.41, 'VisDog']", "M49_V123 [0.5, 'HomFave']", "M50_V123 [0.5, 'HomFave']", "M51_V123 [0.52, 'HomFave']", "M52_V123 [0.52, 'HomFave']", "M53_V123 [0.48, 'VisDog']", "M54_V123 [0.52, 'HomFave']", "M55_V123 [0.48, 'VisDog']", "M56_V123 [0.53, 'HomFave']"]</t>
  </si>
  <si>
    <t xml:space="preserve">823215. StatOnlyEns probability points gap does not exceed threshold (no edge found)! Play determined by LineStatEns only. </t>
  </si>
  <si>
    <t>20260610_MWK6.2_BOS@TB_-154</t>
  </si>
  <si>
    <t>-220.0 #</t>
  </si>
  <si>
    <t>["M1_V119 [0.56, 'HomFave']", "M2_V119 [0.53, 'HomFave']", "M3_V119 [0.55, 'HomFave']", "M4_V119 [0.56, 'HomFave']", "M5_V119 [0.56, 'HomFave']", "M6_V119 [0.54, 'HomFave']", "M7_V119 [0.55, 'HomFave']", "M8_V119 [0.52, 'HomFave']", "M9_V119 [0.63, 'HomFave']", "M10_V119 [0.61, 'HomFave']", "M11_V119 [0.73, 'HomFave']", "M12_V119 [0.56, 'HomFave']", "M13_V119 [0.55, 'HomFave']", "M14_V119 [0.58, 'HomFave']", "M15_V119 [0.55, 'HomFave']"]</t>
  </si>
  <si>
    <t xml:space="preserve">822970. LineStatEns is NoPlay as bookie-line outside range. StatOnlyEns is NoPlay as bookie-line outside range. No play due to strategy constraints. </t>
  </si>
  <si>
    <t>20260610_MWK6.2_PHI@TOR_114</t>
  </si>
  <si>
    <t>["M1_V119 [0.46, 'VisFave']", "M2_V119 [0.48, 'VisFave']", "M3_V119 [0.49, 'VisFave']", "M4_V119 [0.47, 'VisFave']", "M5_V119 [0.47, 'VisFave']", "M6_V119 [0.46, 'VisFave']", "M7_V119 [0.46, 'VisFave']", "M8_V119 [0.48, 'VisFave']", "M9_V119 [0.4, 'VisFave']", "M10_V119 [0.55, 'HomDog']", "M11_V119 [0.6, 'HomDog']", "M12_V119 [0.68, 'HomDog']", "M13_V119 [0.46, 'VisFave']", "M14_V119 [0.48, 'VisFave']", "M15_V119 [0.52, 'HomDog']"]</t>
  </si>
  <si>
    <t>["M16_V123 [0.5, 'HomDog']", "M17_V123 [0.48, 'VisFave']", "M18_V123 [0.53, 'HomDog']", "M19_V123 [0.52, 'HomDog']", "M20_V123 [0.51, 'HomDog']", "M21_V123 [0.52, 'HomDog']", "M22_V123 [0.49, 'VisFave']", "M23_V123 [0.48, 'VisFave']", "M24_V123 [0.48, 'VisFave']", "M25_V123 [0.52, 'HomDog']", "M26_V123 [0.5, 'HomDog']", "M27_V123 [0.49, 'VisFave']", "M28_V123 [0.49, 'VisFave']", "M29_V123 [0.49, 'VisFave']", "M30_V123 [0.5, 'HomDog']", "M31_V123 [0.45, 'VisFave']", "M32_V123 [0.47, 'VisFave']", "M33_V123 [0.53, 'HomDog']", "M34_V123 [0.51, 'HomDog']", "M35_V123 [0.49, 'VisFave']", "M36_V123 [0.51, 'HomDog']", "M37_V123 [0.51, 'HomDog']", "M38_V123 [0.53, 'HomDog']", "M39_V123 [0.49, 'VisFave']", "M40_V123 [0.51, 'HomDog']", "M41_V123 [0.49, 'VisFave']", "M42_V123 [0.5, 'HomDog']", "M43_V123 [0.51, 'HomDog']", "M44_V123 [0.52, 'HomDog']", "M45_V123 [0.48, 'VisFave']", "M46_V123 [0.52, 'HomDog']", "M47_V123 [0.51, 'HomDog']", "M48_V123 [0.48, 'VisFave']", "M49_V123 [0.5, 'HomDog']", "M50_V123 [0.48, 'VisFave']", "M51_V123 [0.52, 'HomDog']", "M52_V123 [0.51, 'HomDog']", "M53_V123 [0.48, 'VisFave']", "M54_V123 [0.52, 'HomDog']", "M55_V123 [0.53, 'HomDog']", "M56_V123 [0.53, 'HomDog']"]</t>
  </si>
  <si>
    <t xml:space="preserve">822804. VF plays are disallowed. No play due to strategy constraints. </t>
  </si>
  <si>
    <t xml:space="preserve">824827. VF plays are disallowed. No play due to strategy constraints. </t>
  </si>
  <si>
    <t xml:space="preserve">824346. LineStatEns price is outside allowable range! VF plays are disallowed. No play due to strategy constraints. </t>
  </si>
  <si>
    <t xml:space="preserve">824589. VF plays are disallowed. No play due to strategy constraints. </t>
  </si>
  <si>
    <t>["M16_V123 [0.53, 'HomFave']", "M17_V123 [0.5, 'HomFave']", "M18_V123 [0.54, 'HomFave']", "M19_V123 [0.54, 'HomFave']", "M20_V123 [0.53, 'HomFave']", "M21_V123 [0.53, 'HomFave']", "M22_V123 [0.51, 'HomFave']", "M23_V123 [0.51, 'HomFave']", "M24_V123 [0.51, 'HomFave']", "M25_V123 [0.55, 'HomFave']", "M26_V123 [0.51, 'HomFave']", "M27_V123 [0.51, 'HomFave']", "M28_V123 [0.51, 'HomFave']", "M29_V123 [0.51, 'HomFave']", "M30_V123 [0.51, 'HomFave']", "M31_V123 [0.65, 'HomFave']", "M32_V123 [0.53, 'HomFave']", "M33_V123 [0.56, 'HomFave']", "M34_V123 [0.52, 'HomFave']", "M35_V123 [0.57, 'HomFave']", "M36_V123 [0.51, 'HomFave']", "M37_V123 [0.53, 'HomFave']", "M38_V123 [0.52, 'HomFave']", "M39_V123 [0.48, 'VisDog']", "M40_V123 [0.51, 'HomFave']", "M41_V123 [0.51, 'HomFave']", "M42_V123 [0.54, 'HomFave']", "M43_V123 [0.51, 'HomFave']", "M44_V123 [0.49, 'VisDog']", "M45_V123 [0.52, 'HomFave']", "M46_V123 [0.5, 'HomFave']", "M47_V123 [0.53, 'HomFave']", "M48_V123 [0.64, 'HomFave']", "M49_V123 [0.54, 'HomFave']", "M50_V123 [0.51, 'HomFave']", "M51_V123 [0.54, 'HomFave']", "M52_V123 [0.52, 'HomFave']", "M53_V123 [0.53, 'HomFave']", "M54_V123 [0.5, 'HomFave']", "M55_V123 [0.53, 'HomFave']", "M56_V123 [0.46, 'VisDog']"]</t>
  </si>
  <si>
    <t>["M16_V123 [0.58, 'HomFave']", "M17_V123 [0.52, 'HomFave']", "M18_V123 [0.57, 'HomFave']", "M19_V123 [0.56, 'HomFave']", "M20_V123 [0.55, 'HomFave']", "M21_V123 [0.56, 'HomFave']", "M22_V123 [0.54, 'HomFave']", "M23_V123 [0.55, 'HomFave']", "M24_V123 [0.55, 'HomFave']", "M25_V123 [0.54, 'HomFave']", "M26_V123 [0.53, 'HomFave']", "M27_V123 [0.54, 'HomFave']", "M28_V123 [0.53, 'HomFave']", "M29_V123 [0.53, 'HomFave']", "M30_V123 [0.53, 'HomFave']", "M31_V123 [0.5, 'HomFave']", "M32_V123 [0.55, 'HomFave']", "M33_V123 [0.59, 'HomFave']", "M34_V123 [0.55, 'HomFave']", "M35_V123 [0.54, 'HomFave']", "M36_V123 [0.55, 'HomFave']", "M37_V123 [0.58, 'HomFave']", "M38_V123 [0.54, 'HomFave']", "M39_V123 [0.54, 'HomFave']", "M40_V123 [0.54, 'HomFave']", "M41_V123 [0.53, 'HomFave']", "M42_V123 [0.51, 'HomFave']", "M43_V123 [0.54, 'HomFave']", "M44_V123 [0.56, 'HomFave']", "M45_V123 [0.53, 'HomFave']", "M46_V123 [0.54, 'HomFave']", "M47_V123 [0.55, 'HomFave']", "M48_V123 [0.68, 'HomFave']", "M49_V123 [0.53, 'HomFave']", "M50_V123 [0.53, 'HomFave']", "M51_V123 [0.56, 'HomFave']", "M52_V123 [0.56, 'HomFave']", "M53_V123 [0.55, 'HomFave']", "M54_V123 [0.53, 'HomFave']", "M55_V123 [0.55, 'HomFave']", "M56_V123 [0.74, 'HomFave']"]</t>
  </si>
  <si>
    <t>["M16_V123 [0.54, 'HomFave']", "M17_V123 [0.5, 'HomFave']", "M18_V123 [0.52, 'HomFave']", "M19_V123 [0.5, 'HomFave']", "M20_V123 [0.54, 'HomFave']", "M21_V123 [0.55, 'HomFave']", "M22_V123 [0.52, 'HomFave']", "M23_V123 [0.53, 'HomFave']", "M24_V123 [0.49, 'VisDog']", "M25_V123 [0.51, 'HomFave']", "M26_V123 [0.49, 'VisDog']", "M27_V123 [0.51, 'HomFave']", "M28_V123 [0.52, 'HomFave']", "M29_V123 [0.48, 'VisDog']", "M30_V123 [0.52, 'HomFave']", "M31_V123 [0.72, 'HomFave']", "M32_V123 [0.49, 'VisDog']", "M33_V123 [0.54, 'HomFave']", "M34_V123 [0.55, 'HomFave']", "M35_V123 [0.54, 'HomFave']", "M36_V123 [0.48, 'VisDog']", "M37_V123 [0.52, 'HomFave']", "M38_V123 [0.52, 'HomFave']", "M39_V123 [0.49, 'VisDog']", "M40_V123 [0.49, 'VisDog']", "M41_V123 [0.49, 'VisDog']", "M42_V123 [0.53, 'HomFave']", "M43_V123 [0.53, 'HomFave']", "M44_V123 [0.47, 'VisDog']", "M45_V123 [0.5, 'HomFave']", "M46_V123 [0.5, 'HomFave']", "M47_V123 [0.52, 'HomFave']", "M48_V123 [0.57, 'HomFave']", "M49_V123 [0.53, 'HomFave']", "M50_V123 [0.46, 'VisDog']", "M51_V123 [0.52, 'HomFave']", "M52_V123 [0.5, 'HomFave']", "M53_V123 [0.48, 'VisDog']", "M54_V123 [0.49, 'VisDog']", "M55_V123 [0.51, 'HomFave']", "M56_V123 [0.61, 'HomFave']"]</t>
  </si>
  <si>
    <t>-116.9 #</t>
  </si>
  <si>
    <t>["M16_V123 [0.51, 'HomDog']", "M17_V123 [0.46, 'VisFave']", "M18_V123 [0.49, 'VisFave']", "M19_V123 [0.48, 'VisFave']", "M20_V123 [0.48, 'VisFave']", "M21_V123 [0.49, 'VisFave']", "M22_V123 [0.46, 'VisFave']", "M23_V123 [0.44, 'VisFave']", "M24_V123 [0.47, 'VisFave']", "M25_V123 [0.47, 'VisFave']", "M26_V123 [0.46, 'VisFave']", "M27_V123 [0.46, 'VisFave']", "M28_V123 [0.46, 'VisFave']", "M29_V123 [0.46, 'VisFave']", "M30_V123 [0.46, 'VisFave']", "M31_V123 [0.6, 'HomDog']", "M32_V123 [0.47, 'VisFave']", "M33_V123 [0.46, 'VisFave']", "M34_V123 [0.49, 'VisFave']", "M35_V123 [0.44, 'VisFave']", "M36_V123 [0.42, 'VisFave']", "M37_V123 [0.47, 'VisFave']", "M38_V123 [0.49, 'VisFave']", "M39_V123 [0.47, 'VisFave']", "M40_V123 [0.48, 'VisFave']", "M41_V123 [0.46, 'VisFave']", "M42_V123 [0.48, 'VisFave']", "M43_V123 [0.47, 'VisFave']", "M44_V123 [0.46, 'VisFave']", "M45_V123 [0.48, 'VisFave']", "M46_V123 [0.44, 'VisFave']", "M47_V123 [0.45, 'VisFave']", "M48_V123 [0.34, 'VisFave']", "M49_V123 [0.48, 'VisFave']", "M50_V123 [0.49, 'VisFave']", "M51_V123 [0.48, 'VisFave']", "M52_V123 [0.48, 'VisFave']", "M53_V123 [0.45, 'VisFave']", "M54_V123 [0.46, 'VisFave']", "M55_V123 [0.45, 'VisFave']", "M56_V123 [0.45, 'VisFave']"]</t>
  </si>
  <si>
    <t xml:space="preserve">824826. LineStatEns probability points gap does not exceed threshold (no edge found)! StatOnlyEns probability points gap does not exceed threshold (no edge found)! No play due to strategy constraints. </t>
  </si>
  <si>
    <t xml:space="preserve">824752. LineStatEns probability points gap does not exceed threshold (no edge found)! StatOnlyEns probability points gap does not exceed threshold (no edge found)! No play due to strategy constraints. </t>
  </si>
  <si>
    <t>-184.3 #</t>
  </si>
  <si>
    <t xml:space="preserve">824020. VF plays are disallowed. No play due to strategy constraints. </t>
  </si>
  <si>
    <t xml:space="preserve">824507. StatOnlyEns probability points gap does not exceed threshold (no edge found)! Play determined by LineStatEns only. </t>
  </si>
  <si>
    <t xml:space="preserve">824425. StatOnlyEns probability points gap does not exceed threshold (no edge found)! Play determined by LineStatEns only. </t>
  </si>
  <si>
    <t>-116.8 #</t>
  </si>
  <si>
    <t>["M16_V123 [0.42, 'VisFave']", "M17_V123 [0.42, 'VisFave']", "M18_V123 [0.42, 'VisFave']", "M19_V123 [0.43, 'VisFave']", "M20_V123 [0.45, 'VisFave']", "M21_V123 [0.45, 'VisFave']", "M22_V123 [0.42, 'VisFave']", "M23_V123 [0.41, 'VisFave']", "M24_V123 [0.44, 'VisFave']", "M25_V123 [0.4, 'VisFave']", "M26_V123 [0.43, 'VisFave']", "M27_V123 [0.41, 'VisFave']", "M28_V123 [0.38, 'VisFave']", "M29_V123 [0.43, 'VisFave']", "M30_V123 [0.44, 'VisFave']", "M31_V123 [0.34, 'VisFave']", "M32_V123 [0.43, 'VisFave']", "M33_V123 [0.43, 'VisFave']", "M34_V123 [0.46, 'VisFave']", "M35_V123 [0.5, 'HomDog']", "M36_V123 [0.43, 'VisFave']", "M37_V123 [0.44, 'VisFave']", "M38_V123 [0.46, 'VisFave']", "M39_V123 [0.39, 'VisFave']", "M40_V123 [0.42, 'VisFave']", "M41_V123 [0.43, 'VisFave']", "M42_V123 [0.44, 'VisFave']", "M43_V123 [0.41, 'VisFave']", "M44_V123 [0.38, 'VisFave']", "M45_V123 [0.41, 'VisFave']", "M46_V123 [0.42, 'VisFave']", "M47_V123 [0.42, 'VisFave']", "M48_V123 [0.45, 'VisFave']", "M49_V123 [0.49, 'VisFave']", "M50_V123 [0.43, 'VisFave']", "M51_V123 [0.44, 'VisFave']", "M52_V123 [0.43, 'VisFave']", "M53_V123 [0.42, 'VisFave']", "M54_V123 [0.42, 'VisFave']", "M55_V123 [0.42, 'VisFave']", "M56_V123 [0.32, 'VisFave']"]</t>
  </si>
  <si>
    <t xml:space="preserve">824588. LineStatEns price is outside allowable range! VF plays are disallowed. No play due to strategy constraints. </t>
  </si>
  <si>
    <t>20260612_MWK6.2_HOU@KC_100</t>
  </si>
  <si>
    <t xml:space="preserve">824102. VF plays are disallowed. No play due to strategy constraints. </t>
  </si>
  <si>
    <t>-183.8 #</t>
  </si>
  <si>
    <t xml:space="preserve">823695. LineStatEns probability points gap does not exceed threshold (no edge found)! StatOnlyEns probability points gap does not exceed threshold (no edge found)! No play due to strategy constraints. </t>
  </si>
  <si>
    <t xml:space="preserve">822726. VF plays are disallowed. No play due to strategy constraints. </t>
  </si>
  <si>
    <t>-118.9 #</t>
  </si>
  <si>
    <t>-140.2 #</t>
  </si>
  <si>
    <t xml:space="preserve">823778. V_SP is Null, team-based avg used. NoPlay as V_SP is Null. </t>
  </si>
  <si>
    <t xml:space="preserve">823617. Play determined by LineStatEns and StatOnlyEns agreement. </t>
  </si>
  <si>
    <t xml:space="preserve">824997. V_SP is Null, team-based avg used. NoPlay as V_SP is Null. </t>
  </si>
  <si>
    <t>-170.0 #</t>
  </si>
  <si>
    <t xml:space="preserve">823211. LineStatEns probability points gap does not exceed threshold (no edge found)! No play due to strategy constraints. </t>
  </si>
  <si>
    <t>-112.2 #</t>
  </si>
  <si>
    <t>["M16_V123 [0.47, 'VisDog']", "M17_V123 [0.43, 'VisDog']", "M18_V123 [0.44, 'VisDog']", "M19_V123 [0.47, 'VisDog']", "M20_V123 [0.43, 'VisDog']", "M21_V123 [0.48, 'VisDog']", "M22_V123 [0.46, 'VisDog']", "M23_V123 [0.43, 'VisDog']", "M24_V123 [0.44, 'VisDog']", "M25_V123 [0.42, 'VisDog']", "M26_V123 [0.45, 'VisDog']", "M27_V123 [0.44, 'VisDog']", "M28_V123 [0.46, 'VisDog']", "M29_V123 [0.44, 'VisDog']", "M30_V123 [0.46, 'VisDog']", "M31_V123 [0.6, 'HomFave']", "M32_V123 [0.42, 'VisDog']", "M33_V123 [0.44, 'VisDog']", "M34_V123 [0.4, 'VisDog']", "M35_V123 [0.38, 'VisDog']", "M36_V123 [0.41, 'VisDog']", "M37_V123 [0.45, 'VisDog']", "M38_V123 [0.43, 'VisDog']", "M39_V123 [0.48, 'VisDog']", "M40_V123 [0.45, 'VisDog']", "M41_V123 [0.45, 'VisDog']", "M42_V123 [0.48, 'VisDog']", "M43_V123 [0.44, 'VisDog']", "M44_V123 [0.42, 'VisDog']", "M45_V123 [0.43, 'VisDog']", "M46_V123 [0.42, 'VisDog']", "M47_V123 [0.45, 'VisDog']", "M48_V123 [0.44, 'VisDog']", "M49_V123 [0.46, 'VisDog']", "M50_V123 [0.42, 'VisDog']", "M51_V123 [0.45, 'VisDog']", "M52_V123 [0.45, 'VisDog']", "M53_V123 [0.43, 'VisDog']", "M54_V123 [0.45, 'VisDog']", "M55_V123 [0.42, 'VisDog']", "M56_V123 [0.36, 'VisDog']"]</t>
  </si>
  <si>
    <t xml:space="preserve">822803. Play determined by LineStatEns and StatOnlyEns agreement. </t>
  </si>
  <si>
    <t>20260613_MWK6.2_SD@BAL_-116</t>
  </si>
  <si>
    <t>-340.0 #</t>
  </si>
  <si>
    <t xml:space="preserve">824828. LineStatEns probability points gap does not exceed threshold (no edge found)! StatOnlyEns probability points gap does not exceed threshold (no edge found)! No play due to strategy constraints. </t>
  </si>
  <si>
    <t>20260613_MWK6.2_TEX@BOS_-111</t>
  </si>
  <si>
    <t xml:space="preserve">824749. LineStatEns probability points gap does not exceed threshold (no edge found)! StatOnlyEns probability points gap does not exceed threshold (no edge found)! No play due to strategy constraints. </t>
  </si>
  <si>
    <t>20260613_MWK6.2_TB@LAA_102</t>
  </si>
  <si>
    <t>-201.8 #</t>
  </si>
  <si>
    <t>20260613_MWK6.2_ARZ@CIN_136</t>
  </si>
  <si>
    <t>-161.0 #</t>
  </si>
  <si>
    <t xml:space="preserve">824508. VF plays are disallowed. No play due to strategy constraints. </t>
  </si>
  <si>
    <t>20260613_MWK6.2_DET@CLE_121</t>
  </si>
  <si>
    <t xml:space="preserve">824426. VF plays are disallowed. No play due to strategy constraints. </t>
  </si>
  <si>
    <t>20260613_MWK6.2_LA@CWS_185</t>
  </si>
  <si>
    <t>-116.0 #</t>
  </si>
  <si>
    <t>["M1_V119 [0.42, 'VisFave']", "M2_V119 [0.39, 'VisFave']", "M3_V119 [0.4, 'VisFave']", "M4_V119 [0.38, 'VisFave']", "M5_V119 [0.38, 'VisFave']", "M6_V119 [0.42, 'VisFave']", "M7_V119 [0.41, 'VisFave']", "M8_V119 [0.4, 'VisFave']", "M9_V119 [0.23, 'VisFave']", "M10_V119 [0.32, 'VisFave']", "M11_V119 [0.45, 'VisFave']", "M12_V119 [0.37, 'VisFave']", "M13_V119 [0.38, 'VisFave']", "M14_V119 [0.41, 'VisFave']", "M15_V119 [0.36, 'VisFave']"]</t>
  </si>
  <si>
    <t>["M16_V123 [0.42, 'VisFave']", "M17_V123 [0.42, 'VisFave']", "M18_V123 [0.45, 'VisFave']", "M19_V123 [0.46, 'VisFave']", "M20_V123 [0.44, 'VisFave']", "M21_V123 [0.45, 'VisFave']", "M22_V123 [0.43, 'VisFave']", "M23_V123 [0.41, 'VisFave']", "M24_V123 [0.44, 'VisFave']", "M25_V123 [0.41, 'VisFave']", "M26_V123 [0.43, 'VisFave']", "M27_V123 [0.41, 'VisFave']", "M28_V123 [0.42, 'VisFave']", "M29_V123 [0.43, 'VisFave']", "M30_V123 [0.44, 'VisFave']", "M31_V123 [0.4, 'VisFave']", "M32_V123 [0.42, 'VisFave']", "M33_V123 [0.42, 'VisFave']", "M34_V123 [0.45, 'VisFave']", "M35_V123 [0.48, 'VisFave']", "M36_V123 [0.44, 'VisFave']", "M37_V123 [0.44, 'VisFave']", "M38_V123 [0.45, 'VisFave']", "M39_V123 [0.45, 'VisFave']", "M40_V123 [0.42, 'VisFave']", "M41_V123 [0.43, 'VisFave']", "M42_V123 [0.44, 'VisFave']", "M43_V123 [0.43, 'VisFave']", "M44_V123 [0.36, 'VisFave']", "M45_V123 [0.43, 'VisFave']", "M46_V123 [0.42, 'VisFave']", "M47_V123 [0.42, 'VisFave']", "M48_V123 [0.38, 'VisFave']", "M49_V123 [0.5, 'HomDog']", "M50_V123 [0.41, 'VisFave']", "M51_V123 [0.45, 'VisFave']", "M52_V123 [0.47, 'VisFave']", "M53_V123 [0.4, 'VisFave']", "M54_V123 [0.42, 'VisFave']", "M55_V123 [0.44, 'VisFave']", "M56_V123 [0.33, 'VisFave']"]</t>
  </si>
  <si>
    <t xml:space="preserve">824587. LineStatEns is NoPlay as bookie-line outside range. StatOnlyEns is NoPlay as bookie-line outside range. No play due to strategy constraints. </t>
  </si>
  <si>
    <t>20260613_MWK6.2_HOU@KC_-121</t>
  </si>
  <si>
    <t xml:space="preserve">824100. Play determined by LineStatEns and StatOnlyEns agreement. </t>
  </si>
  <si>
    <t>20260613_MWK6.2_STL@MIN_102</t>
  </si>
  <si>
    <t xml:space="preserve">823694. Play determined by LineStatEns and StatOnlyEns agreement. </t>
  </si>
  <si>
    <t>20260613_MWK6.2_SEA@WAS_-116</t>
  </si>
  <si>
    <t xml:space="preserve">822725. Play determined by LineStatEns and StatOnlyEns agreement. </t>
  </si>
  <si>
    <t>20260613_MWK6.2_PHI@MLW_-163</t>
  </si>
  <si>
    <t>-119.3 #</t>
  </si>
  <si>
    <t>["M1_V119 [0.58, 'HomFave']", "M2_V119 [0.57, 'HomFave']", "M3_V119 [0.57, 'HomFave']", "M4_V119 [0.55, 'HomFave']", "M5_V119 [0.55, 'HomFave']", "M6_V119 [0.57, 'HomFave']", "M7_V119 [0.58, 'HomFave']", "M8_V119 [0.59, 'HomFave']", "M9_V119 [0.76, 'HomFave']", "M10_V119 [0.7, 'HomFave']", "M11_V119 [0.58, 'HomFave']", "M12_V119 [0.69, 'HomFave']", "M13_V119 [0.56, 'HomFave']", "M14_V119 [0.58, 'HomFave']", "M15_V119 [0.67, 'HomFave']"]</t>
  </si>
  <si>
    <t>["M16_V123 [0.52, 'HomFave']", "M17_V123 [0.51, 'HomFave']", "M18_V123 [0.53, 'HomFave']", "M19_V123 [0.52, 'HomFave']", "M20_V123 [0.55, 'HomFave']", "M21_V123 [0.53, 'HomFave']", "M22_V123 [0.51, 'HomFave']", "M23_V123 [0.51, 'HomFave']", "M24_V123 [0.51, 'HomFave']", "M25_V123 [0.53, 'HomFave']", "M26_V123 [0.5, 'HomFave']", "M27_V123 [0.52, 'HomFave']", "M28_V123 [0.52, 'HomFave']", "M29_V123 [0.53, 'HomFave']", "M30_V123 [0.52, 'HomFave']", "M31_V123 [0.41, 'VisDog']", "M32_V123 [0.5, 'HomFave']", "M33_V123 [0.56, 'HomFave']", "M34_V123 [0.52, 'HomFave']", "M35_V123 [0.5, 'HomFave']", "M36_V123 [0.47, 'VisDog']", "M37_V123 [0.54, 'HomFave']", "M38_V123 [0.52, 'HomFave']", "M39_V123 [0.49, 'VisDog']", "M40_V123 [0.52, 'HomFave']", "M41_V123 [0.51, 'HomFave']", "M42_V123 [0.49, 'VisDog']", "M43_V123 [0.51, 'HomFave']", "M44_V123 [0.52, 'HomFave']", "M45_V123 [0.52, 'HomFave']", "M46_V123 [0.51, 'HomFave']", "M47_V123 [0.52, 'HomFave']", "M48_V123 [0.43, 'VisDog']", "M49_V123 [0.57, 'HomFave']", "M50_V123 [0.51, 'HomFave']", "M51_V123 [0.54, 'HomFave']", "M52_V123 [0.54, 'HomFave']", "M53_V123 [0.5, 'HomFave']", "M54_V123 [0.51, 'HomFave']", "M55_V123 [0.52, 'HomFave']", "M56_V123 [0.47, 'VisDog']"]</t>
  </si>
  <si>
    <t xml:space="preserve">823776. LineStatEns is NoPlay as bookie-line outside range. StatOnlyEns is NoPlay as bookie-line outside range. No play due to strategy constraints. </t>
  </si>
  <si>
    <t>20260613_MWK6.2_ATL@NYM_-114</t>
  </si>
  <si>
    <t xml:space="preserve">823616. LineStatEns probability points gap does not exceed threshold (no edge found)! No play due to strategy constraints. </t>
  </si>
  <si>
    <t>20260613_MWK6.2_COL@OAK_-148</t>
  </si>
  <si>
    <t>["M1_V119 [0.64, 'HomFave']", "M2_V119 [0.56, 'HomFave']", "M3_V119 [0.57, 'HomFave']", "M4_V119 [0.56, 'HomFave']", "M5_V119 [0.56, 'HomFave']", "M6_V119 [0.58, 'HomFave']", "M7_V119 [0.56, 'HomFave']", "M8_V119 [0.6, 'HomFave']", "M9_V119 [0.63, 'HomFave']", "M10_V119 [0.52, 'HomFave']", "M11_V119 [0.49, 'VisDog']", "M12_V119 [0.69, 'HomFave']", "M13_V119 [0.58, 'HomFave']", "M14_V119 [0.57, 'HomFave']", "M15_V119 [0.61, 'HomFave']"]</t>
  </si>
  <si>
    <t>["M16_V123 [0.56, 'HomFave']", "M17_V123 [0.56, 'HomFave']", "M18_V123 [0.58, 'HomFave']", "M19_V123 [0.54, 'HomFave']", "M20_V123 [0.58, 'HomFave']", "M21_V123 [0.56, 'HomFave']", "M22_V123 [0.56, 'HomFave']", "M23_V123 [0.56, 'HomFave']", "M24_V123 [0.56, 'HomFave']", "M25_V123 [0.56, 'HomFave']", "M26_V123 [0.55, 'HomFave']", "M27_V123 [0.56, 'HomFave']", "M28_V123 [0.59, 'HomFave']", "M29_V123 [0.55, 'HomFave']", "M30_V123 [0.55, 'HomFave']", "M31_V123 [0.43, 'VisDog']", "M32_V123 [0.55, 'HomFave']", "M33_V123 [0.59, 'HomFave']", "M34_V123 [0.57, 'HomFave']", "M35_V123 [0.54, 'HomFave']", "M36_V123 [0.56, 'HomFave']", "M37_V123 [0.58, 'HomFave']", "M38_V123 [0.55, 'HomFave']", "M39_V123 [0.53, 'HomFave']", "M40_V123 [0.57, 'HomFave']", "M41_V123 [0.56, 'HomFave']", "M42_V123 [0.54, 'HomFave']", "M43_V123 [0.57, 'HomFave']", "M44_V123 [0.57, 'HomFave']", "M45_V123 [0.56, 'HomFave']", "M46_V123 [0.54, 'HomFave']", "M47_V123 [0.57, 'HomFave']", "M48_V123 [0.44, 'VisDog']", "M49_V123 [0.48, 'VisDog']", "M50_V123 [0.57, 'HomFave']", "M51_V123 [0.56, 'HomFave']", "M52_V123 [0.56, 'HomFave']", "M53_V123 [0.55, 'HomFave']", "M54_V123 [0.57, 'HomFave']", "M55_V123 [0.57, 'HomFave']", "M56_V123 [0.37, 'VisDog']"]</t>
  </si>
  <si>
    <t xml:space="preserve">824995. H_SP is Null, team-based avg used. NoPlay as H_SP is Null. </t>
  </si>
  <si>
    <t>20260613_MWK6.2_FLO@PIT_-110</t>
  </si>
  <si>
    <t>-180.1 #</t>
  </si>
  <si>
    <t xml:space="preserve">823369. Play determined by LineStatEns and StatOnlyEns agreement. </t>
  </si>
  <si>
    <t>20260613_MWK6.2_CHC@SF_105</t>
  </si>
  <si>
    <t>["M1_V119 [0.48, 'VisFave']", "M2_V119 [0.48, 'VisFave']", "M3_V119 [0.48, 'VisFave']", "M4_V119 [0.5, 'HomDog']", "M5_V119 [0.5, 'HomDog']", "M6_V119 [0.46, 'VisFave']", "M7_V119 [0.46, 'VisFave']", "M8_V119 [0.47, 'VisFave']", "M9_V119 [0.63, 'HomDog']", "M10_V119 [0.46, 'VisFave']", "M11_V119 [0.51, 'HomDog']", "M12_V119 [0.52, 'HomDog']", "M13_V119 [0.46, 'VisFave']", "M14_V119 [0.5, 'HomDog']", "M15_V119 [0.41, 'VisFave']"]</t>
  </si>
  <si>
    <t>["M16_V123 [0.47, 'VisFave']", "M17_V123 [0.48, 'VisFave']", "M18_V123 [0.48, 'VisFave']", "M19_V123 [0.49, 'VisFave']", "M20_V123 [0.48, 'VisFave']", "M21_V123 [0.5, 'HomDog']", "M22_V123 [0.5, 'HomDog']", "M23_V123 [0.46, 'VisFave']", "M24_V123 [0.48, 'VisFave']", "M25_V123 [0.47, 'VisFave']", "M26_V123 [0.49, 'VisFave']", "M27_V123 [0.47, 'VisFave']", "M28_V123 [0.42, 'VisFave']", "M29_V123 [0.48, 'VisFave']", "M30_V123 [0.47, 'VisFave']", "M31_V123 [0.27, 'VisFave']", "M32_V123 [0.49, 'VisFave']", "M33_V123 [0.5, 'HomDog']", "M34_V123 [0.5, 'HomDog']", "M35_V123 [0.49, 'VisFave']", "M36_V123 [0.48, 'VisFave']", "M37_V123 [0.46, 'VisFave']", "M38_V123 [0.5, 'HomDog']", "M39_V123 [0.43, 'VisFave']", "M40_V123 [0.44, 'VisFave']", "M41_V123 [0.47, 'VisFave']", "M42_V123 [0.5, 'HomDog']", "M43_V123 [0.51, 'HomDog']", "M44_V123 [0.42, 'VisFave']", "M45_V123 [0.46, 'VisFave']", "M46_V123 [0.44, 'VisFave']", "M47_V123 [0.47, 'VisFave']", "M48_V123 [0.23, 'VisFave']", "M49_V123 [0.53, 'HomDog']", "M50_V123 [0.48, 'VisFave']", "M51_V123 [0.48, 'VisFave']", "M52_V123 [0.5, 'HomDog']", "M53_V123 [0.45, 'VisFave']", "M54_V123 [0.48, 'VisFave']", "M55_V123 [0.49, 'VisFave']", "M56_V123 [0.47, 'VisFave']"]</t>
  </si>
  <si>
    <t xml:space="preserve">823213. VF plays are disallowed. No play due to strategy constraints. </t>
  </si>
  <si>
    <t>20260613_MWK6.2_NYY@TOR_105</t>
  </si>
  <si>
    <t>-111.5 #</t>
  </si>
  <si>
    <t>["M1_V119 [0.48, 'VisFave']", "M2_V119 [0.47, 'VisFave']", "M3_V119 [0.48, 'VisFave']", "M4_V119 [0.47, 'VisFave']", "M5_V119 [0.47, 'VisFave']", "M6_V119 [0.45, 'VisFave']", "M7_V119 [0.48, 'VisFave']", "M8_V119 [0.44, 'VisFave']", "M9_V119 [0.47, 'VisFave']", "M10_V119 [0.5, 'HomDog']", "M11_V119 [0.25, 'VisFave']", "M12_V119 [0.5, 'HomDog']", "M13_V119 [0.46, 'VisFave']", "M14_V119 [0.5, 'HomDog']", "M15_V119 [0.45, 'VisFave']"]</t>
  </si>
  <si>
    <t>["M16_V123 [0.46, 'VisFave']", "M17_V123 [0.48, 'VisFave']", "M18_V123 [0.5, 'HomDog']", "M19_V123 [0.49, 'VisFave']", "M20_V123 [0.47, 'VisFave']", "M21_V123 [0.48, 'VisFave']", "M22_V123 [0.48, 'VisFave']", "M23_V123 [0.48, 'VisFave']", "M24_V123 [0.47, 'VisFave']", "M25_V123 [0.44, 'VisFave']", "M26_V123 [0.48, 'VisFave']", "M27_V123 [0.47, 'VisFave']", "M28_V123 [0.44, 'VisFave']", "M29_V123 [0.5, 'HomDog']", "M30_V123 [0.5, 'HomDog']", "M31_V123 [0.36, 'VisFave']", "M32_V123 [0.46, 'VisFave']", "M33_V123 [0.49, 'VisFave']", "M34_V123 [0.46, 'VisFave']", "M35_V123 [0.44, 'VisFave']", "M36_V123 [0.49, 'VisFave']", "M37_V123 [0.5, 'HomDog']", "M38_V123 [0.47, 'VisFave']", "M39_V123 [0.47, 'VisFave']", "M40_V123 [0.45, 'VisFave']", "M41_V123 [0.48, 'VisFave']", "M42_V123 [0.51, 'HomDog']", "M43_V123 [0.46, 'VisFave']", "M44_V123 [0.45, 'VisFave']", "M45_V123 [0.48, 'VisFave']", "M46_V123 [0.48, 'VisFave']", "M47_V123 [0.49, 'VisFave']", "M48_V123 [0.21, 'VisFave']", "M49_V123 [0.47, 'VisFave']", "M50_V123 [0.48, 'VisFave']", "M51_V123 [0.51, 'HomDog']", "M52_V123 [0.47, 'VisFave']", "M53_V123 [0.48, 'VisFave']", "M54_V123 [0.48, 'VisFave']", "M55_V123 [0.49, 'VisFave']", "M56_V123 [0.32, 'VisFave']"]</t>
  </si>
  <si>
    <t xml:space="preserve">822802. VF plays are disallowed. No play due to strategy constraints. </t>
  </si>
  <si>
    <t>20260614_MWK6.2_SD@BAL_-134</t>
  </si>
  <si>
    <t xml:space="preserve">824823. LineStatEns probability points gap does not exceed threshold (no edge found)! StatOnlyEns probability points gap does not exceed threshold (no edge found)! No play due to strategy constraints. </t>
  </si>
  <si>
    <t>20260614_MWK6.2_TEX@BOS_-107</t>
  </si>
  <si>
    <t>["M1_V119 [0.48, 'VisDog']", "M2_V119 [0.52, 'HomFave']", "M3_V119 [0.51, 'HomFave']", "M4_V119 [0.49, 'VisDog']", "M5_V119 [0.49, 'VisDog']", "M6_V119 [0.51, 'HomFave']", "M7_V119 [0.5, 'HomFave']", "M8_V119 [0.51, 'HomFave']", "M9_V119 [0.37, 'VisDog']", "M10_V119 [0.43, 'VisDog']", "M11_V119 [0.3, 'VisDog']", "M12_V119 [0.47, 'VisDog']", "M13_V119 [0.49, 'VisDog']", "M14_V119 [0.56, 'HomFave']", "M15_V119 [0.46, 'VisDog']"]</t>
  </si>
  <si>
    <t>["M16_V123 [0.48, 'VisDog']", "M17_V123 [0.51, 'HomFave']", "M18_V123 [0.52, 'HomFave']", "M19_V123 [0.49, 'VisDog']", "M20_V123 [0.53, 'HomFave']", "M21_V123 [0.52, 'HomFave']", "M22_V123 [0.51, 'HomFave']", "M23_V123 [0.53, 'HomFave']", "M24_V123 [0.48, 'VisDog']", "M25_V123 [0.51, 'HomFave']", "M26_V123 [0.52, 'HomFave']", "M27_V123 [0.53, 'HomFave']", "M28_V123 [0.52, 'HomFave']", "M29_V123 [0.52, 'HomFave']", "M30_V123 [0.52, 'HomFave']", "M31_V123 [0.43, 'VisDog']", "M32_V123 [0.5, 'HomFave']", "M33_V123 [0.52, 'HomFave']", "M34_V123 [0.51, 'HomFave']", "M35_V123 [0.54, 'HomFave']", "M36_V123 [0.52, 'HomFave']", "M37_V123 [0.54, 'HomFave']", "M38_V123 [0.52, 'HomFave']", "M39_V123 [0.51, 'HomFave']", "M40_V123 [0.51, 'HomFave']", "M41_V123 [0.5, 'HomFave']", "M42_V123 [0.5, 'HomFave']", "M43_V123 [0.52, 'HomFave']", "M44_V123 [0.5, 'HomFave']", "M45_V123 [0.52, 'HomFave']", "M46_V123 [0.5, 'HomFave']", "M47_V123 [0.51, 'HomFave']", "M48_V123 [0.36, 'VisDog']", "M49_V123 [0.52, 'HomFave']", "M50_V123 [0.48, 'VisDog']", "M51_V123 [0.56, 'HomFave']", "M52_V123 [0.52, 'HomFave']", "M53_V123 [0.47, 'VisDog']", "M54_V123 [0.51, 'HomFave']", "M55_V123 [0.52, 'HomFave']", "M56_V123 [0.46, 'VisDog']"]</t>
  </si>
  <si>
    <t xml:space="preserve">824751. StatOnlyEns probability points gap does not exceed threshold (no edge found)! Play determined by LineStatEns only. </t>
  </si>
  <si>
    <t>20260614_MWK6.2_TB@LAA_106</t>
  </si>
  <si>
    <t>["M1_V119 [0.48, 'VisFave']", "M2_V119 [0.47, 'VisFave']", "M3_V119 [0.46, 'VisFave']", "M4_V119 [0.44, 'VisFave']", "M5_V119 [0.44, 'VisFave']", "M6_V119 [0.45, 'VisFave']", "M7_V119 [0.42, 'VisFave']", "M8_V119 [0.44, 'VisFave']", "M9_V119 [0.37, 'VisFave']", "M10_V119 [0.39, 'VisFave']", "M11_V119 [0.39, 'VisFave']", "M12_V119 [0.52, 'HomDog']", "M13_V119 [0.44, 'VisFave']", "M14_V119 [0.48, 'VisFave']", "M15_V119 [0.44, 'VisFave']"]</t>
  </si>
  <si>
    <t>["M16_V123 [0.44, 'VisFave']", "M17_V123 [0.42, 'VisFave']", "M18_V123 [0.42, 'VisFave']", "M19_V123 [0.41, 'VisFave']", "M20_V123 [0.44, 'VisFave']", "M21_V123 [0.45, 'VisFave']", "M22_V123 [0.43, 'VisFave']", "M23_V123 [0.44, 'VisFave']", "M24_V123 [0.46, 'VisFave']", "M25_V123 [0.46, 'VisFave']", "M26_V123 [0.42, 'VisFave']", "M27_V123 [0.43, 'VisFave']", "M28_V123 [0.43, 'VisFave']", "M29_V123 [0.44, 'VisFave']", "M30_V123 [0.44, 'VisFave']", "M31_V123 [0.54, 'HomDog']", "M32_V123 [0.41, 'VisFave']", "M33_V123 [0.4, 'VisFave']", "M34_V123 [0.43, 'VisFave']", "M35_V123 [0.39, 'VisFave']", "M36_V123 [0.43, 'VisFave']", "M37_V123 [0.41, 'VisFave']", "M38_V123 [0.44, 'VisFave']", "M39_V123 [0.4, 'VisFave']", "M40_V123 [0.43, 'VisFave']", "M41_V123 [0.44, 'VisFave']", "M42_V123 [0.46, 'VisFave']", "M43_V123 [0.41, 'VisFave']", "M44_V123 [0.41, 'VisFave']", "M45_V123 [0.43, 'VisFave']", "M46_V123 [0.41, 'VisFave']", "M47_V123 [0.44, 'VisFave']", "M48_V123 [0.19, 'VisFave']", "M49_V123 [0.49, 'VisFave']", "M50_V123 [0.41, 'VisFave']", "M51_V123 [0.45, 'VisFave']", "M52_V123 [0.44, 'VisFave']", "M53_V123 [0.41, 'VisFave']", "M54_V123 [0.44, 'VisFave']", "M55_V123 [0.42, 'VisFave']", "M56_V123 [0.38, 'VisFave']"]</t>
  </si>
  <si>
    <t xml:space="preserve">824021. V_SP is Null, team-based avg used. NoPlay as V_SP is Null. </t>
  </si>
  <si>
    <t>20260614_MWK6.2_ARZ@CIN_-101</t>
  </si>
  <si>
    <t>20260614_MWK6.2_DET@CLE_-104</t>
  </si>
  <si>
    <t>["M1_V119 [0.5, 'HomDog']", "M2_V119 [0.51, 'HomDog']", "M3_V119 [0.52, 'HomDog']", "M4_V119 [0.49, 'VisFave']", "M5_V119 [0.49, 'VisFave']", "M6_V119 [0.49, 'VisFave']", "M7_V119 [0.53, 'HomDog']", "M8_V119 [0.51, 'HomDog']", "M9_V119 [0.48, 'VisFave']", "M10_V119 [0.56, 'HomDog']", "M11_V119 [0.48, 'VisFave']", "M12_V119 [0.66, 'HomDog']", "M13_V119 [0.48, 'VisFave']", "M14_V119 [0.46, 'VisFave']", "M15_V119 [0.49, 'VisFave']"]</t>
  </si>
  <si>
    <t>["M16_V123 [0.5, 'HomDog']", "M17_V123 [0.52, 'HomDog']", "M18_V123 [0.55, 'HomDog']", "M19_V123 [0.52, 'HomDog']", "M20_V123 [0.54, 'HomDog']", "M21_V123 [0.52, 'HomDog']", "M22_V123 [0.52, 'HomDog']", "M23_V123 [0.52, 'HomDog']", "M24_V123 [0.5, 'HomDog']", "M25_V123 [0.52, 'HomDog']", "M26_V123 [0.52, 'HomDog']", "M27_V123 [0.52, 'HomDog']", "M28_V123 [0.57, 'HomDog']", "M29_V123 [0.52, 'HomDog']", "M30_V123 [0.52, 'HomDog']", "M31_V123 [0.44, 'VisFave']", "M32_V123 [0.51, 'HomDog']", "M33_V123 [0.54, 'HomDog']", "M34_V123 [0.54, 'HomDog']", "M35_V123 [0.49, 'VisFave']", "M36_V123 [0.52, 'HomDog']", "M37_V123 [0.53, 'HomDog']", "M38_V123 [0.54, 'HomDog']", "M39_V123 [0.52, 'HomDog']", "M40_V123 [0.52, 'HomDog']", "M41_V123 [0.51, 'HomDog']", "M42_V123 [0.47, 'VisFave']", "M43_V123 [0.51, 'HomDog']", "M44_V123 [0.56, 'HomDog']", "M45_V123 [0.51, 'HomDog']", "M46_V123 [0.52, 'HomDog']", "M47_V123 [0.53, 'HomDog']", "M48_V123 [0.35, 'VisFave']", "M49_V123 [0.53, 'HomDog']", "M50_V123 [0.51, 'HomDog']", "M51_V123 [0.51, 'HomDog']", "M52_V123 [0.54, 'HomDog']", "M53_V123 [0.53, 'HomDog']", "M54_V123 [0.53, 'HomDog']", "M55_V123 [0.51, 'HomDog']", "M56_V123 [0.45, 'VisFave']"]</t>
  </si>
  <si>
    <t xml:space="preserve">824424. VF plays are disallowed. No play due to strategy constraints. </t>
  </si>
  <si>
    <t>20260614_MWK6.2_LA@CWS_171</t>
  </si>
  <si>
    <t>-117.9 #</t>
  </si>
  <si>
    <t>-575.0 #</t>
  </si>
  <si>
    <t xml:space="preserve">824586. LineStatEns is NoPlay as bookie-line outside range. StatOnlyEns is NoPlay as bookie-line outside range. No play due to strategy constraints. </t>
  </si>
  <si>
    <t>20260614_MWK6.2_HOU@KC_-116</t>
  </si>
  <si>
    <t xml:space="preserve">824099. StatOnlyEns probability points gap does not exceed threshold (no edge found)! Play determined by LineStatEns only. </t>
  </si>
  <si>
    <t>20260614_MWK6.2_STL@MIN_-108</t>
  </si>
  <si>
    <t>-168.5 #</t>
  </si>
  <si>
    <t xml:space="preserve">823693. LineStatEns probability points gap does not exceed threshold (no edge found)! StatOnlyEns probability points gap does not exceed threshold (no edge found)! No play due to strategy constraints. </t>
  </si>
  <si>
    <t>20260614_MWK6.2_SEA@WAS_119</t>
  </si>
  <si>
    <t>-594.2 #</t>
  </si>
  <si>
    <t>["M1_V119 [0.4, 'VisFave']", "M2_V119 [0.43, 'VisFave']", "M3_V119 [0.42, 'VisFave']", "M4_V119 [0.41, 'VisFave']", "M5_V119 [0.41, 'VisFave']", "M6_V119 [0.41, 'VisFave']", "M7_V119 [0.44, 'VisFave']", "M8_V119 [0.41, 'VisFave']", "M9_V119 [0.33, 'VisFave']", "M10_V119 [0.46, 'VisFave']", "M11_V119 [0.32, 'VisFave']", "M12_V119 [0.51, 'HomDog']", "M13_V119 [0.42, 'VisFave']", "M14_V119 [0.41, 'VisFave']", "M15_V119 [0.39, 'VisFave']"]</t>
  </si>
  <si>
    <t xml:space="preserve">822722. VF plays are disallowed. No play due to strategy constraints. </t>
  </si>
  <si>
    <t>20260614_MWK6.2_PHI@MLW_113</t>
  </si>
  <si>
    <t>-119.1 #</t>
  </si>
  <si>
    <t xml:space="preserve">823777. VF plays are disallowed. No play due to strategy constraints. </t>
  </si>
  <si>
    <t>20260614_MWK6.2_ATL@NYM_-122</t>
  </si>
  <si>
    <t xml:space="preserve">823615. LineStatEns probability points gap does not exceed threshold (no edge found)! No play due to strategy constraints. </t>
  </si>
  <si>
    <t>20260614_MWK6.2_COL@OAK_-188</t>
  </si>
  <si>
    <t>-142.7 #</t>
  </si>
  <si>
    <t xml:space="preserve">824994. LineStatEns is NoPlay as bookie-line outside range. StatOnlyEns is NoPlay as bookie-line outside range. No play due to strategy constraints. </t>
  </si>
  <si>
    <t>20260614_MWK6.2_FLO@PIT_-150</t>
  </si>
  <si>
    <t>["M1_V119 [0.53, 'HomFave']", "M2_V119 [0.52, 'HomFave']", "M3_V119 [0.49, 'VisDog']", "M4_V119 [0.52, 'HomFave']", "M5_V119 [0.52, 'HomFave']", "M6_V119 [0.51, 'HomFave']", "M7_V119 [0.53, 'HomFave']", "M8_V119 [0.51, 'HomFave']", "M9_V119 [0.65, 'HomFave']", "M10_V119 [0.53, 'HomFave']", "M11_V119 [0.55, 'HomFave']", "M12_V119 [0.55, 'HomFave']", "M13_V119 [0.51, 'HomFave']", "M14_V119 [0.56, 'HomFave']", "M15_V119 [0.46, 'VisDog']"]</t>
  </si>
  <si>
    <t>["M16_V123 [0.45, 'VisDog']", "M17_V123 [0.45, 'VisDog']", "M18_V123 [0.46, 'VisDog']", "M19_V123 [0.49, 'VisDog']", "M20_V123 [0.48, 'VisDog']", "M21_V123 [0.46, 'VisDog']", "M22_V123 [0.47, 'VisDog']", "M23_V123 [0.45, 'VisDog']", "M24_V123 [0.49, 'VisDog']", "M25_V123 [0.49, 'VisDog']", "M26_V123 [0.49, 'VisDog']", "M27_V123 [0.46, 'VisDog']", "M28_V123 [0.44, 'VisDog']", "M29_V123 [0.5, 'HomFave']", "M30_V123 [0.48, 'VisDog']", "M31_V123 [0.43, 'VisDog']", "M32_V123 [0.47, 'VisDog']", "M33_V123 [0.48, 'VisDog']", "M34_V123 [0.5, 'HomFave']", "M35_V123 [0.43, 'VisDog']", "M36_V123 [0.47, 'VisDog']", "M37_V123 [0.47, 'VisDog']", "M38_V123 [0.47, 'VisDog']", "M39_V123 [0.43, 'VisDog']", "M40_V123 [0.46, 'VisDog']", "M41_V123 [0.47, 'VisDog']", "M42_V123 [0.48, 'VisDog']", "M43_V123 [0.43, 'VisDog']", "M44_V123 [0.4, 'VisDog']", "M45_V123 [0.46, 'VisDog']", "M46_V123 [0.39, 'VisDog']", "M47_V123 [0.48, 'VisDog']", "M48_V123 [0.42, 'VisDog']", "M49_V123 [0.48, 'VisDog']", "M50_V123 [0.5, 'HomFave']", "M51_V123 [0.49, 'VisDog']", "M52_V123 [0.46, 'VisDog']", "M53_V123 [0.44, 'VisDog']", "M54_V123 [0.46, 'VisDog']", "M55_V123 [0.48, 'VisDog']", "M56_V123 [0.48, 'VisDog']"]</t>
  </si>
  <si>
    <t xml:space="preserve">823368. LineStatEns probability points gap does not exceed threshold (no edge found)! No play due to strategy constraints. </t>
  </si>
  <si>
    <t>20260614_MWK6.2_CHC@SF_-124</t>
  </si>
  <si>
    <t>-111.2 #</t>
  </si>
  <si>
    <t xml:space="preserve">823212. V_SP is Null, team-based avg used. NoPlay as V_SP is Null. </t>
  </si>
  <si>
    <t>20260614_MWK6.2_NYY@TOR_112</t>
  </si>
  <si>
    <t>-111.7 #</t>
  </si>
  <si>
    <t>["M1_V119 [0.45, 'VisFave']", "M2_V119 [0.46, 'VisFave']", "M3_V119 [0.46, 'VisFave']", "M4_V119 [0.49, 'VisFave']", "M5_V119 [0.49, 'VisFave']", "M6_V119 [0.44, 'VisFave']", "M7_V119 [0.47, 'VisFave']", "M8_V119 [0.44, 'VisFave']", "M9_V119 [0.54, 'HomDog']", "M10_V119 [0.48, 'VisFave']", "M11_V119 [0.51, 'HomDog']", "M12_V119 [0.53, 'HomDog']", "M13_V119 [0.45, 'VisFave']", "M14_V119 [0.49, 'VisFave']", "M15_V119 [0.42, 'VisFave']"]</t>
  </si>
  <si>
    <t>["M16_V123 [0.46, 'VisFave']", "M17_V123 [0.43, 'VisFave']", "M18_V123 [0.48, 'VisFave']", "M19_V123 [0.47, 'VisFave']", "M20_V123 [0.48, 'VisFave']", "M21_V123 [0.46, 'VisFave']", "M22_V123 [0.46, 'VisFave']", "M23_V123 [0.46, 'VisFave']", "M24_V123 [0.45, 'VisFave']", "M25_V123 [0.48, 'VisFave']", "M26_V123 [0.48, 'VisFave']", "M27_V123 [0.45, 'VisFave']", "M28_V123 [0.46, 'VisFave']", "M29_V123 [0.45, 'VisFave']", "M30_V123 [0.47, 'VisFave']", "M31_V123 [0.53, 'HomDog']", "M32_V123 [0.44, 'VisFave']", "M33_V123 [0.49, 'VisFave']", "M34_V123 [0.43, 'VisFave']", "M35_V123 [0.42, 'VisFave']", "M36_V123 [0.41, 'VisFave']", "M37_V123 [0.47, 'VisFave']", "M38_V123 [0.46, 'VisFave']", "M39_V123 [0.46, 'VisFave']", "M40_V123 [0.47, 'VisFave']", "M41_V123 [0.46, 'VisFave']", "M42_V123 [0.52, 'HomDog']", "M43_V123 [0.45, 'VisFave']", "M44_V123 [0.43, 'VisFave']", "M45_V123 [0.43, 'VisFave']", "M46_V123 [0.45, 'VisFave']", "M47_V123 [0.46, 'VisFave']", "M48_V123 [0.37, 'VisFave']", "M49_V123 [0.45, 'VisFave']", "M50_V123 [0.44, 'VisFave']", "M51_V123 [0.47, 'VisFave']", "M52_V123 [0.46, 'VisFave']", "M53_V123 [0.47, 'VisFave']", "M54_V123 [0.46, 'VisFave']", "M55_V123 [0.44, 'VisFave']", "M56_V123 [0.45, 'VisFave']"]</t>
  </si>
  <si>
    <t xml:space="preserve">822801. VF plays are disallowed. No play due to strategy constraints. </t>
  </si>
  <si>
    <t>["M16_V123 [0.51, 'HomFave']", "M17_V123 [0.52, 'HomFave']", "M18_V123 [0.54, 'HomFave']", "M19_V123 [0.51, 'HomFave']", "M20_V123 [0.55, 'HomFave']", "M21_V123 [0.53, 'HomFave']", "M22_V123 [0.54, 'HomFave']", "M23_V123 [0.53, 'HomFave']", "M24_V123 [0.53, 'HomFave']", "M25_V123 [0.53, 'HomFave']", "M26_V123 [0.54, 'HomFave']", "M27_V123 [0.52, 'HomFave']", "M28_V123 [0.55, 'HomFave']", "M29_V123 [0.52, 'HomFave']", "M30_V123 [0.53, 'HomFave']", "M31_V123 [0.5, 'HomFave']", "M32_V123 [0.53, 'HomFave']", "M33_V123 [0.55, 'HomFave']", "M34_V123 [0.54, 'HomFave']", "M35_V123 [0.49, 'VisDog']", "M36_V123 [0.52, 'HomFave']", "M37_V123 [0.52, 'HomFave']", "M38_V123 [0.54, 'HomFave']", "M39_V123 [0.53, 'HomFave']", "M40_V123 [0.52, 'HomFave']", "M41_V123 [0.53, 'HomFave']", "M42_V123 [0.54, 'HomFave']", "M43_V123 [0.5, 'HomFave']", "M44_V123 [0.53, 'HomFave']", "M45_V123 [0.54, 'HomFave']", "M46_V123 [0.53, 'HomFave']", "M47_V123 [0.53, 'HomFave']", "M48_V123 [0.29, 'VisDog']", "M49_V123 [0.52, 'HomFave']", "M50_V123 [0.52, 'HomFave']", "M51_V123 [0.52, 'HomFave']", "M52_V123 [0.52, 'HomFave']", "M53_V123 [0.51, 'HomFave']", "M54_V123 [0.53, 'HomFave']", "M55_V123 [0.53, 'HomFave']", "M56_V123 [0.43, 'VisDog']"]</t>
  </si>
  <si>
    <t xml:space="preserve">825071. LineStatEns probability points gap does not exceed threshold (no edge found)! StatOnlyEns probability points gap does not exceed threshold (no edge found)! No play due to strategy constraints. </t>
  </si>
  <si>
    <t>-110.6 #</t>
  </si>
  <si>
    <t>["M16_V123 [0.61, 'HomFave']", "M17_V123 [0.58, 'HomFave']", "M18_V123 [0.6, 'HomFave']", "M19_V123 [0.58, 'HomFave']", "M20_V123 [0.6, 'HomFave']", "M21_V123 [0.61, 'HomFave']", "M22_V123 [0.59, 'HomFave']", "M23_V123 [0.61, 'HomFave']", "M24_V123 [0.58, 'HomFave']", "M25_V123 [0.59, 'HomFave']", "M26_V123 [0.57, 'HomFave']", "M27_V123 [0.58, 'HomFave']", "M28_V123 [0.61, 'HomFave']", "M29_V123 [0.58, 'HomFave']", "M30_V123 [0.59, 'HomFave']", "M31_V123 [0.75, 'HomFave']", "M32_V123 [0.59, 'HomFave']", "M33_V123 [0.6, 'HomFave']", "M34_V123 [0.63, 'HomFave']", "M35_V123 [0.62, 'HomFave']", "M36_V123 [0.54, 'HomFave']", "M37_V123 [0.6, 'HomFave']", "M38_V123 [0.6, 'HomFave']", "M39_V123 [0.63, 'HomFave']", "M40_V123 [0.58, 'HomFave']", "M41_V123 [0.56, 'HomFave']", "M42_V123 [0.5, 'HomFave']", "M43_V123 [0.58, 'HomFave']", "M44_V123 [0.62, 'HomFave']", "M45_V123 [0.57, 'HomFave']", "M46_V123 [0.57, 'HomFave']", "M47_V123 [0.59, 'HomFave']", "M48_V123 [0.85, 'HomFave']", "M49_V123 [0.59, 'HomFave']", "M50_V123 [0.59, 'HomFave']", "M51_V123 [0.61, 'HomFave']", "M52_V123 [0.61, 'HomFave']", "M53_V123 [0.58, 'HomFave']", "M54_V123 [0.59, 'HomFave']", "M55_V123 [0.59, 'HomFave']", "M56_V123 [0.76, 'HomFave']"]</t>
  </si>
  <si>
    <t xml:space="preserve">824666. LineStatEns is NoPlay as bookie-line outside range. StatOnlyEns is NoPlay as bookie-line outside range. No play due to strategy constraints. </t>
  </si>
  <si>
    <t xml:space="preserve">824505. LineStatEns probability points gap does not exceed threshold (no edge found)! StatOnlyEns probability points gap does not exceed threshold (no edge found)! No play due to strategy constraints. </t>
  </si>
  <si>
    <t>-169.1 #</t>
  </si>
  <si>
    <t xml:space="preserve">824181. Play determined by LineStatEns and StatOnlyEns agreement. </t>
  </si>
  <si>
    <t>["M16_V123 [0.55, 'HomFave']", "M17_V123 [0.54, 'HomFave']", "M18_V123 [0.58, 'HomFave']", "M19_V123 [0.55, 'HomFave']", "M20_V123 [0.56, 'HomFave']", "M21_V123 [0.54, 'HomFave']", "M22_V123 [0.56, 'HomFave']", "M23_V123 [0.54, 'HomFave']", "M24_V123 [0.55, 'HomFave']", "M25_V123 [0.55, 'HomFave']", "M26_V123 [0.53, 'HomFave']", "M27_V123 [0.56, 'HomFave']", "M28_V123 [0.54, 'HomFave']", "M29_V123 [0.57, 'HomFave']", "M30_V123 [0.58, 'HomFave']", "M31_V123 [0.55, 'HomFave']", "M32_V123 [0.55, 'HomFave']", "M33_V123 [0.59, 'HomFave']", "M34_V123 [0.56, 'HomFave']", "M35_V123 [0.53, 'HomFave']", "M36_V123 [0.52, 'HomFave']", "M37_V123 [0.55, 'HomFave']", "M38_V123 [0.55, 'HomFave']", "M39_V123 [0.52, 'HomFave']", "M40_V123 [0.55, 'HomFave']", "M41_V123 [0.54, 'HomFave']", "M42_V123 [0.55, 'HomFave']", "M43_V123 [0.56, 'HomFave']", "M44_V123 [0.49, 'VisDog']", "M45_V123 [0.55, 'HomFave']", "M46_V123 [0.56, 'HomFave']", "M47_V123 [0.56, 'HomFave']", "M48_V123 [0.4, 'VisDog']", "M49_V123 [0.54, 'HomFave']", "M50_V123 [0.52, 'HomFave']", "M51_V123 [0.57, 'HomFave']", "M52_V123 [0.58, 'HomFave']", "M53_V123 [0.53, 'HomFave']", "M54_V123 [0.57, 'HomFave']", "M55_V123 [0.53, 'HomFave']", "M56_V123 [0.49, 'VisDog']"]</t>
  </si>
  <si>
    <t xml:space="preserve">823938. LineStatEns is NoPlay as bookie-line outside range. StatOnlyEns is NoPlay as bookie-line outside range. No play due to strategy constraints. </t>
  </si>
  <si>
    <t>20260615_MWK6.3_KC@WAS_-127</t>
  </si>
  <si>
    <t>["M1_V119 [0.54, 'HomFave']", "M2_V119 [0.5, 'HomFave']", "M3_V119 [0.51, 'HomFave']", "M4_V119 [0.52, 'HomFave']", "M5_V119 [0.52, 'HomFave']", "M6_V119 [0.54, 'HomFave']", "M7_V119 [0.51, 'HomFave']", "M8_V119 [0.52, 'HomFave']", "M9_V119 [0.39, 'VisDog']", "M10_V119 [0.5, 'HomFave']", "M11_V119 [0.5, 'HomFave']", "M12_V119 [0.49, 'VisDog']", "M13_V119 [0.51, 'HomFave']", "M14_V119 [0.55, 'HomFave']", "M15_V119 [0.47, 'VisDog']"]</t>
  </si>
  <si>
    <t>["M16_V123 [0.47, 'VisDog']", "M17_V123 [0.45, 'VisDog']", "M18_V123 [0.46, 'VisDog']", "M19_V123 [0.45, 'VisDog']", "M20_V123 [0.48, 'VisDog']", "M21_V123 [0.48, 'VisDog']", "M22_V123 [0.46, 'VisDog']", "M23_V123 [0.45, 'VisDog']", "M24_V123 [0.48, 'VisDog']", "M25_V123 [0.47, 'VisDog']", "M26_V123 [0.47, 'VisDog']", "M27_V123 [0.46, 'VisDog']", "M28_V123 [0.43, 'VisDog']", "M29_V123 [0.48, 'VisDog']", "M30_V123 [0.47, 'VisDog']", "M31_V123 [0.59, 'HomFave']", "M32_V123 [0.42, 'VisDog']", "M33_V123 [0.48, 'VisDog']", "M34_V123 [0.43, 'VisDog']", "M35_V123 [0.4, 'VisDog']", "M36_V123 [0.43, 'VisDog']", "M37_V123 [0.46, 'VisDog']", "M38_V123 [0.46, 'VisDog']", "M39_V123 [0.51, 'HomFave']", "M40_V123 [0.42, 'VisDog']", "M41_V123 [0.45, 'VisDog']", "M42_V123 [0.48, 'VisDog']", "M43_V123 [0.45, 'VisDog']", "M44_V123 [0.46, 'VisDog']", "M45_V123 [0.45, 'VisDog']", "M46_V123 [0.41, 'VisDog']", "M47_V123 [0.46, 'VisDog']", "M48_V123 [0.41, 'VisDog']", "M49_V123 [0.51, 'HomFave']", "M50_V123 [0.46, 'VisDog']", "M51_V123 [0.48, 'VisDog']", "M52_V123 [0.48, 'VisDog']", "M53_V123 [0.42, 'VisDog']", "M54_V123 [0.46, 'VisDog']", "M55_V123 [0.45, 'VisDog']", "M56_V123 [0.66, 'HomFave']"]</t>
  </si>
  <si>
    <t xml:space="preserve">822724. V_SP is Null, team-based avg used. NoPlay as V_SP is Null. </t>
  </si>
  <si>
    <t>20260615_MWK6.3_PIT@OAK_-116</t>
  </si>
  <si>
    <t>["M1_V119 [0.54, 'HomFave']", "M2_V119 [0.53, 'HomFave']", "M3_V119 [0.54, 'HomFave']", "M4_V119 [0.52, 'HomFave']", "M5_V119 [0.52, 'HomFave']", "M6_V119 [0.5, 'HomFave']", "M7_V119 [0.52, 'HomFave']", "M8_V119 [0.54, 'HomFave']", "M9_V119 [0.64, 'HomFave']", "M10_V119 [0.57, 'HomFave']", "M11_V119 [0.58, 'HomFave']", "M12_V119 [0.5, 'HomFave']", "M13_V119 [0.52, 'HomFave']", "M14_V119 [0.56, 'HomFave']", "M15_V119 [0.54, 'HomFave']"]</t>
  </si>
  <si>
    <t>["M16_V123 [0.54, 'HomFave']", "M17_V123 [0.58, 'HomFave']", "M18_V123 [0.56, 'HomFave']", "M19_V123 [0.55, 'HomFave']", "M20_V123 [0.57, 'HomFave']", "M21_V123 [0.58, 'HomFave']", "M22_V123 [0.54, 'HomFave']", "M23_V123 [0.55, 'HomFave']", "M24_V123 [0.53, 'HomFave']", "M25_V123 [0.55, 'HomFave']", "M26_V123 [0.55, 'HomFave']", "M27_V123 [0.55, 'HomFave']", "M28_V123 [0.6, 'HomFave']", "M29_V123 [0.55, 'HomFave']", "M30_V123 [0.53, 'HomFave']", "M31_V123 [0.63, 'HomFave']", "M32_V123 [0.54, 'HomFave']", "M33_V123 [0.56, 'HomFave']", "M34_V123 [0.58, 'HomFave']", "M35_V123 [0.57, 'HomFave']", "M36_V123 [0.54, 'HomFave']", "M37_V123 [0.56, 'HomFave']", "M38_V123 [0.57, 'HomFave']", "M39_V123 [0.54, 'HomFave']", "M40_V123 [0.51, 'HomFave']", "M41_V123 [0.53, 'HomFave']", "M42_V123 [0.54, 'HomFave']", "M43_V123 [0.55, 'HomFave']", "M44_V123 [0.55, 'HomFave']", "M45_V123 [0.54, 'HomFave']", "M46_V123 [0.52, 'HomFave']", "M47_V123 [0.55, 'HomFave']", "M48_V123 [0.68, 'HomFave']", "M49_V123 [0.6, 'HomFave']", "M50_V123 [0.56, 'HomFave']", "M51_V123 [0.57, 'HomFave']", "M52_V123 [0.57, 'HomFave']", "M53_V123 [0.55, 'HomFave']", "M54_V123 [0.56, 'HomFave']", "M55_V123 [0.54, 'HomFave']", "M56_V123 [0.58, 'HomFave']"]</t>
  </si>
  <si>
    <t xml:space="preserve">824993. Play determined by LineStatEns and StatOnlyEns agreement. </t>
  </si>
  <si>
    <t>-245.0 #</t>
  </si>
  <si>
    <t xml:space="preserve">823452. LineStatEns is NoPlay as bookie-line outside range. StatOnlyEns is NoPlay as bookie-line outside range. No play due to strategy constraints. </t>
  </si>
  <si>
    <t>20260615_MWK6.3_SD@STL_-159</t>
  </si>
  <si>
    <t>-254.0 #</t>
  </si>
  <si>
    <t>["M1_V119 [0.54, 'HomFave']", "M2_V119 [0.53, 'HomFave']", "M3_V119 [0.53, 'HomFave']", "M4_V119 [0.54, 'HomFave']", "M5_V119 [0.54, 'HomFave']", "M6_V119 [0.56, 'HomFave']", "M7_V119 [0.54, 'HomFave']", "M8_V119 [0.5, 'HomFave']", "M9_V119 [0.61, 'HomFave']", "M10_V119 [0.45, 'VisDog']", "M11_V119 [0.54, 'HomFave']", "M12_V119 [0.53, 'HomFave']", "M13_V119 [0.55, 'HomFave']", "M14_V119 [0.59, 'HomFave']", "M15_V119 [0.46, 'VisDog']"]</t>
  </si>
  <si>
    <t>["M16_V123 [0.5, 'HomFave']", "M17_V123 [0.46, 'VisDog']", "M18_V123 [0.49, 'VisDog']", "M19_V123 [0.52, 'HomFave']", "M20_V123 [0.49, 'VisDog']", "M21_V123 [0.52, 'HomFave']", "M22_V123 [0.49, 'VisDog']", "M23_V123 [0.49, 'VisDog']", "M24_V123 [0.49, 'VisDog']", "M25_V123 [0.48, 'VisDog']", "M26_V123 [0.49, 'VisDog']", "M27_V123 [0.48, 'VisDog']", "M28_V123 [0.48, 'VisDog']", "M29_V123 [0.48, 'VisDog']", "M30_V123 [0.49, 'VisDog']", "M31_V123 [0.58, 'HomFave']", "M32_V123 [0.47, 'VisDog']", "M33_V123 [0.51, 'HomFave']", "M34_V123 [0.5, 'HomFave']", "M35_V123 [0.47, 'VisDog']", "M36_V123 [0.48, 'VisDog']", "M37_V123 [0.49, 'VisDog']", "M38_V123 [0.49, 'VisDog']", "M39_V123 [0.46, 'VisDog']", "M40_V123 [0.45, 'VisDog']", "M41_V123 [0.48, 'VisDog']", "M42_V123 [0.49, 'VisDog']", "M43_V123 [0.47, 'VisDog']", "M44_V123 [0.52, 'HomFave']", "M45_V123 [0.48, 'VisDog']", "M46_V123 [0.44, 'VisDog']", "M47_V123 [0.49, 'VisDog']", "M48_V123 [0.51, 'HomFave']", "M49_V123 [0.48, 'VisDog']", "M50_V123 [0.48, 'VisDog']", "M51_V123 [0.52, 'HomFave']", "M52_V123 [0.49, 'VisDog']", "M53_V123 [0.5, 'HomFave']", "M54_V123 [0.51, 'HomFave']", "M55_V123 [0.48, 'VisDog']", "M56_V123 [0.47, 'VisDog']"]</t>
  </si>
  <si>
    <t xml:space="preserve">823046. LineStatEns is NoPlay as bookie-line outside range. StatOnlyEns is NoPlay as bookie-line outside range. No play due to strategy constraints. </t>
  </si>
  <si>
    <t xml:space="preserve">822887. LineStatEns probability points gap does not exceed threshold (no edge found)! StatOnlyEns probability points gap does not exceed threshold (no edge found)! No play due to strategy constraints. </t>
  </si>
  <si>
    <t>20260616_MWK6.3_SF@ATL_-169</t>
  </si>
  <si>
    <t xml:space="preserve">824912. LineStatEns is NoPlay as bookie-line outside range. StatOnlyEns is NoPlay as bookie-line outside range. No play due to strategy constraints. </t>
  </si>
  <si>
    <t>20260616_MWK6.3_LAA@ARZ_-101</t>
  </si>
  <si>
    <t>-170.7 #</t>
  </si>
  <si>
    <t xml:space="preserve">825070. VF plays are disallowed. No play due to strategy constraints. </t>
  </si>
  <si>
    <t>20260616_MWK6.3_TOR@BOS_105</t>
  </si>
  <si>
    <t>["M1_V119 [0.47, 'VisFave']", "M2_V119 [0.45, 'VisFave']", "M3_V119 [0.47, 'VisFave']", "M4_V119 [0.45, 'VisFave']", "M5_V119 [0.45, 'VisFave']", "M6_V119 [0.43, 'VisFave']", "M7_V119 [0.47, 'VisFave']", "M8_V119 [0.44, 'VisFave']", "M9_V119 [0.41, 'VisFave']", "M10_V119 [0.41, 'VisFave']", "M11_V119 [0.31, 'VisFave']", "M12_V119 [0.4, 'VisFave']", "M13_V119 [0.46, 'VisFave']", "M14_V119 [0.46, 'VisFave']", "M15_V119 [0.42, 'VisFave']"]</t>
  </si>
  <si>
    <t>["M16_V123 [0.43, 'VisFave']", "M17_V123 [0.47, 'VisFave']", "M18_V123 [0.46, 'VisFave']", "M19_V123 [0.5, 'HomDog']", "M20_V123 [0.47, 'VisFave']", "M21_V123 [0.47, 'VisFave']", "M22_V123 [0.48, 'VisFave']", "M23_V123 [0.44, 'VisFave']", "M24_V123 [0.47, 'VisFave']", "M25_V123 [0.49, 'VisFave']", "M26_V123 [0.46, 'VisFave']", "M27_V123 [0.46, 'VisFave']", "M28_V123 [0.45, 'VisFave']", "M29_V123 [0.47, 'VisFave']", "M30_V123 [0.47, 'VisFave']", "M31_V123 [0.32, 'VisFave']", "M32_V123 [0.42, 'VisFave']", "M33_V123 [0.49, 'VisFave']", "M34_V123 [0.46, 'VisFave']", "M35_V123 [0.4, 'VisFave']", "M36_V123 [0.43, 'VisFave']", "M37_V123 [0.46, 'VisFave']", "M38_V123 [0.45, 'VisFave']", "M39_V123 [0.36, 'VisFave']", "M40_V123 [0.46, 'VisFave']", "M41_V123 [0.47, 'VisFave']", "M42_V123 [0.49, 'VisFave']", "M43_V123 [0.45, 'VisFave']", "M44_V123 [0.39, 'VisFave']", "M45_V123 [0.48, 'VisFave']", "M46_V123 [0.44, 'VisFave']", "M47_V123 [0.49, 'VisFave']", "M48_V123 [0.24, 'VisFave']", "M49_V123 [0.5, 'HomDog']", "M50_V123 [0.46, 'VisFave']", "M51_V123 [0.47, 'VisFave']", "M52_V123 [0.48, 'VisFave']", "M53_V123 [0.46, 'VisFave']", "M54_V123 [0.49, 'VisFave']", "M55_V123 [0.47, 'VisFave']", "M56_V123 [0.22, 'VisFave']"]</t>
  </si>
  <si>
    <t xml:space="preserve">824750. VF plays are disallowed. No play due to strategy constraints. </t>
  </si>
  <si>
    <t>20260616_MWK6.3_COL@CHC_-194</t>
  </si>
  <si>
    <t>-110.8 #</t>
  </si>
  <si>
    <t>-151.1 #</t>
  </si>
  <si>
    <t>["M1_V119 [0.61, 'HomFave']", "M2_V119 [0.59, 'HomFave']", "M3_V119 [0.59, 'HomFave']", "M4_V119 [0.57, 'HomFave']", "M5_V119 [0.57, 'HomFave']", "M6_V119 [0.58, 'HomFave']", "M7_V119 [0.57, 'HomFave']", "M8_V119 [0.56, 'HomFave']", "M9_V119 [0.71, 'HomFave']", "M10_V119 [0.6, 'HomFave']", "M11_V119 [0.79, 'HomFave']", "M12_V119 [0.69, 'HomFave']", "M13_V119 [0.57, 'HomFave']", "M14_V119 [0.59, 'HomFave']", "M15_V119 [0.59, 'HomFave']"]</t>
  </si>
  <si>
    <t>["M16_V123 [0.6, 'HomFave']", "M17_V123 [0.54, 'HomFave']", "M18_V123 [0.58, 'HomFave']", "M19_V123 [0.55, 'HomFave']", "M20_V123 [0.58, 'HomFave']", "M21_V123 [0.56, 'HomFave']", "M22_V123 [0.56, 'HomFave']", "M23_V123 [0.56, 'HomFave']", "M24_V123 [0.57, 'HomFave']", "M25_V123 [0.56, 'HomFave']", "M26_V123 [0.54, 'HomFave']", "M27_V123 [0.53, 'HomFave']", "M28_V123 [0.68, 'HomFave']", "M29_V123 [0.56, 'HomFave']", "M30_V123 [0.53, 'HomFave']", "M31_V123 [0.49, 'VisDog']", "M32_V123 [0.55, 'HomFave']", "M33_V123 [0.54, 'HomFave']", "M34_V123 [0.6, 'HomFave']", "M35_V123 [0.51, 'HomFave']", "M36_V123 [0.54, 'HomFave']", "M37_V123 [0.57, 'HomFave']", "M38_V123 [0.59, 'HomFave']", "M39_V123 [0.61, 'HomFave']", "M40_V123 [0.55, 'HomFave']", "M41_V123 [0.55, 'HomFave']", "M42_V123 [0.53, 'HomFave']", "M43_V123 [0.57, 'HomFave']", "M44_V123 [0.55, 'HomFave']", "M45_V123 [0.55, 'HomFave']", "M46_V123 [0.56, 'HomFave']", "M47_V123 [0.56, 'HomFave']", "M48_V123 [0.75, 'HomFave']", "M49_V123 [0.59, 'HomFave']", "M50_V123 [0.57, 'HomFave']", "M51_V123 [0.59, 'HomFave']", "M52_V123 [0.57, 'HomFave']", "M53_V123 [0.53, 'HomFave']", "M54_V123 [0.56, 'HomFave']", "M55_V123 [0.56, 'HomFave']", "M56_V123 [0.57, 'HomFave']"]</t>
  </si>
  <si>
    <t xml:space="preserve">824667. LineStatEns is NoPlay as bookie-line outside range. StatOnlyEns is NoPlay as bookie-line outside range. No play due to strategy constraints. </t>
  </si>
  <si>
    <t>20260616_MWK6.3_NYM@CIN_107</t>
  </si>
  <si>
    <t>["M1_V119 [0.46, 'VisFave']", "M2_V119 [0.47, 'VisFave']", "M3_V119 [0.47, 'VisFave']", "M4_V119 [0.44, 'VisFave']", "M5_V119 [0.44, 'VisFave']", "M6_V119 [0.44, 'VisFave']", "M7_V119 [0.49, 'VisFave']", "M8_V119 [0.46, 'VisFave']", "M9_V119 [0.33, 'VisFave']", "M10_V119 [0.45, 'VisFave']", "M11_V119 [0.19, 'VisFave']", "M12_V119 [0.42, 'VisFave']", "M13_V119 [0.45, 'VisFave']", "M14_V119 [0.46, 'VisFave']", "M15_V119 [0.39, 'VisFave']"]</t>
  </si>
  <si>
    <t>["M16_V123 [0.49, 'VisFave']", "M17_V123 [0.49, 'VisFave']", "M18_V123 [0.51, 'HomDog']", "M19_V123 [0.49, 'VisFave']", "M20_V123 [0.52, 'HomDog']", "M21_V123 [0.54, 'HomDog']", "M22_V123 [0.5, 'HomDog']", "M23_V123 [0.54, 'HomDog']", "M24_V123 [0.52, 'HomDog']", "M25_V123 [0.49, 'VisFave']", "M26_V123 [0.51, 'HomDog']", "M27_V123 [0.51, 'HomDog']", "M28_V123 [0.51, 'HomDog']", "M29_V123 [0.52, 'HomDog']", "M30_V123 [0.5, 'HomDog']", "M31_V123 [0.72, 'HomDog']", "M32_V123 [0.5, 'HomDog']", "M33_V123 [0.51, 'HomDog']", "M34_V123 [0.54, 'HomDog']", "M35_V123 [0.46, 'VisFave']", "M36_V123 [0.5, 'HomDog']", "M37_V123 [0.5, 'HomDog']", "M38_V123 [0.52, 'HomDog']", "M39_V123 [0.46, 'VisFave']", "M40_V123 [0.5, 'HomDog']", "M41_V123 [0.49, 'VisFave']", "M42_V123 [0.54, 'HomDog']", "M43_V123 [0.5, 'HomDog']", "M44_V123 [0.49, 'VisFave']", "M45_V123 [0.49, 'VisFave']", "M46_V123 [0.49, 'VisFave']", "M47_V123 [0.51, 'HomDog']", "M48_V123 [0.59, 'HomDog']", "M49_V123 [0.55, 'HomDog']", "M50_V123 [0.51, 'HomDog']", "M51_V123 [0.51, 'HomDog']", "M52_V123 [0.54, 'HomDog']", "M53_V123 [0.49, 'VisFave']", "M54_V123 [0.52, 'HomDog']", "M55_V123 [0.52, 'HomDog']", "M56_V123 [0.43, 'VisFave']"]</t>
  </si>
  <si>
    <t xml:space="preserve">824504. VF plays are disallowed. No play due to strategy constraints. </t>
  </si>
  <si>
    <t>20260616_MWK6.3_DET@HOU_-167</t>
  </si>
  <si>
    <t>-144.1 #</t>
  </si>
  <si>
    <t xml:space="preserve">824182. LineStatEns is NoPlay as bookie-line outside range. StatOnlyEns is NoPlay as bookie-line outside range. No play due to strategy constraints. </t>
  </si>
  <si>
    <t>20260616_MWK6.3_TB@LA_-144</t>
  </si>
  <si>
    <t>-117.3 #</t>
  </si>
  <si>
    <t>["M1_V119 [0.56, 'HomFave']", "M2_V119 [0.58, 'HomFave']", "M3_V119 [0.57, 'HomFave']", "M4_V119 [0.58, 'HomFave']", "M5_V119 [0.58, 'HomFave']", "M6_V119 [0.59, 'HomFave']", "M7_V119 [0.57, 'HomFave']", "M8_V119 [0.57, 'HomFave']", "M9_V119 [0.75, 'HomFave']", "M10_V119 [0.63, 'HomFave']", "M11_V119 [0.81, 'HomFave']", "M12_V119 [0.71, 'HomFave']", "M13_V119 [0.56, 'HomFave']", "M14_V119 [0.59, 'HomFave']", "M15_V119 [0.57, 'HomFave']"]</t>
  </si>
  <si>
    <t>["M16_V123 [0.54, 'HomFave']", "M17_V123 [0.54, 'HomFave']", "M18_V123 [0.57, 'HomFave']", "M19_V123 [0.53, 'HomFave']", "M20_V123 [0.58, 'HomFave']", "M21_V123 [0.55, 'HomFave']", "M22_V123 [0.52, 'HomFave']", "M23_V123 [0.56, 'HomFave']", "M24_V123 [0.54, 'HomFave']", "M25_V123 [0.54, 'HomFave']", "M26_V123 [0.53, 'HomFave']", "M27_V123 [0.53, 'HomFave']", "M28_V123 [0.56, 'HomFave']", "M29_V123 [0.52, 'HomFave']", "M30_V123 [0.54, 'HomFave']", "M31_V123 [0.61, 'HomFave']", "M32_V123 [0.55, 'HomFave']", "M33_V123 [0.57, 'HomFave']", "M34_V123 [0.54, 'HomFave']", "M35_V123 [0.55, 'HomFave']", "M36_V123 [0.52, 'HomFave']", "M37_V123 [0.55, 'HomFave']", "M38_V123 [0.55, 'HomFave']", "M39_V123 [0.51, 'HomFave']", "M40_V123 [0.53, 'HomFave']", "M41_V123 [0.52, 'HomFave']", "M42_V123 [0.52, 'HomFave']", "M43_V123 [0.55, 'HomFave']", "M44_V123 [0.54, 'HomFave']", "M45_V123 [0.53, 'HomFave']", "M46_V123 [0.53, 'HomFave']", "M47_V123 [0.53, 'HomFave']", "M48_V123 [0.67, 'HomFave']", "M49_V123 [0.52, 'HomFave']", "M50_V123 [0.5, 'HomFave']", "M51_V123 [0.55, 'HomFave']", "M52_V123 [0.57, 'HomFave']", "M53_V123 [0.52, 'HomFave']", "M54_V123 [0.55, 'HomFave']", "M55_V123 [0.54, 'HomFave']", "M56_V123 [0.52, 'HomFave']"]</t>
  </si>
  <si>
    <t xml:space="preserve">823939. LineStatEns probability points gap does not exceed threshold (no edge found)! StatOnlyEns probability points gap does not exceed threshold (no edge found)! No play due to strategy constraints. </t>
  </si>
  <si>
    <t>20260616_MWK6.3_KC@WAS_-131</t>
  </si>
  <si>
    <t>["M1_V119 [0.5, 'HomFave']", "M2_V119 [0.53, 'HomFave']", "M3_V119 [0.56, 'HomFave']", "M4_V119 [0.54, 'HomFave']", "M5_V119 [0.54, 'HomFave']", "M6_V119 [0.55, 'HomFave']", "M7_V119 [0.53, 'HomFave']", "M8_V119 [0.56, 'HomFave']", "M9_V119 [0.55, 'HomFave']", "M10_V119 [0.56, 'HomFave']", "M11_V119 [0.76, 'HomFave']", "M12_V119 [0.55, 'HomFave']", "M13_V119 [0.53, 'HomFave']", "M14_V119 [0.56, 'HomFave']", "M15_V119 [0.48, 'VisDog']"]</t>
  </si>
  <si>
    <t>["M16_V123 [0.5, 'HomFave']", "M17_V123 [0.52, 'HomFave']", "M18_V123 [0.52, 'HomFave']", "M19_V123 [0.55, 'HomFave']", "M20_V123 [0.52, 'HomFave']", "M21_V123 [0.53, 'HomFave']", "M22_V123 [0.52, 'HomFave']", "M23_V123 [0.5, 'HomFave']", "M24_V123 [0.52, 'HomFave']", "M25_V123 [0.52, 'HomFave']", "M26_V123 [0.51, 'HomFave']", "M27_V123 [0.51, 'HomFave']", "M28_V123 [0.52, 'HomFave']", "M29_V123 [0.51, 'HomFave']", "M30_V123 [0.52, 'HomFave']", "M31_V123 [0.79, 'HomFave']", "M32_V123 [0.5, 'HomFave']", "M33_V123 [0.55, 'HomFave']", "M34_V123 [0.55, 'HomFave']", "M35_V123 [0.52, 'HomFave']", "M36_V123 [0.49, 'VisDog']", "M37_V123 [0.53, 'HomFave']", "M38_V123 [0.53, 'HomFave']", "M39_V123 [0.51, 'HomFave']", "M40_V123 [0.5, 'HomFave']", "M41_V123 [0.5, 'HomFave']", "M42_V123 [0.52, 'HomFave']", "M43_V123 [0.53, 'HomFave']", "M44_V123 [0.51, 'HomFave']", "M45_V123 [0.51, 'HomFave']", "M46_V123 [0.46, 'VisDog']", "M47_V123 [0.54, 'HomFave']", "M48_V123 [0.48, 'VisDog']", "M49_V123 [0.55, 'HomFave']", "M50_V123 [0.52, 'HomFave']", "M51_V123 [0.52, 'HomFave']", "M52_V123 [0.52, 'HomFave']", "M53_V123 [0.52, 'HomFave']", "M54_V123 [0.52, 'HomFave']", "M55_V123 [0.53, 'HomFave']", "M56_V123 [0.5, 'HomFave']"]</t>
  </si>
  <si>
    <t xml:space="preserve">822723. LineStatEns probability points gap does not exceed threshold (no edge found)! StatOnlyEns probability points gap does not exceed threshold (no edge found)! No play due to strategy constraints. </t>
  </si>
  <si>
    <t>20260616_MWK6.3_CLE@MLW_-151</t>
  </si>
  <si>
    <t>-119.8 #</t>
  </si>
  <si>
    <t xml:space="preserve">823775. LineStatEns is NoPlay as bookie-line outside range. StatOnlyEns is NoPlay as bookie-line outside range. No play due to strategy constraints. </t>
  </si>
  <si>
    <t>20260616_MWK6.3_CWS@NYY_-138</t>
  </si>
  <si>
    <t>["M1_V119 [0.54, 'HomFave']", "M2_V119 [0.54, 'HomFave']", "M3_V119 [0.56, 'HomFave']", "M4_V119 [0.54, 'HomFave']", "M5_V119 [0.54, 'HomFave']", "M6_V119 [0.53, 'HomFave']", "M7_V119 [0.54, 'HomFave']", "M8_V119 [0.53, 'HomFave']", "M9_V119 [0.34, 'VisDog']", "M10_V119 [0.46, 'VisDog']", "M11_V119 [0.41, 'VisDog']", "M12_V119 [0.44, 'VisDog']", "M13_V119 [0.53, 'HomFave']", "M14_V119 [0.59, 'HomFave']", "M15_V119 [0.47, 'VisDog']"]</t>
  </si>
  <si>
    <t>["M16_V123 [0.54, 'HomFave']", "M17_V123 [0.54, 'HomFave']", "M18_V123 [0.54, 'HomFave']", "M19_V123 [0.55, 'HomFave']", "M20_V123 [0.57, 'HomFave']", "M21_V123 [0.55, 'HomFave']", "M22_V123 [0.52, 'HomFave']", "M23_V123 [0.58, 'HomFave']", "M24_V123 [0.55, 'HomFave']", "M25_V123 [0.54, 'HomFave']", "M26_V123 [0.53, 'HomFave']", "M27_V123 [0.54, 'HomFave']", "M28_V123 [0.53, 'HomFave']", "M29_V123 [0.53, 'HomFave']", "M30_V123 [0.54, 'HomFave']", "M31_V123 [0.51, 'HomFave']", "M32_V123 [0.54, 'HomFave']", "M33_V123 [0.57, 'HomFave']", "M34_V123 [0.56, 'HomFave']", "M35_V123 [0.58, 'HomFave']", "M36_V123 [0.56, 'HomFave']", "M37_V123 [0.56, 'HomFave']", "M38_V123 [0.51, 'HomFave']", "M39_V123 [0.54, 'HomFave']", "M40_V123 [0.55, 'HomFave']", "M41_V123 [0.53, 'HomFave']", "M42_V123 [0.5, 'HomFave']", "M43_V123 [0.55, 'HomFave']", "M44_V123 [0.54, 'HomFave']", "M45_V123 [0.54, 'HomFave']", "M46_V123 [0.53, 'HomFave']", "M47_V123 [0.54, 'HomFave']", "M48_V123 [0.67, 'HomFave']", "M49_V123 [0.56, 'HomFave']", "M50_V123 [0.55, 'HomFave']", "M51_V123 [0.54, 'HomFave']", "M52_V123 [0.53, 'HomFave']", "M53_V123 [0.57, 'HomFave']", "M54_V123 [0.54, 'HomFave']", "M55_V123 [0.54, 'HomFave']", "M56_V123 [0.51, 'HomFave']"]</t>
  </si>
  <si>
    <t xml:space="preserve">823535. LineStatEns probability points gap does not exceed threshold (no edge found)! StatOnlyEns probability points gap does not exceed threshold (no edge found)! No play due to strategy constraints. </t>
  </si>
  <si>
    <t>20260616_MWK6.3_PIT@OAK_-137</t>
  </si>
  <si>
    <t>["M1_V119 [0.53, 'HomFave']", "M2_V119 [0.56, 'HomFave']", "M3_V119 [0.55, 'HomFave']", "M4_V119 [0.57, 'HomFave']", "M5_V119 [0.57, 'HomFave']", "M6_V119 [0.53, 'HomFave']", "M7_V119 [0.55, 'HomFave']", "M8_V119 [0.56, 'HomFave']", "M9_V119 [0.73, 'HomFave']", "M10_V119 [0.6, 'HomFave']", "M11_V119 [0.42, 'VisDog']", "M12_V119 [0.6, 'HomFave']", "M13_V119 [0.54, 'HomFave']", "M14_V119 [0.59, 'HomFave']", "M15_V119 [0.58, 'HomFave']"]</t>
  </si>
  <si>
    <t>["M16_V123 [0.55, 'HomFave']", "M17_V123 [0.54, 'HomFave']", "M18_V123 [0.57, 'HomFave']", "M19_V123 [0.56, 'HomFave']", "M20_V123 [0.56, 'HomFave']", "M21_V123 [0.56, 'HomFave']", "M22_V123 [0.54, 'HomFave']", "M23_V123 [0.58, 'HomFave']", "M24_V123 [0.53, 'HomFave']", "M25_V123 [0.56, 'HomFave']", "M26_V123 [0.52, 'HomFave']", "M27_V123 [0.54, 'HomFave']", "M28_V123 [0.59, 'HomFave']", "M29_V123 [0.55, 'HomFave']", "M30_V123 [0.54, 'HomFave']", "M31_V123 [0.67, 'HomFave']", "M32_V123 [0.52, 'HomFave']", "M33_V123 [0.56, 'HomFave']", "M34_V123 [0.58, 'HomFave']", "M35_V123 [0.55, 'HomFave']", "M36_V123 [0.54, 'HomFave']", "M37_V123 [0.56, 'HomFave']", "M38_V123 [0.55, 'HomFave']", "M39_V123 [0.58, 'HomFave']", "M40_V123 [0.54, 'HomFave']", "M41_V123 [0.54, 'HomFave']", "M42_V123 [0.55, 'HomFave']", "M43_V123 [0.56, 'HomFave']", "M44_V123 [0.63, 'HomFave']", "M45_V123 [0.54, 'HomFave']", "M46_V123 [0.51, 'HomFave']", "M47_V123 [0.56, 'HomFave']", "M48_V123 [0.5, 'HomFave']", "M49_V123 [0.53, 'HomFave']", "M50_V123 [0.55, 'HomFave']", "M51_V123 [0.56, 'HomFave']", "M52_V123 [0.55, 'HomFave']", "M53_V123 [0.54, 'HomFave']", "M54_V123 [0.53, 'HomFave']", "M55_V123 [0.55, 'HomFave']", "M56_V123 [0.65, 'HomFave']"]</t>
  </si>
  <si>
    <t xml:space="preserve">824991. LineStatEns probability points gap does not exceed threshold (no edge found)! StatOnlyEns probability points gap does not exceed threshold (no edge found)! No play due to strategy constraints. </t>
  </si>
  <si>
    <t>20260616_MWK6.3_FLO@PHI_-165</t>
  </si>
  <si>
    <t>-187.1 #</t>
  </si>
  <si>
    <t>["M1_V119 [0.58, 'HomFave']", "M2_V119 [0.58, 'HomFave']", "M3_V119 [0.58, 'HomFave']", "M4_V119 [0.55, 'HomFave']", "M5_V119 [0.55, 'HomFave']", "M6_V119 [0.56, 'HomFave']", "M7_V119 [0.56, 'HomFave']", "M8_V119 [0.56, 'HomFave']", "M9_V119 [0.57, 'HomFave']", "M10_V119 [0.62, 'HomFave']", "M11_V119 [0.61, 'HomFave']", "M12_V119 [0.59, 'HomFave']", "M13_V119 [0.56, 'HomFave']", "M14_V119 [0.59, 'HomFave']", "M15_V119 [0.6, 'HomFave']"]</t>
  </si>
  <si>
    <t>["M16_V123 [0.53, 'HomFave']", "M17_V123 [0.54, 'HomFave']", "M18_V123 [0.54, 'HomFave']", "M19_V123 [0.55, 'HomFave']", "M20_V123 [0.57, 'HomFave']", "M21_V123 [0.54, 'HomFave']", "M22_V123 [0.53, 'HomFave']", "M23_V123 [0.56, 'HomFave']", "M24_V123 [0.54, 'HomFave']", "M25_V123 [0.56, 'HomFave']", "M26_V123 [0.54, 'HomFave']", "M27_V123 [0.54, 'HomFave']", "M28_V123 [0.54, 'HomFave']", "M29_V123 [0.55, 'HomFave']", "M30_V123 [0.53, 'HomFave']", "M31_V123 [0.51, 'HomFave']", "M32_V123 [0.55, 'HomFave']", "M33_V123 [0.56, 'HomFave']", "M34_V123 [0.56, 'HomFave']", "M35_V123 [0.57, 'HomFave']", "M36_V123 [0.54, 'HomFave']", "M37_V123 [0.55, 'HomFave']", "M38_V123 [0.57, 'HomFave']", "M39_V123 [0.52, 'HomFave']", "M40_V123 [0.55, 'HomFave']", "M41_V123 [0.53, 'HomFave']", "M42_V123 [0.56, 'HomFave']", "M43_V123 [0.55, 'HomFave']", "M44_V123 [0.54, 'HomFave']", "M45_V123 [0.55, 'HomFave']", "M46_V123 [0.51, 'HomFave']", "M47_V123 [0.56, 'HomFave']", "M48_V123 [0.6, 'HomFave']", "M49_V123 [0.56, 'HomFave']", "M50_V123 [0.55, 'HomFave']", "M51_V123 [0.6, 'HomFave']", "M52_V123 [0.56, 'HomFave']", "M53_V123 [0.52, 'HomFave']", "M54_V123 [0.54, 'HomFave']", "M55_V123 [0.57, 'HomFave']", "M56_V123 [0.61, 'HomFave']"]</t>
  </si>
  <si>
    <t xml:space="preserve">823451. LineStatEns is NoPlay as bookie-line outside range. StatOnlyEns is NoPlay as bookie-line outside range. No play due to strategy constraints. </t>
  </si>
  <si>
    <t>20260616_MWK6.3_BAL@SEA_-151</t>
  </si>
  <si>
    <t>-108.6 #</t>
  </si>
  <si>
    <t>-159.1 #</t>
  </si>
  <si>
    <t>["M1_V119 [0.59, 'HomFave']", "M2_V119 [0.56, 'HomFave']", "M3_V119 [0.56, 'HomFave']", "M4_V119 [0.57, 'HomFave']", "M5_V119 [0.57, 'HomFave']", "M6_V119 [0.54, 'HomFave']", "M7_V119 [0.57, 'HomFave']", "M8_V119 [0.55, 'HomFave']", "M9_V119 [0.52, 'HomFave']", "M10_V119 [0.57, 'HomFave']", "M11_V119 [0.62, 'HomFave']", "M12_V119 [0.55, 'HomFave']", "M13_V119 [0.54, 'HomFave']", "M14_V119 [0.59, 'HomFave']", "M15_V119 [0.57, 'HomFave']"]</t>
  </si>
  <si>
    <t>["M16_V123 [0.57, 'HomFave']", "M17_V123 [0.57, 'HomFave']", "M18_V123 [0.55, 'HomFave']", "M19_V123 [0.53, 'HomFave']", "M20_V123 [0.57, 'HomFave']", "M21_V123 [0.54, 'HomFave']", "M22_V123 [0.55, 'HomFave']", "M23_V123 [0.55, 'HomFave']", "M24_V123 [0.55, 'HomFave']", "M25_V123 [0.53, 'HomFave']", "M26_V123 [0.54, 'HomFave']", "M27_V123 [0.55, 'HomFave']", "M28_V123 [0.57, 'HomFave']", "M29_V123 [0.55, 'HomFave']", "M30_V123 [0.57, 'HomFave']", "M31_V123 [0.67, 'HomFave']", "M32_V123 [0.51, 'HomFave']", "M33_V123 [0.55, 'HomFave']", "M34_V123 [0.55, 'HomFave']", "M35_V123 [0.55, 'HomFave']", "M36_V123 [0.53, 'HomFave']", "M37_V123 [0.55, 'HomFave']", "M38_V123 [0.55, 'HomFave']", "M39_V123 [0.53, 'HomFave']", "M40_V123 [0.52, 'HomFave']", "M41_V123 [0.53, 'HomFave']", "M42_V123 [0.49, 'VisDog']", "M43_V123 [0.54, 'HomFave']", "M44_V123 [0.57, 'HomFave']", "M45_V123 [0.52, 'HomFave']", "M46_V123 [0.54, 'HomFave']", "M47_V123 [0.56, 'HomFave']", "M48_V123 [0.58, 'HomFave']", "M49_V123 [0.51, 'HomFave']", "M50_V123 [0.54, 'HomFave']", "M51_V123 [0.55, 'HomFave']", "M52_V123 [0.53, 'HomFave']", "M53_V123 [0.55, 'HomFave']", "M54_V123 [0.55, 'HomFave']", "M55_V123 [0.53, 'HomFave']", "M56_V123 [0.58, 'HomFave']"]</t>
  </si>
  <si>
    <t xml:space="preserve">823128. LineStatEns is NoPlay as bookie-line outside range. StatOnlyEns is NoPlay as bookie-line outside range. No play due to strategy constraints. </t>
  </si>
  <si>
    <t>20260616_MWK6.3_SD@STL_-113</t>
  </si>
  <si>
    <t>["M1_V119 [0.52, 'HomFave']", "M2_V119 [0.52, 'HomFave']", "M3_V119 [0.55, 'HomFave']", "M4_V119 [0.54, 'HomFave']", "M5_V119 [0.54, 'HomFave']", "M6_V119 [0.54, 'HomFave']", "M7_V119 [0.52, 'HomFave']", "M8_V119 [0.54, 'HomFave']", "M9_V119 [0.66, 'HomFave']", "M10_V119 [0.53, 'HomFave']", "M11_V119 [0.77, 'HomFave']", "M12_V119 [0.55, 'HomFave']", "M13_V119 [0.51, 'HomFave']", "M14_V119 [0.56, 'HomFave']", "M15_V119 [0.48, 'VisDog']"]</t>
  </si>
  <si>
    <t>["M16_V123 [0.53, 'HomFave']", "M17_V123 [0.5, 'HomFave']", "M18_V123 [0.54, 'HomFave']", "M19_V123 [0.53, 'HomFave']", "M20_V123 [0.5, 'HomFave']", "M21_V123 [0.55, 'HomFave']", "M22_V123 [0.51, 'HomFave']", "M23_V123 [0.52, 'HomFave']", "M24_V123 [0.53, 'HomFave']", "M25_V123 [0.49, 'VisDog']", "M26_V123 [0.51, 'HomFave']", "M27_V123 [0.49, 'VisDog']", "M28_V123 [0.57, 'HomFave']", "M29_V123 [0.48, 'VisDog']", "M30_V123 [0.5, 'HomFave']", "M31_V123 [0.58, 'HomFave']", "M32_V123 [0.49, 'VisDog']", "M33_V123 [0.51, 'HomFave']", "M34_V123 [0.53, 'HomFave']", "M35_V123 [0.52, 'HomFave']", "M36_V123 [0.5, 'HomFave']", "M37_V123 [0.5, 'HomFave']", "M38_V123 [0.53, 'HomFave']", "M39_V123 [0.53, 'HomFave']", "M40_V123 [0.51, 'HomFave']", "M41_V123 [0.51, 'HomFave']", "M42_V123 [0.53, 'HomFave']", "M43_V123 [0.53, 'HomFave']", "M44_V123 [0.53, 'HomFave']", "M45_V123 [0.5, 'HomFave']", "M46_V123 [0.45, 'VisDog']", "M47_V123 [0.52, 'HomFave']", "M48_V123 [0.65, 'HomFave']", "M49_V123 [0.5, 'HomFave']", "M50_V123 [0.52, 'HomFave']", "M51_V123 [0.54, 'HomFave']", "M52_V123 [0.51, 'HomFave']", "M53_V123 [0.52, 'HomFave']", "M54_V123 [0.54, 'HomFave']", "M55_V123 [0.51, 'HomFave']", "M56_V123 [0.62, 'HomFave']"]</t>
  </si>
  <si>
    <t xml:space="preserve">823045. StatOnlyEns probability points gap does not exceed threshold (no edge found)! Play determined by LineStatEns only. </t>
  </si>
  <si>
    <t>20260616_MWK6.3_MIN@TEX_-120</t>
  </si>
  <si>
    <t>20260617_MWK6.3_SF@ATL_-169</t>
  </si>
  <si>
    <t>["M1_V119 [0.58, 'HomFave']", "M2_V119 [0.59, 'HomFave']", "M3_V119 [0.58, 'HomFave']", "M4_V119 [0.58, 'HomFave']", "M5_V119 [0.58, 'HomFave']", "M6_V119 [0.56, 'HomFave']", "M7_V119 [0.57, 'HomFave']", "M8_V119 [0.57, 'HomFave']", "M9_V119 [0.66, 'HomFave']", "M10_V119 [0.66, 'HomFave']", "M11_V119 [0.79, 'HomFave']", "M12_V119 [0.61, 'HomFave']", "M13_V119 [0.54, 'HomFave']", "M14_V119 [0.59, 'HomFave']", "M15_V119 [0.59, 'HomFave']"]</t>
  </si>
  <si>
    <t>["M16_V123 [0.53, 'HomFave']", "M17_V123 [0.57, 'HomFave']", "M18_V123 [0.59, 'HomFave']", "M19_V123 [0.56, 'HomFave']", "M20_V123 [0.56, 'HomFave']", "M21_V123 [0.57, 'HomFave']", "M22_V123 [0.55, 'HomFave']", "M23_V123 [0.56, 'HomFave']", "M24_V123 [0.57, 'HomFave']", "M25_V123 [0.57, 'HomFave']", "M26_V123 [0.56, 'HomFave']", "M27_V123 [0.54, 'HomFave']", "M28_V123 [0.54, 'HomFave']", "M29_V123 [0.57, 'HomFave']", "M30_V123 [0.55, 'HomFave']", "M31_V123 [0.62, 'HomFave']", "M32_V123 [0.56, 'HomFave']", "M33_V123 [0.59, 'HomFave']", "M34_V123 [0.6, 'HomFave']", "M35_V123 [0.56, 'HomFave']", "M36_V123 [0.53, 'HomFave']", "M37_V123 [0.58, 'HomFave']", "M38_V123 [0.55, 'HomFave']", "M39_V123 [0.57, 'HomFave']", "M40_V123 [0.55, 'HomFave']", "M41_V123 [0.54, 'HomFave']", "M42_V123 [0.53, 'HomFave']", "M43_V123 [0.55, 'HomFave']", "M44_V123 [0.56, 'HomFave']", "M45_V123 [0.54, 'HomFave']", "M46_V123 [0.54, 'HomFave']", "M47_V123 [0.56, 'HomFave']", "M48_V123 [0.57, 'HomFave']", "M49_V123 [0.57, 'HomFave']", "M50_V123 [0.56, 'HomFave']", "M51_V123 [0.58, 'HomFave']", "M52_V123 [0.58, 'HomFave']", "M53_V123 [0.52, 'HomFave']", "M54_V123 [0.57, 'HomFave']", "M55_V123 [0.54, 'HomFave']", "M56_V123 [0.51, 'HomFave']"]</t>
  </si>
  <si>
    <t>20260617_MWK6.3_SF@ATL_-137</t>
  </si>
  <si>
    <t>["M1_V119 [0.58, 'HomFave']", "M2_V119 [0.59, 'HomFave']", "M3_V119 [0.58, 'HomFave']", "M4_V119 [0.58, 'HomFave']", "M5_V119 [0.58, 'HomFave']", "M6_V119 [0.56, 'HomFave']", "M7_V119 [0.57, 'HomFave']", "M8_V119 [0.58, 'HomFave']", "M9_V119 [0.65, 'HomFave']", "M10_V119 [0.65, 'HomFave']", "M11_V119 [0.8, 'HomFave']", "M12_V119 [0.6, 'HomFave']", "M13_V119 [0.54, 'HomFave']", "M14_V119 [0.59, 'HomFave']", "M15_V119 [0.59, 'HomFave']"]</t>
  </si>
  <si>
    <t>["M16_V123 [0.52, 'HomFave']", "M17_V123 [0.57, 'HomFave']", "M18_V123 [0.59, 'HomFave']", "M19_V123 [0.57, 'HomFave']", "M20_V123 [0.56, 'HomFave']", "M21_V123 [0.58, 'HomFave']", "M22_V123 [0.55, 'HomFave']", "M23_V123 [0.55, 'HomFave']", "M24_V123 [0.56, 'HomFave']", "M25_V123 [0.57, 'HomFave']", "M26_V123 [0.56, 'HomFave']", "M27_V123 [0.54, 'HomFave']", "M28_V123 [0.55, 'HomFave']", "M29_V123 [0.57, 'HomFave']", "M30_V123 [0.55, 'HomFave']", "M31_V123 [0.73, 'HomFave']", "M32_V123 [0.57, 'HomFave']", "M33_V123 [0.59, 'HomFave']", "M34_V123 [0.61, 'HomFave']", "M35_V123 [0.57, 'HomFave']", "M36_V123 [0.54, 'HomFave']", "M37_V123 [0.58, 'HomFave']", "M38_V123 [0.57, 'HomFave']", "M39_V123 [0.59, 'HomFave']", "M40_V123 [0.55, 'HomFave']", "M41_V123 [0.54, 'HomFave']", "M42_V123 [0.56, 'HomFave']", "M43_V123 [0.56, 'HomFave']", "M44_V123 [0.55, 'HomFave']", "M45_V123 [0.54, 'HomFave']", "M46_V123 [0.53, 'HomFave']", "M47_V123 [0.56, 'HomFave']", "M48_V123 [0.59, 'HomFave']", "M49_V123 [0.57, 'HomFave']", "M50_V123 [0.56, 'HomFave']", "M51_V123 [0.59, 'HomFave']", "M52_V123 [0.58, 'HomFave']", "M53_V123 [0.53, 'HomFave']", "M54_V123 [0.57, 'HomFave']", "M55_V123 [0.55, 'HomFave']", "M56_V123 [0.52, 'HomFave']"]</t>
  </si>
  <si>
    <t xml:space="preserve">824913. StatOnlyEns probability points gap does not exceed threshold (no edge found)! Play determined by LineStatEns only. </t>
  </si>
  <si>
    <t>20260617_MWK6.3_LAA@ARZ_-163</t>
  </si>
  <si>
    <t>-149.0 #</t>
  </si>
  <si>
    <t xml:space="preserve">825072. LineStatEns is NoPlay as bookie-line outside range. StatOnlyEns is NoPlay as bookie-line outside range. No play due to strategy constraints. </t>
  </si>
  <si>
    <t>20260617_MWK6.3_TOR@BOS_-124</t>
  </si>
  <si>
    <t>-152.6 #</t>
  </si>
  <si>
    <t>["M1_V119 [0.55, 'HomFave']", "M2_V119 [0.53, 'HomFave']", "M3_V119 [0.55, 'HomFave']", "M4_V119 [0.5, 'HomFave']", "M5_V119 [0.5, 'HomFave']", "M6_V119 [0.56, 'HomFave']", "M7_V119 [0.54, 'HomFave']", "M8_V119 [0.55, 'HomFave']", "M9_V119 [0.38, 'VisDog']", "M10_V119 [0.62, 'HomFave']", "M11_V119 [0.55, 'HomFave']", "M12_V119 [0.52, 'HomFave']", "M13_V119 [0.52, 'HomFave']", "M14_V119 [0.56, 'HomFave']", "M15_V119 [0.54, 'HomFave']"]</t>
  </si>
  <si>
    <t>["M16_V123 [0.49, 'VisDog']", "M17_V123 [0.48, 'VisDog']", "M18_V123 [0.51, 'HomFave']", "M19_V123 [0.48, 'VisDog']", "M20_V123 [0.5, 'HomFave']", "M21_V123 [0.49, 'VisDog']", "M22_V123 [0.51, 'HomFave']", "M23_V123 [0.49, 'VisDog']", "M24_V123 [0.5, 'HomFave']", "M25_V123 [0.5, 'HomFave']", "M26_V123 [0.5, 'HomFave']", "M27_V123 [0.5, 'HomFave']", "M28_V123 [0.46, 'VisDog']", "M29_V123 [0.49, 'VisDog']", "M30_V123 [0.49, 'VisDog']", "M31_V123 [0.24, 'VisDog']", "M32_V123 [0.48, 'VisDog']", "M33_V123 [0.51, 'HomFave']", "M34_V123 [0.51, 'HomFave']", "M35_V123 [0.53, 'HomFave']", "M36_V123 [0.49, 'VisDog']", "M37_V123 [0.48, 'VisDog']", "M38_V123 [0.5, 'HomFave']", "M39_V123 [0.41, 'VisDog']", "M40_V123 [0.5, 'HomFave']", "M41_V123 [0.49, 'VisDog']", "M42_V123 [0.54, 'HomFave']", "M43_V123 [0.48, 'VisDog']", "M44_V123 [0.45, 'VisDog']", "M45_V123 [0.5, 'HomFave']", "M46_V123 [0.43, 'VisDog']", "M47_V123 [0.49, 'VisDog']", "M48_V123 [0.25, 'VisDog']", "M49_V123 [0.5, 'HomFave']", "M50_V123 [0.48, 'VisDog']", "M51_V123 [0.51, 'HomFave']", "M52_V123 [0.51, 'HomFave']", "M53_V123 [0.46, 'VisDog']", "M54_V123 [0.48, 'VisDog']", "M55_V123 [0.49, 'VisDog']", "M56_V123 [0.37, 'VisDog']"]</t>
  </si>
  <si>
    <t xml:space="preserve">824746. LineStatEns probability points gap does not exceed threshold (no edge found)! No play due to strategy constraints. </t>
  </si>
  <si>
    <t>20260617_MWK6.3_COL@CHC_-180</t>
  </si>
  <si>
    <t>-163.5 #</t>
  </si>
  <si>
    <t>["M1_V119 [0.62, 'HomFave']", "M2_V119 [0.58, 'HomFave']", "M3_V119 [0.58, 'HomFave']", "M4_V119 [0.58, 'HomFave']", "M5_V119 [0.58, 'HomFave']", "M6_V119 [0.59, 'HomFave']", "M7_V119 [0.57, 'HomFave']", "M8_V119 [0.56, 'HomFave']", "M9_V119 [0.65, 'HomFave']", "M10_V119 [0.55, 'HomFave']", "M11_V119 [0.67, 'HomFave']", "M12_V119 [0.64, 'HomFave']", "M13_V119 [0.58, 'HomFave']", "M14_V119 [0.59, 'HomFave']", "M15_V119 [0.64, 'HomFave']"]</t>
  </si>
  <si>
    <t>["M16_V123 [0.58, 'HomFave']", "M17_V123 [0.54, 'HomFave']", "M18_V123 [0.56, 'HomFave']", "M19_V123 [0.55, 'HomFave']", "M20_V123 [0.58, 'HomFave']", "M21_V123 [0.57, 'HomFave']", "M22_V123 [0.58, 'HomFave']", "M23_V123 [0.57, 'HomFave']", "M24_V123 [0.57, 'HomFave']", "M25_V123 [0.56, 'HomFave']", "M26_V123 [0.55, 'HomFave']", "M27_V123 [0.55, 'HomFave']", "M28_V123 [0.65, 'HomFave']", "M29_V123 [0.56, 'HomFave']", "M30_V123 [0.55, 'HomFave']", "M31_V123 [0.47, 'VisDog']", "M32_V123 [0.55, 'HomFave']", "M33_V123 [0.56, 'HomFave']", "M34_V123 [0.58, 'HomFave']", "M35_V123 [0.53, 'HomFave']", "M36_V123 [0.52, 'HomFave']", "M37_V123 [0.57, 'HomFave']", "M38_V123 [0.58, 'HomFave']", "M39_V123 [0.58, 'HomFave']", "M40_V123 [0.55, 'HomFave']", "M41_V123 [0.55, 'HomFave']", "M42_V123 [0.54, 'HomFave']", "M43_V123 [0.56, 'HomFave']", "M44_V123 [0.54, 'HomFave']", "M45_V123 [0.55, 'HomFave']", "M46_V123 [0.53, 'HomFave']", "M47_V123 [0.55, 'HomFave']", "M48_V123 [0.61, 'HomFave']", "M49_V123 [0.57, 'HomFave']", "M50_V123 [0.56, 'HomFave']", "M51_V123 [0.58, 'HomFave']", "M52_V123 [0.57, 'HomFave']", "M53_V123 [0.53, 'HomFave']", "M54_V123 [0.56, 'HomFave']", "M55_V123 [0.56, 'HomFave']", "M56_V123 [0.55, 'HomFave']"]</t>
  </si>
  <si>
    <t xml:space="preserve">824668. LineStatEns is NoPlay as bookie-line outside range. StatOnlyEns is NoPlay as bookie-line outside range. No play due to strategy constraints. </t>
  </si>
  <si>
    <t>20260617_MWK6.3_NYM@CIN_113</t>
  </si>
  <si>
    <t>["M1_V119 [0.44, 'VisFave']", "M2_V119 [0.44, 'VisFave']", "M3_V119 [0.45, 'VisFave']", "M4_V119 [0.44, 'VisFave']", "M5_V119 [0.44, 'VisFave']", "M6_V119 [0.43, 'VisFave']", "M7_V119 [0.45, 'VisFave']", "M8_V119 [0.43, 'VisFave']", "M9_V119 [0.45, 'VisFave']", "M10_V119 [0.41, 'VisFave']", "M11_V119 [0.22, 'VisFave']", "M12_V119 [0.35, 'VisFave']", "M13_V119 [0.44, 'VisFave']", "M14_V119 [0.44, 'VisFave']", "M15_V119 [0.4, 'VisFave']"]</t>
  </si>
  <si>
    <t>["M16_V123 [0.5, 'HomDog']", "M17_V123 [0.46, 'VisFave']", "M18_V123 [0.5, 'HomDog']", "M19_V123 [0.47, 'VisFave']", "M20_V123 [0.49, 'VisFave']", "M21_V123 [0.5, 'HomDog']", "M22_V123 [0.46, 'VisFave']", "M23_V123 [0.46, 'VisFave']", "M24_V123 [0.49, 'VisFave']", "M25_V123 [0.47, 'VisFave']", "M26_V123 [0.47, 'VisFave']", "M27_V123 [0.49, 'VisFave']", "M28_V123 [0.47, 'VisFave']", "M29_V123 [0.5, 'HomDog']", "M30_V123 [0.49, 'VisFave']", "M31_V123 [0.66, 'HomDog']", "M32_V123 [0.45, 'VisFave']", "M33_V123 [0.48, 'VisFave']", "M34_V123 [0.49, 'VisFave']", "M35_V123 [0.48, 'VisFave']", "M36_V123 [0.44, 'VisFave']", "M37_V123 [0.47, 'VisFave']", "M38_V123 [0.48, 'VisFave']", "M39_V123 [0.48, 'VisFave']", "M40_V123 [0.46, 'VisFave']", "M41_V123 [0.47, 'VisFave']", "M42_V123 [0.46, 'VisFave']", "M43_V123 [0.46, 'VisFave']", "M44_V123 [0.46, 'VisFave']", "M45_V123 [0.45, 'VisFave']", "M46_V123 [0.43, 'VisFave']", "M47_V123 [0.49, 'VisFave']", "M48_V123 [0.4, 'VisFave']", "M49_V123 [0.53, 'HomDog']", "M50_V123 [0.47, 'VisFave']", "M51_V123 [0.49, 'VisFave']", "M52_V123 [0.49, 'VisFave']", "M53_V123 [0.46, 'VisFave']", "M54_V123 [0.47, 'VisFave']", "M55_V123 [0.47, 'VisFave']", "M56_V123 [0.35, 'VisFave']"]</t>
  </si>
  <si>
    <t xml:space="preserve">824503. VF plays are disallowed. No play due to strategy constraints. </t>
  </si>
  <si>
    <t>20260617_MWK6.3_DET@HOU_-103</t>
  </si>
  <si>
    <t xml:space="preserve">824178. VF plays are disallowed. No play due to strategy constraints. </t>
  </si>
  <si>
    <t>20260617_MWK6.3_TB@LA_-181</t>
  </si>
  <si>
    <t>-117.4 #</t>
  </si>
  <si>
    <t xml:space="preserve">823940. LineStatEns is NoPlay as bookie-line outside range. StatOnlyEns is NoPlay as bookie-line outside range. No play due to strategy constraints. </t>
  </si>
  <si>
    <t>20260617_MWK6.3_KC@WAS_-125</t>
  </si>
  <si>
    <t>["M1_V119 [0.53, 'HomFave']", "M2_V119 [0.53, 'HomFave']", "M3_V119 [0.55, 'HomFave']", "M4_V119 [0.54, 'HomFave']", "M5_V119 [0.54, 'HomFave']", "M6_V119 [0.55, 'HomFave']", "M7_V119 [0.53, 'HomFave']", "M8_V119 [0.55, 'HomFave']", "M9_V119 [0.27, 'VisDog']", "M10_V119 [0.59, 'HomFave']", "M11_V119 [0.51, 'HomFave']", "M12_V119 [0.56, 'HomFave']", "M13_V119 [0.54, 'HomFave']", "M14_V119 [0.51, 'HomFave']", "M15_V119 [0.52, 'HomFave']"]</t>
  </si>
  <si>
    <t>["M16_V123 [0.5, 'HomFave']", "M17_V123 [0.53, 'HomFave']", "M18_V123 [0.53, 'HomFave']", "M19_V123 [0.53, 'HomFave']", "M20_V123 [0.52, 'HomFave']", "M21_V123 [0.55, 'HomFave']", "M22_V123 [0.51, 'HomFave']", "M23_V123 [0.51, 'HomFave']", "M24_V123 [0.53, 'HomFave']", "M25_V123 [0.51, 'HomFave']", "M26_V123 [0.52, 'HomFave']", "M27_V123 [0.53, 'HomFave']", "M28_V123 [0.46, 'VisDog']", "M29_V123 [0.51, 'HomFave']", "M30_V123 [0.53, 'HomFave']", "M31_V123 [0.42, 'VisDog']", "M32_V123 [0.51, 'HomFave']", "M33_V123 [0.49, 'VisDog']", "M34_V123 [0.55, 'HomFave']", "M35_V123 [0.48, 'VisDog']", "M36_V123 [0.5, 'HomFave']", "M37_V123 [0.52, 'HomFave']", "M38_V123 [0.53, 'HomFave']", "M39_V123 [0.5, 'HomFave']", "M40_V123 [0.54, 'HomFave']", "M41_V123 [0.51, 'HomFave']", "M42_V123 [0.52, 'HomFave']", "M43_V123 [0.53, 'HomFave']", "M44_V123 [0.52, 'HomFave']", "M45_V123 [0.52, 'HomFave']", "M46_V123 [0.46, 'VisDog']", "M47_V123 [0.53, 'HomFave']", "M48_V123 [0.46, 'VisDog']", "M49_V123 [0.52, 'HomFave']", "M50_V123 [0.51, 'HomFave']", "M51_V123 [0.52, 'HomFave']", "M52_V123 [0.54, 'HomFave']", "M53_V123 [0.52, 'HomFave']", "M54_V123 [0.53, 'HomFave']", "M55_V123 [0.53, 'HomFave']", "M56_V123 [0.46, 'VisDog']"]</t>
  </si>
  <si>
    <t xml:space="preserve">822721. LineStatEns probability points gap does not exceed threshold (no edge found)! StatOnlyEns probability points gap does not exceed threshold (no edge found)! No play due to strategy constraints. </t>
  </si>
  <si>
    <t>20260617_MWK6.3_CLE@MLW_-118</t>
  </si>
  <si>
    <t>-119.7 #</t>
  </si>
  <si>
    <t>["M1_V119 [0.51, 'HomFave']", "M2_V119 [0.51, 'HomFave']", "M3_V119 [0.51, 'HomFave']", "M4_V119 [0.55, 'HomFave']", "M5_V119 [0.55, 'HomFave']", "M6_V119 [0.52, 'HomFave']", "M7_V119 [0.52, 'HomFave']", "M8_V119 [0.5, 'HomFave']", "M9_V119 [0.58, 'HomFave']", "M10_V119 [0.61, 'HomFave']", "M11_V119 [0.52, 'HomFave']", "M12_V119 [0.6, 'HomFave']", "M13_V119 [0.5, 'HomFave']", "M14_V119 [0.56, 'HomFave']", "M15_V119 [0.52, 'HomFave']"]</t>
  </si>
  <si>
    <t>["M16_V123 [0.47, 'VisDog']", "M17_V123 [0.48, 'VisDog']", "M18_V123 [0.47, 'VisDog']", "M19_V123 [0.49, 'VisDog']", "M20_V123 [0.49, 'VisDog']", "M21_V123 [0.49, 'VisDog']", "M22_V123 [0.5, 'HomFave']", "M23_V123 [0.49, 'VisDog']", "M24_V123 [0.49, 'VisDog']", "M25_V123 [0.48, 'VisDog']", "M26_V123 [0.47, 'VisDog']", "M27_V123 [0.51, 'HomFave']", "M28_V123 [0.47, 'VisDog']", "M29_V123 [0.51, 'HomFave']", "M30_V123 [0.5, 'HomFave']", "M31_V123 [0.24, 'VisDog']", "M32_V123 [0.49, 'VisDog']", "M33_V123 [0.5, 'HomFave']", "M34_V123 [0.49, 'VisDog']", "M35_V123 [0.52, 'HomFave']", "M36_V123 [0.48, 'VisDog']", "M37_V123 [0.52, 'HomFave']", "M38_V123 [0.5, 'HomFave']", "M39_V123 [0.45, 'VisDog']", "M40_V123 [0.5, 'HomFave']", "M41_V123 [0.48, 'VisDog']", "M42_V123 [0.5, 'HomFave']", "M43_V123 [0.47, 'VisDog']", "M44_V123 [0.47, 'VisDog']", "M45_V123 [0.48, 'VisDog']", "M46_V123 [0.5, 'HomFave']", "M47_V123 [0.49, 'VisDog']", "M48_V123 [0.36, 'VisDog']", "M49_V123 [0.51, 'HomFave']", "M50_V123 [0.47, 'VisDog']", "M51_V123 [0.51, 'HomFave']", "M52_V123 [0.48, 'VisDog']", "M53_V123 [0.45, 'VisDog']", "M54_V123 [0.48, 'VisDog']", "M55_V123 [0.48, 'VisDog']", "M56_V123 [0.33, 'VisDog']"]</t>
  </si>
  <si>
    <t xml:space="preserve">823774. LineStatEns probability points gap does not exceed threshold (no edge found)! No play due to strategy constraints. </t>
  </si>
  <si>
    <t>20260617_MWK6.3_CWS@NYY_-170</t>
  </si>
  <si>
    <t>-113.1 #</t>
  </si>
  <si>
    <t>["M1_V119 [0.59, 'HomFave']", "M2_V119 [0.56, 'HomFave']", "M3_V119 [0.58, 'HomFave']", "M4_V119 [0.56, 'HomFave']", "M5_V119 [0.56, 'HomFave']", "M6_V119 [0.56, 'HomFave']", "M7_V119 [0.55, 'HomFave']", "M8_V119 [0.56, 'HomFave']", "M9_V119 [0.44, 'VisDog']", "M10_V119 [0.43, 'VisDog']", "M11_V119 [0.26, 'VisDog']", "M12_V119 [0.53, 'HomFave']", "M13_V119 [0.55, 'HomFave']", "M14_V119 [0.59, 'HomFave']", "M15_V119 [0.52, 'HomFave']"]</t>
  </si>
  <si>
    <t>["M16_V123 [0.55, 'HomFave']", "M17_V123 [0.58, 'HomFave']", "M18_V123 [0.58, 'HomFave']", "M19_V123 [0.57, 'HomFave']", "M20_V123 [0.58, 'HomFave']", "M21_V123 [0.56, 'HomFave']", "M22_V123 [0.57, 'HomFave']", "M23_V123 [0.58, 'HomFave']", "M24_V123 [0.59, 'HomFave']", "M25_V123 [0.56, 'HomFave']", "M26_V123 [0.55, 'HomFave']", "M27_V123 [0.54, 'HomFave']", "M28_V123 [0.61, 'HomFave']", "M29_V123 [0.58, 'HomFave']", "M30_V123 [0.57, 'HomFave']", "M31_V123 [0.34, 'VisDog']", "M32_V123 [0.57, 'HomFave']", "M33_V123 [0.6, 'HomFave']", "M34_V123 [0.6, 'HomFave']", "M35_V123 [0.62, 'HomFave']", "M36_V123 [0.55, 'HomFave']", "M37_V123 [0.59, 'HomFave']", "M38_V123 [0.58, 'HomFave']", "M39_V123 [0.6, 'HomFave']", "M40_V123 [0.57, 'HomFave']", "M41_V123 [0.56, 'HomFave']", "M42_V123 [0.49, 'VisDog']", "M43_V123 [0.58, 'HomFave']", "M44_V123 [0.56, 'HomFave']", "M45_V123 [0.57, 'HomFave']", "M46_V123 [0.58, 'HomFave']", "M47_V123 [0.57, 'HomFave']", "M48_V123 [0.72, 'HomFave']", "M49_V123 [0.52, 'HomFave']", "M50_V123 [0.59, 'HomFave']", "M51_V123 [0.6, 'HomFave']", "M52_V123 [0.58, 'HomFave']", "M53_V123 [0.55, 'HomFave']", "M54_V123 [0.58, 'HomFave']", "M55_V123 [0.57, 'HomFave']", "M56_V123 [0.48, 'VisDog']"]</t>
  </si>
  <si>
    <t xml:space="preserve">823536. LineStatEns is NoPlay as bookie-line outside range. StatOnlyEns is NoPlay as bookie-line outside range. No play due to strategy constraints. </t>
  </si>
  <si>
    <t>20260617_MWK6.3_PIT@OAK_104</t>
  </si>
  <si>
    <t>["M1_V119 [0.49, 'VisFave']", "M2_V119 [0.46, 'VisFave']", "M3_V119 [0.5, 'HomDog']", "M4_V119 [0.49, 'VisFave']", "M5_V119 [0.49, 'VisFave']", "M6_V119 [0.47, 'VisFave']", "M7_V119 [0.46, 'VisFave']", "M8_V119 [0.51, 'HomDog']", "M9_V119 [0.7, 'HomDog']", "M10_V119 [0.57, 'HomDog']", "M11_V119 [0.56, 'HomDog']", "M12_V119 [0.58, 'HomDog']", "M13_V119 [0.48, 'VisFave']", "M14_V119 [0.51, 'HomDog']", "M15_V119 [0.51, 'HomDog']"]</t>
  </si>
  <si>
    <t>["M16_V123 [0.51, 'HomDog']", "M17_V123 [0.53, 'HomDog']", "M18_V123 [0.54, 'HomDog']", "M19_V123 [0.52, 'HomDog']", "M20_V123 [0.51, 'HomDog']", "M21_V123 [0.53, 'HomDog']", "M22_V123 [0.51, 'HomDog']", "M23_V123 [0.53, 'HomDog']", "M24_V123 [0.49, 'VisFave']", "M25_V123 [0.49, 'VisFave']", "M26_V123 [0.51, 'HomDog']", "M27_V123 [0.52, 'HomDog']", "M28_V123 [0.64, 'HomDog']", "M29_V123 [0.51, 'HomDog']", "M30_V123 [0.51, 'HomDog']", "M31_V123 [0.66, 'HomDog']", "M32_V123 [0.51, 'HomDog']", "M33_V123 [0.56, 'HomDog']", "M34_V123 [0.53, 'HomDog']", "M35_V123 [0.54, 'HomDog']", "M36_V123 [0.5, 'HomDog']", "M37_V123 [0.52, 'HomDog']", "M38_V123 [0.51, 'HomDog']", "M39_V123 [0.52, 'HomDog']", "M40_V123 [0.5, 'HomDog']", "M41_V123 [0.51, 'HomDog']", "M42_V123 [0.54, 'HomDog']", "M43_V123 [0.52, 'HomDog']", "M44_V123 [0.59, 'HomDog']", "M45_V123 [0.52, 'HomDog']", "M46_V123 [0.49, 'VisFave']", "M47_V123 [0.49, 'VisFave']", "M48_V123 [0.61, 'HomDog']", "M49_V123 [0.5, 'HomDog']", "M50_V123 [0.5, 'HomDog']", "M51_V123 [0.53, 'HomDog']", "M52_V123 [0.53, 'HomDog']", "M53_V123 [0.53, 'HomDog']", "M54_V123 [0.53, 'HomDog']", "M55_V123 [0.51, 'HomDog']", "M56_V123 [0.72, 'HomDog']"]</t>
  </si>
  <si>
    <t xml:space="preserve">824992. Play determined by LineStatEns and StatOnlyEns agreement. </t>
  </si>
  <si>
    <t>20260617_MWK6.3_FLO@PHI_-111</t>
  </si>
  <si>
    <t>["M1_V119 [0.5, 'HomFave']", "M2_V119 [0.52, 'HomFave']", "M3_V119 [0.54, 'HomFave']", "M4_V119 [0.5, 'HomFave']", "M5_V119 [0.5, 'HomFave']", "M6_V119 [0.51, 'HomFave']", "M7_V119 [0.52, 'HomFave']", "M8_V119 [0.5, 'HomFave']", "M9_V119 [0.68, 'HomFave']", "M10_V119 [0.53, 'HomFave']", "M11_V119 [0.68, 'HomFave']", "M12_V119 [0.54, 'HomFave']", "M13_V119 [0.51, 'HomFave']", "M14_V119 [0.56, 'HomFave']", "M15_V119 [0.48, 'VisDog']"]</t>
  </si>
  <si>
    <t xml:space="preserve">823450. StatOnlyEns probability points gap does not exceed threshold (no edge found)! Play determined by LineStatEns only. </t>
  </si>
  <si>
    <t>20260617_MWK6.3_BAL@SEA_-139</t>
  </si>
  <si>
    <t>-109.0 #</t>
  </si>
  <si>
    <t>["M1_V119 [0.56, 'HomFave']", "M2_V119 [0.57, 'HomFave']", "M3_V119 [0.57, 'HomFave']", "M4_V119 [0.56, 'HomFave']", "M5_V119 [0.56, 'HomFave']", "M6_V119 [0.54, 'HomFave']", "M7_V119 [0.56, 'HomFave']", "M8_V119 [0.56, 'HomFave']", "M9_V119 [0.46, 'VisDog']", "M10_V119 [0.5, 'HomFave']", "M11_V119 [0.43, 'VisDog']", "M12_V119 [0.47, 'VisDog']", "M13_V119 [0.53, 'HomFave']", "M14_V119 [0.59, 'HomFave']", "M15_V119 [0.48, 'VisDog']"]</t>
  </si>
  <si>
    <t>["M16_V123 [0.57, 'HomFave']", "M17_V123 [0.57, 'HomFave']", "M18_V123 [0.56, 'HomFave']", "M19_V123 [0.55, 'HomFave']", "M20_V123 [0.55, 'HomFave']", "M21_V123 [0.56, 'HomFave']", "M22_V123 [0.53, 'HomFave']", "M23_V123 [0.55, 'HomFave']", "M24_V123 [0.55, 'HomFave']", "M25_V123 [0.56, 'HomFave']", "M26_V123 [0.54, 'HomFave']", "M27_V123 [0.54, 'HomFave']", "M28_V123 [0.57, 'HomFave']", "M29_V123 [0.54, 'HomFave']", "M30_V123 [0.55, 'HomFave']", "M31_V123 [0.48, 'VisDog']", "M32_V123 [0.54, 'HomFave']", "M33_V123 [0.59, 'HomFave']", "M34_V123 [0.55, 'HomFave']", "M35_V123 [0.55, 'HomFave']", "M36_V123 [0.53, 'HomFave']", "M37_V123 [0.56, 'HomFave']", "M38_V123 [0.55, 'HomFave']", "M39_V123 [0.52, 'HomFave']", "M40_V123 [0.54, 'HomFave']", "M41_V123 [0.52, 'HomFave']", "M42_V123 [0.51, 'HomFave']", "M43_V123 [0.55, 'HomFave']", "M44_V123 [0.53, 'HomFave']", "M45_V123 [0.53, 'HomFave']", "M46_V123 [0.5, 'HomFave']", "M47_V123 [0.55, 'HomFave']", "M48_V123 [0.54, 'HomFave']", "M49_V123 [0.52, 'HomFave']", "M50_V123 [0.56, 'HomFave']", "M51_V123 [0.56, 'HomFave']", "M52_V123 [0.55, 'HomFave']", "M53_V123 [0.56, 'HomFave']", "M54_V123 [0.56, 'HomFave']", "M55_V123 [0.56, 'HomFave']", "M56_V123 [0.64, 'HomFave']"]</t>
  </si>
  <si>
    <t xml:space="preserve">823127. LineStatEns probability points gap does not exceed threshold (no edge found)! StatOnlyEns probability points gap does not exceed threshold (no edge found)! No play due to strategy constraints. </t>
  </si>
  <si>
    <t>20260617_MWK6.3_SD@STL_-124</t>
  </si>
  <si>
    <t>["M1_V119 [0.51, 'HomFave']", "M2_V119 [0.5, 'HomFave']", "M3_V119 [0.51, 'HomFave']", "M4_V119 [0.5, 'HomFave']", "M5_V119 [0.5, 'HomFave']", "M6_V119 [0.55, 'HomFave']", "M7_V119 [0.52, 'HomFave']", "M8_V119 [0.51, 'HomFave']", "M9_V119 [0.39, 'VisDog']", "M10_V119 [0.43, 'VisDog']", "M11_V119 [0.49, 'VisDog']", "M12_V119 [0.47, 'VisDog']", "M13_V119 [0.51, 'HomFave']", "M14_V119 [0.56, 'HomFave']", "M15_V119 [0.45, 'VisDog']"]</t>
  </si>
  <si>
    <t>["M16_V123 [0.51, 'HomFave']", "M17_V123 [0.48, 'VisDog']", "M18_V123 [0.5, 'HomFave']", "M19_V123 [0.51, 'HomFave']", "M20_V123 [0.53, 'HomFave']", "M21_V123 [0.53, 'HomFave']", "M22_V123 [0.52, 'HomFave']", "M23_V123 [0.49, 'VisDog']", "M24_V123 [0.51, 'HomFave']", "M25_V123 [0.53, 'HomFave']", "M26_V123 [0.51, 'HomFave']", "M27_V123 [0.53, 'HomFave']", "M28_V123 [0.49, 'VisDog']", "M29_V123 [0.5, 'HomFave']", "M30_V123 [0.5, 'HomFave']", "M31_V123 [0.53, 'HomFave']", "M32_V123 [0.46, 'VisDog']", "M33_V123 [0.48, 'VisDog']", "M34_V123 [0.52, 'HomFave']", "M35_V123 [0.49, 'VisDog']", "M36_V123 [0.5, 'HomFave']", "M37_V123 [0.53, 'HomFave']", "M38_V123 [0.5, 'HomFave']", "M39_V123 [0.54, 'HomFave']", "M40_V123 [0.46, 'VisDog']", "M41_V123 [0.51, 'HomFave']", "M42_V123 [0.46, 'VisDog']", "M43_V123 [0.49, 'VisDog']", "M44_V123 [0.52, 'HomFave']", "M45_V123 [0.48, 'VisDog']", "M46_V123 [0.46, 'VisDog']", "M47_V123 [0.5, 'HomFave']", "M48_V123 [0.41, 'VisDog']", "M49_V123 [0.49, 'VisDog']", "M50_V123 [0.5, 'HomFave']", "M51_V123 [0.51, 'HomFave']", "M52_V123 [0.49, 'VisDog']", "M53_V123 [0.51, 'HomFave']", "M54_V123 [0.52, 'HomFave']", "M55_V123 [0.48, 'VisDog']", "M56_V123 [0.4, 'VisDog']"]</t>
  </si>
  <si>
    <t xml:space="preserve">823044. LineStatEns probability points gap does not exceed threshold (no edge found)! StatOnlyEns probability points gap does not exceed threshold (no edge found)! No play due to strategy constraints. </t>
  </si>
  <si>
    <t xml:space="preserve">824911. LineStatEns probability points gap does not exceed threshold (no edge found)! StatOnlyEns probability points gap does not exceed threshold (no edge found)! No play due to strategy constraints. </t>
  </si>
  <si>
    <t>["M16_V123 [0.48, 'VisDog']", "M17_V123 [0.47, 'VisDog']", "M18_V123 [0.49, 'VisDog']", "M19_V123 [0.5, 'HomFave']", "M20_V123 [0.48, 'VisDog']", "M21_V123 [0.51, 'HomFave']", "M22_V123 [0.48, 'VisDog']", "M23_V123 [0.48, 'VisDog']", "M24_V123 [0.48, 'VisDog']", "M25_V123 [0.47, 'VisDog']", "M26_V123 [0.48, 'VisDog']", "M27_V123 [0.49, 'VisDog']", "M28_V123 [0.5, 'HomFave']", "M29_V123 [0.49, 'VisDog']", "M30_V123 [0.49, 'VisDog']", "M31_V123 [0.33, 'VisDog']", "M32_V123 [0.47, 'VisDog']", "M33_V123 [0.49, 'VisDog']", "M34_V123 [0.49, 'VisDog']", "M35_V123 [0.45, 'VisDog']", "M36_V123 [0.44, 'VisDog']", "M37_V123 [0.48, 'VisDog']", "M38_V123 [0.49, 'VisDog']", "M39_V123 [0.48, 'VisDog']", "M40_V123 [0.48, 'VisDog']", "M41_V123 [0.47, 'VisDog']", "M42_V123 [0.49, 'VisDog']", "M43_V123 [0.47, 'VisDog']", "M44_V123 [0.42, 'VisDog']", "M45_V123 [0.49, 'VisDog']", "M46_V123 [0.44, 'VisDog']", "M47_V123 [0.49, 'VisDog']", "M48_V123 [0.5, 'HomFave']", "M49_V123 [0.5, 'HomFave']", "M50_V123 [0.44, 'VisDog']", "M51_V123 [0.5, 'HomFave']", "M52_V123 [0.51, 'HomFave']", "M53_V123 [0.45, 'VisDog']", "M54_V123 [0.49, 'VisDog']", "M55_V123 [0.5, 'HomFave']", "M56_V123 [0.55, 'HomFave']"]</t>
  </si>
  <si>
    <t xml:space="preserve">824748. LineStatEns probability points gap does not exceed threshold (no edge found)! No play due to strategy constraints. </t>
  </si>
  <si>
    <t xml:space="preserve">824098. LineStatEns probability points gap does not exceed threshold (no edge found)! No play due to strategy constraints. </t>
  </si>
  <si>
    <t>-120.2 #</t>
  </si>
  <si>
    <t>-113.3 #</t>
  </si>
  <si>
    <t xml:space="preserve">823533. LineStatEns is NoPlay as bookie-line outside range. StatOnlyEns is NoPlay as bookie-line outside range. No play due to strategy constraints. </t>
  </si>
  <si>
    <t>-237.5 #</t>
  </si>
  <si>
    <t>["M16_V123 [0.6, 'HomFave']", "M17_V123 [0.57, 'HomFave']", "M18_V123 [0.6, 'HomFave']", "M19_V123 [0.56, 'HomFave']", "M20_V123 [0.59, 'HomFave']", "M21_V123 [0.59, 'HomFave']", "M22_V123 [0.56, 'HomFave']", "M23_V123 [0.54, 'HomFave']", "M24_V123 [0.56, 'HomFave']", "M25_V123 [0.59, 'HomFave']", "M26_V123 [0.58, 'HomFave']", "M27_V123 [0.58, 'HomFave']", "M28_V123 [0.65, 'HomFave']", "M29_V123 [0.54, 'HomFave']", "M30_V123 [0.58, 'HomFave']", "M31_V123 [0.77, 'HomFave']", "M32_V123 [0.56, 'HomFave']", "M33_V123 [0.59, 'HomFave']", "M34_V123 [0.57, 'HomFave']", "M35_V123 [0.56, 'HomFave']", "M36_V123 [0.56, 'HomFave']", "M37_V123 [0.58, 'HomFave']", "M38_V123 [0.57, 'HomFave']", "M39_V123 [0.57, 'HomFave']", "M40_V123 [0.55, 'HomFave']", "M41_V123 [0.56, 'HomFave']", "M42_V123 [0.53, 'HomFave']", "M43_V123 [0.57, 'HomFave']", "M44_V123 [0.62, 'HomFave']", "M45_V123 [0.56, 'HomFave']", "M46_V123 [0.52, 'HomFave']", "M47_V123 [0.57, 'HomFave']", "M48_V123 [0.67, 'HomFave']", "M49_V123 [0.56, 'HomFave']", "M50_V123 [0.55, 'HomFave']", "M51_V123 [0.56, 'HomFave']", "M52_V123 [0.58, 'HomFave']", "M53_V123 [0.57, 'HomFave']", "M54_V123 [0.58, 'HomFave']", "M55_V123 [0.57, 'HomFave']", "M56_V123 [0.75, 'HomFave']"]</t>
  </si>
  <si>
    <t xml:space="preserve">823448. StatOnlyEns probability points gap does not exceed threshold (no edge found)! Play determined by LineStatEns only. </t>
  </si>
  <si>
    <t>-108.1 #</t>
  </si>
  <si>
    <t>-138.4 #</t>
  </si>
  <si>
    <t>["M16_V123 [0.54, 'HomFave']", "M17_V123 [0.56, 'HomFave']", "M18_V123 [0.58, 'HomFave']", "M19_V123 [0.56, 'HomFave']", "M20_V123 [0.58, 'HomFave']", "M21_V123 [0.54, 'HomFave']", "M22_V123 [0.55, 'HomFave']", "M23_V123 [0.55, 'HomFave']", "M24_V123 [0.56, 'HomFave']", "M25_V123 [0.58, 'HomFave']", "M26_V123 [0.55, 'HomFave']", "M27_V123 [0.55, 'HomFave']", "M28_V123 [0.55, 'HomFave']", "M29_V123 [0.54, 'HomFave']", "M30_V123 [0.56, 'HomFave']", "M31_V123 [0.61, 'HomFave']", "M32_V123 [0.55, 'HomFave']", "M33_V123 [0.59, 'HomFave']", "M34_V123 [0.57, 'HomFave']", "M35_V123 [0.59, 'HomFave']", "M36_V123 [0.55, 'HomFave']", "M37_V123 [0.59, 'HomFave']", "M38_V123 [0.59, 'HomFave']", "M39_V123 [0.56, 'HomFave']", "M40_V123 [0.56, 'HomFave']", "M41_V123 [0.55, 'HomFave']", "M42_V123 [0.53, 'HomFave']", "M43_V123 [0.57, 'HomFave']", "M44_V123 [0.55, 'HomFave']", "M45_V123 [0.55, 'HomFave']", "M46_V123 [0.53, 'HomFave']", "M47_V123 [0.58, 'HomFave']", "M48_V123 [0.48, 'VisDog']", "M49_V123 [0.48, 'VisDog']", "M50_V123 [0.56, 'HomFave']", "M51_V123 [0.56, 'HomFave']", "M52_V123 [0.56, 'HomFave']", "M53_V123 [0.56, 'HomFave']", "M54_V123 [0.57, 'HomFave']", "M55_V123 [0.55, 'HomFave']", "M56_V123 [0.48, 'VisDog']"]</t>
  </si>
  <si>
    <t xml:space="preserve">823125. LineStatEns probability points gap does not exceed threshold (no edge found)! StatOnlyEns probability points gap does not exceed threshold (no edge found)! No play due to strategy constraints. </t>
  </si>
  <si>
    <t>20260619_MWK6.3_MLW@ATL_143</t>
  </si>
  <si>
    <t>-119.9 #</t>
  </si>
  <si>
    <t>-200.0 #</t>
  </si>
  <si>
    <t>["M1_V119 [0.4, 'VisFave']", "M2_V119 [0.4, 'VisFave']", "M3_V119 [0.44, 'VisFave']", "M4_V119 [0.44, 'VisFave']", "M5_V119 [0.44, 'VisFave']", "M6_V119 [0.41, 'VisFave']", "M7_V119 [0.39, 'VisFave']", "M8_V119 [0.44, 'VisFave']", "M9_V119 [0.33, 'VisFave']", "M10_V119 [0.38, 'VisFave']", "M11_V119 [0.45, 'VisFave']", "M12_V119 [0.45, 'VisFave']", "M13_V119 [0.41, 'VisFave']", "M14_V119 [0.45, 'VisFave']", "M15_V119 [0.45, 'VisFave']"]</t>
  </si>
  <si>
    <t>["M16_V123 [0.47, 'VisFave']", "M17_V123 [0.44, 'VisFave']", "M18_V123 [0.47, 'VisFave']", "M19_V123 [0.46, 'VisFave']", "M20_V123 [0.46, 'VisFave']", "M21_V123 [0.47, 'VisFave']", "M22_V123 [0.44, 'VisFave']", "M23_V123 [0.44, 'VisFave']", "M24_V123 [0.47, 'VisFave']", "M25_V123 [0.41, 'VisFave']", "M26_V123 [0.45, 'VisFave']", "M27_V123 [0.43, 'VisFave']", "M28_V123 [0.4, 'VisFave']", "M29_V123 [0.46, 'VisFave']", "M30_V123 [0.44, 'VisFave']", "M31_V123 [0.58, 'HomDog']", "M32_V123 [0.42, 'VisFave']", "M33_V123 [0.44, 'VisFave']", "M34_V123 [0.46, 'VisFave']", "M35_V123 [0.44, 'VisFave']", "M36_V123 [0.41, 'VisFave']", "M37_V123 [0.43, 'VisFave']", "M38_V123 [0.47, 'VisFave']", "M39_V123 [0.39, 'VisFave']", "M40_V123 [0.44, 'VisFave']", "M41_V123 [0.44, 'VisFave']", "M42_V123 [0.47, 'VisFave']", "M43_V123 [0.43, 'VisFave']", "M44_V123 [0.4, 'VisFave']", "M45_V123 [0.45, 'VisFave']", "M46_V123 [0.44, 'VisFave']", "M47_V123 [0.45, 'VisFave']", "M48_V123 [0.35, 'VisFave']", "M49_V123 [0.5, 'HomDog']", "M50_V123 [0.44, 'VisFave']", "M51_V123 [0.44, 'VisFave']", "M52_V123 [0.45, 'VisFave']", "M53_V123 [0.42, 'VisFave']", "M54_V123 [0.45, 'VisFave']", "M55_V123 [0.45, 'VisFave']", "M56_V123 [0.36, 'VisFave']"]</t>
  </si>
  <si>
    <t xml:space="preserve">824910. VF plays are disallowed. No play due to strategy constraints. </t>
  </si>
  <si>
    <t>20260619_MWK6.3_MIN@ARZ_-165</t>
  </si>
  <si>
    <t xml:space="preserve">825069. LineStatEns is NoPlay as bookie-line outside range. StatOnlyEns is NoPlay as bookie-line outside range. No play due to strategy constraints. </t>
  </si>
  <si>
    <t>20260619_MWK6.3_TOR@CHC_-120</t>
  </si>
  <si>
    <t xml:space="preserve">824663. LineStatEns probability points gap does not exceed threshold (no edge found)! StatOnlyEns probability points gap does not exceed threshold (no edge found)! No play due to strategy constraints. </t>
  </si>
  <si>
    <t>20260619_MWK6.3_PIT@COL_122</t>
  </si>
  <si>
    <t xml:space="preserve">824345. VF plays are disallowed. No play due to strategy constraints. </t>
  </si>
  <si>
    <t>20260619_MWK6.3_CWS@DET_-182</t>
  </si>
  <si>
    <t xml:space="preserve">824264. LineStatEns is NoPlay as bookie-line outside range. StatOnlyEns is NoPlay as bookie-line outside range. No play due to strategy constraints. </t>
  </si>
  <si>
    <t>20260619_MWK6.3_SF@FLO_-111</t>
  </si>
  <si>
    <t>-183.3 #</t>
  </si>
  <si>
    <t>20260619_MWK6.3_CLE@HOU_-121</t>
  </si>
  <si>
    <t>20260619_MWK6.3_STL@KC_105</t>
  </si>
  <si>
    <t>-141.1 #</t>
  </si>
  <si>
    <t xml:space="preserve">824097. VF plays are disallowed. No play due to strategy constraints. </t>
  </si>
  <si>
    <t>20260619_MWK6.3_BAL@LA_-206</t>
  </si>
  <si>
    <t>-117.6 #</t>
  </si>
  <si>
    <t>-213.2 #</t>
  </si>
  <si>
    <t xml:space="preserve">823936. LineStatEns is NoPlay as bookie-line outside range. StatOnlyEns is NoPlay as bookie-line outside range. No play due to strategy constraints. </t>
  </si>
  <si>
    <t>20260619_MWK6.3_CIN@NYY_-269</t>
  </si>
  <si>
    <t>-113.5 #</t>
  </si>
  <si>
    <t>-169.2 #</t>
  </si>
  <si>
    <t xml:space="preserve">823534. LineStatEns is NoPlay as bookie-line outside range. StatOnlyEns is NoPlay as bookie-line outside range. No play due to strategy constraints. </t>
  </si>
  <si>
    <t>20260619_MWK6.3_LAA@OAK_-153</t>
  </si>
  <si>
    <t xml:space="preserve">824990. LineStatEns is NoPlay as bookie-line outside range. StatOnlyEns is NoPlay as bookie-line outside range. No play due to strategy constraints. </t>
  </si>
  <si>
    <t>20260619_MWK6.3_BOS@SEA_-108</t>
  </si>
  <si>
    <t xml:space="preserve">823124. Play determined by StatOnlyEns when it disagrees with LineStatEns. </t>
  </si>
  <si>
    <t>20260619_MWK6.3_WAS@TB_-119</t>
  </si>
  <si>
    <t xml:space="preserve">822966. LineStatEns probability points gap does not exceed threshold (no edge found)! StatOnlyEns probability points gap does not exceed threshold (no edge found)! No play due to strategy constraints. </t>
  </si>
  <si>
    <t>20260619_MWK6.3_SD@TEX_-154</t>
  </si>
  <si>
    <t xml:space="preserve">822886. LineStatEns is NoPlay as bookie-line outside range. StatOnlyEns is NoPlay as bookie-line outside range. No play due to strategy constraints. </t>
  </si>
  <si>
    <t>-120.0 #</t>
  </si>
  <si>
    <t xml:space="preserve">825068. LineStatEns probability points gap does not exceed threshold (no edge found)! StatOnlyEns probability points gap does not exceed threshold (no edge found)! No play due to strategy constraints. </t>
  </si>
  <si>
    <t>20260620_MWK6.3_TOR@CHC_-126</t>
  </si>
  <si>
    <t>["M1_V119 [0.58, 'HomFave']", "M2_V119 [0.57, 'HomFave']", "M3_V119 [0.58, 'HomFave']", "M4_V119 [0.56, 'HomFave']", "M5_V119 [0.56, 'HomFave']", "M6_V119 [0.56, 'HomFave']", "M7_V119 [0.54, 'HomFave']", "M8_V119 [0.55, 'HomFave']", "M9_V119 [0.42, 'VisDog']", "M10_V119 [0.48, 'VisDog']", "M11_V119 [0.54, 'HomFave']", "M12_V119 [0.54, 'HomFave']", "M13_V119 [0.53, 'HomFave']", "M14_V119 [0.59, 'HomFave']", "M15_V119 [0.56, 'HomFave']"]</t>
  </si>
  <si>
    <t xml:space="preserve">824665. Play determined by LineStatEns and StatOnlyEns agreement. </t>
  </si>
  <si>
    <t>-230.0 #</t>
  </si>
  <si>
    <t>["M16_V123 [0.43, 'VisFave']", "M17_V123 [0.44, 'VisFave']", "M18_V123 [0.45, 'VisFave']", "M19_V123 [0.44, 'VisFave']", "M20_V123 [0.45, 'VisFave']", "M21_V123 [0.45, 'VisFave']", "M22_V123 [0.43, 'VisFave']", "M23_V123 [0.44, 'VisFave']", "M24_V123 [0.46, 'VisFave']", "M25_V123 [0.42, 'VisFave']", "M26_V123 [0.44, 'VisFave']", "M27_V123 [0.42, 'VisFave']", "M28_V123 [0.35, 'VisFave']", "M29_V123 [0.44, 'VisFave']", "M30_V123 [0.44, 'VisFave']", "M31_V123 [0.29, 'VisFave']", "M32_V123 [0.43, 'VisFave']", "M33_V123 [0.45, 'VisFave']", "M34_V123 [0.45, 'VisFave']", "M35_V123 [0.45, 'VisFave']", "M36_V123 [0.41, 'VisFave']", "M37_V123 [0.44, 'VisFave']", "M38_V123 [0.44, 'VisFave']", "M39_V123 [0.39, 'VisFave']", "M40_V123 [0.42, 'VisFave']", "M41_V123 [0.43, 'VisFave']", "M42_V123 [0.44, 'VisFave']", "M43_V123 [0.44, 'VisFave']", "M44_V123 [0.38, 'VisFave']", "M45_V123 [0.44, 'VisFave']", "M46_V123 [0.42, 'VisFave']", "M47_V123 [0.44, 'VisFave']", "M48_V123 [0.2, 'VisFave']", "M49_V123 [0.51, 'HomDog']", "M50_V123 [0.43, 'VisFave']", "M51_V123 [0.46, 'VisFave']", "M52_V123 [0.47, 'VisFave']", "M53_V123 [0.42, 'VisFave']", "M54_V123 [0.45, 'VisFave']", "M55_V123 [0.43, 'VisFave']", "M56_V123 [0.29, 'VisFave']"]</t>
  </si>
  <si>
    <t xml:space="preserve">824342. LineStatEns is NoPlay as bookie-line outside range. StatOnlyEns is NoPlay as bookie-line outside range. No play due to strategy constraints. </t>
  </si>
  <si>
    <t xml:space="preserve">824263. V_SP is Null, team-based avg used. NoPlay as V_SP is Null. </t>
  </si>
  <si>
    <t xml:space="preserve">824180. LineStatEns probability points gap does not exceed threshold (no edge found)! StatOnlyEns probability points gap does not exceed threshold (no edge found)! No play due to strategy constraints. </t>
  </si>
  <si>
    <t>-118.3 #</t>
  </si>
  <si>
    <t xml:space="preserve">823937. LineStatEns is NoPlay as bookie-line outside range. StatOnlyEns is NoPlay as bookie-line outside range. No play due to strategy constraints. </t>
  </si>
  <si>
    <t>-113.6 #</t>
  </si>
  <si>
    <t>["M16_V123 [0.56, 'HomFave']", "M17_V123 [0.55, 'HomFave']", "M18_V123 [0.59, 'HomFave']", "M19_V123 [0.58, 'HomFave']", "M20_V123 [0.58, 'HomFave']", "M21_V123 [0.56, 'HomFave']", "M22_V123 [0.57, 'HomFave']", "M23_V123 [0.57, 'HomFave']", "M24_V123 [0.57, 'HomFave']", "M25_V123 [0.54, 'HomFave']", "M26_V123 [0.57, 'HomFave']", "M27_V123 [0.58, 'HomFave']", "M28_V123 [0.59, 'HomFave']", "M29_V123 [0.57, 'HomFave']", "M30_V123 [0.57, 'HomFave']", "M31_V123 [0.56, 'HomFave']", "M32_V123 [0.56, 'HomFave']", "M33_V123 [0.59, 'HomFave']", "M34_V123 [0.58, 'HomFave']", "M35_V123 [0.54, 'HomFave']", "M36_V123 [0.54, 'HomFave']", "M37_V123 [0.58, 'HomFave']", "M38_V123 [0.54, 'HomFave']", "M39_V123 [0.53, 'HomFave']", "M40_V123 [0.55, 'HomFave']", "M41_V123 [0.55, 'HomFave']", "M42_V123 [0.53, 'HomFave']", "M43_V123 [0.58, 'HomFave']", "M44_V123 [0.57, 'HomFave']", "M45_V123 [0.56, 'HomFave']", "M46_V123 [0.57, 'HomFave']", "M47_V123 [0.56, 'HomFave']", "M48_V123 [0.77, 'HomFave']", "M49_V123 [0.53, 'HomFave']", "M50_V123 [0.57, 'HomFave']", "M51_V123 [0.59, 'HomFave']", "M52_V123 [0.59, 'HomFave']", "M53_V123 [0.55, 'HomFave']", "M54_V123 [0.56, 'HomFave']", "M55_V123 [0.58, 'HomFave']", "M56_V123 [0.68, 'HomFave']"]</t>
  </si>
  <si>
    <t xml:space="preserve">823532. LineStatEns is NoPlay as bookie-line outside range. StatOnlyEns is NoPlay as bookie-line outside range. No play due to strategy constraints. </t>
  </si>
  <si>
    <t xml:space="preserve">824988. LineStatEns is NoPlay as bookie-line outside range. StatOnlyEns is NoPlay as bookie-line outside range. No play due to strategy constraints. </t>
  </si>
  <si>
    <t>["M16_V123 [0.53, 'HomFave']", "M17_V123 [0.55, 'HomFave']", "M18_V123 [0.55, 'HomFave']", "M19_V123 [0.54, 'HomFave']", "M20_V123 [0.57, 'HomFave']", "M21_V123 [0.56, 'HomFave']", "M22_V123 [0.53, 'HomFave']", "M23_V123 [0.55, 'HomFave']", "M24_V123 [0.56, 'HomFave']", "M25_V123 [0.54, 'HomFave']", "M26_V123 [0.54, 'HomFave']", "M27_V123 [0.52, 'HomFave']", "M28_V123 [0.56, 'HomFave']", "M29_V123 [0.54, 'HomFave']", "M30_V123 [0.57, 'HomFave']", "M31_V123 [0.65, 'HomFave']", "M32_V123 [0.51, 'HomFave']", "M33_V123 [0.54, 'HomFave']", "M34_V123 [0.56, 'HomFave']", "M35_V123 [0.47, 'VisDog']", "M36_V123 [0.52, 'HomFave']", "M37_V123 [0.53, 'HomFave']", "M38_V123 [0.55, 'HomFave']", "M39_V123 [0.54, 'HomFave']", "M40_V123 [0.54, 'HomFave']", "M41_V123 [0.52, 'HomFave']", "M42_V123 [0.5, 'HomFave']", "M43_V123 [0.54, 'HomFave']", "M44_V123 [0.55, 'HomFave']", "M45_V123 [0.53, 'HomFave']", "M46_V123 [0.49, 'VisDog']", "M47_V123 [0.55, 'HomFave']", "M48_V123 [0.51, 'HomFave']", "M49_V123 [0.5, 'HomFave']", "M50_V123 [0.53, 'HomFave']", "M51_V123 [0.56, 'HomFave']", "M52_V123 [0.56, 'HomFave']", "M53_V123 [0.51, 'HomFave']", "M54_V123 [0.55, 'HomFave']", "M55_V123 [0.55, 'HomFave']", "M56_V123 [0.59, 'HomFave']"]</t>
  </si>
  <si>
    <t xml:space="preserve">823447. LineStatEns is NoPlay as bookie-line outside range. StatOnlyEns is NoPlay as bookie-line outside range. No play due to strategy constraints. </t>
  </si>
  <si>
    <t>-107.7 #</t>
  </si>
  <si>
    <t>["M16_V123 [0.52, 'HomFave']", "M17_V123 [0.54, 'HomFave']", "M18_V123 [0.54, 'HomFave']", "M19_V123 [0.54, 'HomFave']", "M20_V123 [0.55, 'HomFave']", "M21_V123 [0.53, 'HomFave']", "M22_V123 [0.51, 'HomFave']", "M23_V123 [0.52, 'HomFave']", "M24_V123 [0.54, 'HomFave']", "M25_V123 [0.55, 'HomFave']", "M26_V123 [0.52, 'HomFave']", "M27_V123 [0.53, 'HomFave']", "M28_V123 [0.49, 'VisDog']", "M29_V123 [0.53, 'HomFave']", "M30_V123 [0.53, 'HomFave']", "M31_V123 [0.52, 'HomFave']", "M32_V123 [0.54, 'HomFave']", "M33_V123 [0.57, 'HomFave']", "M34_V123 [0.54, 'HomFave']", "M35_V123 [0.55, 'HomFave']", "M36_V123 [0.52, 'HomFave']", "M37_V123 [0.57, 'HomFave']", "M38_V123 [0.53, 'HomFave']", "M39_V123 [0.55, 'HomFave']", "M40_V123 [0.52, 'HomFave']", "M41_V123 [0.51, 'HomFave']", "M42_V123 [0.5, 'HomFave']", "M43_V123 [0.55, 'HomFave']", "M44_V123 [0.53, 'HomFave']", "M45_V123 [0.52, 'HomFave']", "M46_V123 [0.55, 'HomFave']", "M47_V123 [0.54, 'HomFave']", "M48_V123 [0.51, 'HomFave']", "M49_V123 [0.57, 'HomFave']", "M50_V123 [0.52, 'HomFave']", "M51_V123 [0.55, 'HomFave']", "M52_V123 [0.53, 'HomFave']", "M53_V123 [0.53, 'HomFave']", "M54_V123 [0.55, 'HomFave']", "M55_V123 [0.56, 'HomFave']", "M56_V123 [0.47, 'VisDog']"]</t>
  </si>
  <si>
    <t xml:space="preserve">823126. LineStatEns probability points gap does not exceed threshold (no edge found)! StatOnlyEns probability points gap does not exceed threshold (no edge found)! No play due to strategy constraints. </t>
  </si>
  <si>
    <t>-157.5 #</t>
  </si>
  <si>
    <t xml:space="preserve">825067. H_SP is Null, team-based avg used. NoPlay as H_SP is Null. </t>
  </si>
  <si>
    <t>20260621_MWK6.3_TOR@CHC_104</t>
  </si>
  <si>
    <t>-164.3 #</t>
  </si>
  <si>
    <t>-112.9 #</t>
  </si>
  <si>
    <t xml:space="preserve">824664. VF plays are disallowed. No play due to strategy constraints. </t>
  </si>
  <si>
    <t>-218.4 #</t>
  </si>
  <si>
    <t>20260621_MWK6.3_BAL@LA_-228</t>
  </si>
  <si>
    <t>-153.8 #</t>
  </si>
  <si>
    <t xml:space="preserve">823934. LineStatEns is NoPlay as bookie-line outside range. StatOnlyEns is NoPlay as bookie-line outside range. No play due to strategy constraints. </t>
  </si>
  <si>
    <t>-345.5 #</t>
  </si>
  <si>
    <t>-112.8 #</t>
  </si>
  <si>
    <t xml:space="preserve">824987. LineStatEns probability points gap does not exceed threshold (no edge found)! No play due to strategy constraints. </t>
  </si>
  <si>
    <t>-156.4 #</t>
  </si>
  <si>
    <t>["M16_V123 [0.52, 'HomFave']", "M17_V123 [0.56, 'HomFave']", "M18_V123 [0.55, 'HomFave']", "M19_V123 [0.52, 'HomFave']", "M20_V123 [0.58, 'HomFave']", "M21_V123 [0.54, 'HomFave']", "M22_V123 [0.53, 'HomFave']", "M23_V123 [0.56, 'HomFave']", "M24_V123 [0.56, 'HomFave']", "M25_V123 [0.55, 'HomFave']", "M26_V123 [0.54, 'HomFave']", "M27_V123 [0.54, 'HomFave']", "M28_V123 [0.58, 'HomFave']", "M29_V123 [0.56, 'HomFave']", "M30_V123 [0.56, 'HomFave']", "M31_V123 [0.72, 'HomFave']", "M32_V123 [0.53, 'HomFave']", "M33_V123 [0.55, 'HomFave']", "M34_V123 [0.57, 'HomFave']", "M35_V123 [0.51, 'HomFave']", "M36_V123 [0.52, 'HomFave']", "M37_V123 [0.54, 'HomFave']", "M38_V123 [0.55, 'HomFave']", "M39_V123 [0.5, 'HomFave']", "M40_V123 [0.55, 'HomFave']", "M41_V123 [0.53, 'HomFave']", "M42_V123 [0.53, 'HomFave']", "M43_V123 [0.55, 'HomFave']", "M44_V123 [0.52, 'HomFave']", "M45_V123 [0.54, 'HomFave']", "M46_V123 [0.53, 'HomFave']", "M47_V123 [0.56, 'HomFave']", "M48_V123 [0.63, 'HomFave']", "M49_V123 [0.51, 'HomFave']", "M50_V123 [0.54, 'HomFave']", "M51_V123 [0.57, 'HomFave']", "M52_V123 [0.54, 'HomFave']", "M53_V123 [0.53, 'HomFave']", "M54_V123 [0.54, 'HomFave']", "M55_V123 [0.55, 'HomFave']", "M56_V123 [0.43, 'VisDog']"]</t>
  </si>
  <si>
    <t xml:space="preserve">823449. LineStatEns is NoPlay as bookie-line outside range. StatOnlyEns is NoPlay as bookie-line outside range. No play due to strategy constraints. </t>
  </si>
  <si>
    <t>-107.5 #</t>
  </si>
  <si>
    <t>["M16_V123 [0.51, 'HomFave']", "M17_V123 [0.52, 'HomFave']", "M18_V123 [0.54, 'HomFave']", "M19_V123 [0.54, 'HomFave']", "M20_V123 [0.53, 'HomFave']", "M21_V123 [0.52, 'HomFave']", "M22_V123 [0.52, 'HomFave']", "M23_V123 [0.52, 'HomFave']", "M24_V123 [0.53, 'HomFave']", "M25_V123 [0.53, 'HomFave']", "M26_V123 [0.54, 'HomFave']", "M27_V123 [0.52, 'HomFave']", "M28_V123 [0.53, 'HomFave']", "M29_V123 [0.55, 'HomFave']", "M30_V123 [0.54, 'HomFave']", "M31_V123 [0.44, 'VisDog']", "M32_V123 [0.54, 'HomFave']", "M33_V123 [0.56, 'HomFave']", "M34_V123 [0.53, 'HomFave']", "M35_V123 [0.53, 'HomFave']", "M36_V123 [0.52, 'HomFave']", "M37_V123 [0.56, 'HomFave']", "M38_V123 [0.54, 'HomFave']", "M39_V123 [0.52, 'HomFave']", "M40_V123 [0.51, 'HomFave']", "M41_V123 [0.51, 'HomFave']", "M42_V123 [0.5, 'HomFave']", "M43_V123 [0.53, 'HomFave']", "M44_V123 [0.53, 'HomFave']", "M45_V123 [0.51, 'HomFave']", "M46_V123 [0.55, 'HomFave']", "M47_V123 [0.54, 'HomFave']", "M48_V123 [0.44, 'VisDog']", "M49_V123 [0.53, 'HomFave']", "M50_V123 [0.53, 'HomFave']", "M51_V123 [0.55, 'HomFave']", "M52_V123 [0.54, 'HomFave']", "M53_V123 [0.52, 'HomFave']", "M54_V123 [0.53, 'HomFave']", "M55_V123 [0.54, 'HomFave']", "M56_V123 [0.37, 'VisDog']"]</t>
  </si>
  <si>
    <t xml:space="preserve">823123. LineStatEns probability points gap does not exceed threshold (no edge found)! StatOnlyEns probability points gap does not exceed threshold (no edge found)! No play due to strategy constraints. </t>
  </si>
  <si>
    <t>x</t>
  </si>
  <si>
    <t>HNAME</t>
  </si>
  <si>
    <t>VNAME</t>
  </si>
  <si>
    <t>WinBet?</t>
  </si>
  <si>
    <t>Winning_Position</t>
  </si>
  <si>
    <t>#Games</t>
  </si>
  <si>
    <t>#Plays</t>
  </si>
  <si>
    <t>%Games</t>
  </si>
  <si>
    <t>#Win</t>
  </si>
  <si>
    <t>%WinRate</t>
  </si>
  <si>
    <t>Invest</t>
  </si>
  <si>
    <t>Return</t>
  </si>
  <si>
    <t>Proft</t>
  </si>
  <si>
    <t>HF</t>
  </si>
  <si>
    <t>plays</t>
  </si>
  <si>
    <t>wins</t>
  </si>
  <si>
    <t>%WR</t>
  </si>
  <si>
    <t>invest</t>
  </si>
  <si>
    <t>return</t>
  </si>
  <si>
    <t>%ROI</t>
  </si>
  <si>
    <t>profit</t>
  </si>
  <si>
    <t>VD</t>
  </si>
  <si>
    <t>VF</t>
  </si>
  <si>
    <t>HD</t>
  </si>
  <si>
    <t xml:space="preserve">825075. LineStatEns is NoPlay as bookie-line outside range. StatOnlyEns is NoPlay as bookie-line outside range. No play due to strategy constraints. </t>
  </si>
  <si>
    <t xml:space="preserve">823539. StatOnlyEns probability points gap does not exceed threshold (no edge found)! Play determined by LineStatEns only. </t>
  </si>
  <si>
    <t xml:space="preserve">823454. LineStatEns probability points gap does not exceed threshold (no edge found)! No play due to strategy constraints. </t>
  </si>
  <si>
    <t xml:space="preserve">824183. Play determined by LineStatEns and StatOnlyEns agreement. </t>
  </si>
  <si>
    <t xml:space="preserve">824830. VF plays are disallowed. No play due to strategy constraints. </t>
  </si>
  <si>
    <t xml:space="preserve">822969. VF plays are disallowed. No play due to strategy constraints. </t>
  </si>
  <si>
    <t xml:space="preserve">822805. StatOnlyEns probability points gap does not exceed threshold (no edge found)! Play determined by LineStatEns only. </t>
  </si>
  <si>
    <t xml:space="preserve">824265. LineStatEns probability points gap does not exceed threshold (no edge found)! StatOnlyEns probability points gap does not exceed threshold (no edge found)! No play due to strategy constraints. </t>
  </si>
  <si>
    <t xml:space="preserve">823855. Play determined by LineStatEns and StatOnlyEns agreement. </t>
  </si>
  <si>
    <t xml:space="preserve">824101. StatOnlyEns probability points gap does not exceed threshold (no edge found)! Play determined by LineStatEns only. </t>
  </si>
  <si>
    <t xml:space="preserve">823619. LineStatEns probability points gap does not exceed threshold (no edge found)! StatOnlyEns probability points gap does not exceed threshold (no edge found)! No play due to strategy constraints. </t>
  </si>
  <si>
    <t xml:space="preserve">823371. VF plays are disallowed. No play due to strategy constraints. </t>
  </si>
  <si>
    <t xml:space="preserve">823370. LineStatEns probability points gap does not exceed threshold (no edge found)! StatOnlyEns probability points gap does not exceed threshold (no edge found)! No play due to strategy constraints. </t>
  </si>
  <si>
    <t xml:space="preserve">824019. VF plays are disallowed. No play due to strategy constraints. </t>
  </si>
  <si>
    <t xml:space="preserve">824506. VF plays are disallowed. No play due to strategy constraints. </t>
  </si>
  <si>
    <t xml:space="preserve">822888. LineStatEns probability points gap does not exceed threshold (no edge found)! StatOnlyEns probability points gap does not exceed threshold (no edge found)! No play due to strategy constraints. </t>
  </si>
  <si>
    <t xml:space="preserve">823772. LineStatEns probability points gap does not exceed threshold (no edge found)! StatOnlyEns probability points gap does not exceed threshold (no edge found)! No play due to strategy constraints. </t>
  </si>
  <si>
    <t xml:space="preserve">824989. LineStatEns probability points gap does not exceed threshold (no edge found)! No play due to strategy constraints. </t>
  </si>
  <si>
    <t xml:space="preserve">822889. VF plays are disallowed. No play due to strategy constraints. </t>
  </si>
  <si>
    <t xml:space="preserve">823853. LineStatEns probability points gap does not exceed threshold (no edge found)! StatOnlyEns probability points gap does not exceed threshold (no edge found)! No play due to strategy constraints. </t>
  </si>
  <si>
    <t xml:space="preserve">824179. Play determined by LineStatEns and StatOnlyEns agreement. </t>
  </si>
  <si>
    <t xml:space="preserve">824909. LineStatEns probability points gap does not exceed threshold (no edge found)! StatOnlyEns probability points gap does not exceed threshold (no edge found)! No play due to strategy constraints. </t>
  </si>
  <si>
    <t xml:space="preserve">823854. LineStatEns probability points gap does not exceed threshold (no edge found)! StatOnlyEns probability points gap does not exceed threshold (no edge found)! No play due to strategy constraints. </t>
  </si>
  <si>
    <t xml:space="preserve">822967. LineStatEns probability points gap does not exceed threshold (no edge found)! No play due to strategy constraints. </t>
  </si>
  <si>
    <t xml:space="preserve">822885. LineStatEns probability points gap does not exceed threshold (no edge found)! StatOnlyEns probability points gap does not exceed threshold (no edge found)! No play due to strategy constraints. </t>
  </si>
  <si>
    <t xml:space="preserve">824908. StatOnlyEns probability points gap does not exceed threshold (no edge found)! Play determined by LineStatEns only. </t>
  </si>
  <si>
    <t xml:space="preserve">824343. VF plays are disallowed. No play due to strategy constraints. </t>
  </si>
  <si>
    <t xml:space="preserve">824260. Play determined by StatOnlyEns when it disagrees with LineStatEns. </t>
  </si>
  <si>
    <t xml:space="preserve">823852. VF plays are disallowed. No play due to strategy constraints. </t>
  </si>
  <si>
    <t xml:space="preserve">824177. LineStatEns probability points gap does not exceed threshold (no edge found)! StatOnlyEns probability points gap does not exceed threshold (no edge found)! No play due to strategy constraints. </t>
  </si>
  <si>
    <t xml:space="preserve">824095. VF plays are disallowed. No play due to strategy constraints. </t>
  </si>
  <si>
    <t xml:space="preserve">823531. StatOnlyEns probability points gap does not exceed threshold (no edge found)! Play determined by LineStatEns only. </t>
  </si>
  <si>
    <t xml:space="preserve">822968. LineStatEns probability points gap does not exceed threshold (no edge found)! StatOnlyEns probability points gap does not exceed threshold (no edge found)! No play due to strategy constraints. </t>
  </si>
  <si>
    <t xml:space="preserve">822883. LineStatEns is NoPlay as bookie-line outside range. StatOnlyEns is NoPlay as bookie-line outside range. No play due to strategy constraints. </t>
  </si>
  <si>
    <t>["M1_V119 [0.52, 'HomFave']", "M2_V119 [0.52, 'HomFave']", "M3_V119 [0.55, 'HomFave']", "M4_V119 [0.53, 'HomFave']", "M5_V119 [0.53, 'HomFave']", "M6_V119 [0.53, 'HomFave']", "M7_V119 [0.53, 'HomFave']", "M8_V119 [0.54, 'HomFave']", "M9_V119 [0.64, 'HomFave']", "M10_V119 [0.55, 'HomFave']", "M11_V119 [0.49, 'VisDog']", "M12_V119 [0.56, 'HomFave']", "M13_V119 [0.5, 'HomFave']", "M14_V119 [0.55, 'HomFave']", "M15_V119 [0.55, 'HomFave']"]</t>
  </si>
  <si>
    <t>["M16_V123 [0.54, 'HomFave']", "M17_V123 [0.58, 'HomFave']", "M18_V123 [0.58, 'HomFave']", "M19_V123 [0.59, 'HomFave']", "M20_V123 [0.57, 'HomFave']", "M21_V123 [0.56, 'HomFave']", "M22_V123 [0.54, 'HomFave']", "M23_V123 [0.57, 'HomFave']", "M24_V123 [0.54, 'HomFave']", "M25_V123 [0.57, 'HomFave']", "M26_V123 [0.57, 'HomFave']", "M27_V123 [0.56, 'HomFave']", "M28_V123 [0.67, 'HomFave']", "M29_V123 [0.53, 'HomFave']", "M30_V123 [0.54, 'HomFave']", "M31_V123 [0.77, 'HomFave']", "M32_V123 [0.56, 'HomFave']", "M33_V123 [0.58, 'HomFave']", "M34_V123 [0.58, 'HomFave']", "M35_V123 [0.53, 'HomFave']", "M36_V123 [0.54, 'HomFave']", "M37_V123 [0.57, 'HomFave']", "M38_V123 [0.59, 'HomFave']", "M39_V123 [0.58, 'HomFave']", "M40_V123 [0.55, 'HomFave']", "M41_V123 [0.52, 'HomFave']", "M42_V123 [0.49, 'VisDog']", "M43_V123 [0.57, 'HomFave']", "M44_V123 [0.64, 'HomFave']", "M45_V123 [0.55, 'HomFave']", "M46_V123 [0.47, 'VisDog']", "M47_V123 [0.54, 'HomFave']", "M48_V123 [0.8, 'HomFave']", "M49_V123 [0.53, 'HomFave']", "M50_V123 [0.55, 'HomFave']", "M51_V123 [0.57, 'HomFave']", "M52_V123 [0.55, 'HomFave']", "M53_V123 [0.56, 'HomFave']", "M54_V123 [0.57, 'HomFave']", "M55_V123 [0.57, 'HomFave']", "M56_V123 [0.56, 'HomFave']"]</t>
  </si>
  <si>
    <t>["M1_V119 [0.6, 'HomFave']", "M2_V119 [0.55, 'HomFave']", "M3_V119 [0.54, 'HomFave']", "M4_V119 [0.6, 'HomFave']", "M5_V119 [0.6, 'HomFave']", "M6_V119 [0.58, 'HomFave']", "M7_V119 [0.55, 'HomFave']", "M8_V119 [0.55, 'HomFave']", "M9_V119 [0.43, 'VisDog']", "M10_V119 [0.45, 'VisDog']", "M11_V119 [0.5, 'HomFave']", "M12_V119 [0.54, 'HomFave']", "M13_V119 [0.56, 'HomFave']", "M14_V119 [0.57, 'HomFave']", "M15_V119 [0.5, 'HomFave']"]</t>
  </si>
  <si>
    <t>["M1_V119 [0.54, 'HomFave']", "M2_V119 [0.54, 'HomFave']", "M3_V119 [0.54, 'HomFave']", "M4_V119 [0.54, 'HomFave']", "M5_V119 [0.54, 'HomFave']", "M6_V119 [0.51, 'HomFave']", "M7_V119 [0.54, 'HomFave']", "M8_V119 [0.54, 'HomFave']", "M9_V119 [0.53, 'HomFave']", "M10_V119 [0.53, 'HomFave']", "M11_V119 [0.55, 'HomFave']", "M12_V119 [0.56, 'HomFave']", "M13_V119 [0.52, 'HomFave']", "M14_V119 [0.57, 'HomFave']", "M15_V119 [0.49, 'VisDog']"]</t>
  </si>
  <si>
    <t>["M1_V119 [0.49, 'VisFave']", "M2_V119 [0.47, 'VisFave']", "M3_V119 [0.46, 'VisFave']", "M4_V119 [0.39, 'VisFave']", "M5_V119 [0.39, 'VisFave']", "M6_V119 [0.41, 'VisFave']", "M7_V119 [0.46, 'VisFave']", "M8_V119 [0.42, 'VisFave']", "M9_V119 [0.37, 'VisFave']", "M10_V119 [0.35, 'VisFave']", "M11_V119 [0.55, 'HomDog']", "M12_V119 [0.35, 'VisFave']", "M13_V119 [0.41, 'VisFave']", "M14_V119 [0.46, 'VisFave']", "M15_V119 [0.37, 'VisFave']"]</t>
  </si>
  <si>
    <t>["M16_V123 [0.41, 'VisFave']", "M17_V123 [0.44, 'VisFave']", "M18_V123 [0.47, 'VisFave']", "M19_V123 [0.44, 'VisFave']", "M20_V123 [0.43, 'VisFave']", "M21_V123 [0.47, 'VisFave']", "M22_V123 [0.42, 'VisFave']", "M23_V123 [0.46, 'VisFave']", "M24_V123 [0.45, 'VisFave']", "M25_V123 [0.43, 'VisFave']", "M26_V123 [0.44, 'VisFave']", "M27_V123 [0.41, 'VisFave']", "M28_V123 [0.38, 'VisFave']", "M29_V123 [0.43, 'VisFave']", "M30_V123 [0.43, 'VisFave']", "M31_V123 [0.23, 'VisFave']", "M32_V123 [0.45, 'VisFave']", "M33_V123 [0.45, 'VisFave']", "M34_V123 [0.43, 'VisFave']", "M35_V123 [0.42, 'VisFave']", "M36_V123 [0.42, 'VisFave']", "M37_V123 [0.45, 'VisFave']", "M38_V123 [0.42, 'VisFave']", "M39_V123 [0.42, 'VisFave']", "M40_V123 [0.42, 'VisFave']", "M41_V123 [0.43, 'VisFave']", "M42_V123 [0.48, 'VisFave']", "M43_V123 [0.41, 'VisFave']", "M44_V123 [0.4, 'VisFave']", "M45_V123 [0.45, 'VisFave']", "M46_V123 [0.41, 'VisFave']", "M47_V123 [0.44, 'VisFave']", "M48_V123 [0.32, 'VisFave']", "M49_V123 [0.52, 'HomDog']", "M50_V123 [0.43, 'VisFave']", "M51_V123 [0.47, 'VisFave']", "M52_V123 [0.47, 'VisFave']", "M53_V123 [0.42, 'VisFave']", "M54_V123 [0.42, 'VisFave']", "M55_V123 [0.43, 'VisFave']", "M56_V123 [0.43, 'VisFave']"]</t>
  </si>
  <si>
    <t>["M1_V119 [0.42, 'VisFave']", "M2_V119 [0.46, 'VisFave']", "M3_V119 [0.42, 'VisFave']", "M4_V119 [0.41, 'VisFave']", "M5_V119 [0.41, 'VisFave']", "M6_V119 [0.42, 'VisFave']", "M7_V119 [0.44, 'VisFave']", "M8_V119 [0.44, 'VisFave']", "M9_V119 [0.5, 'HomDog']", "M10_V119 [0.55, 'HomDog']", "M11_V119 [0.53, 'HomDog']", "M12_V119 [0.35, 'VisFave']", "M13_V119 [0.41, 'VisFave']", "M14_V119 [0.46, 'VisFave']", "M15_V119 [0.4, 'VisFave']"]</t>
  </si>
  <si>
    <t>["M1_V119 [0.5, 'HomFave']", "M2_V119 [0.47, 'VisDog']", "M3_V119 [0.46, 'VisDog']", "M4_V119 [0.49, 'VisDog']", "M5_V119 [0.49, 'VisDog']", "M6_V119 [0.49, 'VisDog']", "M7_V119 [0.47, 'VisDog']", "M8_V119 [0.5, 'HomFave']", "M9_V119 [0.43, 'VisDog']", "M10_V119 [0.44, 'VisDog']", "M11_V119 [0.62, 'HomFave']", "M12_V119 [0.48, 'VisDog']", "M13_V119 [0.48, 'VisDog']", "M14_V119 [0.55, 'HomFave']", "M15_V119 [0.46, 'VisDog']"]</t>
  </si>
  <si>
    <t>["M16_V123 [0.48, 'VisDog']", "M17_V123 [0.46, 'VisDog']", "M18_V123 [0.48, 'VisDog']", "M19_V123 [0.49, 'VisDog']", "M20_V123 [0.5, 'HomFave']", "M21_V123 [0.5, 'HomFave']", "M22_V123 [0.49, 'VisDog']", "M23_V123 [0.48, 'VisDog']", "M24_V123 [0.49, 'VisDog']", "M25_V123 [0.5, 'HomFave']", "M26_V123 [0.5, 'HomFave']", "M27_V123 [0.48, 'VisDog']", "M28_V123 [0.52, 'HomFave']", "M29_V123 [0.44, 'VisDog']", "M30_V123 [0.51, 'HomFave']", "M31_V123 [0.37, 'VisDog']", "M32_V123 [0.44, 'VisDog']", "M33_V123 [0.47, 'VisDog']", "M34_V123 [0.45, 'VisDog']", "M35_V123 [0.39, 'VisDog']", "M36_V123 [0.46, 'VisDog']", "M37_V123 [0.5, 'HomFave']", "M38_V123 [0.47, 'VisDog']", "M39_V123 [0.51, 'HomFave']", "M40_V123 [0.45, 'VisDog']", "M41_V123 [0.49, 'VisDog']", "M42_V123 [0.47, 'VisDog']", "M43_V123 [0.49, 'VisDog']", "M44_V123 [0.49, 'VisDog']", "M45_V123 [0.46, 'VisDog']", "M46_V123 [0.44, 'VisDog']", "M47_V123 [0.5, 'HomFave']", "M48_V123 [0.48, 'VisDog']", "M49_V123 [0.46, 'VisDog']", "M50_V123 [0.46, 'VisDog']", "M51_V123 [0.46, 'VisDog']", "M52_V123 [0.45, 'VisDog']", "M53_V123 [0.45, 'VisDog']", "M54_V123 [0.49, 'VisDog']", "M55_V123 [0.48, 'VisDog']", "M56_V123 [0.6, 'HomFave']"]</t>
  </si>
  <si>
    <t>["M1_V119 [0.64, 'HomFave']", "M2_V119 [0.56, 'HomFave']", "M3_V119 [0.59, 'HomFave']", "M4_V119 [0.57, 'HomFave']", "M5_V119 [0.57, 'HomFave']", "M6_V119 [0.6, 'HomFave']", "M7_V119 [0.57, 'HomFave']", "M8_V119 [0.58, 'HomFave']", "M9_V119 [0.62, 'HomFave']", "M10_V119 [0.65, 'HomFave']", "M11_V119 [0.79, 'HomFave']", "M12_V119 [0.65, 'HomFave']", "M13_V119 [0.6, 'HomFave']", "M14_V119 [0.59, 'HomFave']", "M15_V119 [0.63, 'HomFave']"]</t>
  </si>
  <si>
    <t>["M16_V123 [0.57, 'HomFave']", "M17_V123 [0.54, 'HomFave']", "M18_V123 [0.59, 'HomFave']", "M19_V123 [0.56, 'HomFave']", "M20_V123 [0.58, 'HomFave']", "M21_V123 [0.58, 'HomFave']", "M22_V123 [0.59, 'HomFave']", "M23_V123 [0.59, 'HomFave']", "M24_V123 [0.58, 'HomFave']", "M25_V123 [0.55, 'HomFave']", "M26_V123 [0.56, 'HomFave']", "M27_V123 [0.58, 'HomFave']", "M28_V123 [0.65, 'HomFave']", "M29_V123 [0.56, 'HomFave']", "M30_V123 [0.58, 'HomFave']", "M31_V123 [0.68, 'HomFave']", "M32_V123 [0.57, 'HomFave']", "M33_V123 [0.6, 'HomFave']", "M34_V123 [0.59, 'HomFave']", "M35_V123 [0.55, 'HomFave']", "M36_V123 [0.55, 'HomFave']", "M37_V123 [0.57, 'HomFave']", "M38_V123 [0.57, 'HomFave']", "M39_V123 [0.58, 'HomFave']", "M40_V123 [0.56, 'HomFave']", "M41_V123 [0.56, 'HomFave']", "M42_V123 [0.54, 'HomFave']", "M43_V123 [0.58, 'HomFave']", "M44_V123 [0.56, 'HomFave']", "M45_V123 [0.57, 'HomFave']", "M46_V123 [0.51, 'HomFave']", "M47_V123 [0.56, 'HomFave']", "M48_V123 [0.45, 'VisDog']", "M49_V123 [0.53, 'HomFave']", "M50_V123 [0.57, 'HomFave']", "M51_V123 [0.58, 'HomFave']", "M52_V123 [0.59, 'HomFave']", "M53_V123 [0.55, 'HomFave']", "M54_V123 [0.58, 'HomFave']", "M55_V123 [0.58, 'HomFave']", "M56_V123 [0.53, 'HomFave']"]</t>
  </si>
  <si>
    <t>["M1_V119 [0.55, 'HomFave']", "M2_V119 [0.53, 'HomFave']", "M3_V119 [0.56, 'HomFave']", "M4_V119 [0.58, 'HomFave']", "M5_V119 [0.58, 'HomFave']", "M6_V119 [0.54, 'HomFave']", "M7_V119 [0.54, 'HomFave']", "M8_V119 [0.55, 'HomFave']", "M9_V119 [0.63, 'HomFave']", "M10_V119 [0.51, 'HomFave']", "M11_V119 [0.48, 'VisDog']", "M12_V119 [0.58, 'HomFave']", "M13_V119 [0.54, 'HomFave']", "M14_V119 [0.58, 'HomFave']", "M15_V119 [0.55, 'HomFave']"]</t>
  </si>
  <si>
    <t>["M1_V119 [0.56, 'HomFave']", "M2_V119 [0.6, 'HomFave']", "M3_V119 [0.57, 'HomFave']", "M4_V119 [0.56, 'HomFave']", "M5_V119 [0.56, 'HomFave']", "M6_V119 [0.57, 'HomFave']", "M7_V119 [0.56, 'HomFave']", "M8_V119 [0.57, 'HomFave']", "M9_V119 [0.67, 'HomFave']", "M10_V119 [0.7, 'HomFave']", "M11_V119 [0.63, 'HomFave']", "M12_V119 [0.72, 'HomFave']", "M13_V119 [0.55, 'HomFave']", "M14_V119 [0.59, 'HomFave']", "M15_V119 [0.55, 'HomFave']"]</t>
  </si>
  <si>
    <t>["M16_V123 [0.55, 'HomFave']", "M17_V123 [0.57, 'HomFave']", "M18_V123 [0.56, 'HomFave']", "M19_V123 [0.57, 'HomFave']", "M20_V123 [0.55, 'HomFave']", "M21_V123 [0.57, 'HomFave']", "M22_V123 [0.52, 'HomFave']", "M23_V123 [0.56, 'HomFave']", "M24_V123 [0.55, 'HomFave']", "M25_V123 [0.58, 'HomFave']", "M26_V123 [0.54, 'HomFave']", "M27_V123 [0.54, 'HomFave']", "M28_V123 [0.59, 'HomFave']", "M29_V123 [0.55, 'HomFave']", "M30_V123 [0.54, 'HomFave']", "M31_V123 [0.76, 'HomFave']", "M32_V123 [0.55, 'HomFave']", "M33_V123 [0.58, 'HomFave']", "M34_V123 [0.56, 'HomFave']", "M35_V123 [0.54, 'HomFave']", "M36_V123 [0.54, 'HomFave']", "M37_V123 [0.56, 'HomFave']", "M38_V123 [0.55, 'HomFave']", "M39_V123 [0.5, 'HomFave']", "M40_V123 [0.53, 'HomFave']", "M41_V123 [0.53, 'HomFave']", "M42_V123 [0.52, 'HomFave']", "M43_V123 [0.56, 'HomFave']", "M44_V123 [0.54, 'HomFave']", "M45_V123 [0.55, 'HomFave']", "M46_V123 [0.51, 'HomFave']", "M47_V123 [0.54, 'HomFave']", "M48_V123 [0.65, 'HomFave']", "M49_V123 [0.55, 'HomFave']", "M50_V123 [0.53, 'HomFave']", "M51_V123 [0.58, 'HomFave']", "M52_V123 [0.55, 'HomFave']", "M53_V123 [0.54, 'HomFave']", "M54_V123 [0.56, 'HomFave']", "M55_V123 [0.57, 'HomFave']", "M56_V123 [0.53, 'HomFave']"]</t>
  </si>
  <si>
    <t>["M1_V119 [0.54, 'HomFave']", "M2_V119 [0.53, 'HomFave']", "M3_V119 [0.54, 'HomFave']", "M4_V119 [0.5, 'HomFave']", "M5_V119 [0.5, 'HomFave']", "M6_V119 [0.53, 'HomFave']", "M7_V119 [0.54, 'HomFave']", "M8_V119 [0.52, 'HomFave']", "M9_V119 [0.58, 'HomFave']", "M10_V119 [0.5, 'HomFave']", "M11_V119 [0.6, 'HomFave']", "M12_V119 [0.47, 'VisDog']", "M13_V119 [0.53, 'HomFave']", "M14_V119 [0.48, 'VisDog']", "M15_V119 [0.57, 'HomFave']"]</t>
  </si>
  <si>
    <t>["M16_V123 [0.57, 'HomFave']", "M17_V123 [0.54, 'HomFave']", "M18_V123 [0.56, 'HomFave']", "M19_V123 [0.55, 'HomFave']", "M20_V123 [0.57, 'HomFave']", "M21_V123 [0.59, 'HomFave']", "M22_V123 [0.56, 'HomFave']", "M23_V123 [0.58, 'HomFave']", "M24_V123 [0.55, 'HomFave']", "M25_V123 [0.59, 'HomFave']", "M26_V123 [0.54, 'HomFave']", "M27_V123 [0.55, 'HomFave']", "M28_V123 [0.61, 'HomFave']", "M29_V123 [0.55, 'HomFave']", "M30_V123 [0.56, 'HomFave']", "M31_V123 [0.55, 'HomFave']", "M32_V123 [0.53, 'HomFave']", "M33_V123 [0.57, 'HomFave']", "M34_V123 [0.56, 'HomFave']", "M35_V123 [0.54, 'HomFave']", "M36_V123 [0.52, 'HomFave']", "M37_V123 [0.55, 'HomFave']", "M38_V123 [0.57, 'HomFave']", "M39_V123 [0.58, 'HomFave']", "M40_V123 [0.57, 'HomFave']", "M41_V123 [0.55, 'HomFave']", "M42_V123 [0.49, 'VisDog']", "M43_V123 [0.55, 'HomFave']", "M44_V123 [0.52, 'HomFave']", "M45_V123 [0.54, 'HomFave']", "M46_V123 [0.54, 'HomFave']", "M47_V123 [0.56, 'HomFave']", "M48_V123 [0.55, 'HomFave']", "M49_V123 [0.55, 'HomFave']", "M50_V123 [0.55, 'HomFave']", "M51_V123 [0.55, 'HomFave']", "M52_V123 [0.57, 'HomFave']", "M53_V123 [0.53, 'HomFave']", "M54_V123 [0.58, 'HomFave']", "M55_V123 [0.54, 'HomFave']", "M56_V123 [0.57, 'HomFave']"]</t>
  </si>
  <si>
    <t>["M1_V119 [0.47, 'VisFave']", "M2_V119 [0.47, 'VisFave']", "M3_V119 [0.49, 'VisFave']", "M4_V119 [0.47, 'VisFave']", "M5_V119 [0.47, 'VisFave']", "M6_V119 [0.46, 'VisFave']", "M7_V119 [0.46, 'VisFave']", "M8_V119 [0.47, 'VisFave']", "M9_V119 [0.38, 'VisFave']", "M10_V119 [0.47, 'VisFave']", "M11_V119 [0.25, 'VisFave']", "M12_V119 [0.48, 'VisFave']", "M13_V119 [0.46, 'VisFave']", "M14_V119 [0.46, 'VisFave']", "M15_V119 [0.48, 'VisFave']"]</t>
  </si>
  <si>
    <t>["M1_V119 [0.53, 'HomFave']", "M2_V119 [0.51, 'HomFave']", "M3_V119 [0.52, 'HomFave']", "M4_V119 [0.51, 'HomFave']", "M5_V119 [0.51, 'HomFave']", "M6_V119 [0.55, 'HomFave']", "M7_V119 [0.54, 'HomFave']", "M8_V119 [0.52, 'HomFave']", "M9_V119 [0.56, 'HomFave']", "M10_V119 [0.57, 'HomFave']", "M11_V119 [0.55, 'HomFave']", "M12_V119 [0.5, 'HomFave']", "M13_V119 [0.51, 'HomFave']", "M14_V119 [0.56, 'HomFave']", "M15_V119 [0.51, 'HomFave']"]</t>
  </si>
  <si>
    <t>["M1_V119 [0.49, 'VisDog']", "M2_V119 [0.52, 'HomFave']", "M3_V119 [0.51, 'HomFave']", "M4_V119 [0.48, 'VisDog']", "M5_V119 [0.48, 'VisDog']", "M6_V119 [0.51, 'HomFave']", "M7_V119 [0.51, 'HomFave']", "M8_V119 [0.53, 'HomFave']", "M9_V119 [0.53, 'HomFave']", "M10_V119 [0.51, 'HomFave']", "M11_V119 [0.53, 'HomFave']", "M12_V119 [0.53, 'HomFave']", "M13_V119 [0.5, 'HomFave']", "M14_V119 [0.55, 'HomFave']", "M15_V119 [0.51, 'HomFave']"]</t>
  </si>
  <si>
    <t>["M16_V123 [0.52, 'HomFave']", "M17_V123 [0.59, 'HomFave']", "M18_V123 [0.55, 'HomFave']", "M19_V123 [0.54, 'HomFave']", "M20_V123 [0.57, 'HomFave']", "M21_V123 [0.58, 'HomFave']", "M22_V123 [0.53, 'HomFave']", "M23_V123 [0.55, 'HomFave']", "M24_V123 [0.55, 'HomFave']", "M25_V123 [0.57, 'HomFave']", "M26_V123 [0.54, 'HomFave']", "M27_V123 [0.54, 'HomFave']", "M28_V123 [0.55, 'HomFave']", "M29_V123 [0.55, 'HomFave']", "M30_V123 [0.55, 'HomFave']", "M31_V123 [0.61, 'HomFave']", "M32_V123 [0.55, 'HomFave']", "M33_V123 [0.57, 'HomFave']", "M34_V123 [0.57, 'HomFave']", "M35_V123 [0.52, 'HomFave']", "M36_V123 [0.55, 'HomFave']", "M37_V123 [0.59, 'HomFave']", "M38_V123 [0.56, 'HomFave']", "M39_V123 [0.54, 'HomFave']", "M40_V123 [0.54, 'HomFave']", "M41_V123 [0.53, 'HomFave']", "M42_V123 [0.51, 'HomFave']", "M43_V123 [0.56, 'HomFave']", "M44_V123 [0.57, 'HomFave']", "M45_V123 [0.54, 'HomFave']", "M46_V123 [0.53, 'HomFave']", "M47_V123 [0.54, 'HomFave']", "M48_V123 [0.55, 'HomFave']", "M49_V123 [0.54, 'HomFave']", "M50_V123 [0.55, 'HomFave']", "M51_V123 [0.57, 'HomFave']", "M52_V123 [0.56, 'HomFave']", "M53_V123 [0.54, 'HomFave']", "M54_V123 [0.55, 'HomFave']", "M55_V123 [0.56, 'HomFave']", "M56_V123 [0.55, 'HomFave']"]</t>
  </si>
  <si>
    <t>["M1_V119 [0.58, 'HomFave']", "M2_V119 [0.56, 'HomFave']", "M3_V119 [0.55, 'HomFave']", "M4_V119 [0.55, 'HomFave']", "M5_V119 [0.55, 'HomFave']", "M6_V119 [0.56, 'HomFave']", "M7_V119 [0.55, 'HomFave']", "M8_V119 [0.59, 'HomFave']", "M9_V119 [0.85, 'HomFave']", "M10_V119 [0.67, 'HomFave']", "M11_V119 [0.77, 'HomFave']", "M12_V119 [0.78, 'HomFave']", "M13_V119 [0.55, 'HomFave']", "M14_V119 [0.59, 'HomFave']", "M15_V119 [0.56, 'HomFave']"]</t>
  </si>
  <si>
    <t>["M16_V123 [0.54, 'HomFave']", "M17_V123 [0.55, 'HomFave']", "M18_V123 [0.54, 'HomFave']", "M19_V123 [0.55, 'HomFave']", "M20_V123 [0.56, 'HomFave']", "M21_V123 [0.56, 'HomFave']", "M22_V123 [0.54, 'HomFave']", "M23_V123 [0.52, 'HomFave']", "M24_V123 [0.53, 'HomFave']", "M25_V123 [0.52, 'HomFave']", "M26_V123 [0.53, 'HomFave']", "M27_V123 [0.56, 'HomFave']", "M28_V123 [0.59, 'HomFave']", "M29_V123 [0.53, 'HomFave']", "M30_V123 [0.52, 'HomFave']", "M31_V123 [0.58, 'HomFave']", "M32_V123 [0.54, 'HomFave']", "M33_V123 [0.54, 'HomFave']", "M34_V123 [0.55, 'HomFave']", "M35_V123 [0.57, 'HomFave']", "M36_V123 [0.55, 'HomFave']", "M37_V123 [0.56, 'HomFave']", "M38_V123 [0.54, 'HomFave']", "M39_V123 [0.52, 'HomFave']", "M40_V123 [0.5, 'HomFave']", "M41_V123 [0.51, 'HomFave']", "M42_V123 [0.54, 'HomFave']", "M43_V123 [0.53, 'HomFave']", "M44_V123 [0.59, 'HomFave']", "M45_V123 [0.53, 'HomFave']", "M46_V123 [0.48, 'VisDog']", "M47_V123 [0.51, 'HomFave']", "M48_V123 [0.76, 'HomFave']", "M49_V123 [0.53, 'HomFave']", "M50_V123 [0.54, 'HomFave']", "M51_V123 [0.56, 'HomFave']", "M52_V123 [0.51, 'HomFave']", "M53_V123 [0.51, 'HomFave']", "M54_V123 [0.55, 'HomFave']", "M55_V123 [0.52, 'HomFave']", "M56_V123 [0.63, 'HomFave']"]</t>
  </si>
  <si>
    <t>["M16_V123 [0.47, 'VisDog']", "M17_V123 [0.54, 'HomFave']", "M18_V123 [0.51, 'HomFave']", "M19_V123 [0.51, 'HomFave']", "M20_V123 [0.5, 'HomFave']", "M21_V123 [0.49, 'VisDog']", "M22_V123 [0.5, 'HomFave']", "M23_V123 [0.53, 'HomFave']", "M24_V123 [0.51, 'HomFave']", "M25_V123 [0.5, 'HomFave']", "M26_V123 [0.5, 'HomFave']", "M27_V123 [0.5, 'HomFave']", "M28_V123 [0.53, 'HomFave']", "M29_V123 [0.5, 'HomFave']", "M30_V123 [0.51, 'HomFave']", "M31_V123 [0.52, 'HomFave']", "M32_V123 [0.48, 'VisDog']", "M33_V123 [0.53, 'HomFave']", "M34_V123 [0.49, 'VisDog']", "M35_V123 [0.47, 'VisDog']", "M36_V123 [0.51, 'HomFave']", "M37_V123 [0.49, 'VisDog']", "M38_V123 [0.5, 'HomFave']", "M39_V123 [0.43, 'VisDog']", "M40_V123 [0.48, 'VisDog']", "M41_V123 [0.5, 'HomFave']", "M42_V123 [0.48, 'VisDog']", "M43_V123 [0.5, 'HomFave']", "M44_V123 [0.48, 'VisDog']", "M45_V123 [0.51, 'HomFave']", "M46_V123 [0.51, 'HomFave']", "M47_V123 [0.53, 'HomFave']", "M48_V123 [0.35, 'VisDog']", "M49_V123 [0.55, 'HomFave']", "M50_V123 [0.51, 'HomFave']", "M51_V123 [0.53, 'HomFave']", "M52_V123 [0.55, 'HomFave']", "M53_V123 [0.49, 'VisDog']", "M54_V123 [0.53, 'HomFave']", "M55_V123 [0.52, 'HomFave']", "M56_V123 [0.42, 'VisDog']"]</t>
  </si>
  <si>
    <t>["M16_V123 [0.42, 'VisFave']", "M17_V123 [0.45, 'VisFave']", "M18_V123 [0.46, 'VisFave']", "M19_V123 [0.45, 'VisFave']", "M20_V123 [0.44, 'VisFave']", "M21_V123 [0.48, 'VisFave']", "M22_V123 [0.42, 'VisFave']", "M23_V123 [0.43, 'VisFave']", "M24_V123 [0.45, 'VisFave']", "M25_V123 [0.42, 'VisFave']", "M26_V123 [0.45, 'VisFave']", "M27_V123 [0.41, 'VisFave']", "M28_V123 [0.56, 'HomDog']", "M29_V123 [0.45, 'VisFave']", "M30_V123 [0.44, 'VisFave']", "M31_V123 [0.49, 'VisFave']", "M32_V123 [0.45, 'VisFave']", "M33_V123 [0.46, 'VisFave']", "M34_V123 [0.44, 'VisFave']", "M35_V123 [0.41, 'VisFave']", "M36_V123 [0.43, 'VisFave']", "M37_V123 [0.46, 'VisFave']", "M38_V123 [0.46, 'VisFave']", "M39_V123 [0.44, 'VisFave']", "M40_V123 [0.44, 'VisFave']", "M41_V123 [0.45, 'VisFave']", "M42_V123 [0.43, 'VisFave']", "M43_V123 [0.4, 'VisFave']", "M44_V123 [0.4, 'VisFave']", "M45_V123 [0.45, 'VisFave']", "M46_V123 [0.43, 'VisFave']", "M47_V123 [0.45, 'VisFave']", "M48_V123 [0.38, 'VisFave']", "M49_V123 [0.49, 'VisFave']", "M50_V123 [0.44, 'VisFave']", "M51_V123 [0.47, 'VisFave']", "M52_V123 [0.46, 'VisFave']", "M53_V123 [0.44, 'VisFave']", "M54_V123 [0.43, 'VisFave']", "M55_V123 [0.43, 'VisFave']", "M56_V123 [0.47, 'VisFave']"]</t>
  </si>
  <si>
    <t>["M1_V119 [0.51, 'HomFave']", "M2_V119 [0.49, 'VisDog']", "M3_V119 [0.47, 'VisDog']", "M4_V119 [0.48, 'VisDog']", "M5_V119 [0.48, 'VisDog']", "M6_V119 [0.5, 'HomFave']", "M7_V119 [0.48, 'VisDog']", "M8_V119 [0.48, 'VisDog']", "M9_V119 [0.57, 'HomFave']", "M10_V119 [0.52, 'HomFave']", "M11_V119 [0.69, 'HomFave']", "M12_V119 [0.42, 'VisDog']", "M13_V119 [0.48, 'VisDog']", "M14_V119 [0.55, 'HomFave']", "M15_V119 [0.44, 'VisDog']"]</t>
  </si>
  <si>
    <t>["M16_V123 [0.42, 'VisDog']", "M17_V123 [0.43, 'VisDog']", "M18_V123 [0.45, 'VisDog']", "M19_V123 [0.45, 'VisDog']", "M20_V123 [0.44, 'VisDog']", "M21_V123 [0.44, 'VisDog']", "M22_V123 [0.46, 'VisDog']", "M23_V123 [0.42, 'VisDog']", "M24_V123 [0.44, 'VisDog']", "M25_V123 [0.45, 'VisDog']", "M26_V123 [0.44, 'VisDog']", "M27_V123 [0.46, 'VisDog']", "M28_V123 [0.39, 'VisDog']", "M29_V123 [0.44, 'VisDog']", "M30_V123 [0.44, 'VisDog']", "M31_V123 [0.19, 'VisDog']", "M32_V123 [0.43, 'VisDog']", "M33_V123 [0.44, 'VisDog']", "M34_V123 [0.45, 'VisDog']", "M35_V123 [0.43, 'VisDog']", "M36_V123 [0.42, 'VisDog']", "M37_V123 [0.43, 'VisDog']", "M38_V123 [0.42, 'VisDog']", "M39_V123 [0.42, 'VisDog']", "M40_V123 [0.46, 'VisDog']", "M41_V123 [0.45, 'VisDog']", "M42_V123 [0.48, 'VisDog']", "M43_V123 [0.44, 'VisDog']", "M44_V123 [0.45, 'VisDog']", "M45_V123 [0.44, 'VisDog']", "M46_V123 [0.43, 'VisDog']", "M47_V123 [0.43, 'VisDog']", "M48_V123 [0.26, 'VisDog']", "M49_V123 [0.47, 'VisDog']", "M50_V123 [0.43, 'VisDog']", "M51_V123 [0.45, 'VisDog']", "M52_V123 [0.46, 'VisDog']", "M53_V123 [0.42, 'VisDog']", "M54_V123 [0.44, 'VisDog']", "M55_V123 [0.44, 'VisDog']", "M56_V123 [0.26, 'VisDog']"]</t>
  </si>
  <si>
    <t>["M1_V119 [0.48, 'VisDog']", "M2_V119 [0.46, 'VisDog']", "M3_V119 [0.45, 'VisDog']", "M4_V119 [0.46, 'VisDog']", "M5_V119 [0.46, 'VisDog']", "M6_V119 [0.49, 'VisDog']", "M7_V119 [0.47, 'VisDog']", "M8_V119 [0.48, 'VisDog']", "M9_V119 [0.5, 'HomFave']", "M10_V119 [0.41, 'VisDog']", "M11_V119 [0.57, 'HomFave']", "M12_V119 [0.37, 'VisDog']", "M13_V119 [0.46, 'VisDog']", "M14_V119 [0.47, 'VisDog']", "M15_V119 [0.48, 'VisDog']"]</t>
  </si>
  <si>
    <t>["M16_V123 [0.48, 'VisDog']", "M17_V123 [0.45, 'VisDog']", "M18_V123 [0.48, 'VisDog']", "M19_V123 [0.48, 'VisDog']", "M20_V123 [0.5, 'HomFave']", "M21_V123 [0.47, 'VisDog']", "M22_V123 [0.47, 'VisDog']", "M23_V123 [0.47, 'VisDog']", "M24_V123 [0.48, 'VisDog']", "M25_V123 [0.48, 'VisDog']", "M26_V123 [0.5, 'HomFave']", "M27_V123 [0.45, 'VisDog']", "M28_V123 [0.46, 'VisDog']", "M29_V123 [0.46, 'VisDog']", "M30_V123 [0.49, 'VisDog']", "M31_V123 [0.39, 'VisDog']", "M32_V123 [0.44, 'VisDog']", "M33_V123 [0.49, 'VisDog']", "M34_V123 [0.44, 'VisDog']", "M35_V123 [0.4, 'VisDog']", "M36_V123 [0.47, 'VisDog']", "M37_V123 [0.52, 'HomFave']", "M38_V123 [0.45, 'VisDog']", "M39_V123 [0.49, 'VisDog']", "M40_V123 [0.46, 'VisDog']", "M41_V123 [0.49, 'VisDog']", "M42_V123 [0.53, 'HomFave']", "M43_V123 [0.48, 'VisDog']", "M44_V123 [0.47, 'VisDog']", "M45_V123 [0.47, 'VisDog']", "M46_V123 [0.44, 'VisDog']", "M47_V123 [0.5, 'HomFave']", "M48_V123 [0.34, 'VisDog']", "M49_V123 [0.48, 'VisDog']", "M50_V123 [0.46, 'VisDog']", "M51_V123 [0.5, 'HomFave']", "M52_V123 [0.47, 'VisDog']", "M53_V123 [0.44, 'VisDog']", "M54_V123 [0.49, 'VisDog']", "M55_V123 [0.49, 'VisDog']", "M56_V123 [0.37, 'VisDog']"]</t>
  </si>
  <si>
    <t>["M1_V119 [0.56, 'HomFave']", "M2_V119 [0.6, 'HomFave']", "M3_V119 [0.57, 'HomFave']", "M4_V119 [0.54, 'HomFave']", "M5_V119 [0.54, 'HomFave']", "M6_V119 [0.54, 'HomFave']", "M7_V119 [0.55, 'HomFave']", "M8_V119 [0.54, 'HomFave']", "M9_V119 [0.48, 'VisDog']", "M10_V119 [0.56, 'HomFave']", "M11_V119 [0.6, 'HomFave']", "M12_V119 [0.54, 'HomFave']", "M13_V119 [0.54, 'HomFave']", "M14_V119 [0.59, 'HomFave']", "M15_V119 [0.54, 'HomFave']"]</t>
  </si>
  <si>
    <t>["M16_V123 [0.51, 'HomFave']", "M17_V123 [0.56, 'HomFave']", "M18_V123 [0.56, 'HomFave']", "M19_V123 [0.55, 'HomFave']", "M20_V123 [0.56, 'HomFave']", "M21_V123 [0.54, 'HomFave']", "M22_V123 [0.53, 'HomFave']", "M23_V123 [0.56, 'HomFave']", "M24_V123 [0.54, 'HomFave']", "M25_V123 [0.56, 'HomFave']", "M26_V123 [0.53, 'HomFave']", "M27_V123 [0.54, 'HomFave']", "M28_V123 [0.52, 'HomFave']", "M29_V123 [0.55, 'HomFave']", "M30_V123 [0.54, 'HomFave']", "M31_V123 [0.72, 'HomFave']", "M32_V123 [0.54, 'HomFave']", "M33_V123 [0.58, 'HomFave']", "M34_V123 [0.56, 'HomFave']", "M35_V123 [0.51, 'HomFave']", "M36_V123 [0.53, 'HomFave']", "M37_V123 [0.57, 'HomFave']", "M38_V123 [0.56, 'HomFave']", "M39_V123 [0.48, 'VisDog']", "M40_V123 [0.54, 'HomFave']", "M41_V123 [0.54, 'HomFave']", "M42_V123 [0.52, 'HomFave']", "M43_V123 [0.57, 'HomFave']", "M44_V123 [0.51, 'HomFave']", "M45_V123 [0.55, 'HomFave']", "M46_V123 [0.53, 'HomFave']", "M47_V123 [0.55, 'HomFave']", "M48_V123 [0.42, 'VisDog']", "M49_V123 [0.54, 'HomFave']", "M50_V123 [0.51, 'HomFave']", "M51_V123 [0.57, 'HomFave']", "M52_V123 [0.56, 'HomFave']", "M53_V123 [0.54, 'HomFave']", "M54_V123 [0.56, 'HomFave']", "M55_V123 [0.55, 'HomFave']", "M56_V123 [0.47, 'VisDog']"]</t>
  </si>
  <si>
    <t>["M1_V119 [0.54, 'HomDog']", "M2_V119 [0.52, 'HomDog']", "M3_V119 [0.51, 'HomDog']", "M4_V119 [0.49, 'VisFave']", "M5_V119 [0.49, 'VisFave']", "M6_V119 [0.51, 'HomDog']", "M7_V119 [0.51, 'HomDog']", "M8_V119 [0.51, 'HomDog']", "M9_V119 [0.64, 'HomDog']", "M10_V119 [0.52, 'HomDog']", "M11_V119 [0.34, 'VisFave']", "M12_V119 [0.53, 'HomDog']", "M13_V119 [0.48, 'VisFave']", "M14_V119 [0.47, 'VisFave']", "M15_V119 [0.49, 'VisFave']"]</t>
  </si>
  <si>
    <t>["M16_V123 [0.51, 'HomDog']", "M17_V123 [0.52, 'HomDog']", "M18_V123 [0.54, 'HomDog']", "M19_V123 [0.52, 'HomDog']", "M20_V123 [0.55, 'HomDog']", "M21_V123 [0.55, 'HomDog']", "M22_V123 [0.53, 'HomDog']", "M23_V123 [0.53, 'HomDog']", "M24_V123 [0.53, 'HomDog']", "M25_V123 [0.53, 'HomDog']", "M26_V123 [0.53, 'HomDog']", "M27_V123 [0.52, 'HomDog']", "M28_V123 [0.54, 'HomDog']", "M29_V123 [0.55, 'HomDog']", "M30_V123 [0.56, 'HomDog']", "M31_V123 [0.76, 'HomDog']", "M32_V123 [0.52, 'HomDog']", "M33_V123 [0.55, 'HomDog']", "M34_V123 [0.57, 'HomDog']", "M35_V123 [0.52, 'HomDog']", "M36_V123 [0.51, 'HomDog']", "M37_V123 [0.55, 'HomDog']", "M38_V123 [0.52, 'HomDog']", "M39_V123 [0.51, 'HomDog']", "M40_V123 [0.53, 'HomDog']", "M41_V123 [0.52, 'HomDog']", "M42_V123 [0.5, 'HomDog']", "M43_V123 [0.52, 'HomDog']", "M44_V123 [0.51, 'HomDog']", "M45_V123 [0.53, 'HomDog']", "M46_V123 [0.54, 'HomDog']", "M47_V123 [0.54, 'HomDog']", "M48_V123 [0.62, 'HomDog']", "M49_V123 [0.53, 'HomDog']", "M50_V123 [0.52, 'HomDog']", "M51_V123 [0.51, 'HomDog']", "M52_V123 [0.53, 'HomDog']", "M53_V123 [0.52, 'HomDog']", "M54_V123 [0.51, 'HomDog']", "M55_V123 [0.52, 'HomDog']", "M56_V123 [0.43, 'VisFave']"]</t>
  </si>
  <si>
    <t>["M1_V119 [0.56, 'HomFave']", "M2_V119 [0.58, 'HomFave']", "M3_V119 [0.58, 'HomFave']", "M4_V119 [0.55, 'HomFave']", "M5_V119 [0.55, 'HomFave']", "M6_V119 [0.56, 'HomFave']", "M7_V119 [0.56, 'HomFave']", "M8_V119 [0.56, 'HomFave']", "M9_V119 [0.64, 'HomFave']", "M10_V119 [0.58, 'HomFave']", "M11_V119 [0.5, 'HomFave']", "M12_V119 [0.56, 'HomFave']", "M13_V119 [0.54, 'HomFave']", "M14_V119 [0.59, 'HomFave']", "M15_V119 [0.54, 'HomFave']"]</t>
  </si>
  <si>
    <t>["M16_V123 [0.55, 'HomFave']", "M17_V123 [0.59, 'HomFave']", "M18_V123 [0.56, 'HomFave']", "M19_V123 [0.55, 'HomFave']", "M20_V123 [0.59, 'HomFave']", "M21_V123 [0.57, 'HomFave']", "M22_V123 [0.53, 'HomFave']", "M23_V123 [0.55, 'HomFave']", "M24_V123 [0.56, 'HomFave']", "M25_V123 [0.58, 'HomFave']", "M26_V123 [0.57, 'HomFave']", "M27_V123 [0.56, 'HomFave']", "M28_V123 [0.55, 'HomFave']", "M29_V123 [0.55, 'HomFave']", "M30_V123 [0.55, 'HomFave']", "M31_V123 [0.69, 'HomFave']", "M32_V123 [0.56, 'HomFave']", "M33_V123 [0.58, 'HomFave']", "M34_V123 [0.59, 'HomFave']", "M35_V123 [0.59, 'HomFave']", "M36_V123 [0.55, 'HomFave']", "M37_V123 [0.57, 'HomFave']", "M38_V123 [0.57, 'HomFave']", "M39_V123 [0.58, 'HomFave']", "M40_V123 [0.53, 'HomFave']", "M41_V123 [0.54, 'HomFave']", "M42_V123 [0.53, 'HomFave']", "M43_V123 [0.58, 'HomFave']", "M44_V123 [0.6, 'HomFave']", "M45_V123 [0.56, 'HomFave']", "M46_V123 [0.53, 'HomFave']", "M47_V123 [0.57, 'HomFave']", "M48_V123 [0.63, 'HomFave']", "M49_V123 [0.55, 'HomFave']", "M50_V123 [0.55, 'HomFave']", "M51_V123 [0.57, 'HomFave']", "M52_V123 [0.56, 'HomFave']", "M53_V123 [0.54, 'HomFave']", "M54_V123 [0.56, 'HomFave']", "M55_V123 [0.56, 'HomFave']", "M56_V123 [0.67, 'HomFave']"]</t>
  </si>
  <si>
    <t>["M16_V123 [0.4, 'VisFave']", "M17_V123 [0.4, 'VisFave']", "M18_V123 [0.41, 'VisFave']", "M19_V123 [0.4, 'VisFave']", "M20_V123 [0.42, 'VisFave']", "M21_V123 [0.42, 'VisFave']", "M22_V123 [0.42, 'VisFave']", "M23_V123 [0.41, 'VisFave']", "M24_V123 [0.44, 'VisFave']", "M25_V123 [0.43, 'VisFave']", "M26_V123 [0.41, 'VisFave']", "M27_V123 [0.41, 'VisFave']", "M28_V123 [0.36, 'VisFave']", "M29_V123 [0.41, 'VisFave']", "M30_V123 [0.4, 'VisFave']", "M31_V123 [0.25, 'VisFave']", "M32_V123 [0.39, 'VisFave']", "M33_V123 [0.41, 'VisFave']", "M34_V123 [0.39, 'VisFave']", "M35_V123 [0.39, 'VisFave']", "M36_V123 [0.42, 'VisFave']", "M37_V123 [0.4, 'VisFave']", "M38_V123 [0.4, 'VisFave']", "M39_V123 [0.37, 'VisFave']", "M40_V123 [0.43, 'VisFave']", "M41_V123 [0.42, 'VisFave']", "M42_V123 [0.48, 'VisFave']", "M43_V123 [0.38, 'VisFave']", "M44_V123 [0.39, 'VisFave']", "M45_V123 [0.4, 'VisFave']", "M46_V123 [0.4, 'VisFave']", "M47_V123 [0.42, 'VisFave']", "M48_V123 [0.18, 'VisFave']", "M49_V123 [0.48, 'VisFave']", "M50_V123 [0.41, 'VisFave']", "M51_V123 [0.42, 'VisFave']", "M52_V123 [0.44, 'VisFave']", "M53_V123 [0.39, 'VisFave']", "M54_V123 [0.41, 'VisFave']", "M55_V123 [0.4, 'VisFave']", "M56_V123 [0.36, 'VisFave']"]</t>
  </si>
  <si>
    <t>["M16_V123 [0.56, 'HomFave']", "M17_V123 [0.51, 'HomFave']", "M18_V123 [0.55, 'HomFave']", "M19_V123 [0.54, 'HomFave']", "M20_V123 [0.54, 'HomFave']", "M21_V123 [0.56, 'HomFave']", "M22_V123 [0.53, 'HomFave']", "M23_V123 [0.56, 'HomFave']", "M24_V123 [0.53, 'HomFave']", "M25_V123 [0.51, 'HomFave']", "M26_V123 [0.53, 'HomFave']", "M27_V123 [0.54, 'HomFave']", "M28_V123 [0.6, 'HomFave']", "M29_V123 [0.5, 'HomFave']", "M30_V123 [0.51, 'HomFave']", "M31_V123 [0.69, 'HomFave']", "M32_V123 [0.5, 'HomFave']", "M33_V123 [0.56, 'HomFave']", "M34_V123 [0.55, 'HomFave']", "M35_V123 [0.56, 'HomFave']", "M36_V123 [0.52, 'HomFave']", "M37_V123 [0.53, 'HomFave']", "M38_V123 [0.54, 'HomFave']", "M39_V123 [0.52, 'HomFave']", "M40_V123 [0.49, 'VisDog']", "M41_V123 [0.5, 'HomFave']", "M42_V123 [0.55, 'HomFave']", "M43_V123 [0.55, 'HomFave']", "M44_V123 [0.56, 'HomFave']", "M45_V123 [0.53, 'HomFave']", "M46_V123 [0.5, 'HomFave']", "M47_V123 [0.55, 'HomFave']", "M48_V123 [0.78, 'HomFave']", "M49_V123 [0.54, 'HomFave']", "M50_V123 [0.57, 'HomFave']", "M51_V123 [0.54, 'HomFave']", "M52_V123 [0.54, 'HomFave']", "M53_V123 [0.54, 'HomFave']", "M54_V123 [0.53, 'HomFave']", "M55_V123 [0.54, 'HomFave']", "M56_V123 [0.62, 'HomFave']"]</t>
  </si>
  <si>
    <t>["M1_V119 [0.43, 'VisFave']", "M2_V119 [0.44, 'VisFave']", "M3_V119 [0.42, 'VisFave']", "M4_V119 [0.44, 'VisFave']", "M5_V119 [0.44, 'VisFave']", "M6_V119 [0.42, 'VisFave']", "M7_V119 [0.45, 'VisFave']", "M8_V119 [0.43, 'VisFave']", "M9_V119 [0.53, 'HomDog']", "M10_V119 [0.49, 'VisFave']", "M11_V119 [0.39, 'VisFave']", "M12_V119 [0.49, 'VisFave']", "M13_V119 [0.44, 'VisFave']", "M14_V119 [0.43, 'VisFave']", "M15_V119 [0.39, 'VisFave']"]</t>
  </si>
  <si>
    <t>["M1_V119 [0.54, 'HomFave']", "M2_V119 [0.53, 'HomFave']", "M3_V119 [0.56, 'HomFave']", "M4_V119 [0.56, 'HomFave']", "M5_V119 [0.56, 'HomFave']", "M6_V119 [0.57, 'HomFave']", "M7_V119 [0.54, 'HomFave']", "M8_V119 [0.53, 'HomFave']", "M9_V119 [0.48, 'VisDog']", "M10_V119 [0.52, 'HomFave']", "M11_V119 [0.46, 'VisDog']", "M12_V119 [0.56, 'HomFave']", "M13_V119 [0.54, 'HomFave']", "M14_V119 [0.59, 'HomFave']", "M15_V119 [0.51, 'HomFave']"]</t>
  </si>
  <si>
    <t>["M16_V123 [0.53, 'HomFave']", "M17_V123 [0.53, 'HomFave']", "M18_V123 [0.56, 'HomFave']", "M19_V123 [0.52, 'HomFave']", "M20_V123 [0.55, 'HomFave']", "M21_V123 [0.56, 'HomFave']", "M22_V123 [0.54, 'HomFave']", "M23_V123 [0.52, 'HomFave']", "M24_V123 [0.53, 'HomFave']", "M25_V123 [0.55, 'HomFave']", "M26_V123 [0.54, 'HomFave']", "M27_V123 [0.54, 'HomFave']", "M28_V123 [0.54, 'HomFave']", "M29_V123 [0.54, 'HomFave']", "M30_V123 [0.54, 'HomFave']", "M31_V123 [0.58, 'HomFave']", "M32_V123 [0.52, 'HomFave']", "M33_V123 [0.56, 'HomFave']", "M34_V123 [0.55, 'HomFave']", "M35_V123 [0.55, 'HomFave']", "M36_V123 [0.48, 'VisDog']", "M37_V123 [0.5, 'HomFave']", "M38_V123 [0.56, 'HomFave']", "M39_V123 [0.5, 'HomFave']", "M40_V123 [0.53, 'HomFave']", "M41_V123 [0.53, 'HomFave']", "M42_V123 [0.49, 'VisDog']", "M43_V123 [0.52, 'HomFave']", "M44_V123 [0.53, 'HomFave']", "M45_V123 [0.52, 'HomFave']", "M46_V123 [0.53, 'HomFave']", "M47_V123 [0.53, 'HomFave']", "M48_V123 [0.57, 'HomFave']", "M49_V123 [0.53, 'HomFave']", "M50_V123 [0.52, 'HomFave']", "M51_V123 [0.57, 'HomFave']", "M52_V123 [0.54, 'HomFave']", "M53_V123 [0.52, 'HomFave']", "M54_V123 [0.54, 'HomFave']", "M55_V123 [0.54, 'HomFave']", "M56_V123 [0.48, 'VisDog']"]</t>
  </si>
  <si>
    <t>["M1_V119 [0.48, 'VisFave']", "M2_V119 [0.5, 'HomDog']", "M3_V119 [0.48, 'VisFave']", "M4_V119 [0.5, 'HomDog']", "M5_V119 [0.5, 'HomDog']", "M6_V119 [0.49, 'VisFave']", "M7_V119 [0.5, 'HomDog']", "M8_V119 [0.49, 'VisFave']", "M9_V119 [0.47, 'VisFave']", "M10_V119 [0.51, 'HomDog']", "M11_V119 [0.65, 'HomDog']", "M12_V119 [0.52, 'HomDog']", "M13_V119 [0.47, 'VisFave']", "M14_V119 [0.46, 'VisFave']", "M15_V119 [0.49, 'VisFave']"]</t>
  </si>
  <si>
    <t>["M16_V123 [0.48, 'VisFave']", "M17_V123 [0.47, 'VisFave']", "M18_V123 [0.49, 'VisFave']", "M19_V123 [0.49, 'VisFave']", "M20_V123 [0.5, 'HomDog']", "M21_V123 [0.51, 'HomDog']", "M22_V123 [0.49, 'VisFave']", "M23_V123 [0.5, 'HomDog']", "M24_V123 [0.49, 'VisFave']", "M25_V123 [0.5, 'HomDog']", "M26_V123 [0.48, 'VisFave']", "M27_V123 [0.5, 'HomDog']", "M28_V123 [0.51, 'HomDog']", "M29_V123 [0.48, 'VisFave']", "M30_V123 [0.49, 'VisFave']", "M31_V123 [0.51, 'HomDog']", "M32_V123 [0.46, 'VisFave']", "M33_V123 [0.5, 'HomDog']", "M34_V123 [0.47, 'VisFave']", "M35_V123 [0.49, 'VisFave']", "M36_V123 [0.46, 'VisFave']", "M37_V123 [0.49, 'VisFave']", "M38_V123 [0.49, 'VisFave']", "M39_V123 [0.49, 'VisFave']", "M40_V123 [0.49, 'VisFave']", "M41_V123 [0.5, 'HomDog']", "M42_V123 [0.49, 'VisFave']", "M43_V123 [0.5, 'HomDog']", "M44_V123 [0.49, 'VisFave']", "M45_V123 [0.5, 'HomDog']", "M46_V123 [0.45, 'VisFave']", "M47_V123 [0.5, 'HomDog']", "M48_V123 [0.55, 'HomDog']", "M49_V123 [0.52, 'HomDog']", "M50_V123 [0.47, 'VisFave']", "M51_V123 [0.52, 'HomDog']", "M52_V123 [0.51, 'HomDog']", "M53_V123 [0.48, 'VisFave']", "M54_V123 [0.48, 'VisFave']", "M55_V123 [0.5, 'HomDog']", "M56_V123 [0.46, 'VisFave']"]</t>
  </si>
  <si>
    <t>["M1_V119 [0.43, 'VisFave']", "M2_V119 [0.47, 'VisFave']", "M3_V119 [0.47, 'VisFave']", "M4_V119 [0.42, 'VisFave']", "M5_V119 [0.42, 'VisFave']", "M6_V119 [0.41, 'VisFave']", "M7_V119 [0.47, 'VisFave']", "M8_V119 [0.43, 'VisFave']", "M9_V119 [0.46, 'VisFave']", "M10_V119 [0.47, 'VisFave']", "M11_V119 [0.57, 'HomDog']", "M12_V119 [0.6, 'HomDog']", "M13_V119 [0.43, 'VisFave']", "M14_V119 [0.46, 'VisFave']", "M15_V119 [0.41, 'VisFave']"]</t>
  </si>
  <si>
    <t>["M16_V123 [0.47, 'VisFave']", "M17_V123 [0.47, 'VisFave']", "M18_V123 [0.48, 'VisFave']", "M19_V123 [0.5, 'HomDog']", "M20_V123 [0.49, 'VisFave']", "M21_V123 [0.49, 'VisFave']", "M22_V123 [0.48, 'VisFave']", "M23_V123 [0.47, 'VisFave']", "M24_V123 [0.48, 'VisFave']", "M25_V123 [0.45, 'VisFave']", "M26_V123 [0.49, 'VisFave']", "M27_V123 [0.48, 'VisFave']", "M28_V123 [0.44, 'VisFave']", "M29_V123 [0.48, 'VisFave']", "M30_V123 [0.47, 'VisFave']", "M31_V123 [0.61, 'HomDog']", "M32_V123 [0.48, 'VisFave']", "M33_V123 [0.5, 'HomDog']", "M34_V123 [0.48, 'VisFave']", "M35_V123 [0.47, 'VisFave']", "M36_V123 [0.51, 'HomDog']", "M37_V123 [0.48, 'VisFave']", "M38_V123 [0.47, 'VisFave']", "M39_V123 [0.43, 'VisFave']", "M40_V123 [0.47, 'VisFave']", "M41_V123 [0.47, 'VisFave']", "M42_V123 [0.53, 'HomDog']", "M43_V123 [0.46, 'VisFave']", "M44_V123 [0.48, 'VisFave']", "M45_V123 [0.48, 'VisFave']", "M46_V123 [0.52, 'HomDog']", "M47_V123 [0.46, 'VisFave']", "M48_V123 [0.48, 'VisFave']", "M49_V123 [0.48, 'VisFave']", "M50_V123 [0.45, 'VisFave']", "M51_V123 [0.49, 'VisFave']", "M52_V123 [0.47, 'VisFave']", "M53_V123 [0.46, 'VisFave']", "M54_V123 [0.48, 'VisFave']", "M55_V123 [0.48, 'VisFave']", "M56_V123 [0.44, 'VisFave']"]</t>
  </si>
  <si>
    <t>["M1_V119 [0.44, 'VisFave']", "M2_V119 [0.46, 'VisFave']", "M3_V119 [0.44, 'VisFave']", "M4_V119 [0.46, 'VisFave']", "M5_V119 [0.46, 'VisFave']", "M6_V119 [0.45, 'VisFave']", "M7_V119 [0.43, 'VisFave']", "M8_V119 [0.43, 'VisFave']", "M9_V119 [0.51, 'HomDog']", "M10_V119 [0.51, 'HomDog']", "M11_V119 [0.34, 'VisFave']", "M12_V119 [0.42, 'VisFave']", "M13_V119 [0.45, 'VisFave']", "M14_V119 [0.48, 'VisFave']", "M15_V119 [0.48, 'VisFave']"]</t>
  </si>
  <si>
    <t>["M16_V123 [0.45, 'VisFave']", "M17_V123 [0.44, 'VisFave']", "M18_V123 [0.44, 'VisFave']", "M19_V123 [0.42, 'VisFave']", "M20_V123 [0.44, 'VisFave']", "M21_V123 [0.47, 'VisFave']", "M22_V123 [0.43, 'VisFave']", "M23_V123 [0.45, 'VisFave']", "M24_V123 [0.46, 'VisFave']", "M25_V123 [0.41, 'VisFave']", "M26_V123 [0.44, 'VisFave']", "M27_V123 [0.44, 'VisFave']", "M28_V123 [0.44, 'VisFave']", "M29_V123 [0.42, 'VisFave']", "M30_V123 [0.44, 'VisFave']", "M31_V123 [0.44, 'VisFave']", "M32_V123 [0.41, 'VisFave']", "M33_V123 [0.44, 'VisFave']", "M34_V123 [0.45, 'VisFave']", "M35_V123 [0.44, 'VisFave']", "M36_V123 [0.44, 'VisFave']", "M37_V123 [0.43, 'VisFave']", "M38_V123 [0.43, 'VisFave']", "M39_V123 [0.4, 'VisFave']", "M40_V123 [0.43, 'VisFave']", "M41_V123 [0.43, 'VisFave']", "M42_V123 [0.43, 'VisFave']", "M43_V123 [0.41, 'VisFave']", "M44_V123 [0.39, 'VisFave']", "M45_V123 [0.43, 'VisFave']", "M46_V123 [0.4, 'VisFave']", "M47_V123 [0.45, 'VisFave']", "M48_V123 [0.41, 'VisFave']", "M49_V123 [0.47, 'VisFave']", "M50_V123 [0.44, 'VisFave']", "M51_V123 [0.44, 'VisFave']", "M52_V123 [0.46, 'VisFave']", "M53_V123 [0.42, 'VisFave']", "M54_V123 [0.45, 'VisFave']", "M55_V123 [0.44, 'VisFave']", "M56_V123 [0.34, 'VisFave']"]</t>
  </si>
  <si>
    <t>["M1_V119 [0.48, 'VisFave']", "M2_V119 [0.44, 'VisFave']", "M3_V119 [0.46, 'VisFave']", "M4_V119 [0.46, 'VisFave']", "M5_V119 [0.46, 'VisFave']", "M6_V119 [0.45, 'VisFave']", "M7_V119 [0.45, 'VisFave']", "M8_V119 [0.46, 'VisFave']", "M9_V119 [0.37, 'VisFave']", "M10_V119 [0.41, 'VisFave']", "M11_V119 [0.33, 'VisFave']", "M12_V119 [0.32, 'VisFave']", "M13_V119 [0.45, 'VisFave']", "M14_V119 [0.44, 'VisFave']", "M15_V119 [0.48, 'VisFave']"]</t>
  </si>
  <si>
    <t>["M16_V123 [0.46, 'VisFave']", "M17_V123 [0.42, 'VisFave']", "M18_V123 [0.44, 'VisFave']", "M19_V123 [0.43, 'VisFave']", "M20_V123 [0.45, 'VisFave']", "M21_V123 [0.45, 'VisFave']", "M22_V123 [0.43, 'VisFave']", "M23_V123 [0.45, 'VisFave']", "M24_V123 [0.45, 'VisFave']", "M25_V123 [0.45, 'VisFave']", "M26_V123 [0.44, 'VisFave']", "M27_V123 [0.44, 'VisFave']", "M28_V123 [0.4, 'VisFave']", "M29_V123 [0.42, 'VisFave']", "M30_V123 [0.45, 'VisFave']", "M31_V123 [0.31, 'VisFave']", "M32_V123 [0.4, 'VisFave']", "M33_V123 [0.43, 'VisFave']", "M34_V123 [0.41, 'VisFave']", "M35_V123 [0.38, 'VisFave']", "M36_V123 [0.43, 'VisFave']", "M37_V123 [0.42, 'VisFave']", "M38_V123 [0.44, 'VisFave']", "M39_V123 [0.45, 'VisFave']", "M40_V123 [0.44, 'VisFave']", "M41_V123 [0.44, 'VisFave']", "M42_V123 [0.44, 'VisFave']", "M43_V123 [0.41, 'VisFave']", "M44_V123 [0.39, 'VisFave']", "M45_V123 [0.44, 'VisFave']", "M46_V123 [0.38, 'VisFave']", "M47_V123 [0.44, 'VisFave']", "M48_V123 [0.34, 'VisFave']", "M49_V123 [0.46, 'VisFave']", "M50_V123 [0.44, 'VisFave']", "M51_V123 [0.48, 'VisFave']", "M52_V123 [0.43, 'VisFave']", "M53_V123 [0.42, 'VisFave']", "M54_V123 [0.44, 'VisFave']", "M55_V123 [0.43, 'VisFave']", "M56_V123 [0.25, 'VisFave']"]</t>
  </si>
  <si>
    <t>["M1_V119 [0.45, 'VisFave']", "M2_V119 [0.43, 'VisFave']", "M3_V119 [0.41, 'VisFave']", "M4_V119 [0.39, 'VisFave']", "M5_V119 [0.39, 'VisFave']", "M6_V119 [0.44, 'VisFave']", "M7_V119 [0.41, 'VisFave']", "M8_V119 [0.41, 'VisFave']", "M9_V119 [0.43, 'VisFave']", "M10_V119 [0.42, 'VisFave']", "M11_V119 [0.46, 'VisFave']", "M12_V119 [0.41, 'VisFave']", "M13_V119 [0.38, 'VisFave']", "M14_V119 [0.41, 'VisFave']", "M15_V119 [0.37, 'VisFave']"]</t>
  </si>
  <si>
    <t>["M16_V123 [0.45, 'VisFave']", "M17_V123 [0.43, 'VisFave']", "M18_V123 [0.45, 'VisFave']", "M19_V123 [0.43, 'VisFave']", "M20_V123 [0.45, 'VisFave']", "M21_V123 [0.47, 'VisFave']", "M22_V123 [0.42, 'VisFave']", "M23_V123 [0.46, 'VisFave']", "M24_V123 [0.44, 'VisFave']", "M25_V123 [0.41, 'VisFave']", "M26_V123 [0.43, 'VisFave']", "M27_V123 [0.41, 'VisFave']", "M28_V123 [0.31, 'VisFave']", "M29_V123 [0.44, 'VisFave']", "M30_V123 [0.45, 'VisFave']", "M31_V123 [0.4, 'VisFave']", "M32_V123 [0.43, 'VisFave']", "M33_V123 [0.46, 'VisFave']", "M34_V123 [0.46, 'VisFave']", "M35_V123 [0.4, 'VisFave']", "M36_V123 [0.41, 'VisFave']", "M37_V123 [0.43, 'VisFave']", "M38_V123 [0.46, 'VisFave']", "M39_V123 [0.38, 'VisFave']", "M40_V123 [0.43, 'VisFave']", "M41_V123 [0.44, 'VisFave']", "M42_V123 [0.48, 'VisFave']", "M43_V123 [0.41, 'VisFave']", "M44_V123 [0.41, 'VisFave']", "M45_V123 [0.44, 'VisFave']", "M46_V123 [0.41, 'VisFave']", "M47_V123 [0.45, 'VisFave']", "M48_V123 [0.37, 'VisFave']", "M49_V123 [0.47, 'VisFave']", "M50_V123 [0.44, 'VisFave']", "M51_V123 [0.43, 'VisFave']", "M52_V123 [0.44, 'VisFave']", "M53_V123 [0.43, 'VisFave']", "M54_V123 [0.44, 'VisFave']", "M55_V123 [0.43, 'VisFave']", "M56_V123 [0.43, 'VisFave']"]</t>
  </si>
  <si>
    <t>["M1_V119 [0.51, 'HomFave']", "M2_V119 [0.54, 'HomFave']", "M3_V119 [0.55, 'HomFave']", "M4_V119 [0.53, 'HomFave']", "M5_V119 [0.53, 'HomFave']", "M6_V119 [0.54, 'HomFave']", "M7_V119 [0.55, 'HomFave']", "M8_V119 [0.54, 'HomFave']", "M9_V119 [0.52, 'HomFave']", "M10_V119 [0.5, 'HomFave']", "M11_V119 [0.41, 'VisDog']", "M12_V119 [0.55, 'HomFave']", "M13_V119 [0.54, 'HomFave']", "M14_V119 [0.59, 'HomFave']", "M15_V119 [0.43, 'VisDog']"]</t>
  </si>
  <si>
    <t>["M1_V119 [0.45, 'VisFave']", "M2_V119 [0.47, 'VisFave']", "M3_V119 [0.47, 'VisFave']", "M4_V119 [0.45, 'VisFave']", "M5_V119 [0.45, 'VisFave']", "M6_V119 [0.42, 'VisFave']", "M7_V119 [0.44, 'VisFave']", "M8_V119 [0.44, 'VisFave']", "M9_V119 [0.56, 'HomDog']", "M10_V119 [0.49, 'VisFave']", "M11_V119 [0.26, 'VisFave']", "M12_V119 [0.39, 'VisFave']", "M13_V119 [0.44, 'VisFave']", "M14_V119 [0.46, 'VisFave']", "M15_V119 [0.44, 'VisFave']"]</t>
  </si>
  <si>
    <t>["M1_V119 [0.51, 'HomFave']", "M2_V119 [0.52, 'HomFave']", "M3_V119 [0.53, 'HomFave']", "M4_V119 [0.54, 'HomFave']", "M5_V119 [0.54, 'HomFave']", "M6_V119 [0.55, 'HomFave']", "M7_V119 [0.52, 'HomFave']", "M8_V119 [0.53, 'HomFave']", "M9_V119 [0.56, 'HomFave']", "M10_V119 [0.46, 'VisDog']", "M11_V119 [0.49, 'VisDog']", "M12_V119 [0.58, 'HomFave']", "M13_V119 [0.51, 'HomFave']", "M14_V119 [0.55, 'HomFave']", "M15_V119 [0.48, 'VisDog']"]</t>
  </si>
  <si>
    <t>["M1_V119 [0.51, 'HomFave']", "M2_V119 [0.51, 'HomFave']", "M3_V119 [0.53, 'HomFave']", "M4_V119 [0.51, 'HomFave']", "M5_V119 [0.51, 'HomFave']", "M6_V119 [0.51, 'HomFave']", "M7_V119 [0.51, 'HomFave']", "M8_V119 [0.48, 'VisDog']", "M9_V119 [0.65, 'HomFave']", "M10_V119 [0.61, 'HomFave']", "M11_V119 [0.59, 'HomFave']", "M12_V119 [0.5, 'HomFave']", "M13_V119 [0.49, 'VisDog']", "M14_V119 [0.56, 'HomFave']", "M15_V119 [0.35, 'VisDog']"]</t>
  </si>
  <si>
    <t>["M16_V123 [0.49, 'VisDog']", "M17_V123 [0.47, 'VisDog']", "M18_V123 [0.49, 'VisDog']", "M19_V123 [0.5, 'HomFave']", "M20_V123 [0.51, 'HomFave']", "M21_V123 [0.51, 'HomFave']", "M22_V123 [0.48, 'VisDog']", "M23_V123 [0.48, 'VisDog']", "M24_V123 [0.5, 'HomFave']", "M25_V123 [0.52, 'HomFave']", "M26_V123 [0.48, 'VisDog']", "M27_V123 [0.5, 'HomFave']", "M28_V123 [0.59, 'HomFave']", "M29_V123 [0.47, 'VisDog']", "M30_V123 [0.49, 'VisDog']", "M31_V123 [0.39, 'VisDog']", "M32_V123 [0.49, 'VisDog']", "M33_V123 [0.47, 'VisDog']", "M34_V123 [0.51, 'HomFave']", "M35_V123 [0.48, 'VisDog']", "M36_V123 [0.47, 'VisDog']", "M37_V123 [0.49, 'VisDog']", "M38_V123 [0.49, 'VisDog']", "M39_V123 [0.45, 'VisDog']", "M40_V123 [0.48, 'VisDog']", "M41_V123 [0.48, 'VisDog']", "M42_V123 [0.5, 'HomFave']", "M43_V123 [0.49, 'VisDog']", "M44_V123 [0.49, 'VisDog']", "M45_V123 [0.5, 'HomFave']", "M46_V123 [0.45, 'VisDog']", "M47_V123 [0.49, 'VisDog']", "M48_V123 [0.39, 'VisDog']", "M49_V123 [0.48, 'VisDog']", "M50_V123 [0.5, 'HomFave']", "M51_V123 [0.5, 'HomFave']", "M52_V123 [0.5, 'HomFave']", "M53_V123 [0.49, 'VisDog']", "M54_V123 [0.49, 'VisDog']", "M55_V123 [0.49, 'VisDog']", "M56_V123 [0.34, 'VisDog']"]</t>
  </si>
  <si>
    <t>["M1_V119 [0.43, 'VisFave']", "M2_V119 [0.47, 'VisFave']", "M3_V119 [0.47, 'VisFave']", "M4_V119 [0.46, 'VisFave']", "M5_V119 [0.46, 'VisFave']", "M6_V119 [0.46, 'VisFave']", "M7_V119 [0.47, 'VisFave']", "M8_V119 [0.47, 'VisFave']", "M9_V119 [0.43, 'VisFave']", "M10_V119 [0.54, 'HomDog']", "M11_V119 [0.61, 'HomDog']", "M12_V119 [0.56, 'HomDog']", "M13_V119 [0.48, 'VisFave']", "M14_V119 [0.49, 'VisFave']", "M15_V119 [0.43, 'VisFave']"]</t>
  </si>
  <si>
    <t>["M1_V119 [0.5, 'HomDog']", "M2_V119 [0.5, 'HomDog']", "M3_V119 [0.48, 'VisFave']", "M4_V119 [0.49, 'VisFave']", "M5_V119 [0.49, 'VisFave']", "M6_V119 [0.5, 'HomDog']", "M7_V119 [0.49, 'VisFave']", "M8_V119 [0.5, 'HomDog']", "M9_V119 [0.38, 'VisFave']", "M10_V119 [0.41, 'VisFave']", "M11_V119 [0.45, 'VisFave']", "M12_V119 [0.46, 'VisFave']", "M13_V119 [0.47, 'VisFave']", "M14_V119 [0.51, 'HomDog']", "M15_V119 [0.44, 'VisFave']"]</t>
  </si>
  <si>
    <t>["M16_V123 [0.5, 'HomDog']", "M17_V123 [0.53, 'HomDog']", "M18_V123 [0.52, 'HomDog']", "M19_V123 [0.54, 'HomDog']", "M20_V123 [0.56, 'HomDog']", "M21_V123 [0.53, 'HomDog']", "M22_V123 [0.52, 'HomDog']", "M23_V123 [0.5, 'HomDog']", "M24_V123 [0.52, 'HomDog']", "M25_V123 [0.52, 'HomDog']", "M26_V123 [0.51, 'HomDog']", "M27_V123 [0.51, 'HomDog']", "M28_V123 [0.53, 'HomDog']", "M29_V123 [0.51, 'HomDog']", "M30_V123 [0.51, 'HomDog']", "M31_V123 [0.48, 'VisFave']", "M32_V123 [0.52, 'HomDog']", "M33_V123 [0.54, 'HomDog']", "M34_V123 [0.5, 'HomDog']", "M35_V123 [0.45, 'VisFave']", "M36_V123 [0.53, 'HomDog']", "M37_V123 [0.53, 'HomDog']", "M38_V123 [0.51, 'HomDog']", "M39_V123 [0.52, 'HomDog']", "M40_V123 [0.56, 'HomDog']", "M41_V123 [0.53, 'HomDog']", "M42_V123 [0.53, 'HomDog']", "M43_V123 [0.51, 'HomDog']", "M44_V123 [0.51, 'HomDog']", "M45_V123 [0.54, 'HomDog']", "M46_V123 [0.47, 'VisFave']", "M47_V123 [0.53, 'HomDog']", "M48_V123 [0.44, 'VisFave']", "M49_V123 [0.53, 'HomDog']", "M50_V123 [0.51, 'HomDog']", "M51_V123 [0.55, 'HomDog']", "M52_V123 [0.53, 'HomDog']", "M53_V123 [0.5, 'HomDog']", "M54_V123 [0.53, 'HomDog']", "M55_V123 [0.53, 'HomDog']", "M56_V123 [0.62, 'HomDog']"]</t>
  </si>
  <si>
    <t>["M1_V119 [0.49, 'VisFave']", "M2_V119 [0.48, 'VisFave']", "M3_V119 [0.49, 'VisFave']", "M4_V119 [0.49, 'VisFave']", "M5_V119 [0.49, 'VisFave']", "M6_V119 [0.48, 'VisFave']", "M7_V119 [0.47, 'VisFave']", "M8_V119 [0.48, 'VisFave']", "M9_V119 [0.56, 'HomDog']", "M10_V119 [0.49, 'VisFave']", "M11_V119 [0.58, 'HomDog']", "M12_V119 [0.52, 'HomDog']", "M13_V119 [0.47, 'VisFave']", "M14_V119 [0.47, 'VisFave']", "M15_V119 [0.47, 'VisFave']"]</t>
  </si>
  <si>
    <t>["M16_V123 [0.45, 'VisFave']", "M17_V123 [0.47, 'VisFave']", "M18_V123 [0.53, 'HomDog']", "M19_V123 [0.52, 'HomDog']", "M20_V123 [0.51, 'HomDog']", "M21_V123 [0.5, 'HomDog']", "M22_V123 [0.5, 'HomDog']", "M23_V123 [0.47, 'VisFave']", "M24_V123 [0.49, 'VisFave']", "M25_V123 [0.48, 'VisFave']", "M26_V123 [0.49, 'VisFave']", "M27_V123 [0.48, 'VisFave']", "M28_V123 [0.49, 'VisFave']", "M29_V123 [0.48, 'VisFave']", "M30_V123 [0.53, 'HomDog']", "M31_V123 [0.56, 'HomDog']", "M32_V123 [0.5, 'HomDog']", "M33_V123 [0.51, 'HomDog']", "M34_V123 [0.5, 'HomDog']", "M35_V123 [0.51, 'HomDog']", "M36_V123 [0.48, 'VisFave']", "M37_V123 [0.51, 'HomDog']", "M38_V123 [0.49, 'VisFave']", "M39_V123 [0.49, 'VisFave']", "M40_V123 [0.52, 'HomDog']", "M41_V123 [0.5, 'HomDog']", "M42_V123 [0.5, 'HomDog']", "M43_V123 [0.48, 'VisFave']", "M44_V123 [0.46, 'VisFave']", "M45_V123 [0.48, 'VisFave']", "M46_V123 [0.51, 'HomDog']", "M47_V123 [0.48, 'VisFave']", "M48_V123 [0.52, 'HomDog']", "M49_V123 [0.5, 'HomDog']", "M50_V123 [0.46, 'VisFave']", "M51_V123 [0.51, 'HomDog']", "M52_V123 [0.55, 'HomDog']", "M53_V123 [0.49, 'VisFave']", "M54_V123 [0.51, 'HomDog']", "M55_V123 [0.49, 'VisFave']", "M56_V123 [0.52, 'HomDog']"]</t>
  </si>
  <si>
    <t>["M1_V119 [0.46, 'VisDog']", "M2_V119 [0.54, 'HomFave']", "M3_V119 [0.51, 'HomFave']", "M4_V119 [0.53, 'HomFave']", "M5_V119 [0.53, 'HomFave']", "M6_V119 [0.51, 'HomFave']", "M7_V119 [0.51, 'HomFave']", "M8_V119 [0.53, 'HomFave']", "M9_V119 [0.63, 'HomFave']", "M10_V119 [0.67, 'HomFave']", "M11_V119 [0.71, 'HomFave']", "M12_V119 [0.57, 'HomFave']", "M13_V119 [0.49, 'VisDog']", "M14_V119 [0.48, 'VisDog']", "M15_V119 [0.54, 'HomFave']"]</t>
  </si>
  <si>
    <t>["M1_V119 [0.46, 'VisFave']", "M2_V119 [0.46, 'VisFave']", "M3_V119 [0.46, 'VisFave']", "M4_V119 [0.49, 'VisFave']", "M5_V119 [0.49, 'VisFave']", "M6_V119 [0.46, 'VisFave']", "M7_V119 [0.46, 'VisFave']", "M8_V119 [0.45, 'VisFave']", "M9_V119 [0.52, 'HomDog']", "M10_V119 [0.47, 'VisFave']", "M11_V119 [0.38, 'VisFave']", "M12_V119 [0.51, 'HomDog']", "M13_V119 [0.45, 'VisFave']", "M14_V119 [0.47, 'VisFave']", "M15_V119 [0.46, 'VisFave']"]</t>
  </si>
  <si>
    <t>["M16_V123 [0.42, 'VisFave']", "M17_V123 [0.4, 'VisFave']", "M18_V123 [0.42, 'VisFave']", "M19_V123 [0.4, 'VisFave']", "M20_V123 [0.43, 'VisFave']", "M21_V123 [0.44, 'VisFave']", "M22_V123 [0.41, 'VisFave']", "M23_V123 [0.39, 'VisFave']", "M24_V123 [0.43, 'VisFave']", "M25_V123 [0.4, 'VisFave']", "M26_V123 [0.41, 'VisFave']", "M27_V123 [0.4, 'VisFave']", "M28_V123 [0.41, 'VisFave']", "M29_V123 [0.42, 'VisFave']", "M30_V123 [0.42, 'VisFave']", "M31_V123 [0.32, 'VisFave']", "M32_V123 [0.39, 'VisFave']", "M33_V123 [0.4, 'VisFave']", "M34_V123 [0.38, 'VisFave']", "M35_V123 [0.41, 'VisFave']", "M36_V123 [0.42, 'VisFave']", "M37_V123 [0.39, 'VisFave']", "M38_V123 [0.4, 'VisFave']", "M39_V123 [0.39, 'VisFave']", "M40_V123 [0.43, 'VisFave']", "M41_V123 [0.42, 'VisFave']", "M42_V123 [0.44, 'VisFave']", "M43_V123 [0.39, 'VisFave']", "M44_V123 [0.38, 'VisFave']", "M45_V123 [0.4, 'VisFave']", "M46_V123 [0.37, 'VisFave']", "M47_V123 [0.41, 'VisFave']", "M48_V123 [0.21, 'VisFave']", "M49_V123 [0.44, 'VisFave']", "M50_V123 [0.4, 'VisFave']", "M51_V123 [0.41, 'VisFave']", "M52_V123 [0.44, 'VisFave']", "M53_V123 [0.38, 'VisFave']", "M54_V123 [0.41, 'VisFave']", "M55_V123 [0.4, 'VisFave']", "M56_V123 [0.31, 'VisFave']"]</t>
  </si>
  <si>
    <t>["M1_V119 [0.52, 'HomFave']", "M2_V119 [0.51, 'HomFave']", "M3_V119 [0.52, 'HomFave']", "M4_V119 [0.52, 'HomFave']", "M5_V119 [0.52, 'HomFave']", "M6_V119 [0.52, 'HomFave']", "M7_V119 [0.53, 'HomFave']", "M8_V119 [0.51, 'HomFave']", "M9_V119 [0.53, 'HomFave']", "M10_V119 [0.53, 'HomFave']", "M11_V119 [0.46, 'VisDog']", "M12_V119 [0.57, 'HomFave']", "M13_V119 [0.51, 'HomFave']", "M14_V119 [0.55, 'HomFave']", "M15_V119 [0.46, 'VisDog']"]</t>
  </si>
  <si>
    <t>["M16_V123 [0.5, 'HomFave']", "M17_V123 [0.48, 'VisDog']", "M18_V123 [0.5, 'HomFave']", "M19_V123 [0.51, 'HomFave']", "M20_V123 [0.5, 'HomFave']", "M21_V123 [0.5, 'HomFave']", "M22_V123 [0.5, 'HomFave']", "M23_V123 [0.52, 'HomFave']", "M24_V123 [0.51, 'HomFave']", "M25_V123 [0.5, 'HomFave']", "M26_V123 [0.48, 'VisDog']", "M27_V123 [0.49, 'VisDog']", "M28_V123 [0.57, 'HomFave']", "M29_V123 [0.49, 'VisDog']", "M30_V123 [0.47, 'VisDog']", "M31_V123 [0.55, 'HomFave']", "M32_V123 [0.47, 'VisDog']", "M33_V123 [0.53, 'HomFave']", "M34_V123 [0.52, 'HomFave']", "M35_V123 [0.54, 'HomFave']", "M36_V123 [0.44, 'VisDog']", "M37_V123 [0.48, 'VisDog']", "M38_V123 [0.5, 'HomFave']", "M39_V123 [0.47, 'VisDog']", "M40_V123 [0.47, 'VisDog']", "M41_V123 [0.47, 'VisDog']", "M42_V123 [0.55, 'HomFave']", "M43_V123 [0.51, 'HomFave']", "M44_V123 [0.5, 'HomFave']", "M45_V123 [0.5, 'HomFave']", "M46_V123 [0.44, 'VisDog']", "M47_V123 [0.52, 'HomFave']", "M48_V123 [0.6, 'HomFave']", "M49_V123 [0.5, 'HomFave']", "M50_V123 [0.49, 'VisDog']", "M51_V123 [0.51, 'HomFave']", "M52_V123 [0.48, 'VisDog']", "M53_V123 [0.5, 'HomFave']", "M54_V123 [0.48, 'VisDog']", "M55_V123 [0.52, 'HomFave']", "M56_V123 [0.38, 'VisDog']"]</t>
  </si>
  <si>
    <t>["M1_V119 [0.43, 'VisFave']", "M2_V119 [0.42, 'VisFave']", "M3_V119 [0.41, 'VisFave']", "M4_V119 [0.39, 'VisFave']", "M5_V119 [0.39, 'VisFave']", "M6_V119 [0.44, 'VisFave']", "M7_V119 [0.43, 'VisFave']", "M8_V119 [0.41, 'VisFave']", "M9_V119 [0.34, 'VisFave']", "M10_V119 [0.41, 'VisFave']", "M11_V119 [0.3, 'VisFave']", "M12_V119 [0.55, 'HomDog']", "M13_V119 [0.37, 'VisFave']", "M14_V119 [0.41, 'VisFave']", "M15_V119 [0.35, 'VisFave']"]</t>
  </si>
  <si>
    <t>["M16_V123 [0.39, 'VisFave']", "M17_V123 [0.41, 'VisFave']", "M18_V123 [0.43, 'VisFave']", "M19_V123 [0.44, 'VisFave']", "M20_V123 [0.42, 'VisFave']", "M21_V123 [0.43, 'VisFave']", "M22_V123 [0.42, 'VisFave']", "M23_V123 [0.4, 'VisFave']", "M24_V123 [0.43, 'VisFave']", "M25_V123 [0.42, 'VisFave']", "M26_V123 [0.43, 'VisFave']", "M27_V123 [0.38, 'VisFave']", "M28_V123 [0.31, 'VisFave']", "M29_V123 [0.43, 'VisFave']", "M30_V123 [0.42, 'VisFave']", "M31_V123 [0.59, 'HomDog']", "M32_V123 [0.41, 'VisFave']", "M33_V123 [0.42, 'VisFave']", "M34_V123 [0.44, 'VisFave']", "M35_V123 [0.43, 'VisFave']", "M36_V123 [0.41, 'VisFave']", "M37_V123 [0.42, 'VisFave']", "M38_V123 [0.44, 'VisFave']", "M39_V123 [0.34, 'VisFave']", "M40_V123 [0.42, 'VisFave']", "M41_V123 [0.43, 'VisFave']", "M42_V123 [0.44, 'VisFave']", "M43_V123 [0.41, 'VisFave']", "M44_V123 [0.38, 'VisFave']", "M45_V123 [0.43, 'VisFave']", "M46_V123 [0.41, 'VisFave']", "M47_V123 [0.41, 'VisFave']", "M48_V123 [0.34, 'VisFave']", "M49_V123 [0.47, 'VisFave']", "M50_V123 [0.43, 'VisFave']", "M51_V123 [0.41, 'VisFave']", "M52_V123 [0.44, 'VisFave']", "M53_V123 [0.38, 'VisFave']", "M54_V123 [0.42, 'VisFave']", "M55_V123 [0.42, 'VisFave']", "M56_V123 [0.29, 'VisFave']"]</t>
  </si>
  <si>
    <t>["M1_V119 [0.58, 'HomFave']", "M2_V119 [0.57, 'HomFave']", "M3_V119 [0.56, 'HomFave']", "M4_V119 [0.55, 'HomFave']", "M5_V119 [0.55, 'HomFave']", "M6_V119 [0.54, 'HomFave']", "M7_V119 [0.54, 'HomFave']", "M8_V119 [0.56, 'HomFave']", "M9_V119 [0.59, 'HomFave']", "M10_V119 [0.53, 'HomFave']", "M11_V119 [0.61, 'HomFave']", "M12_V119 [0.55, 'HomFave']", "M13_V119 [0.54, 'HomFave']", "M14_V119 [0.59, 'HomFave']", "M15_V119 [0.54, 'HomFave']"]</t>
  </si>
  <si>
    <t>["M16_V123 [0.52, 'HomFave']", "M17_V123 [0.53, 'HomFave']", "M18_V123 [0.55, 'HomFave']", "M19_V123 [0.56, 'HomFave']", "M20_V123 [0.54, 'HomFave']", "M21_V123 [0.52, 'HomFave']", "M22_V123 [0.51, 'HomFave']", "M23_V123 [0.54, 'HomFave']", "M24_V123 [0.51, 'HomFave']", "M25_V123 [0.53, 'HomFave']", "M26_V123 [0.51, 'HomFave']", "M27_V123 [0.54, 'HomFave']", "M28_V123 [0.49, 'VisDog']", "M29_V123 [0.51, 'HomFave']", "M30_V123 [0.52, 'HomFave']", "M31_V123 [0.37, 'VisDog']", "M32_V123 [0.54, 'HomFave']", "M33_V123 [0.56, 'HomFave']", "M34_V123 [0.53, 'HomFave']", "M35_V123 [0.52, 'HomFave']", "M36_V123 [0.53, 'HomFave']", "M37_V123 [0.54, 'HomFave']", "M38_V123 [0.54, 'HomFave']", "M39_V123 [0.5, 'HomFave']", "M40_V123 [0.52, 'HomFave']", "M41_V123 [0.51, 'HomFave']", "M42_V123 [0.53, 'HomFave']", "M43_V123 [0.54, 'HomFave']", "M44_V123 [0.51, 'HomFave']", "M45_V123 [0.52, 'HomFave']", "M46_V123 [0.49, 'VisDog']", "M47_V123 [0.54, 'HomFave']", "M48_V123 [0.45, 'VisDog']", "M49_V123 [0.54, 'HomFave']", "M50_V123 [0.52, 'HomFave']", "M51_V123 [0.54, 'HomFave']", "M52_V123 [0.53, 'HomFave']", "M53_V123 [0.51, 'HomFave']", "M54_V123 [0.54, 'HomFave']", "M55_V123 [0.53, 'HomFave']", "M56_V123 [0.38, 'VisDog']"]</t>
  </si>
  <si>
    <t>["M1_V119 [0.48, 'VisFave']", "M2_V119 [0.51, 'HomDog']", "M3_V119 [0.51, 'HomDog']", "M4_V119 [0.5, 'HomDog']", "M5_V119 [0.5, 'HomDog']", "M6_V119 [0.51, 'HomDog']", "M7_V119 [0.49, 'VisFave']", "M8_V119 [0.5, 'HomDog']", "M9_V119 [0.48, 'VisFave']", "M10_V119 [0.56, 'HomDog']", "M11_V119 [0.57, 'HomDog']", "M12_V119 [0.72, 'HomDog']", "M13_V119 [0.48, 'VisFave']", "M14_V119 [0.48, 'VisFave']", "M15_V119 [0.46, 'VisFave']"]</t>
  </si>
  <si>
    <t>["M16_V123 [0.52, 'HomDog']", "M17_V123 [0.5, 'HomDog']", "M18_V123 [0.52, 'HomDog']", "M19_V123 [0.51, 'HomDog']", "M20_V123 [0.5, 'HomDog']", "M21_V123 [0.52, 'HomDog']", "M22_V123 [0.52, 'HomDog']", "M23_V123 [0.53, 'HomDog']", "M24_V123 [0.5, 'HomDog']", "M25_V123 [0.49, 'VisFave']", "M26_V123 [0.5, 'HomDog']", "M27_V123 [0.52, 'HomDog']", "M28_V123 [0.53, 'HomDog']", "M29_V123 [0.5, 'HomDog']", "M30_V123 [0.49, 'VisFave']", "M31_V123 [0.58, 'HomDog']", "M32_V123 [0.51, 'HomDog']", "M33_V123 [0.53, 'HomDog']", "M34_V123 [0.5, 'HomDog']", "M35_V123 [0.48, 'VisFave']", "M36_V123 [0.49, 'VisFave']", "M37_V123 [0.52, 'HomDog']", "M38_V123 [0.49, 'VisFave']", "M39_V123 [0.54, 'HomDog']", "M40_V123 [0.51, 'HomDog']", "M41_V123 [0.5, 'HomDog']", "M42_V123 [0.5, 'HomDog']", "M43_V123 [0.51, 'HomDog']", "M44_V123 [0.48, 'VisFave']", "M45_V123 [0.5, 'HomDog']", "M46_V123 [0.49, 'VisFave']", "M47_V123 [0.5, 'HomDog']", "M48_V123 [0.68, 'HomDog']", "M49_V123 [0.51, 'HomDog']", "M50_V123 [0.48, 'VisFave']", "M51_V123 [0.53, 'HomDog']", "M52_V123 [0.5, 'HomDog']", "M53_V123 [0.49, 'VisFave']", "M54_V123 [0.48, 'VisFave']", "M55_V123 [0.49, 'VisFave']", "M56_V123 [0.59, 'HomDog']"]</t>
  </si>
  <si>
    <t>["M1_V119 [0.48, 'VisFave']", "M2_V119 [0.48, 'VisFave']", "M3_V119 [0.48, 'VisFave']", "M4_V119 [0.46, 'VisFave']", "M5_V119 [0.46, 'VisFave']", "M6_V119 [0.46, 'VisFave']", "M7_V119 [0.46, 'VisFave']", "M8_V119 [0.44, 'VisFave']", "M9_V119 [0.58, 'HomDog']", "M10_V119 [0.6, 'HomDog']", "M11_V119 [0.63, 'HomDog']", "M12_V119 [0.47, 'VisFave']", "M13_V119 [0.44, 'VisFave']", "M14_V119 [0.49, 'VisFave']", "M15_V119 [0.46, 'VisFave']"]</t>
  </si>
  <si>
    <t>["M16_V123 [0.51, 'HomDog']", "M17_V123 [0.46, 'VisFave']", "M18_V123 [0.47, 'VisFave']", "M19_V123 [0.46, 'VisFave']", "M20_V123 [0.48, 'VisFave']", "M21_V123 [0.5, 'HomDog']", "M22_V123 [0.47, 'VisFave']", "M23_V123 [0.49, 'VisFave']", "M24_V123 [0.46, 'VisFave']", "M25_V123 [0.48, 'VisFave']", "M26_V123 [0.46, 'VisFave']", "M27_V123 [0.47, 'VisFave']", "M28_V123 [0.46, 'VisFave']", "M29_V123 [0.45, 'VisFave']", "M30_V123 [0.46, 'VisFave']", "M31_V123 [0.54, 'HomDog']", "M32_V123 [0.46, 'VisFave']", "M33_V123 [0.46, 'VisFave']", "M34_V123 [0.52, 'HomDog']", "M35_V123 [0.41, 'VisFave']", "M36_V123 [0.45, 'VisFave']", "M37_V123 [0.47, 'VisFave']", "M38_V123 [0.5, 'HomDog']", "M39_V123 [0.45, 'VisFave']", "M40_V123 [0.44, 'VisFave']", "M41_V123 [0.45, 'VisFave']", "M42_V123 [0.51, 'HomDog']", "M43_V123 [0.48, 'VisFave']", "M44_V123 [0.44, 'VisFave']", "M45_V123 [0.46, 'VisFave']", "M46_V123 [0.42, 'VisFave']", "M47_V123 [0.49, 'VisFave']", "M48_V123 [0.5, 'HomDog']", "M49_V123 [0.44, 'VisFave']", "M50_V123 [0.44, 'VisFave']", "M51_V123 [0.49, 'VisFave']", "M52_V123 [0.46, 'VisFave']", "M53_V123 [0.45, 'VisFave']", "M54_V123 [0.48, 'VisFave']", "M55_V123 [0.47, 'VisFave']", "M56_V123 [0.42, 'VisFave']"]</t>
  </si>
  <si>
    <t>["M1_V119 [0.55, 'HomFave']", "M2_V119 [0.54, 'HomFave']", "M3_V119 [0.56, 'HomFave']", "M4_V119 [0.53, 'HomFave']", "M5_V119 [0.53, 'HomFave']", "M6_V119 [0.56, 'HomFave']", "M7_V119 [0.55, 'HomFave']", "M8_V119 [0.54, 'HomFave']", "M9_V119 [0.73, 'HomFave']", "M10_V119 [0.53, 'HomFave']", "M11_V119 [0.4, 'VisDog']", "M12_V119 [0.53, 'HomFave']", "M13_V119 [0.54, 'HomFave']", "M14_V119 [0.58, 'HomFave']", "M15_V119 [0.59, 'HomFave']"]</t>
  </si>
  <si>
    <t>["M16_V123 [0.53, 'HomFave']", "M17_V123 [0.51, 'HomFave']", "M18_V123 [0.55, 'HomFave']", "M19_V123 [0.53, 'HomFave']", "M20_V123 [0.55, 'HomFave']", "M21_V123 [0.54, 'HomFave']", "M22_V123 [0.54, 'HomFave']", "M23_V123 [0.52, 'HomFave']", "M24_V123 [0.53, 'HomFave']", "M25_V123 [0.55, 'HomFave']", "M26_V123 [0.54, 'HomFave']", "M27_V123 [0.52, 'HomFave']", "M28_V123 [0.55, 'HomFave']", "M29_V123 [0.55, 'HomFave']", "M30_V123 [0.54, 'HomFave']", "M31_V123 [0.71, 'HomFave']", "M32_V123 [0.53, 'HomFave']", "M33_V123 [0.55, 'HomFave']", "M34_V123 [0.54, 'HomFave']", "M35_V123 [0.55, 'HomFave']", "M36_V123 [0.52, 'HomFave']", "M37_V123 [0.54, 'HomFave']", "M38_V123 [0.52, 'HomFave']", "M39_V123 [0.53, 'HomFave']", "M40_V123 [0.52, 'HomFave']", "M41_V123 [0.51, 'HomFave']", "M42_V123 [0.56, 'HomFave']", "M43_V123 [0.53, 'HomFave']", "M44_V123 [0.52, 'HomFave']", "M45_V123 [0.52, 'HomFave']", "M46_V123 [0.5, 'HomFave']", "M47_V123 [0.53, 'HomFave']", "M48_V123 [0.82, 'HomFave']", "M49_V123 [0.52, 'HomFave']", "M50_V123 [0.5, 'HomFave']", "M51_V123 [0.53, 'HomFave']", "M52_V123 [0.53, 'HomFave']", "M53_V123 [0.53, 'HomFave']", "M54_V123 [0.53, 'HomFave']", "M55_V123 [0.52, 'HomFave']", "M56_V123 [0.67, 'HomFave']"]</t>
  </si>
  <si>
    <t>["M1_V119 [0.55, 'HomFave']", "M2_V119 [0.5, 'HomFave']", "M3_V119 [0.47, 'VisDog']", "M4_V119 [0.52, 'HomFave']", "M5_V119 [0.52, 'HomFave']", "M6_V119 [0.5, 'HomFave']", "M7_V119 [0.49, 'VisDog']", "M8_V119 [0.51, 'HomFave']", "M9_V119 [0.61, 'HomFave']", "M10_V119 [0.45, 'VisDog']", "M11_V119 [0.45, 'VisDog']", "M12_V119 [0.61, 'HomFave']", "M13_V119 [0.51, 'HomFave']", "M14_V119 [0.51, 'HomFave']", "M15_V119 [0.46, 'VisDog']"]</t>
  </si>
  <si>
    <t>["M16_V123 [0.45, 'VisDog']", "M17_V123 [0.47, 'VisDog']", "M18_V123 [0.45, 'VisDog']", "M19_V123 [0.44, 'VisDog']", "M20_V123 [0.47, 'VisDog']", "M21_V123 [0.44, 'VisDog']", "M22_V123 [0.44, 'VisDog']", "M23_V123 [0.42, 'VisDog']", "M24_V123 [0.46, 'VisDog']", "M25_V123 [0.41, 'VisDog']", "M26_V123 [0.45, 'VisDog']", "M27_V123 [0.45, 'VisDog']", "M28_V123 [0.49, 'VisDog']", "M29_V123 [0.45, 'VisDog']", "M30_V123 [0.44, 'VisDog']", "M31_V123 [0.48, 'VisDog']", "M32_V123 [0.45, 'VisDog']", "M33_V123 [0.44, 'VisDog']", "M34_V123 [0.46, 'VisDog']", "M35_V123 [0.44, 'VisDog']", "M36_V123 [0.41, 'VisDog']", "M37_V123 [0.43, 'VisDog']", "M38_V123 [0.45, 'VisDog']", "M39_V123 [0.47, 'VisDog']", "M40_V123 [0.43, 'VisDog']", "M41_V123 [0.44, 'VisDog']", "M42_V123 [0.44, 'VisDog']", "M43_V123 [0.43, 'VisDog']", "M44_V123 [0.42, 'VisDog']", "M45_V123 [0.45, 'VisDog']", "M46_V123 [0.44, 'VisDog']", "M47_V123 [0.44, 'VisDog']", "M48_V123 [0.29, 'VisDog']", "M49_V123 [0.5, 'HomFave']", "M50_V123 [0.46, 'VisDog']", "M51_V123 [0.44, 'VisDog']", "M52_V123 [0.45, 'VisDog']", "M53_V123 [0.42, 'VisDog']", "M54_V123 [0.45, 'VisDog']", "M55_V123 [0.44, 'VisDog']", "M56_V123 [0.43, 'VisDog']"]</t>
  </si>
  <si>
    <t>["M16_V123 [0.43, 'VisFave']", "M17_V123 [0.44, 'VisFave']", "M18_V123 [0.46, 'VisFave']", "M19_V123 [0.44, 'VisFave']", "M20_V123 [0.47, 'VisFave']", "M21_V123 [0.47, 'VisFave']", "M22_V123 [0.43, 'VisFave']", "M23_V123 [0.46, 'VisFave']", "M24_V123 [0.45, 'VisFave']", "M25_V123 [0.48, 'VisFave']", "M26_V123 [0.43, 'VisFave']", "M27_V123 [0.43, 'VisFave']", "M28_V123 [0.43, 'VisFave']", "M29_V123 [0.46, 'VisFave']", "M30_V123 [0.43, 'VisFave']", "M31_V123 [0.55, 'HomDog']", "M32_V123 [0.4, 'VisFave']", "M33_V123 [0.44, 'VisFave']", "M34_V123 [0.45, 'VisFave']", "M35_V123 [0.39, 'VisFave']", "M36_V123 [0.44, 'VisFave']", "M37_V123 [0.44, 'VisFave']", "M38_V123 [0.47, 'VisFave']", "M39_V123 [0.41, 'VisFave']", "M40_V123 [0.41, 'VisFave']", "M41_V123 [0.44, 'VisFave']", "M42_V123 [0.48, 'VisFave']", "M43_V123 [0.42, 'VisFave']", "M44_V123 [0.45, 'VisFave']", "M45_V123 [0.45, 'VisFave']", "M46_V123 [0.41, 'VisFave']", "M47_V123 [0.45, 'VisFave']", "M48_V123 [0.39, 'VisFave']", "M49_V123 [0.46, 'VisFave']", "M50_V123 [0.42, 'VisFave']", "M51_V123 [0.47, 'VisFave']", "M52_V123 [0.45, 'VisFave']", "M53_V123 [0.41, 'VisFave']", "M54_V123 [0.44, 'VisFave']", "M55_V123 [0.45, 'VisFave']", "M56_V123 [0.35, 'VisFave']"]</t>
  </si>
  <si>
    <t>["M1_V119 [0.57, 'HomFave']", "M2_V119 [0.54, 'HomFave']", "M3_V119 [0.56, 'HomFave']", "M4_V119 [0.57, 'HomFave']", "M5_V119 [0.57, 'HomFave']", "M6_V119 [0.54, 'HomFave']", "M7_V119 [0.55, 'HomFave']", "M8_V119 [0.56, 'HomFave']", "M9_V119 [0.52, 'HomFave']", "M10_V119 [0.54, 'HomFave']", "M11_V119 [0.51, 'HomFave']", "M12_V119 [0.7, 'HomFave']", "M13_V119 [0.54, 'HomFave']", "M14_V119 [0.59, 'HomFave']", "M15_V119 [0.56, 'HomFave']"]</t>
  </si>
  <si>
    <t>["M16_V123 [0.51, 'HomFave']", "M17_V123 [0.55, 'HomFave']", "M18_V123 [0.52, 'HomFave']", "M19_V123 [0.51, 'HomFave']", "M20_V123 [0.53, 'HomFave']", "M21_V123 [0.54, 'HomFave']", "M22_V123 [0.52, 'HomFave']", "M23_V123 [0.52, 'HomFave']", "M24_V123 [0.52, 'HomFave']", "M25_V123 [0.55, 'HomFave']", "M26_V123 [0.51, 'HomFave']", "M27_V123 [0.53, 'HomFave']", "M28_V123 [0.53, 'HomFave']", "M29_V123 [0.53, 'HomFave']", "M30_V123 [0.51, 'HomFave']", "M31_V123 [0.59, 'HomFave']", "M32_V123 [0.51, 'HomFave']", "M33_V123 [0.55, 'HomFave']", "M34_V123 [0.54, 'HomFave']", "M35_V123 [0.53, 'HomFave']", "M36_V123 [0.49, 'VisDog']", "M37_V123 [0.48, 'VisDog']", "M38_V123 [0.53, 'HomFave']", "M39_V123 [0.49, 'VisDog']", "M40_V123 [0.52, 'HomFave']", "M41_V123 [0.52, 'HomFave']", "M42_V123 [0.44, 'VisDog']", "M43_V123 [0.5, 'HomFave']", "M44_V123 [0.51, 'HomFave']", "M45_V123 [0.51, 'HomFave']", "M46_V123 [0.5, 'HomFave']", "M47_V123 [0.53, 'HomFave']", "M48_V123 [0.42, 'VisDog']", "M49_V123 [0.53, 'HomFave']", "M50_V123 [0.55, 'HomFave']", "M51_V123 [0.55, 'HomFave']", "M52_V123 [0.52, 'HomFave']", "M53_V123 [0.52, 'HomFave']", "M54_V123 [0.52, 'HomFave']", "M55_V123 [0.51, 'HomFave']", "M56_V123 [0.51, 'HomFave']"]</t>
  </si>
  <si>
    <t>["M16_V123 [0.52, 'HomFave']", "M17_V123 [0.52, 'HomFave']", "M18_V123 [0.53, 'HomFave']", "M19_V123 [0.53, 'HomFave']", "M20_V123 [0.53, 'HomFave']", "M21_V123 [0.5, 'HomFave']", "M22_V123 [0.54, 'HomFave']", "M23_V123 [0.49, 'VisDog']", "M24_V123 [0.53, 'HomFave']", "M25_V123 [0.53, 'HomFave']", "M26_V123 [0.52, 'HomFave']", "M27_V123 [0.54, 'HomFave']", "M28_V123 [0.57, 'HomFave']", "M29_V123 [0.55, 'HomFave']", "M30_V123 [0.54, 'HomFave']", "M31_V123 [0.57, 'HomFave']", "M32_V123 [0.55, 'HomFave']", "M33_V123 [0.57, 'HomFave']", "M34_V123 [0.54, 'HomFave']", "M35_V123 [0.53, 'HomFave']", "M36_V123 [0.53, 'HomFave']", "M37_V123 [0.54, 'HomFave']", "M38_V123 [0.54, 'HomFave']", "M39_V123 [0.48, 'VisDog']", "M40_V123 [0.52, 'HomFave']", "M41_V123 [0.52, 'HomFave']", "M42_V123 [0.51, 'HomFave']", "M43_V123 [0.52, 'HomFave']", "M44_V123 [0.5, 'HomFave']", "M45_V123 [0.53, 'HomFave']", "M46_V123 [0.52, 'HomFave']", "M47_V123 [0.56, 'HomFave']", "M48_V123 [0.58, 'HomFave']", "M49_V123 [0.52, 'HomFave']", "M50_V123 [0.49, 'VisDog']", "M51_V123 [0.54, 'HomFave']", "M52_V123 [0.57, 'HomFave']", "M53_V123 [0.53, 'HomFave']", "M54_V123 [0.53, 'HomFave']", "M55_V123 [0.52, 'HomFave']", "M56_V123 [0.61, 'HomFave']"]</t>
  </si>
  <si>
    <t>["M1_V119 [0.45, 'VisFave']", "M2_V119 [0.44, 'VisFave']", "M3_V119 [0.44, 'VisFave']", "M4_V119 [0.48, 'VisFave']", "M5_V119 [0.48, 'VisFave']", "M6_V119 [0.48, 'VisFave']", "M7_V119 [0.48, 'VisFave']", "M8_V119 [0.47, 'VisFave']", "M9_V119 [0.45, 'VisFave']", "M10_V119 [0.52, 'HomDog']", "M11_V119 [0.49, 'VisFave']", "M12_V119 [0.56, 'HomDog']", "M13_V119 [0.47, 'VisFave']", "M14_V119 [0.49, 'VisFave']", "M15_V119 [0.49, 'VisFave']"]</t>
  </si>
  <si>
    <t>["M16_V123 [0.46, 'VisFave']", "M17_V123 [0.43, 'VisFave']", "M18_V123 [0.43, 'VisFave']", "M19_V123 [0.42, 'VisFave']", "M20_V123 [0.44, 'VisFave']", "M21_V123 [0.45, 'VisFave']", "M22_V123 [0.45, 'VisFave']", "M23_V123 [0.44, 'VisFave']", "M24_V123 [0.45, 'VisFave']", "M25_V123 [0.44, 'VisFave']", "M26_V123 [0.44, 'VisFave']", "M27_V123 [0.42, 'VisFave']", "M28_V123 [0.43, 'VisFave']", "M29_V123 [0.43, 'VisFave']", "M30_V123 [0.46, 'VisFave']", "M31_V123 [0.39, 'VisFave']", "M32_V123 [0.43, 'VisFave']", "M33_V123 [0.43, 'VisFave']", "M34_V123 [0.45, 'VisFave']", "M35_V123 [0.42, 'VisFave']", "M36_V123 [0.44, 'VisFave']", "M37_V123 [0.4, 'VisFave']", "M38_V123 [0.44, 'VisFave']", "M39_V123 [0.42, 'VisFave']", "M40_V123 [0.43, 'VisFave']", "M41_V123 [0.44, 'VisFave']", "M42_V123 [0.44, 'VisFave']", "M43_V123 [0.41, 'VisFave']", "M44_V123 [0.41, 'VisFave']", "M45_V123 [0.41, 'VisFave']", "M46_V123 [0.4, 'VisFave']", "M47_V123 [0.45, 'VisFave']", "M48_V123 [0.32, 'VisFave']", "M49_V123 [0.49, 'VisFave']", "M50_V123 [0.42, 'VisFave']", "M51_V123 [0.42, 'VisFave']", "M52_V123 [0.44, 'VisFave']", "M53_V123 [0.41, 'VisFave']", "M54_V123 [0.45, 'VisFave']", "M55_V123 [0.45, 'VisFave']", "M56_V123 [0.38, 'VisFave']"]</t>
  </si>
  <si>
    <t>["M1_V119 [0.43, 'VisFave']", "M2_V119 [0.43, 'VisFave']", "M3_V119 [0.4, 'VisFave']", "M4_V119 [0.37, 'VisFave']", "M5_V119 [0.37, 'VisFave']", "M6_V119 [0.41, 'VisFave']", "M7_V119 [0.41, 'VisFave']", "M8_V119 [0.38, 'VisFave']", "M9_V119 [0.38, 'VisFave']", "M10_V119 [0.36, 'VisFave']", "M11_V119 [0.4, 'VisFave']", "M12_V119 [0.23, 'VisFave']", "M13_V119 [0.37, 'VisFave']", "M14_V119 [0.41, 'VisFave']", "M15_V119 [0.31, 'VisFave']"]</t>
  </si>
  <si>
    <t>["M16_V123 [0.38, 'VisFave']", "M17_V123 [0.42, 'VisFave']", "M18_V123 [0.4, 'VisFave']", "M19_V123 [0.43, 'VisFave']", "M20_V123 [0.41, 'VisFave']", "M21_V123 [0.42, 'VisFave']", "M22_V123 [0.42, 'VisFave']", "M23_V123 [0.4, 'VisFave']", "M24_V123 [0.41, 'VisFave']", "M25_V123 [0.4, 'VisFave']", "M26_V123 [0.42, 'VisFave']", "M27_V123 [0.39, 'VisFave']", "M28_V123 [0.31, 'VisFave']", "M29_V123 [0.43, 'VisFave']", "M30_V123 [0.41, 'VisFave']", "M31_V123 [0.25, 'VisFave']", "M32_V123 [0.4, 'VisFave']", "M33_V123 [0.43, 'VisFave']", "M34_V123 [0.41, 'VisFave']", "M35_V123 [0.41, 'VisFave']", "M36_V123 [0.4, 'VisFave']", "M37_V123 [0.43, 'VisFave']", "M38_V123 [0.45, 'VisFave']", "M39_V123 [0.34, 'VisFave']", "M40_V123 [0.42, 'VisFave']", "M41_V123 [0.43, 'VisFave']", "M42_V123 [0.48, 'VisFave']", "M43_V123 [0.4, 'VisFave']", "M44_V123 [0.36, 'VisFave']", "M45_V123 [0.42, 'VisFave']", "M46_V123 [0.4, 'VisFave']", "M47_V123 [0.4, 'VisFave']", "M48_V123 [0.36, 'VisFave']", "M49_V123 [0.46, 'VisFave']", "M50_V123 [0.41, 'VisFave']", "M51_V123 [0.42, 'VisFave']", "M52_V123 [0.43, 'VisFave']", "M53_V123 [0.38, 'VisFave']", "M54_V123 [0.41, 'VisFave']", "M55_V123 [0.39, 'VisFave']", "M56_V123 [0.27, 'VisFave']"]</t>
  </si>
  <si>
    <t>["M1_V119 [0.48, 'VisFave']", "M2_V119 [0.47, 'VisFave']", "M3_V119 [0.46, 'VisFave']", "M4_V119 [0.46, 'VisFave']", "M5_V119 [0.46, 'VisFave']", "M6_V119 [0.47, 'VisFave']", "M7_V119 [0.45, 'VisFave']", "M8_V119 [0.44, 'VisFave']", "M9_V119 [0.3, 'VisFave']", "M10_V119 [0.45, 'VisFave']", "M11_V119 [0.24, 'VisFave']", "M12_V119 [0.46, 'VisFave']", "M13_V119 [0.46, 'VisFave']", "M14_V119 [0.47, 'VisFave']", "M15_V119 [0.4, 'VisFave']"]</t>
  </si>
  <si>
    <t>["M16_V123 [0.46, 'VisFave']", "M17_V123 [0.44, 'VisFave']", "M18_V123 [0.47, 'VisFave']", "M19_V123 [0.45, 'VisFave']", "M20_V123 [0.44, 'VisFave']", "M21_V123 [0.45, 'VisFave']", "M22_V123 [0.46, 'VisFave']", "M23_V123 [0.45, 'VisFave']", "M24_V123 [0.44, 'VisFave']", "M25_V123 [0.46, 'VisFave']", "M26_V123 [0.43, 'VisFave']", "M27_V123 [0.47, 'VisFave']", "M28_V123 [0.44, 'VisFave']", "M29_V123 [0.45, 'VisFave']", "M30_V123 [0.46, 'VisFave']", "M31_V123 [0.31, 'VisFave']", "M32_V123 [0.44, 'VisFave']", "M33_V123 [0.44, 'VisFave']", "M34_V123 [0.46, 'VisFave']", "M35_V123 [0.46, 'VisFave']", "M36_V123 [0.43, 'VisFave']", "M37_V123 [0.4, 'VisFave']", "M38_V123 [0.42, 'VisFave']", "M39_V123 [0.43, 'VisFave']", "M40_V123 [0.47, 'VisFave']", "M41_V123 [0.47, 'VisFave']", "M42_V123 [0.48, 'VisFave']", "M43_V123 [0.45, 'VisFave']", "M44_V123 [0.44, 'VisFave']", "M45_V123 [0.45, 'VisFave']", "M46_V123 [0.43, 'VisFave']", "M47_V123 [0.45, 'VisFave']", "M48_V123 [0.27, 'VisFave']", "M49_V123 [0.43, 'VisFave']", "M50_V123 [0.42, 'VisFave']", "M51_V123 [0.46, 'VisFave']", "M52_V123 [0.44, 'VisFave']", "M53_V123 [0.45, 'VisFave']", "M54_V123 [0.45, 'VisFave']", "M55_V123 [0.45, 'VisFave']", "M56_V123 [0.34, 'VisFave']"]</t>
  </si>
  <si>
    <t>["M1_V119 [0.53, 'HomFave']", "M2_V119 [0.52, 'HomFave']", "M3_V119 [0.55, 'HomFave']", "M4_V119 [0.51, 'HomFave']", "M5_V119 [0.51, 'HomFave']", "M6_V119 [0.51, 'HomFave']", "M7_V119 [0.53, 'HomFave']", "M8_V119 [0.54, 'HomFave']", "M9_V119 [0.52, 'HomFave']", "M10_V119 [0.48, 'VisDog']", "M11_V119 [0.71, 'HomFave']", "M12_V119 [0.54, 'HomFave']", "M13_V119 [0.51, 'HomFave']", "M14_V119 [0.52, 'HomFave']", "M15_V119 [0.49, 'VisDog']"]</t>
  </si>
  <si>
    <t>["M1_V119 [0.5, 'HomFave']", "M2_V119 [0.51, 'HomFave']", "M3_V119 [0.53, 'HomFave']", "M4_V119 [0.53, 'HomFave']", "M5_V119 [0.53, 'HomFave']", "M6_V119 [0.52, 'HomFave']", "M7_V119 [0.52, 'HomFave']", "M8_V119 [0.54, 'HomFave']", "M9_V119 [0.69, 'HomFave']", "M10_V119 [0.56, 'HomFave']", "M11_V119 [0.64, 'HomFave']", "M12_V119 [0.65, 'HomFave']", "M13_V119 [0.52, 'HomFave']", "M14_V119 [0.55, 'HomFave']", "M15_V119 [0.48, 'VisDog']"]</t>
  </si>
  <si>
    <t>["M1_V119 [0.52, 'HomFave']", "M2_V119 [0.53, 'HomFave']", "M3_V119 [0.5, 'HomFave']", "M4_V119 [0.49, 'VisDog']", "M5_V119 [0.49, 'VisDog']", "M6_V119 [0.53, 'HomFave']", "M7_V119 [0.51, 'HomFave']", "M8_V119 [0.53, 'HomFave']", "M9_V119 [0.58, 'HomFave']", "M10_V119 [0.56, 'HomFave']", "M11_V119 [0.76, 'HomFave']", "M12_V119 [0.59, 'HomFave']", "M13_V119 [0.51, 'HomFave']", "M14_V119 [0.52, 'HomFave']", "M15_V119 [0.53, 'HomFave']"]</t>
  </si>
  <si>
    <t>["M1_V119 [0.58, 'HomFave']", "M2_V119 [0.56, 'HomFave']", "M3_V119 [0.55, 'HomFave']", "M4_V119 [0.52, 'HomFave']", "M5_V119 [0.52, 'HomFave']", "M6_V119 [0.56, 'HomFave']", "M7_V119 [0.56, 'HomFave']", "M8_V119 [0.55, 'HomFave']", "M9_V119 [0.58, 'HomFave']", "M10_V119 [0.56, 'HomFave']", "M11_V119 [0.49, 'VisDog']", "M12_V119 [0.46, 'VisDog']", "M13_V119 [0.53, 'HomFave']", "M14_V119 [0.59, 'HomFave']", "M15_V119 [0.51, 'HomFave']"]</t>
  </si>
  <si>
    <t>["M16_V123 [0.52, 'HomFave']", "M17_V123 [0.54, 'HomFave']", "M18_V123 [0.54, 'HomFave']", "M19_V123 [0.51, 'HomFave']", "M20_V123 [0.56, 'HomFave']", "M21_V123 [0.53, 'HomFave']", "M22_V123 [0.53, 'HomFave']", "M23_V123 [0.57, 'HomFave']", "M24_V123 [0.53, 'HomFave']", "M25_V123 [0.54, 'HomFave']", "M26_V123 [0.51, 'HomFave']", "M27_V123 [0.53, 'HomFave']", "M28_V123 [0.56, 'HomFave']", "M29_V123 [0.54, 'HomFave']", "M30_V123 [0.54, 'HomFave']", "M31_V123 [0.61, 'HomFave']", "M32_V123 [0.5, 'HomFave']", "M33_V123 [0.54, 'HomFave']", "M34_V123 [0.54, 'HomFave']", "M35_V123 [0.5, 'HomFave']", "M36_V123 [0.5, 'HomFave']", "M37_V123 [0.55, 'HomFave']", "M38_V123 [0.53, 'HomFave']", "M39_V123 [0.54, 'HomFave']", "M40_V123 [0.52, 'HomFave']", "M41_V123 [0.52, 'HomFave']", "M42_V123 [0.47, 'VisDog']", "M43_V123 [0.51, 'HomFave']", "M44_V123 [0.53, 'HomFave']", "M45_V123 [0.52, 'HomFave']", "M46_V123 [0.48, 'VisDog']", "M47_V123 [0.54, 'HomFave']", "M48_V123 [0.58, 'HomFave']", "M49_V123 [0.49, 'VisDog']", "M50_V123 [0.52, 'HomFave']", "M51_V123 [0.55, 'HomFave']", "M52_V123 [0.53, 'HomFave']", "M53_V123 [0.51, 'HomFave']", "M54_V123 [0.53, 'HomFave']", "M55_V123 [0.53, 'HomFave']", "M56_V123 [0.52, 'HomFave']"]</t>
  </si>
  <si>
    <t>["M1_V119 [0.43, 'VisFave']", "M2_V119 [0.42, 'VisFave']", "M3_V119 [0.43, 'VisFave']", "M4_V119 [0.38, 'VisFave']", "M5_V119 [0.38, 'VisFave']", "M6_V119 [0.41, 'VisFave']", "M7_V119 [0.41, 'VisFave']", "M8_V119 [0.4, 'VisFave']", "M9_V119 [0.41, 'VisFave']", "M10_V119 [0.52, 'HomDog']", "M11_V119 [0.45, 'VisFave']", "M12_V119 [0.36, 'VisFave']", "M13_V119 [0.4, 'VisFave']", "M14_V119 [0.44, 'VisFave']", "M15_V119 [0.38, 'VisFave']"]</t>
  </si>
  <si>
    <t>["M1_V119 [0.49, 'VisDog']", "M2_V119 [0.51, 'HomFave']", "M3_V119 [0.52, 'HomFave']", "M4_V119 [0.49, 'VisDog']", "M5_V119 [0.49, 'VisDog']", "M6_V119 [0.52, 'HomFave']", "M7_V119 [0.5, 'HomFave']", "M8_V119 [0.51, 'HomFave']", "M9_V119 [0.45, 'VisDog']", "M10_V119 [0.55, 'HomFave']", "M11_V119 [0.7, 'HomFave']", "M12_V119 [0.46, 'VisDog']", "M13_V119 [0.51, 'HomFave']", "M14_V119 [0.54, 'HomFave']", "M15_V119 [0.48, 'VisDog']"]</t>
  </si>
  <si>
    <t>["M16_V123 [0.54, 'HomFave']", "M17_V123 [0.52, 'HomFave']", "M18_V123 [0.57, 'HomFave']", "M19_V123 [0.58, 'HomFave']", "M20_V123 [0.58, 'HomFave']", "M21_V123 [0.56, 'HomFave']", "M22_V123 [0.54, 'HomFave']", "M23_V123 [0.54, 'HomFave']", "M24_V123 [0.53, 'HomFave']", "M25_V123 [0.57, 'HomFave']", "M26_V123 [0.55, 'HomFave']", "M27_V123 [0.53, 'HomFave']", "M28_V123 [0.55, 'HomFave']", "M29_V123 [0.54, 'HomFave']", "M30_V123 [0.54, 'HomFave']", "M31_V123 [0.76, 'HomFave']", "M32_V123 [0.53, 'HomFave']", "M33_V123 [0.57, 'HomFave']", "M34_V123 [0.58, 'HomFave']", "M35_V123 [0.52, 'HomFave']", "M36_V123 [0.52, 'HomFave']", "M37_V123 [0.57, 'HomFave']", "M38_V123 [0.56, 'HomFave']", "M39_V123 [0.55, 'HomFave']", "M40_V123 [0.52, 'HomFave']", "M41_V123 [0.53, 'HomFave']", "M42_V123 [0.55, 'HomFave']", "M43_V123 [0.56, 'HomFave']", "M44_V123 [0.56, 'HomFave']", "M45_V123 [0.54, 'HomFave']", "M46_V123 [0.52, 'HomFave']", "M47_V123 [0.57, 'HomFave']", "M48_V123 [0.41, 'VisDog']", "M49_V123 [0.49, 'VisDog']", "M50_V123 [0.52, 'HomFave']", "M51_V123 [0.54, 'HomFave']", "M52_V123 [0.54, 'HomFave']", "M53_V123 [0.55, 'HomFave']", "M54_V123 [0.55, 'HomFave']", "M55_V123 [0.55, 'HomFave']", "M56_V123 [0.52, 'HomFave']"]</t>
  </si>
  <si>
    <t>["M1_V119 [0.5, 'HomFave']", "M2_V119 [0.5, 'HomFave']", "M3_V119 [0.51, 'HomFave']", "M4_V119 [0.51, 'HomFave']", "M5_V119 [0.51, 'HomFave']", "M6_V119 [0.49, 'VisDog']", "M7_V119 [0.43, 'VisDog']", "M8_V119 [0.47, 'VisDog']", "M9_V119 [0.57, 'HomFave']", "M10_V119 [0.59, 'HomFave']", "M11_V119 [0.41, 'VisDog']", "M12_V119 [0.46, 'VisDog']", "M13_V119 [0.48, 'VisDog']", "M14_V119 [0.52, 'HomFave']", "M15_V119 [0.49, 'VisDog']"]</t>
  </si>
  <si>
    <t>["M16_V123 [0.48, 'VisDog']", "M17_V123 [0.47, 'VisDog']", "M18_V123 [0.52, 'HomFave']", "M19_V123 [0.51, 'HomFave']", "M20_V123 [0.53, 'HomFave']", "M21_V123 [0.54, 'HomFave']", "M22_V123 [0.5, 'HomFave']", "M23_V123 [0.52, 'HomFave']", "M24_V123 [0.5, 'HomFave']", "M25_V123 [0.51, 'HomFave']", "M26_V123 [0.5, 'HomFave']", "M27_V123 [0.51, 'HomFave']", "M28_V123 [0.55, 'HomFave']", "M29_V123 [0.5, 'HomFave']", "M30_V123 [0.52, 'HomFave']", "M31_V123 [0.63, 'HomFave']", "M32_V123 [0.49, 'VisDog']", "M33_V123 [0.52, 'HomFave']", "M34_V123 [0.52, 'HomFave']", "M35_V123 [0.5, 'HomFave']", "M36_V123 [0.48, 'VisDog']", "M37_V123 [0.52, 'HomFave']", "M38_V123 [0.53, 'HomFave']", "M39_V123 [0.52, 'HomFave']", "M40_V123 [0.5, 'HomFave']", "M41_V123 [0.5, 'HomFave']", "M42_V123 [0.49, 'VisDog']", "M43_V123 [0.5, 'HomFave']", "M44_V123 [0.49, 'VisDog']", "M45_V123 [0.51, 'HomFave']", "M46_V123 [0.51, 'HomFave']", "M47_V123 [0.52, 'HomFave']", "M48_V123 [0.48, 'VisDog']", "M49_V123 [0.52, 'HomFave']", "M50_V123 [0.52, 'HomFave']", "M51_V123 [0.53, 'HomFave']", "M52_V123 [0.52, 'HomFave']", "M53_V123 [0.49, 'VisDog']", "M54_V123 [0.52, 'HomFave']", "M55_V123 [0.5, 'HomFave']", "M56_V123 [0.48, 'VisDog']"]</t>
  </si>
  <si>
    <t>["M1_V119 [0.42, 'VisFave']", "M2_V119 [0.41, 'VisFave']", "M3_V119 [0.43, 'VisFave']", "M4_V119 [0.4, 'VisFave']", "M5_V119 [0.4, 'VisFave']", "M6_V119 [0.4, 'VisFave']", "M7_V119 [0.42, 'VisFave']", "M8_V119 [0.38, 'VisFave']", "M9_V119 [0.26, 'VisFave']", "M10_V119 [0.34, 'VisFave']", "M11_V119 [0.39, 'VisFave']", "M12_V119 [0.56, 'HomDog']", "M13_V119 [0.41, 'VisFave']", "M14_V119 [0.41, 'VisFave']", "M15_V119 [0.37, 'VisFave']"]</t>
  </si>
  <si>
    <t>["M16_V123 [0.46, 'VisFave']", "M17_V123 [0.42, 'VisFave']", "M18_V123 [0.44, 'VisFave']", "M19_V123 [0.42, 'VisFave']", "M20_V123 [0.45, 'VisFave']", "M21_V123 [0.45, 'VisFave']", "M22_V123 [0.43, 'VisFave']", "M23_V123 [0.43, 'VisFave']", "M24_V123 [0.44, 'VisFave']", "M25_V123 [0.41, 'VisFave']", "M26_V123 [0.43, 'VisFave']", "M27_V123 [0.44, 'VisFave']", "M28_V123 [0.44, 'VisFave']", "M29_V123 [0.42, 'VisFave']", "M30_V123 [0.44, 'VisFave']", "M31_V123 [0.36, 'VisFave']", "M32_V123 [0.41, 'VisFave']", "M33_V123 [0.43, 'VisFave']", "M34_V123 [0.41, 'VisFave']", "M35_V123 [0.43, 'VisFave']", "M36_V123 [0.42, 'VisFave']", "M37_V123 [0.42, 'VisFave']", "M38_V123 [0.43, 'VisFave']", "M39_V123 [0.43, 'VisFave']", "M40_V123 [0.43, 'VisFave']", "M41_V123 [0.43, 'VisFave']", "M42_V123 [0.48, 'VisFave']", "M43_V123 [0.39, 'VisFave']", "M44_V123 [0.4, 'VisFave']", "M45_V123 [0.42, 'VisFave']", "M46_V123 [0.42, 'VisFave']", "M47_V123 [0.45, 'VisFave']", "M48_V123 [0.39, 'VisFave']", "M49_V123 [0.48, 'VisFave']", "M50_V123 [0.43, 'VisFave']", "M51_V123 [0.45, 'VisFave']", "M52_V123 [0.44, 'VisFave']", "M53_V123 [0.39, 'VisFave']", "M54_V123 [0.45, 'VisFave']", "M55_V123 [0.42, 'VisFave']", "M56_V123 [0.42, 'VisFave']"]</t>
  </si>
  <si>
    <t>["M1_V119 [0.48, 'VisDog']", "M2_V119 [0.49, 'VisDog']", "M3_V119 [0.51, 'HomFave']", "M4_V119 [0.51, 'HomFave']", "M5_V119 [0.51, 'HomFave']", "M6_V119 [0.48, 'VisDog']", "M7_V119 [0.47, 'VisDog']", "M8_V119 [0.49, 'VisDog']", "M9_V119 [0.47, 'VisDog']", "M10_V119 [0.44, 'VisDog']", "M11_V119 [0.5, 'HomFave']", "M12_V119 [0.41, 'VisDog']", "M13_V119 [0.48, 'VisDog']", "M14_V119 [0.48, 'VisDog']", "M15_V119 [0.42, 'VisDog']"]</t>
  </si>
  <si>
    <t>["M16_V123 [0.48, 'VisDog']", "M17_V123 [0.5, 'HomFave']", "M18_V123 [0.5, 'HomFave']", "M19_V123 [0.49, 'VisDog']", "M20_V123 [0.52, 'HomFave']", "M21_V123 [0.51, 'HomFave']", "M22_V123 [0.51, 'HomFave']", "M23_V123 [0.48, 'VisDog']", "M24_V123 [0.49, 'VisDog']", "M25_V123 [0.46, 'VisDog']", "M26_V123 [0.52, 'HomFave']", "M27_V123 [0.51, 'HomFave']", "M28_V123 [0.56, 'HomFave']", "M29_V123 [0.49, 'VisDog']", "M30_V123 [0.51, 'HomFave']", "M31_V123 [0.46, 'VisDog']", "M32_V123 [0.49, 'VisDog']", "M33_V123 [0.54, 'HomFave']", "M34_V123 [0.52, 'HomFave']", "M35_V123 [0.5, 'HomFave']", "M36_V123 [0.49, 'VisDog']", "M37_V123 [0.54, 'HomFave']", "M38_V123 [0.5, 'HomFave']", "M39_V123 [0.46, 'VisDog']", "M40_V123 [0.49, 'VisDog']", "M41_V123 [0.52, 'HomFave']", "M42_V123 [0.48, 'VisDog']", "M43_V123 [0.52, 'HomFave']", "M44_V123 [0.49, 'VisDog']", "M45_V123 [0.5, 'HomFave']", "M46_V123 [0.47, 'VisDog']", "M47_V123 [0.51, 'HomFave']", "M48_V123 [0.58, 'HomFave']", "M49_V123 [0.48, 'VisDog']", "M50_V123 [0.5, 'HomFave']", "M51_V123 [0.51, 'HomFave']", "M52_V123 [0.5, 'HomFave']", "M53_V123 [0.51, 'HomFave']", "M54_V123 [0.5, 'HomFave']", "M55_V123 [0.49, 'VisDog']", "M56_V123 [0.45, 'VisDog']"]</t>
  </si>
  <si>
    <t>["M1_V119 [0.48, 'VisDog']", "M2_V119 [0.49, 'VisDog']", "M3_V119 [0.52, 'HomFave']", "M4_V119 [0.49, 'VisDog']", "M5_V119 [0.49, 'VisDog']", "M6_V119 [0.5, 'HomFave']", "M7_V119 [0.45, 'VisDog']", "M8_V119 [0.46, 'VisDog']", "M9_V119 [0.45, 'VisDog']", "M10_V119 [0.49, 'VisDog']", "M11_V119 [0.3, 'VisDog']", "M12_V119 [0.58, 'HomFave']", "M13_V119 [0.46, 'VisDog']", "M14_V119 [0.47, 'VisDog']", "M15_V119 [0.54, 'HomFave']"]</t>
  </si>
  <si>
    <t>["M16_V123 [0.5, 'HomFave']", "M17_V123 [0.51, 'HomFave']", "M18_V123 [0.52, 'HomFave']", "M19_V123 [0.52, 'HomFave']", "M20_V123 [0.5, 'HomFave']", "M21_V123 [0.52, 'HomFave']", "M22_V123 [0.51, 'HomFave']", "M23_V123 [0.5, 'HomFave']", "M24_V123 [0.51, 'HomFave']", "M25_V123 [0.52, 'HomFave']", "M26_V123 [0.52, 'HomFave']", "M27_V123 [0.5, 'HomFave']", "M28_V123 [0.52, 'HomFave']", "M29_V123 [0.51, 'HomFave']", "M30_V123 [0.53, 'HomFave']", "M31_V123 [0.47, 'VisDog']", "M32_V123 [0.52, 'HomFave']", "M33_V123 [0.52, 'HomFave']", "M34_V123 [0.51, 'HomFave']", "M35_V123 [0.52, 'HomFave']", "M36_V123 [0.46, 'VisDog']", "M37_V123 [0.5, 'HomFave']", "M38_V123 [0.52, 'HomFave']", "M39_V123 [0.49, 'VisDog']", "M40_V123 [0.53, 'HomFave']", "M41_V123 [0.51, 'HomFave']", "M42_V123 [0.51, 'HomFave']", "M43_V123 [0.5, 'HomFave']", "M44_V123 [0.5, 'HomFave']", "M45_V123 [0.51, 'HomFave']", "M46_V123 [0.48, 'VisDog']", "M47_V123 [0.51, 'HomFave']", "M48_V123 [0.47, 'VisDog']", "M49_V123 [0.54, 'HomFave']", "M50_V123 [0.51, 'HomFave']", "M51_V123 [0.51, 'HomFave']", "M52_V123 [0.53, 'HomFave']", "M53_V123 [0.5, 'HomFave']", "M54_V123 [0.51, 'HomFave']", "M55_V123 [0.49, 'VisDog']", "M56_V123 [0.46, 'VisDog']"]</t>
  </si>
  <si>
    <t>["M1_V119 [0.36, 'VisFave']", "M2_V119 [0.38, 'VisFave']", "M3_V119 [0.41, 'VisFave']", "M4_V119 [0.41, 'VisFave']", "M5_V119 [0.41, 'VisFave']", "M6_V119 [0.39, 'VisFave']", "M7_V119 [0.41, 'VisFave']", "M8_V119 [0.41, 'VisFave']", "M9_V119 [0.26, 'VisFave']", "M10_V119 [0.37, 'VisFave']", "M11_V119 [0.37, 'VisFave']", "M12_V119 [0.31, 'VisFave']", "M13_V119 [0.38, 'VisFave']", "M14_V119 [0.41, 'VisFave']", "M15_V119 [0.38, 'VisFave']"]</t>
  </si>
  <si>
    <t>["M1_V119 [0.44, 'VisFave']", "M2_V119 [0.46, 'VisFave']", "M3_V119 [0.47, 'VisFave']", "M4_V119 [0.46, 'VisFave']", "M5_V119 [0.46, 'VisFave']", "M6_V119 [0.47, 'VisFave']", "M7_V119 [0.49, 'VisFave']", "M8_V119 [0.45, 'VisFave']", "M9_V119 [0.24, 'VisFave']", "M10_V119 [0.46, 'VisFave']", "M11_V119 [0.44, 'VisFave']", "M12_V119 [0.5, 'HomDog']", "M13_V119 [0.45, 'VisFave']", "M14_V119 [0.46, 'VisFave']", "M15_V119 [0.46, 'VisFave']"]</t>
  </si>
  <si>
    <t>["M16_V123 [0.45, 'VisFave']", "M17_V123 [0.49, 'VisFave']", "M18_V123 [0.48, 'VisFave']", "M19_V123 [0.48, 'VisFave']", "M20_V123 [0.47, 'VisFave']", "M21_V123 [0.49, 'VisFave']", "M22_V123 [0.49, 'VisFave']", "M23_V123 [0.47, 'VisFave']", "M24_V123 [0.49, 'VisFave']", "M25_V123 [0.46, 'VisFave']", "M26_V123 [0.48, 'VisFave']", "M27_V123 [0.45, 'VisFave']", "M28_V123 [0.51, 'HomDog']", "M29_V123 [0.47, 'VisFave']", "M30_V123 [0.48, 'VisFave']", "M31_V123 [0.25, 'VisFave']", "M32_V123 [0.47, 'VisFave']", "M33_V123 [0.5, 'HomDog']", "M34_V123 [0.48, 'VisFave']", "M35_V123 [0.47, 'VisFave']", "M36_V123 [0.47, 'VisFave']", "M37_V123 [0.47, 'VisFave']", "M38_V123 [0.48, 'VisFave']", "M39_V123 [0.48, 'VisFave']", "M40_V123 [0.46, 'VisFave']", "M41_V123 [0.47, 'VisFave']", "M42_V123 [0.51, 'HomDog']", "M43_V123 [0.46, 'VisFave']", "M44_V123 [0.39, 'VisFave']", "M45_V123 [0.48, 'VisFave']", "M46_V123 [0.51, 'HomDog']", "M47_V123 [0.49, 'VisFave']", "M48_V123 [0.34, 'VisFave']", "M49_V123 [0.49, 'VisFave']", "M50_V123 [0.49, 'VisFave']", "M51_V123 [0.51, 'HomDog']", "M52_V123 [0.46, 'VisFave']", "M53_V123 [0.46, 'VisFave']", "M54_V123 [0.46, 'VisFave']", "M55_V123 [0.47, 'VisFave']", "M56_V123 [0.38, 'VisFave']"]</t>
  </si>
  <si>
    <t>["M1_V119 [0.52, 'HomFave']", "M2_V119 [0.51, 'HomFave']", "M3_V119 [0.49, 'VisDog']", "M4_V119 [0.49, 'VisDog']", "M5_V119 [0.49, 'VisDog']", "M6_V119 [0.53, 'HomFave']", "M7_V119 [0.53, 'HomFave']", "M8_V119 [0.5, 'HomFave']", "M9_V119 [0.52, 'HomFave']", "M10_V119 [0.51, 'HomFave']", "M11_V119 [0.57, 'HomFave']", "M12_V119 [0.55, 'HomFave']", "M13_V119 [0.48, 'VisDog']", "M14_V119 [0.54, 'HomFave']", "M15_V119 [0.48, 'VisDog']"]</t>
  </si>
  <si>
    <t>["M16_V123 [0.52, 'HomFave']", "M17_V123 [0.52, 'HomFave']", "M18_V123 [0.51, 'HomFave']", "M19_V123 [0.48, 'VisDog']", "M20_V123 [0.52, 'HomFave']", "M21_V123 [0.52, 'HomFave']", "M22_V123 [0.51, 'HomFave']", "M23_V123 [0.5, 'HomFave']", "M24_V123 [0.5, 'HomFave']", "M25_V123 [0.49, 'VisDog']", "M26_V123 [0.5, 'HomFave']", "M27_V123 [0.52, 'HomFave']", "M28_V123 [0.54, 'HomFave']", "M29_V123 [0.49, 'VisDog']", "M30_V123 [0.52, 'HomFave']", "M31_V123 [0.71, 'HomFave']", "M32_V123 [0.5, 'HomFave']", "M33_V123 [0.53, 'HomFave']", "M34_V123 [0.52, 'HomFave']", "M35_V123 [0.47, 'VisDog']", "M36_V123 [0.52, 'HomFave']", "M37_V123 [0.5, 'HomFave']", "M38_V123 [0.55, 'HomFave']", "M39_V123 [0.46, 'VisDog']", "M40_V123 [0.52, 'HomFave']", "M41_V123 [0.51, 'HomFave']", "M42_V123 [0.51, 'HomFave']", "M43_V123 [0.48, 'VisDog']", "M44_V123 [0.47, 'VisDog']", "M45_V123 [0.51, 'HomFave']", "M46_V123 [0.47, 'VisDog']", "M47_V123 [0.52, 'HomFave']", "M48_V123 [0.68, 'HomFave']", "M49_V123 [0.5, 'HomFave']", "M50_V123 [0.51, 'HomFave']", "M51_V123 [0.53, 'HomFave']", "M52_V123 [0.5, 'HomFave']", "M53_V123 [0.47, 'VisDog']", "M54_V123 [0.5, 'HomFave']", "M55_V123 [0.5, 'HomFave']", "M56_V123 [0.5, 'HomFave']"]</t>
  </si>
  <si>
    <t>["M1_V119 [0.36, 'VisFave']", "M2_V119 [0.43, 'VisFave']", "M3_V119 [0.43, 'VisFave']", "M4_V119 [0.43, 'VisFave']", "M5_V119 [0.43, 'VisFave']", "M6_V119 [0.41, 'VisFave']", "M7_V119 [0.43, 'VisFave']", "M8_V119 [0.44, 'VisFave']", "M9_V119 [0.36, 'VisFave']", "M10_V119 [0.48, 'VisFave']", "M11_V119 [0.29, 'VisFave']", "M12_V119 [0.61, 'HomDog']", "M13_V119 [0.41, 'VisFave']", "M14_V119 [0.44, 'VisFave']", "M15_V119 [0.48, 'VisFave']"]</t>
  </si>
  <si>
    <t>["M16_V123 [0.45, 'VisFave']", "M17_V123 [0.44, 'VisFave']", "M18_V123 [0.45, 'VisFave']", "M19_V123 [0.45, 'VisFave']", "M20_V123 [0.45, 'VisFave']", "M21_V123 [0.48, 'VisFave']", "M22_V123 [0.43, 'VisFave']", "M23_V123 [0.45, 'VisFave']", "M24_V123 [0.45, 'VisFave']", "M25_V123 [0.46, 'VisFave']", "M26_V123 [0.43, 'VisFave']", "M27_V123 [0.43, 'VisFave']", "M28_V123 [0.43, 'VisFave']", "M29_V123 [0.42, 'VisFave']", "M30_V123 [0.43, 'VisFave']", "M31_V123 [0.28, 'VisFave']", "M32_V123 [0.43, 'VisFave']", "M33_V123 [0.46, 'VisFave']", "M34_V123 [0.47, 'VisFave']", "M35_V123 [0.46, 'VisFave']", "M36_V123 [0.44, 'VisFave']", "M37_V123 [0.43, 'VisFave']", "M38_V123 [0.44, 'VisFave']", "M39_V123 [0.41, 'VisFave']", "M40_V123 [0.43, 'VisFave']", "M41_V123 [0.43, 'VisFave']", "M42_V123 [0.48, 'VisFave']", "M43_V123 [0.42, 'VisFave']", "M44_V123 [0.42, 'VisFave']", "M45_V123 [0.45, 'VisFave']", "M46_V123 [0.42, 'VisFave']", "M47_V123 [0.43, 'VisFave']", "M48_V123 [0.46, 'VisFave']", "M49_V123 [0.48, 'VisFave']", "M50_V123 [0.43, 'VisFave']", "M51_V123 [0.45, 'VisFave']", "M52_V123 [0.45, 'VisFave']", "M53_V123 [0.41, 'VisFave']", "M54_V123 [0.45, 'VisFave']", "M55_V123 [0.43, 'VisFave']", "M56_V123 [0.45, 'VisFave']"]</t>
  </si>
  <si>
    <t>["M1_V119 [0.57, 'HomFave']", "M2_V119 [0.57, 'HomFave']", "M3_V119 [0.57, 'HomFave']", "M4_V119 [0.56, 'HomFave']", "M5_V119 [0.56, 'HomFave']", "M6_V119 [0.57, 'HomFave']", "M7_V119 [0.57, 'HomFave']", "M8_V119 [0.57, 'HomFave']", "M9_V119 [0.76, 'HomFave']", "M10_V119 [0.66, 'HomFave']", "M11_V119 [0.63, 'HomFave']", "M12_V119 [0.65, 'HomFave']", "M13_V119 [0.56, 'HomFave']", "M14_V119 [0.58, 'HomFave']", "M15_V119 [0.66, 'HomFave']"]</t>
  </si>
  <si>
    <t>["M16_V123 [0.49, 'VisDog']", "M17_V123 [0.52, 'HomFave']", "M18_V123 [0.53, 'HomFave']", "M19_V123 [0.52, 'HomFave']", "M20_V123 [0.53, 'HomFave']", "M21_V123 [0.53, 'HomFave']", "M22_V123 [0.51, 'HomFave']", "M23_V123 [0.54, 'HomFave']", "M24_V123 [0.5, 'HomFave']", "M25_V123 [0.53, 'HomFave']", "M26_V123 [0.52, 'HomFave']", "M27_V123 [0.54, 'HomFave']", "M28_V123 [0.44, 'VisDog']", "M29_V123 [0.54, 'HomFave']", "M30_V123 [0.53, 'HomFave']", "M31_V123 [0.22, 'VisDog']", "M32_V123 [0.5, 'HomFave']", "M33_V123 [0.55, 'HomFave']", "M34_V123 [0.53, 'HomFave']", "M35_V123 [0.5, 'HomFave']", "M36_V123 [0.5, 'HomFave']", "M37_V123 [0.52, 'HomFave']", "M38_V123 [0.53, 'HomFave']", "M39_V123 [0.51, 'HomFave']", "M40_V123 [0.52, 'HomFave']", "M41_V123 [0.52, 'HomFave']", "M42_V123 [0.49, 'VisDog']", "M43_V123 [0.52, 'HomFave']", "M44_V123 [0.5, 'HomFave']", "M45_V123 [0.53, 'HomFave']", "M46_V123 [0.53, 'HomFave']", "M47_V123 [0.52, 'HomFave']", "M48_V123 [0.41, 'VisDog']", "M49_V123 [0.54, 'HomFave']", "M50_V123 [0.5, 'HomFave']", "M51_V123 [0.54, 'HomFave']", "M52_V123 [0.53, 'HomFave']", "M53_V123 [0.49, 'VisDog']", "M54_V123 [0.52, 'HomFave']", "M55_V123 [0.52, 'HomFave']", "M56_V123 [0.41, 'VisDog']"]</t>
  </si>
  <si>
    <t>["M1_V119 [0.5, 'HomFave']", "M2_V119 [0.47, 'VisDog']", "M3_V119 [0.48, 'VisDog']", "M4_V119 [0.49, 'VisDog']", "M5_V119 [0.49, 'VisDog']", "M6_V119 [0.49, 'VisDog']", "M7_V119 [0.48, 'VisDog']", "M8_V119 [0.48, 'VisDog']", "M9_V119 [0.4, 'VisDog']", "M10_V119 [0.53, 'HomFave']", "M11_V119 [0.65, 'HomFave']", "M12_V119 [0.44, 'VisDog']", "M13_V119 [0.48, 'VisDog']", "M14_V119 [0.48, 'VisDog']", "M15_V119 [0.55, 'HomFave']"]</t>
  </si>
  <si>
    <t>["M16_V123 [0.49, 'VisDog']", "M17_V123 [0.47, 'VisDog']", "M18_V123 [0.48, 'VisDog']", "M19_V123 [0.49, 'VisDog']", "M20_V123 [0.5, 'HomFave']", "M21_V123 [0.5, 'HomFave']", "M22_V123 [0.51, 'HomFave']", "M23_V123 [0.47, 'VisDog']", "M24_V123 [0.47, 'VisDog']", "M25_V123 [0.49, 'VisDog']", "M26_V123 [0.47, 'VisDog']", "M27_V123 [0.5, 'HomFave']", "M28_V123 [0.53, 'HomFave']", "M29_V123 [0.46, 'VisDog']", "M30_V123 [0.48, 'VisDog']", "M31_V123 [0.51, 'HomFave']", "M32_V123 [0.48, 'VisDog']", "M33_V123 [0.52, 'HomFave']", "M34_V123 [0.51, 'HomFave']", "M35_V123 [0.53, 'HomFave']", "M36_V123 [0.5, 'HomFave']", "M37_V123 [0.49, 'VisDog']", "M38_V123 [0.49, 'VisDog']", "M39_V123 [0.45, 'VisDog']", "M40_V123 [0.48, 'VisDog']", "M41_V123 [0.46, 'VisDog']", "M42_V123 [0.47, 'VisDog']", "M43_V123 [0.49, 'VisDog']", "M44_V123 [0.47, 'VisDog']", "M45_V123 [0.46, 'VisDog']", "M46_V123 [0.53, 'HomFave']", "M47_V123 [0.51, 'HomFave']", "M48_V123 [0.42, 'VisDog']", "M49_V123 [0.52, 'HomFave']", "M50_V123 [0.45, 'VisDog']", "M51_V123 [0.5, 'HomFave']", "M52_V123 [0.51, 'HomFave']", "M53_V123 [0.5, 'HomFave']", "M54_V123 [0.47, 'VisDog']", "M55_V123 [0.48, 'VisDog']", "M56_V123 [0.46, 'VisDog']"]</t>
  </si>
  <si>
    <t>["M1_V119 [0.54, 'HomFave']", "M2_V119 [0.52, 'HomFave']", "M3_V119 [0.53, 'HomFave']", "M4_V119 [0.55, 'HomFave']", "M5_V119 [0.55, 'HomFave']", "M6_V119 [0.52, 'HomFave']", "M7_V119 [0.5, 'HomFave']", "M8_V119 [0.52, 'HomFave']", "M9_V119 [0.42, 'VisDog']", "M10_V119 [0.48, 'VisDog']", "M11_V119 [0.29, 'VisDog']", "M12_V119 [0.67, 'HomFave']", "M13_V119 [0.56, 'HomFave']", "M14_V119 [0.49, 'VisDog']", "M15_V119 [0.55, 'HomFave']"]</t>
  </si>
  <si>
    <t>["M16_V123 [0.57, 'HomFave']", "M17_V123 [0.57, 'HomFave']", "M18_V123 [0.58, 'HomFave']", "M19_V123 [0.57, 'HomFave']", "M20_V123 [0.58, 'HomFave']", "M21_V123 [0.57, 'HomFave']", "M22_V123 [0.59, 'HomFave']", "M23_V123 [0.57, 'HomFave']", "M24_V123 [0.55, 'HomFave']", "M25_V123 [0.56, 'HomFave']", "M26_V123 [0.56, 'HomFave']", "M27_V123 [0.57, 'HomFave']", "M28_V123 [0.64, 'HomFave']", "M29_V123 [0.57, 'HomFave']", "M30_V123 [0.59, 'HomFave']", "M31_V123 [0.71, 'HomFave']", "M32_V123 [0.57, 'HomFave']", "M33_V123 [0.59, 'HomFave']", "M34_V123 [0.56, 'HomFave']", "M35_V123 [0.56, 'HomFave']", "M36_V123 [0.56, 'HomFave']", "M37_V123 [0.58, 'HomFave']", "M38_V123 [0.58, 'HomFave']", "M39_V123 [0.56, 'HomFave']", "M40_V123 [0.57, 'HomFave']", "M41_V123 [0.57, 'HomFave']", "M42_V123 [0.5, 'HomFave']", "M43_V123 [0.57, 'HomFave']", "M44_V123 [0.57, 'HomFave']", "M45_V123 [0.56, 'HomFave']", "M46_V123 [0.57, 'HomFave']", "M47_V123 [0.57, 'HomFave']", "M48_V123 [0.5, 'HomFave']", "M49_V123 [0.51, 'HomFave']", "M50_V123 [0.58, 'HomFave']", "M51_V123 [0.57, 'HomFave']", "M52_V123 [0.57, 'HomFave']", "M53_V123 [0.56, 'HomFave']", "M54_V123 [0.57, 'HomFave']", "M55_V123 [0.56, 'HomFave']", "M56_V123 [0.46, 'VisDog']"]</t>
  </si>
  <si>
    <t>["M1_V119 [0.53, 'HomFave']", "M2_V119 [0.53, 'HomFave']", "M3_V119 [0.54, 'HomFave']", "M4_V119 [0.51, 'HomFave']", "M5_V119 [0.51, 'HomFave']", "M6_V119 [0.52, 'HomFave']", "M7_V119 [0.54, 'HomFave']", "M8_V119 [0.53, 'HomFave']", "M9_V119 [0.57, 'HomFave']", "M10_V119 [0.53, 'HomFave']", "M11_V119 [0.67, 'HomFave']", "M12_V119 [0.5, 'HomFave']", "M13_V119 [0.51, 'HomFave']", "M14_V119 [0.58, 'HomFave']", "M15_V119 [0.55, 'HomFave']"]</t>
  </si>
  <si>
    <t>["M16_V123 [0.49, 'VisDog']", "M17_V123 [0.48, 'VisDog']", "M18_V123 [0.5, 'HomFave']", "M19_V123 [0.49, 'VisDog']", "M20_V123 [0.52, 'HomFave']", "M21_V123 [0.49, 'VisDog']", "M22_V123 [0.5, 'HomFave']", "M23_V123 [0.5, 'HomFave']", "M24_V123 [0.5, 'HomFave']", "M25_V123 [0.51, 'HomFave']", "M26_V123 [0.49, 'VisDog']", "M27_V123 [0.5, 'HomFave']", "M28_V123 [0.52, 'HomFave']", "M29_V123 [0.52, 'HomFave']", "M30_V123 [0.51, 'HomFave']", "M31_V123 [0.67, 'HomFave']", "M32_V123 [0.44, 'VisDog']", "M33_V123 [0.51, 'HomFave']", "M34_V123 [0.51, 'HomFave']", "M35_V123 [0.44, 'VisDog']", "M36_V123 [0.51, 'HomFave']", "M37_V123 [0.5, 'HomFave']", "M38_V123 [0.5, 'HomFave']", "M39_V123 [0.45, 'VisDog']", "M40_V123 [0.48, 'VisDog']", "M41_V123 [0.48, 'VisDog']", "M42_V123 [0.5, 'HomFave']", "M43_V123 [0.49, 'VisDog']", "M44_V123 [0.47, 'VisDog']", "M45_V123 [0.49, 'VisDog']", "M46_V123 [0.53, 'HomFave']", "M47_V123 [0.49, 'VisDog']", "M48_V123 [0.4, 'VisDog']", "M49_V123 [0.51, 'HomFave']", "M50_V123 [0.47, 'VisDog']", "M51_V123 [0.5, 'HomFave']", "M52_V123 [0.5, 'HomFave']", "M53_V123 [0.49, 'VisDog']", "M54_V123 [0.5, 'HomFave']", "M55_V123 [0.48, 'VisDog']", "M56_V123 [0.51, 'HomFave']"]</t>
  </si>
  <si>
    <t>["M1_V119 [0.43, 'VisDog']", "M2_V119 [0.52, 'HomFave']", "M3_V119 [0.52, 'HomFave']", "M4_V119 [0.53, 'HomFave']", "M5_V119 [0.53, 'HomFave']", "M6_V119 [0.53, 'HomFave']", "M7_V119 [0.5, 'HomFave']", "M8_V119 [0.54, 'HomFave']", "M9_V119 [0.55, 'HomFave']", "M10_V119 [0.54, 'HomFave']", "M11_V119 [0.58, 'HomFave']", "M12_V119 [0.61, 'HomFave']", "M13_V119 [0.52, 'HomFave']", "M14_V119 [0.57, 'HomFave']", "M15_V119 [0.44, 'VisDog']"]</t>
  </si>
  <si>
    <t>["M16_V123 [0.5, 'HomFave']", "M17_V123 [0.48, 'VisDog']", "M18_V123 [0.49, 'VisDog']", "M19_V123 [0.52, 'HomFave']", "M20_V123 [0.5, 'HomFave']", "M21_V123 [0.5, 'HomFave']", "M22_V123 [0.49, 'VisDog']", "M23_V123 [0.49, 'VisDog']", "M24_V123 [0.49, 'VisDog']", "M25_V123 [0.47, 'VisDog']", "M26_V123 [0.46, 'VisDog']", "M27_V123 [0.5, 'HomFave']", "M28_V123 [0.46, 'VisDog']", "M29_V123 [0.44, 'VisDog']", "M30_V123 [0.49, 'VisDog']", "M31_V123 [0.71, 'HomFave']", "M32_V123 [0.48, 'VisDog']", "M33_V123 [0.47, 'VisDog']", "M34_V123 [0.49, 'VisDog']", "M35_V123 [0.48, 'VisDog']", "M36_V123 [0.48, 'VisDog']", "M37_V123 [0.5, 'HomFave']", "M38_V123 [0.47, 'VisDog']", "M39_V123 [0.47, 'VisDog']", "M40_V123 [0.5, 'HomFave']", "M41_V123 [0.49, 'VisDog']", "M42_V123 [0.5, 'HomFave']", "M43_V123 [0.48, 'VisDog']", "M44_V123 [0.48, 'VisDog']", "M45_V123 [0.48, 'VisDog']", "M46_V123 [0.44, 'VisDog']", "M47_V123 [0.48, 'VisDog']", "M48_V123 [0.78, 'HomFave']", "M49_V123 [0.51, 'HomFave']", "M50_V123 [0.47, 'VisDog']", "M51_V123 [0.51, 'HomFave']", "M52_V123 [0.51, 'HomFave']", "M53_V123 [0.48, 'VisDog']", "M54_V123 [0.49, 'VisDog']", "M55_V123 [0.49, 'VisDog']", "M56_V123 [0.68, 'HomFave']"]</t>
  </si>
  <si>
    <t>["M1_V119 [0.48, 'VisDog']", "M2_V119 [0.48, 'VisDog']", "M3_V119 [0.47, 'VisDog']", "M4_V119 [0.49, 'VisDog']", "M5_V119 [0.49, 'VisDog']", "M6_V119 [0.5, 'HomFave']", "M7_V119 [0.48, 'VisDog']", "M8_V119 [0.47, 'VisDog']", "M9_V119 [0.49, 'VisDog']", "M10_V119 [0.44, 'VisDog']", "M11_V119 [0.42, 'VisDog']", "M12_V119 [0.49, 'VisDog']", "M13_V119 [0.48, 'VisDog']", "M14_V119 [0.55, 'HomFave']", "M15_V119 [0.52, 'HomFave']"]</t>
  </si>
  <si>
    <t>["M1_V119 [0.52, 'HomFave']", "M2_V119 [0.52, 'HomFave']", "M3_V119 [0.53, 'HomFave']", "M4_V119 [0.5, 'HomFave']", "M5_V119 [0.5, 'HomFave']", "M6_V119 [0.52, 'HomFave']", "M7_V119 [0.52, 'HomFave']", "M8_V119 [0.51, 'HomFave']", "M9_V119 [0.66, 'HomFave']", "M10_V119 [0.55, 'HomFave']", "M11_V119 [0.48, 'VisDog']", "M12_V119 [0.6, 'HomFave']", "M13_V119 [0.51, 'HomFave']", "M14_V119 [0.56, 'HomFave']", "M15_V119 [0.53, 'HomFave']"]</t>
  </si>
  <si>
    <t>["M16_V123 [0.47, 'VisDog']", "M17_V123 [0.5, 'HomFave']", "M18_V123 [0.51, 'HomFave']", "M19_V123 [0.52, 'HomFave']", "M20_V123 [0.54, 'HomFave']", "M21_V123 [0.51, 'HomFave']", "M22_V123 [0.52, 'HomFave']", "M23_V123 [0.48, 'VisDog']", "M24_V123 [0.51, 'HomFave']", "M25_V123 [0.52, 'HomFave']", "M26_V123 [0.52, 'HomFave']", "M27_V123 [0.48, 'VisDog']", "M28_V123 [0.54, 'HomFave']", "M29_V123 [0.48, 'VisDog']", "M30_V123 [0.52, 'HomFave']", "M31_V123 [0.43, 'VisDog']", "M32_V123 [0.48, 'VisDog']", "M33_V123 [0.51, 'HomFave']", "M34_V123 [0.51, 'HomFave']", "M35_V123 [0.46, 'VisDog']", "M36_V123 [0.53, 'HomFave']", "M37_V123 [0.52, 'HomFave']", "M38_V123 [0.53, 'HomFave']", "M39_V123 [0.48, 'VisDog']", "M40_V123 [0.53, 'HomFave']", "M41_V123 [0.5, 'HomFave']", "M42_V123 [0.52, 'HomFave']", "M43_V123 [0.51, 'HomFave']", "M44_V123 [0.49, 'VisDog']", "M45_V123 [0.51, 'HomFave']", "M46_V123 [0.5, 'HomFave']", "M47_V123 [0.53, 'HomFave']", "M48_V123 [0.48, 'VisDog']", "M49_V123 [0.48, 'VisDog']", "M50_V123 [0.49, 'VisDog']", "M51_V123 [0.52, 'HomFave']", "M52_V123 [0.52, 'HomFave']", "M53_V123 [0.5, 'HomFave']", "M54_V123 [0.52, 'HomFave']", "M55_V123 [0.52, 'HomFave']", "M56_V123 [0.39, 'VisDog']"]</t>
  </si>
  <si>
    <t>["M1_V119 [0.5, 'HomFave']", "M2_V119 [0.54, 'HomFave']", "M3_V119 [0.54, 'HomFave']", "M4_V119 [0.52, 'HomFave']", "M5_V119 [0.52, 'HomFave']", "M6_V119 [0.52, 'HomFave']", "M7_V119 [0.52, 'HomFave']", "M8_V119 [0.52, 'HomFave']", "M9_V119 [0.58, 'HomFave']", "M10_V119 [0.57, 'HomFave']", "M11_V119 [0.56, 'HomFave']", "M12_V119 [0.49, 'VisDog']", "M13_V119 [0.5, 'HomFave']", "M14_V119 [0.56, 'HomFave']", "M15_V119 [0.48, 'VisDog']"]</t>
  </si>
  <si>
    <t>["M16_V123 [0.49, 'VisDog']", "M17_V123 [0.51, 'HomFave']", "M18_V123 [0.53, 'HomFave']", "M19_V123 [0.53, 'HomFave']", "M20_V123 [0.54, 'HomFave']", "M21_V123 [0.52, 'HomFave']", "M22_V123 [0.5, 'HomFave']", "M23_V123 [0.51, 'HomFave']", "M24_V123 [0.5, 'HomFave']", "M25_V123 [0.51, 'HomFave']", "M26_V123 [0.51, 'HomFave']", "M27_V123 [0.53, 'HomFave']", "M28_V123 [0.58, 'HomFave']", "M29_V123 [0.49, 'VisDog']", "M30_V123 [0.52, 'HomFave']", "M31_V123 [0.65, 'HomFave']", "M32_V123 [0.52, 'HomFave']", "M33_V123 [0.55, 'HomFave']", "M34_V123 [0.53, 'HomFave']", "M35_V123 [0.53, 'HomFave']", "M36_V123 [0.5, 'HomFave']", "M37_V123 [0.54, 'HomFave']", "M38_V123 [0.51, 'HomFave']", "M39_V123 [0.57, 'HomFave']", "M40_V123 [0.51, 'HomFave']", "M41_V123 [0.49, 'VisDog']", "M42_V123 [0.51, 'HomFave']", "M43_V123 [0.51, 'HomFave']", "M44_V123 [0.52, 'HomFave']", "M45_V123 [0.51, 'HomFave']", "M46_V123 [0.5, 'HomFave']", "M47_V123 [0.5, 'HomFave']", "M48_V123 [0.43, 'VisDog']", "M49_V123 [0.5, 'HomFave']", "M50_V123 [0.49, 'VisDog']", "M51_V123 [0.54, 'HomFave']", "M52_V123 [0.54, 'HomFave']", "M53_V123 [0.47, 'VisDog']", "M54_V123 [0.51, 'HomFave']", "M55_V123 [0.52, 'HomFave']", "M56_V123 [0.44, 'VisDog']"]</t>
  </si>
  <si>
    <t>["M1_V119 [0.5, 'HomDog']", "M2_V119 [0.51, 'HomDog']", "M3_V119 [0.49, 'VisFave']", "M4_V119 [0.52, 'HomDog']", "M5_V119 [0.52, 'HomDog']", "M6_V119 [0.5, 'HomDog']", "M7_V119 [0.47, 'VisFave']", "M8_V119 [0.48, 'VisFave']", "M9_V119 [0.5, 'HomDog']", "M10_V119 [0.5, 'HomDog']", "M11_V119 [0.37, 'VisFave']", "M12_V119 [0.49, 'VisFave']", "M13_V119 [0.49, 'VisFave']", "M14_V119 [0.49, 'VisFave']", "M15_V119 [0.45, 'VisFave']"]</t>
  </si>
  <si>
    <t>["M16_V123 [0.51, 'HomDog']", "M17_V123 [0.48, 'VisFave']", "M18_V123 [0.52, 'HomDog']", "M19_V123 [0.5, 'HomDog']", "M20_V123 [0.5, 'HomDog']", "M21_V123 [0.54, 'HomDog']", "M22_V123 [0.5, 'HomDog']", "M23_V123 [0.49, 'VisFave']", "M24_V123 [0.49, 'VisFave']", "M25_V123 [0.47, 'VisFave']", "M26_V123 [0.49, 'VisFave']", "M27_V123 [0.49, 'VisFave']", "M28_V123 [0.44, 'VisFave']", "M29_V123 [0.51, 'HomDog']", "M30_V123 [0.5, 'HomDog']", "M31_V123 [0.72, 'HomDog']", "M32_V123 [0.48, 'VisFave']", "M33_V123 [0.53, 'HomDog']", "M34_V123 [0.53, 'HomDog']", "M35_V123 [0.51, 'HomDog']", "M36_V123 [0.48, 'VisFave']", "M37_V123 [0.5, 'HomDog']", "M38_V123 [0.51, 'HomDog']", "M39_V123 [0.5, 'HomDog']", "M40_V123 [0.47, 'VisFave']", "M41_V123 [0.47, 'VisFave']", "M42_V123 [0.53, 'HomDog']", "M43_V123 [0.49, 'VisFave']", "M44_V123 [0.49, 'VisFave']", "M45_V123 [0.48, 'VisFave']", "M46_V123 [0.44, 'VisFave']", "M47_V123 [0.5, 'HomDog']", "M48_V123 [0.5, 'HomDog']", "M49_V123 [0.52, 'HomDog']", "M50_V123 [0.49, 'VisFave']", "M51_V123 [0.49, 'VisFave']", "M52_V123 [0.51, 'HomDog']", "M53_V123 [0.5, 'HomDog']", "M54_V123 [0.49, 'VisFave']", "M55_V123 [0.5, 'HomDog']", "M56_V123 [0.48, 'VisFave']"]</t>
  </si>
  <si>
    <t>["M1_V119 [0.42, 'VisFave']", "M2_V119 [0.45, 'VisFave']", "M3_V119 [0.44, 'VisFave']", "M4_V119 [0.42, 'VisFave']", "M5_V119 [0.42, 'VisFave']", "M6_V119 [0.41, 'VisFave']", "M7_V119 [0.44, 'VisFave']", "M8_V119 [0.43, 'VisFave']", "M9_V119 [0.47, 'VisFave']", "M10_V119 [0.45, 'VisFave']", "M11_V119 [0.49, 'VisFave']", "M12_V119 [0.45, 'VisFave']", "M13_V119 [0.42, 'VisFave']", "M14_V119 [0.44, 'VisFave']", "M15_V119 [0.34, 'VisFave']"]</t>
  </si>
  <si>
    <t>["M16_V123 [0.47, 'VisFave']", "M17_V123 [0.46, 'VisFave']", "M18_V123 [0.48, 'VisFave']", "M19_V123 [0.47, 'VisFave']", "M20_V123 [0.48, 'VisFave']", "M21_V123 [0.49, 'VisFave']", "M22_V123 [0.5, 'HomDog']", "M23_V123 [0.46, 'VisFave']", "M24_V123 [0.46, 'VisFave']", "M25_V123 [0.46, 'VisFave']", "M26_V123 [0.49, 'VisFave']", "M27_V123 [0.47, 'VisFave']", "M28_V123 [0.47, 'VisFave']", "M29_V123 [0.49, 'VisFave']", "M30_V123 [0.47, 'VisFave']", "M31_V123 [0.46, 'VisFave']", "M32_V123 [0.46, 'VisFave']", "M33_V123 [0.47, 'VisFave']", "M34_V123 [0.49, 'VisFave']", "M35_V123 [0.44, 'VisFave']", "M36_V123 [0.49, 'VisFave']", "M37_V123 [0.5, 'HomDog']", "M38_V123 [0.48, 'VisFave']", "M39_V123 [0.42, 'VisFave']", "M40_V123 [0.48, 'VisFave']", "M41_V123 [0.48, 'VisFave']", "M42_V123 [0.49, 'VisFave']", "M43_V123 [0.49, 'VisFave']", "M44_V123 [0.44, 'VisFave']", "M45_V123 [0.44, 'VisFave']", "M46_V123 [0.47, 'VisFave']", "M47_V123 [0.49, 'VisFave']", "M48_V123 [0.45, 'VisFave']", "M49_V123 [0.49, 'VisFave']", "M50_V123 [0.46, 'VisFave']", "M51_V123 [0.48, 'VisFave']", "M52_V123 [0.47, 'VisFave']", "M53_V123 [0.46, 'VisFave']", "M54_V123 [0.47, 'VisFave']", "M55_V123 [0.47, 'VisFave']", "M56_V123 [0.41, 'VisFave']"]</t>
  </si>
  <si>
    <t>["M1_V119 [0.41, 'VisFave']", "M2_V119 [0.44, 'VisFave']", "M3_V119 [0.46, 'VisFave']", "M4_V119 [0.4, 'VisFave']", "M5_V119 [0.4, 'VisFave']", "M6_V119 [0.4, 'VisFave']", "M7_V119 [0.44, 'VisFave']", "M8_V119 [0.41, 'VisFave']", "M9_V119 [0.44, 'VisFave']", "M10_V119 [0.49, 'VisFave']", "M11_V119 [0.32, 'VisFave']", "M12_V119 [0.55, 'HomDog']", "M13_V119 [0.42, 'VisFave']", "M14_V119 [0.42, 'VisFave']", "M15_V119 [0.44, 'VisFave']"]</t>
  </si>
  <si>
    <t>["M16_V123 [0.46, 'VisFave']", "M17_V123 [0.47, 'VisFave']", "M18_V123 [0.48, 'VisFave']", "M19_V123 [0.46, 'VisFave']", "M20_V123 [0.48, 'VisFave']", "M21_V123 [0.48, 'VisFave']", "M22_V123 [0.48, 'VisFave']", "M23_V123 [0.48, 'VisFave']", "M24_V123 [0.46, 'VisFave']", "M25_V123 [0.48, 'VisFave']", "M26_V123 [0.46, 'VisFave']", "M27_V123 [0.49, 'VisFave']", "M28_V123 [0.45, 'VisFave']", "M29_V123 [0.46, 'VisFave']", "M30_V123 [0.46, 'VisFave']", "M31_V123 [0.65, 'HomDog']", "M32_V123 [0.45, 'VisFave']", "M33_V123 [0.49, 'VisFave']", "M34_V123 [0.47, 'VisFave']", "M35_V123 [0.45, 'VisFave']", "M36_V123 [0.45, 'VisFave']", "M37_V123 [0.47, 'VisFave']", "M38_V123 [0.46, 'VisFave']", "M39_V123 [0.46, 'VisFave']", "M40_V123 [0.47, 'VisFave']", "M41_V123 [0.47, 'VisFave']", "M42_V123 [0.54, 'HomDog']", "M43_V123 [0.46, 'VisFave']", "M44_V123 [0.43, 'VisFave']", "M45_V123 [0.46, 'VisFave']", "M46_V123 [0.49, 'VisFave']", "M47_V123 [0.47, 'VisFave']", "M48_V123 [0.55, 'HomDog']", "M49_V123 [0.53, 'HomDog']", "M50_V123 [0.44, 'VisFave']", "M51_V123 [0.47, 'VisFave']", "M52_V123 [0.48, 'VisFave']", "M53_V123 [0.46, 'VisFave']", "M54_V123 [0.47, 'VisFave']", "M55_V123 [0.45, 'VisFave']", "M56_V123 [0.43, 'VisFave']"]</t>
  </si>
  <si>
    <t>["M1_V119 [0.5, 'HomFave']", "M2_V119 [0.48, 'VisDog']", "M3_V119 [0.49, 'VisDog']", "M4_V119 [0.47, 'VisDog']", "M5_V119 [0.47, 'VisDog']", "M6_V119 [0.48, 'VisDog']", "M7_V119 [0.5, 'HomFave']", "M8_V119 [0.48, 'VisDog']", "M9_V119 [0.46, 'VisDog']", "M10_V119 [0.54, 'HomFave']", "M11_V119 [0.57, 'HomFave']", "M12_V119 [0.48, 'VisDog']", "M13_V119 [0.47, 'VisDog']", "M14_V119 [0.5, 'HomFave']", "M15_V119 [0.43, 'VisDog']"]</t>
  </si>
  <si>
    <t>["M16_V123 [0.46, 'VisDog']", "M17_V123 [0.49, 'VisDog']", "M18_V123 [0.47, 'VisDog']", "M19_V123 [0.49, 'VisDog']", "M20_V123 [0.5, 'HomFave']", "M21_V123 [0.5, 'HomFave']", "M22_V123 [0.49, 'VisDog']", "M23_V123 [0.5, 'HomFave']", "M24_V123 [0.49, 'VisDog']", "M25_V123 [0.49, 'VisDog']", "M26_V123 [0.48, 'VisDog']", "M27_V123 [0.46, 'VisDog']", "M28_V123 [0.48, 'VisDog']", "M29_V123 [0.49, 'VisDog']", "M30_V123 [0.47, 'VisDog']", "M31_V123 [0.34, 'VisDog']", "M32_V123 [0.44, 'VisDog']", "M33_V123 [0.51, 'HomFave']", "M34_V123 [0.48, 'VisDog']", "M35_V123 [0.45, 'VisDog']", "M36_V123 [0.47, 'VisDog']", "M37_V123 [0.49, 'VisDog']", "M38_V123 [0.5, 'HomFave']", "M39_V123 [0.5, 'HomFave']", "M40_V123 [0.48, 'VisDog']", "M41_V123 [0.48, 'VisDog']", "M42_V123 [0.48, 'VisDog']", "M43_V123 [0.48, 'VisDog']", "M44_V123 [0.44, 'VisDog']", "M45_V123 [0.49, 'VisDog']", "M46_V123 [0.52, 'HomFave']", "M47_V123 [0.5, 'HomFave']", "M48_V123 [0.42, 'VisDog']", "M49_V123 [0.5, 'HomFave']", "M50_V123 [0.48, 'VisDog']", "M51_V123 [0.5, 'HomFave']", "M52_V123 [0.51, 'HomFave']", "M53_V123 [0.44, 'VisDog']", "M54_V123 [0.47, 'VisDog']", "M55_V123 [0.48, 'VisDog']", "M56_V123 [0.41, 'VisDog']"]</t>
  </si>
  <si>
    <t>["M1_V119 [0.48, 'VisFave']", "M2_V119 [0.48, 'VisFave']", "M3_V119 [0.5, 'HomDog']", "M4_V119 [0.46, 'VisFave']", "M5_V119 [0.46, 'VisFave']", "M6_V119 [0.48, 'VisFave']", "M7_V119 [0.5, 'HomDog']", "M8_V119 [0.5, 'HomDog']", "M9_V119 [0.67, 'HomDog']", "M10_V119 [0.58, 'HomDog']", "M11_V119 [0.61, 'HomDog']", "M12_V119 [0.61, 'HomDog']", "M13_V119 [0.46, 'VisFave']", "M14_V119 [0.49, 'VisFave']", "M15_V119 [0.5, 'HomDog']"]</t>
  </si>
  <si>
    <t>["M16_V123 [0.53, 'HomDog']", "M17_V123 [0.52, 'HomDog']", "M18_V123 [0.5, 'HomDog']", "M19_V123 [0.51, 'HomDog']", "M20_V123 [0.52, 'HomDog']", "M21_V123 [0.53, 'HomDog']", "M22_V123 [0.52, 'HomDog']", "M23_V123 [0.53, 'HomDog']", "M24_V123 [0.52, 'HomDog']", "M25_V123 [0.49, 'VisFave']", "M26_V123 [0.51, 'HomDog']", "M27_V123 [0.49, 'VisFave']", "M28_V123 [0.54, 'HomDog']", "M29_V123 [0.53, 'HomDog']", "M30_V123 [0.51, 'HomDog']", "M31_V123 [0.9, 'HomDog']", "M32_V123 [0.48, 'VisFave']", "M33_V123 [0.54, 'HomDog']", "M34_V123 [0.55, 'HomDog']", "M35_V123 [0.51, 'HomDog']", "M36_V123 [0.53, 'HomDog']", "M37_V123 [0.5, 'HomDog']", "M38_V123 [0.54, 'HomDog']", "M39_V123 [0.53, 'HomDog']", "M40_V123 [0.51, 'HomDog']", "M41_V123 [0.5, 'HomDog']", "M42_V123 [0.53, 'HomDog']", "M43_V123 [0.49, 'VisFave']", "M44_V123 [0.55, 'HomDog']", "M45_V123 [0.51, 'HomDog']", "M46_V123 [0.49, 'VisFave']", "M47_V123 [0.53, 'HomDog']", "M48_V123 [0.75, 'HomDog']", "M49_V123 [0.5, 'HomDog']", "M50_V123 [0.53, 'HomDog']", "M51_V123 [0.52, 'HomDog']", "M52_V123 [0.52, 'HomDog']", "M53_V123 [0.47, 'VisFave']", "M54_V123 [0.51, 'HomDog']", "M55_V123 [0.51, 'HomDog']", "M56_V123 [0.55, 'HomDog']"]</t>
  </si>
  <si>
    <t>["M1_V119 [0.49, 'VisDog']", "M2_V119 [0.49, 'VisDog']", "M3_V119 [0.47, 'VisDog']", "M4_V119 [0.47, 'VisDog']", "M5_V119 [0.47, 'VisDog']", "M6_V119 [0.49, 'VisDog']", "M7_V119 [0.48, 'VisDog']", "M8_V119 [0.48, 'VisDog']", "M9_V119 [0.6, 'HomFave']", "M10_V119 [0.47, 'VisDog']", "M11_V119 [0.37, 'VisDog']", "M12_V119 [0.57, 'HomFave']", "M13_V119 [0.48, 'VisDog']", "M14_V119 [0.56, 'HomFave']", "M15_V119 [0.54, 'HomFave']"]</t>
  </si>
  <si>
    <t>["M16_V123 [0.46, 'VisDog']", "M17_V123 [0.46, 'VisDog']", "M18_V123 [0.47, 'VisDog']", "M19_V123 [0.47, 'VisDog']", "M20_V123 [0.46, 'VisDog']", "M21_V123 [0.49, 'VisDog']", "M22_V123 [0.45, 'VisDog']", "M23_V123 [0.46, 'VisDog']", "M24_V123 [0.47, 'VisDog']", "M25_V123 [0.44, 'VisDog']", "M26_V123 [0.45, 'VisDog']", "M27_V123 [0.43, 'VisDog']", "M28_V123 [0.43, 'VisDog']", "M29_V123 [0.45, 'VisDog']", "M30_V123 [0.44, 'VisDog']", "M31_V123 [0.56, 'HomFave']", "M32_V123 [0.45, 'VisDog']", "M33_V123 [0.45, 'VisDog']", "M34_V123 [0.48, 'VisDog']", "M35_V123 [0.41, 'VisDog']", "M36_V123 [0.43, 'VisDog']", "M37_V123 [0.44, 'VisDog']", "M38_V123 [0.45, 'VisDog']", "M39_V123 [0.42, 'VisDog']", "M40_V123 [0.45, 'VisDog']", "M41_V123 [0.45, 'VisDog']", "M42_V123 [0.48, 'VisDog']", "M43_V123 [0.45, 'VisDog']", "M44_V123 [0.44, 'VisDog']", "M45_V123 [0.45, 'VisDog']", "M46_V123 [0.44, 'VisDog']", "M47_V123 [0.44, 'VisDog']", "M48_V123 [0.51, 'HomFave']", "M49_V123 [0.46, 'VisDog']", "M50_V123 [0.45, 'VisDog']", "M51_V123 [0.45, 'VisDog']", "M52_V123 [0.43, 'VisDog']", "M53_V123 [0.43, 'VisDog']", "M54_V123 [0.46, 'VisDog']", "M55_V123 [0.43, 'VisDog']", "M56_V123 [0.44, 'VisDog']"]</t>
  </si>
  <si>
    <t>["M1_V119 [0.51, 'HomFave']", "M2_V119 [0.5, 'HomFave']", "M3_V119 [0.52, 'HomFave']", "M4_V119 [0.54, 'HomFave']", "M5_V119 [0.54, 'HomFave']", "M6_V119 [0.52, 'HomFave']", "M7_V119 [0.5, 'HomFave']", "M8_V119 [0.51, 'HomFave']", "M9_V119 [0.62, 'HomFave']", "M10_V119 [0.61, 'HomFave']", "M11_V119 [0.78, 'HomFave']", "M12_V119 [0.59, 'HomFave']", "M13_V119 [0.51, 'HomFave']", "M14_V119 [0.51, 'HomFave']", "M15_V119 [0.52, 'HomFave']"]</t>
  </si>
  <si>
    <t>["M16_V123 [0.48, 'VisDog']", "M17_V123 [0.46, 'VisDog']", "M18_V123 [0.48, 'VisDog']", "M19_V123 [0.5, 'HomFave']", "M20_V123 [0.48, 'VisDog']", "M21_V123 [0.48, 'VisDog']", "M22_V123 [0.48, 'VisDog']", "M23_V123 [0.48, 'VisDog']", "M24_V123 [0.49, 'VisDog']", "M25_V123 [0.47, 'VisDog']", "M26_V123 [0.48, 'VisDog']", "M27_V123 [0.47, 'VisDog']", "M28_V123 [0.49, 'VisDog']", "M29_V123 [0.44, 'VisDog']", "M30_V123 [0.47, 'VisDog']", "M31_V123 [0.53, 'HomFave']", "M32_V123 [0.45, 'VisDog']", "M33_V123 [0.48, 'VisDog']", "M34_V123 [0.47, 'VisDog']", "M35_V123 [0.45, 'VisDog']", "M36_V123 [0.48, 'VisDog']", "M37_V123 [0.45, 'VisDog']", "M38_V123 [0.48, 'VisDog']", "M39_V123 [0.46, 'VisDog']", "M40_V123 [0.48, 'VisDog']", "M41_V123 [0.48, 'VisDog']", "M42_V123 [0.5, 'HomFave']", "M43_V123 [0.47, 'VisDog']", "M44_V123 [0.49, 'VisDog']", "M45_V123 [0.48, 'VisDog']", "M46_V123 [0.43, 'VisDog']", "M47_V123 [0.48, 'VisDog']", "M48_V123 [0.57, 'HomFave']", "M49_V123 [0.47, 'VisDog']", "M50_V123 [0.47, 'VisDog']", "M51_V123 [0.48, 'VisDog']", "M52_V123 [0.46, 'VisDog']", "M53_V123 [0.45, 'VisDog']", "M54_V123 [0.47, 'VisDog']", "M55_V123 [0.48, 'VisDog']", "M56_V123 [0.51, 'HomFave']"]</t>
  </si>
  <si>
    <t>["M1_V119 [0.47, 'VisDog']", "M2_V119 [0.5, 'HomFave']", "M3_V119 [0.47, 'VisDog']", "M4_V119 [0.49, 'VisDog']", "M5_V119 [0.49, 'VisDog']", "M6_V119 [0.5, 'HomFave']", "M7_V119 [0.48, 'VisDog']", "M8_V119 [0.49, 'VisDog']", "M9_V119 [0.69, 'HomFave']", "M10_V119 [0.49, 'VisDog']", "M11_V119 [0.51, 'HomFave']", "M12_V119 [0.54, 'HomFave']", "M13_V119 [0.48, 'VisDog']", "M14_V119 [0.46, 'VisDog']", "M15_V119 [0.53, 'HomFave']"]</t>
  </si>
  <si>
    <t>["M16_V123 [0.47, 'VisDog']", "M17_V123 [0.46, 'VisDog']", "M18_V123 [0.49, 'VisDog']", "M19_V123 [0.5, 'HomFave']", "M20_V123 [0.5, 'HomFave']", "M21_V123 [0.49, 'VisDog']", "M22_V123 [0.49, 'VisDog']", "M23_V123 [0.49, 'VisDog']", "M24_V123 [0.49, 'VisDog']", "M25_V123 [0.51, 'HomFave']", "M26_V123 [0.5, 'HomFave']", "M27_V123 [0.51, 'HomFave']", "M28_V123 [0.4, 'VisDog']", "M29_V123 [0.48, 'VisDog']", "M30_V123 [0.47, 'VisDog']", "M31_V123 [0.59, 'HomFave']", "M32_V123 [0.48, 'VisDog']", "M33_V123 [0.5, 'HomFave']", "M34_V123 [0.49, 'VisDog']", "M35_V123 [0.52, 'HomFave']", "M36_V123 [0.5, 'HomFave']", "M37_V123 [0.48, 'VisDog']", "M38_V123 [0.48, 'VisDog']", "M39_V123 [0.45, 'VisDog']", "M40_V123 [0.5, 'HomFave']", "M41_V123 [0.49, 'VisDog']", "M42_V123 [0.5, 'HomFave']", "M43_V123 [0.45, 'VisDog']", "M44_V123 [0.46, 'VisDog']", "M45_V123 [0.49, 'VisDog']", "M46_V123 [0.43, 'VisDog']", "M47_V123 [0.51, 'HomFave']", "M48_V123 [0.52, 'HomFave']", "M49_V123 [0.54, 'HomFave']", "M50_V123 [0.48, 'VisDog']", "M51_V123 [0.51, 'HomFave']", "M52_V123 [0.5, 'HomFave']", "M53_V123 [0.47, 'VisDog']", "M54_V123 [0.48, 'VisDog']", "M55_V123 [0.49, 'VisDog']", "M56_V123 [0.44, 'VisDog']"]</t>
  </si>
  <si>
    <t>["M1_V119 [0.56, 'HomFave']", "M2_V119 [0.54, 'HomFave']", "M3_V119 [0.57, 'HomFave']", "M4_V119 [0.55, 'HomFave']", "M5_V119 [0.55, 'HomFave']", "M6_V119 [0.56, 'HomFave']", "M7_V119 [0.56, 'HomFave']", "M8_V119 [0.56, 'HomFave']", "M9_V119 [0.5, 'HomFave']", "M10_V119 [0.58, 'HomFave']", "M11_V119 [0.76, 'HomFave']", "M12_V119 [0.62, 'HomFave']", "M13_V119 [0.55, 'HomFave']", "M14_V119 [0.58, 'HomFave']", "M15_V119 [0.56, 'HomFave']"]</t>
  </si>
  <si>
    <t>["M16_V123 [0.5, 'HomFave']", "M17_V123 [0.51, 'HomFave']", "M18_V123 [0.52, 'HomFave']", "M19_V123 [0.54, 'HomFave']", "M20_V123 [0.53, 'HomFave']", "M21_V123 [0.52, 'HomFave']", "M22_V123 [0.53, 'HomFave']", "M23_V123 [0.51, 'HomFave']", "M24_V123 [0.52, 'HomFave']", "M25_V123 [0.54, 'HomFave']", "M26_V123 [0.53, 'HomFave']", "M27_V123 [0.51, 'HomFave']", "M28_V123 [0.56, 'HomFave']", "M29_V123 [0.53, 'HomFave']", "M30_V123 [0.54, 'HomFave']", "M31_V123 [0.52, 'HomFave']", "M32_V123 [0.5, 'HomFave']", "M33_V123 [0.54, 'HomFave']", "M34_V123 [0.55, 'HomFave']", "M35_V123 [0.47, 'VisDog']", "M36_V123 [0.47, 'VisDog']", "M37_V123 [0.54, 'HomFave']", "M38_V123 [0.5, 'HomFave']", "M39_V123 [0.48, 'VisDog']", "M40_V123 [0.52, 'HomFave']", "M41_V123 [0.53, 'HomFave']", "M42_V123 [0.49, 'VisDog']", "M43_V123 [0.55, 'HomFave']", "M44_V123 [0.53, 'HomFave']", "M45_V123 [0.52, 'HomFave']", "M46_V123 [0.49, 'VisDog']", "M47_V123 [0.54, 'HomFave']", "M48_V123 [0.58, 'HomFave']", "M49_V123 [0.47, 'VisDog']", "M50_V123 [0.48, 'VisDog']", "M51_V123 [0.51, 'HomFave']", "M52_V123 [0.54, 'HomFave']", "M53_V123 [0.53, 'HomFave']", "M54_V123 [0.53, 'HomFave']", "M55_V123 [0.53, 'HomFave']", "M56_V123 [0.48, 'VisDog']"]</t>
  </si>
  <si>
    <t>["M1_V119 [0.46, 'VisFave']", "M2_V119 [0.49, 'VisFave']", "M3_V119 [0.49, 'VisFave']", "M4_V119 [0.51, 'HomDog']", "M5_V119 [0.51, 'HomDog']", "M6_V119 [0.48, 'VisFave']", "M7_V119 [0.49, 'VisFave']", "M8_V119 [0.47, 'VisFave']", "M9_V119 [0.35, 'VisFave']", "M10_V119 [0.42, 'VisFave']", "M11_V119 [0.45, 'VisFave']", "M12_V119 [0.4, 'VisFave']", "M13_V119 [0.47, 'VisFave']", "M14_V119 [0.48, 'VisFave']", "M15_V119 [0.42, 'VisFave']"]</t>
  </si>
  <si>
    <t>["M16_V123 [0.48, 'VisFave']", "M17_V123 [0.47, 'VisFave']", "M18_V123 [0.5, 'HomDog']", "M19_V123 [0.48, 'VisFave']", "M20_V123 [0.49, 'VisFave']", "M21_V123 [0.51, 'HomDog']", "M22_V123 [0.48, 'VisFave']", "M23_V123 [0.49, 'VisFave']", "M24_V123 [0.49, 'VisFave']", "M25_V123 [0.46, 'VisFave']", "M26_V123 [0.48, 'VisFave']", "M27_V123 [0.46, 'VisFave']", "M28_V123 [0.46, 'VisFave']", "M29_V123 [0.46, 'VisFave']", "M30_V123 [0.49, 'VisFave']", "M31_V123 [0.33, 'VisFave']", "M32_V123 [0.48, 'VisFave']", "M33_V123 [0.49, 'VisFave']", "M34_V123 [0.48, 'VisFave']", "M35_V123 [0.48, 'VisFave']", "M36_V123 [0.45, 'VisFave']", "M37_V123 [0.48, 'VisFave']", "M38_V123 [0.47, 'VisFave']", "M39_V123 [0.46, 'VisFave']", "M40_V123 [0.47, 'VisFave']", "M41_V123 [0.47, 'VisFave']", "M42_V123 [0.55, 'HomDog']", "M43_V123 [0.49, 'VisFave']", "M44_V123 [0.44, 'VisFave']", "M45_V123 [0.48, 'VisFave']", "M46_V123 [0.46, 'VisFave']", "M47_V123 [0.48, 'VisFave']", "M48_V123 [0.28, 'VisFave']", "M49_V123 [0.44, 'VisFave']", "M50_V123 [0.47, 'VisFave']", "M51_V123 [0.49, 'VisFave']", "M52_V123 [0.48, 'VisFave']", "M53_V123 [0.48, 'VisFave']", "M54_V123 [0.5, 'HomDog']", "M55_V123 [0.48, 'VisFave']", "M56_V123 [0.47, 'VisFave']"]</t>
  </si>
  <si>
    <t>["M1_V119 [0.39, 'VisFave']", "M2_V119 [0.43, 'VisFave']", "M3_V119 [0.4, 'VisFave']", "M4_V119 [0.35, 'VisFave']", "M5_V119 [0.35, 'VisFave']", "M6_V119 [0.37, 'VisFave']", "M7_V119 [0.4, 'VisFave']", "M8_V119 [0.38, 'VisFave']", "M9_V119 [0.26, 'VisFave']", "M10_V119 [0.26, 'VisFave']", "M11_V119 [0.41, 'VisFave']", "M12_V119 [0.33, 'VisFave']", "M13_V119 [0.37, 'VisFave']", "M14_V119 [0.41, 'VisFave']", "M15_V119 [0.3, 'VisFave']"]</t>
  </si>
  <si>
    <t>["M16_V123 [0.43, 'VisFave']", "M17_V123 [0.4, 'VisFave']", "M18_V123 [0.44, 'VisFave']", "M19_V123 [0.45, 'VisFave']", "M20_V123 [0.42, 'VisFave']", "M21_V123 [0.45, 'VisFave']", "M22_V123 [0.42, 'VisFave']", "M23_V123 [0.43, 'VisFave']", "M24_V123 [0.42, 'VisFave']", "M25_V123 [0.39, 'VisFave']", "M26_V123 [0.43, 'VisFave']", "M27_V123 [0.42, 'VisFave']", "M28_V123 [0.47, 'VisFave']", "M29_V123 [0.43, 'VisFave']", "M30_V123 [0.42, 'VisFave']", "M31_V123 [0.58, 'HomDog']", "M32_V123 [0.41, 'VisFave']", "M33_V123 [0.42, 'VisFave']", "M34_V123 [0.45, 'VisFave']", "M35_V123 [0.45, 'VisFave']", "M36_V123 [0.43, 'VisFave']", "M37_V123 [0.44, 'VisFave']", "M38_V123 [0.45, 'VisFave']", "M39_V123 [0.44, 'VisFave']", "M40_V123 [0.43, 'VisFave']", "M41_V123 [0.43, 'VisFave']", "M42_V123 [0.47, 'VisFave']", "M43_V123 [0.42, 'VisFave']", "M44_V123 [0.38, 'VisFave']", "M45_V123 [0.42, 'VisFave']", "M46_V123 [0.41, 'VisFave']", "M47_V123 [0.41, 'VisFave']", "M48_V123 [0.62, 'HomDog']", "M49_V123 [0.45, 'VisFave']", "M50_V123 [0.43, 'VisFave']", "M51_V123 [0.43, 'VisFave']", "M52_V123 [0.44, 'VisFave']", "M53_V123 [0.4, 'VisFave']", "M54_V123 [0.42, 'VisFave']", "M55_V123 [0.41, 'VisFave']", "M56_V123 [0.57, 'HomDog']"]</t>
  </si>
  <si>
    <t>["M1_V119 [0.52, 'HomFave']", "M2_V119 [0.5, 'HomFave']", "M3_V119 [0.48, 'VisDog']", "M4_V119 [0.49, 'VisDog']", "M5_V119 [0.49, 'VisDog']", "M6_V119 [0.49, 'VisDog']", "M7_V119 [0.5, 'HomFave']", "M8_V119 [0.48, 'VisDog']", "M9_V119 [0.43, 'VisDog']", "M10_V119 [0.43, 'VisDog']", "M11_V119 [0.4, 'VisDog']", "M12_V119 [0.42, 'VisDog']", "M13_V119 [0.48, 'VisDog']", "M14_V119 [0.5, 'HomFave']", "M15_V119 [0.47, 'VisDog']"]</t>
  </si>
  <si>
    <t>["M16_V123 [0.48, 'VisDog']", "M17_V123 [0.52, 'HomFave']", "M18_V123 [0.5, 'HomFave']", "M19_V123 [0.49, 'VisDog']", "M20_V123 [0.56, 'HomFave']", "M21_V123 [0.51, 'HomFave']", "M22_V123 [0.5, 'HomFave']", "M23_V123 [0.51, 'HomFave']", "M24_V123 [0.5, 'HomFave']", "M25_V123 [0.49, 'VisDog']", "M26_V123 [0.53, 'HomFave']", "M27_V123 [0.47, 'VisDog']", "M28_V123 [0.51, 'HomFave']", "M29_V123 [0.49, 'VisDog']", "M30_V123 [0.52, 'HomFave']", "M31_V123 [0.4, 'VisDog']", "M32_V123 [0.49, 'VisDog']", "M33_V123 [0.52, 'HomFave']", "M34_V123 [0.5, 'HomFave']", "M35_V123 [0.55, 'HomFave']", "M36_V123 [0.49, 'VisDog']", "M37_V123 [0.5, 'HomFave']", "M38_V123 [0.5, 'HomFave']", "M39_V123 [0.55, 'HomFave']", "M40_V123 [0.48, 'VisDog']", "M41_V123 [0.5, 'HomFave']", "M42_V123 [0.48, 'VisDog']", "M43_V123 [0.48, 'VisDog']", "M44_V123 [0.46, 'VisDog']", "M45_V123 [0.49, 'VisDog']", "M46_V123 [0.5, 'HomFave']", "M47_V123 [0.51, 'HomFave']", "M48_V123 [0.55, 'HomFave']", "M49_V123 [0.51, 'HomFave']", "M50_V123 [0.5, 'HomFave']", "M51_V123 [0.52, 'HomFave']", "M52_V123 [0.52, 'HomFave']", "M53_V123 [0.47, 'VisDog']", "M54_V123 [0.5, 'HomFave']", "M55_V123 [0.49, 'VisDog']", "M56_V123 [0.52, 'HomFave']"]</t>
  </si>
  <si>
    <t>["M1_V119 [0.5, 'HomFave']", "M2_V119 [0.51, 'HomFave']", "M3_V119 [0.49, 'VisDog']", "M4_V119 [0.48, 'VisDog']", "M5_V119 [0.48, 'VisDog']", "M6_V119 [0.51, 'HomFave']", "M7_V119 [0.5, 'HomFave']", "M8_V119 [0.5, 'HomFave']", "M9_V119 [0.6, 'HomFave']", "M10_V119 [0.47, 'VisDog']", "M11_V119 [0.48, 'VisDog']", "M12_V119 [0.54, 'HomFave']", "M13_V119 [0.48, 'VisDog']", "M14_V119 [0.51, 'HomFave']", "M15_V119 [0.49, 'VisDog']"]</t>
  </si>
  <si>
    <t>["M16_V123 [0.49, 'VisDog']", "M17_V123 [0.49, 'VisDog']", "M18_V123 [0.52, 'HomFave']", "M19_V123 [0.52, 'HomFave']", "M20_V123 [0.53, 'HomFave']", "M21_V123 [0.52, 'HomFave']", "M22_V123 [0.52, 'HomFave']", "M23_V123 [0.5, 'HomFave']", "M24_V123 [0.51, 'HomFave']", "M25_V123 [0.52, 'HomFave']", "M26_V123 [0.52, 'HomFave']", "M27_V123 [0.51, 'HomFave']", "M28_V123 [0.5, 'HomFave']", "M29_V123 [0.52, 'HomFave']", "M30_V123 [0.52, 'HomFave']", "M31_V123 [0.51, 'HomFave']", "M32_V123 [0.52, 'HomFave']", "M33_V123 [0.54, 'HomFave']", "M34_V123 [0.52, 'HomFave']", "M35_V123 [0.49, 'VisDog']", "M36_V123 [0.5, 'HomFave']", "M37_V123 [0.48, 'VisDog']", "M38_V123 [0.54, 'HomFave']", "M39_V123 [0.48, 'VisDog']", "M40_V123 [0.52, 'HomFave']", "M41_V123 [0.5, 'HomFave']", "M42_V123 [0.53, 'HomFave']", "M43_V123 [0.5, 'HomFave']", "M44_V123 [0.5, 'HomFave']", "M45_V123 [0.51, 'HomFave']", "M46_V123 [0.48, 'VisDog']", "M47_V123 [0.54, 'HomFave']", "M48_V123 [0.46, 'VisDog']", "M49_V123 [0.51, 'HomFave']", "M50_V123 [0.51, 'HomFave']", "M51_V123 [0.53, 'HomFave']", "M52_V123 [0.53, 'HomFave']", "M53_V123 [0.45, 'VisDog']", "M54_V123 [0.52, 'HomFave']", "M55_V123 [0.53, 'HomFave']", "M56_V123 [0.43, 'VisDog']"]</t>
  </si>
  <si>
    <t>["M16_V123 [0.44, 'VisFave']", "M17_V123 [0.46, 'VisFave']", "M18_V123 [0.47, 'VisFave']", "M19_V123 [0.44, 'VisFave']", "M20_V123 [0.44, 'VisFave']", "M21_V123 [0.48, 'VisFave']", "M22_V123 [0.43, 'VisFave']", "M23_V123 [0.46, 'VisFave']", "M24_V123 [0.46, 'VisFave']", "M25_V123 [0.42, 'VisFave']", "M26_V123 [0.44, 'VisFave']", "M27_V123 [0.42, 'VisFave']", "M28_V123 [0.42, 'VisFave']", "M29_V123 [0.43, 'VisFave']", "M30_V123 [0.42, 'VisFave']", "M31_V123 [0.48, 'VisFave']", "M32_V123 [0.44, 'VisFave']", "M33_V123 [0.44, 'VisFave']", "M34_V123 [0.46, 'VisFave']", "M35_V123 [0.46, 'VisFave']", "M36_V123 [0.4, 'VisFave']", "M37_V123 [0.44, 'VisFave']", "M38_V123 [0.44, 'VisFave']", "M39_V123 [0.39, 'VisFave']", "M40_V123 [0.44, 'VisFave']", "M41_V123 [0.43, 'VisFave']", "M42_V123 [0.48, 'VisFave']", "M43_V123 [0.43, 'VisFave']", "M44_V123 [0.41, 'VisFave']", "M45_V123 [0.44, 'VisFave']", "M46_V123 [0.41, 'VisFave']", "M47_V123 [0.43, 'VisFave']", "M48_V123 [0.37, 'VisFave']", "M49_V123 [0.49, 'VisFave']", "M50_V123 [0.44, 'VisFave']", "M51_V123 [0.43, 'VisFave']", "M52_V123 [0.43, 'VisFave']", "M53_V123 [0.39, 'VisFave']", "M54_V123 [0.43, 'VisFave']", "M55_V123 [0.42, 'VisFave']", "M56_V123 [0.45, 'VisFave']"]</t>
  </si>
  <si>
    <t>["M1_V119 [0.43, 'VisFave']", "M2_V119 [0.46, 'VisFave']", "M3_V119 [0.48, 'VisFave']", "M4_V119 [0.49, 'VisFave']", "M5_V119 [0.49, 'VisFave']", "M6_V119 [0.46, 'VisFave']", "M7_V119 [0.47, 'VisFave']", "M8_V119 [0.49, 'VisFave']", "M9_V119 [0.43, 'VisFave']", "M10_V119 [0.43, 'VisFave']", "M11_V119 [0.32, 'VisFave']", "M12_V119 [0.57, 'HomDog']", "M13_V119 [0.47, 'VisFave']", "M14_V119 [0.46, 'VisFave']", "M15_V119 [0.51, 'HomDog']"]</t>
  </si>
  <si>
    <t>["M16_V123 [0.49, 'VisFave']", "M17_V123 [0.49, 'VisFave']", "M18_V123 [0.49, 'VisFave']", "M19_V123 [0.51, 'HomDog']", "M20_V123 [0.5, 'HomDog']", "M21_V123 [0.5, 'HomDog']", "M22_V123 [0.49, 'VisFave']", "M23_V123 [0.51, 'HomDog']", "M24_V123 [0.49, 'VisFave']", "M25_V123 [0.5, 'HomDog']", "M26_V123 [0.48, 'VisFave']", "M27_V123 [0.52, 'HomDog']", "M28_V123 [0.44, 'VisFave']", "M29_V123 [0.51, 'HomDog']", "M30_V123 [0.51, 'HomDog']", "M31_V123 [0.54, 'HomDog']", "M32_V123 [0.48, 'VisFave']", "M33_V123 [0.51, 'HomDog']", "M34_V123 [0.49, 'VisFave']", "M35_V123 [0.5, 'HomDog']", "M36_V123 [0.48, 'VisFave']", "M37_V123 [0.51, 'HomDog']", "M38_V123 [0.5, 'HomDog']", "M39_V123 [0.45, 'VisFave']", "M40_V123 [0.5, 'HomDog']", "M41_V123 [0.49, 'VisFave']", "M42_V123 [0.53, 'HomDog']", "M43_V123 [0.49, 'VisFave']", "M44_V123 [0.51, 'HomDog']", "M45_V123 [0.5, 'HomDog']", "M46_V123 [0.45, 'VisFave']", "M47_V123 [0.51, 'HomDog']", "M48_V123 [0.57, 'HomDog']", "M49_V123 [0.45, 'VisFave']", "M50_V123 [0.48, 'VisFave']", "M51_V123 [0.51, 'HomDog']", "M52_V123 [0.51, 'HomDog']", "M53_V123 [0.47, 'VisFave']", "M54_V123 [0.5, 'HomDog']", "M55_V123 [0.5, 'HomDog']", "M56_V123 [0.5, 'HomDog']"]</t>
  </si>
  <si>
    <t>["M1_V119 [0.51, 'HomFave']", "M2_V119 [0.54, 'HomFave']", "M3_V119 [0.53, 'HomFave']", "M4_V119 [0.53, 'HomFave']", "M5_V119 [0.53, 'HomFave']", "M6_V119 [0.52, 'HomFave']", "M7_V119 [0.53, 'HomFave']", "M8_V119 [0.53, 'HomFave']", "M9_V119 [0.69, 'HomFave']", "M10_V119 [0.68, 'HomFave']", "M11_V119 [0.9, 'HomFave']", "M12_V119 [0.59, 'HomFave']", "M13_V119 [0.52, 'HomFave']", "M14_V119 [0.47, 'VisDog']", "M15_V119 [0.53, 'HomFave']"]</t>
  </si>
  <si>
    <t>["M16_V123 [0.49, 'VisDog']", "M17_V123 [0.47, 'VisDog']", "M18_V123 [0.5, 'HomFave']", "M19_V123 [0.5, 'HomFave']", "M20_V123 [0.5, 'HomFave']", "M21_V123 [0.5, 'HomFave']", "M22_V123 [0.5, 'HomFave']", "M23_V123 [0.49, 'VisDog']", "M24_V123 [0.49, 'VisDog']", "M25_V123 [0.49, 'VisDog']", "M26_V123 [0.49, 'VisDog']", "M27_V123 [0.49, 'VisDog']", "M28_V123 [0.54, 'HomFave']", "M29_V123 [0.46, 'VisDog']", "M30_V123 [0.48, 'VisDog']", "M31_V123 [0.72, 'HomFave']", "M32_V123 [0.49, 'VisDog']", "M33_V123 [0.53, 'HomFave']", "M34_V123 [0.54, 'HomFave']", "M35_V123 [0.48, 'VisDog']", "M36_V123 [0.49, 'VisDog']", "M37_V123 [0.51, 'HomFave']", "M38_V123 [0.53, 'HomFave']", "M39_V123 [0.49, 'VisDog']", "M40_V123 [0.49, 'VisDog']", "M41_V123 [0.48, 'VisDog']", "M42_V123 [0.5, 'HomFave']", "M43_V123 [0.48, 'VisDog']", "M44_V123 [0.5, 'HomFave']", "M45_V123 [0.49, 'VisDog']", "M46_V123 [0.44, 'VisDog']", "M47_V123 [0.51, 'HomFave']", "M48_V123 [0.75, 'HomFave']", "M49_V123 [0.51, 'HomFave']", "M50_V123 [0.48, 'VisDog']", "M51_V123 [0.48, 'VisDog']", "M52_V123 [0.5, 'HomFave']", "M53_V123 [0.48, 'VisDog']", "M54_V123 [0.49, 'VisDog']", "M55_V123 [0.49, 'VisDog']", "M56_V123 [0.53, 'HomFave']"]</t>
  </si>
  <si>
    <t>["M1_V119 [0.63, 'HomFave']", "M2_V119 [0.58, 'HomFave']", "M3_V119 [0.59, 'HomFave']", "M4_V119 [0.63, 'HomFave']", "M5_V119 [0.63, 'HomFave']", "M6_V119 [0.6, 'HomFave']", "M7_V119 [0.56, 'HomFave']", "M8_V119 [0.58, 'HomFave']", "M9_V119 [0.53, 'HomFave']", "M10_V119 [0.58, 'HomFave']", "M11_V119 [0.51, 'HomFave']", "M12_V119 [0.66, 'HomFave']", "M13_V119 [0.59, 'HomFave']", "M14_V119 [0.59, 'HomFave']", "M15_V119 [0.63, 'HomFave']"]</t>
  </si>
  <si>
    <t>["M16_V123 [0.57, 'HomFave']", "M17_V123 [0.57, 'HomFave']", "M18_V123 [0.58, 'HomFave']", "M19_V123 [0.56, 'HomFave']", "M20_V123 [0.58, 'HomFave']", "M21_V123 [0.59, 'HomFave']", "M22_V123 [0.59, 'HomFave']", "M23_V123 [0.56, 'HomFave']", "M24_V123 [0.57, 'HomFave']", "M25_V123 [0.54, 'HomFave']", "M26_V123 [0.58, 'HomFave']", "M27_V123 [0.57, 'HomFave']", "M28_V123 [0.64, 'HomFave']", "M29_V123 [0.56, 'HomFave']", "M30_V123 [0.61, 'HomFave']", "M31_V123 [0.49, 'VisDog']", "M32_V123 [0.56, 'HomFave']", "M33_V123 [0.6, 'HomFave']", "M34_V123 [0.57, 'HomFave']", "M35_V123 [0.54, 'HomFave']", "M36_V123 [0.59, 'HomFave']", "M37_V123 [0.59, 'HomFave']", "M38_V123 [0.58, 'HomFave']", "M39_V123 [0.61, 'HomFave']", "M40_V123 [0.58, 'HomFave']", "M41_V123 [0.57, 'HomFave']", "M42_V123 [0.5, 'HomFave']", "M43_V123 [0.58, 'HomFave']", "M44_V123 [0.6, 'HomFave']", "M45_V123 [0.57, 'HomFave']", "M46_V123 [0.57, 'HomFave']", "M47_V123 [0.57, 'HomFave']", "M48_V123 [0.63, 'HomFave']", "M49_V123 [0.52, 'HomFave']", "M50_V123 [0.58, 'HomFave']", "M51_V123 [0.58, 'HomFave']", "M52_V123 [0.6, 'HomFave']", "M53_V123 [0.57, 'HomFave']", "M54_V123 [0.58, 'HomFave']", "M55_V123 [0.59, 'HomFave']", "M56_V123 [0.48, 'VisDog']"]</t>
  </si>
  <si>
    <t>["M1_V119 [0.53, 'HomFave']", "M2_V119 [0.51, 'HomFave']", "M3_V119 [0.52, 'HomFave']", "M4_V119 [0.55, 'HomFave']", "M5_V119 [0.55, 'HomFave']", "M6_V119 [0.53, 'HomFave']", "M7_V119 [0.51, 'HomFave']", "M8_V119 [0.55, 'HomFave']", "M9_V119 [0.51, 'HomFave']", "M10_V119 [0.61, 'HomFave']", "M11_V119 [0.64, 'HomFave']", "M12_V119 [0.6, 'HomFave']", "M13_V119 [0.52, 'HomFave']", "M14_V119 [0.56, 'HomFave']", "M15_V119 [0.5, 'HomFave']"]</t>
  </si>
  <si>
    <t>["M16_V123 [0.52, 'HomFave']", "M17_V123 [0.51, 'HomFave']", "M18_V123 [0.53, 'HomFave']", "M19_V123 [0.51, 'HomFave']", "M20_V123 [0.54, 'HomFave']", "M21_V123 [0.54, 'HomFave']", "M22_V123 [0.51, 'HomFave']", "M23_V123 [0.51, 'HomFave']", "M24_V123 [0.51, 'HomFave']", "M25_V123 [0.52, 'HomFave']", "M26_V123 [0.52, 'HomFave']", "M27_V123 [0.5, 'HomFave']", "M28_V123 [0.56, 'HomFave']", "M29_V123 [0.49, 'VisDog']", "M30_V123 [0.51, 'HomFave']", "M31_V123 [0.51, 'HomFave']", "M32_V123 [0.51, 'HomFave']", "M33_V123 [0.56, 'HomFave']", "M34_V123 [0.53, 'HomFave']", "M35_V123 [0.53, 'HomFave']", "M36_V123 [0.48, 'VisDog']", "M37_V123 [0.54, 'HomFave']", "M38_V123 [0.53, 'HomFave']", "M39_V123 [0.5, 'HomFave']", "M40_V123 [0.5, 'HomFave']", "M41_V123 [0.49, 'VisDog']", "M42_V123 [0.5, 'HomFave']", "M43_V123 [0.52, 'HomFave']", "M44_V123 [0.51, 'HomFave']", "M45_V123 [0.51, 'HomFave']", "M46_V123 [0.49, 'VisDog']", "M47_V123 [0.53, 'HomFave']", "M48_V123 [0.66, 'HomFave']", "M49_V123 [0.53, 'HomFave']", "M50_V123 [0.5, 'HomFave']", "M51_V123 [0.53, 'HomFave']", "M52_V123 [0.54, 'HomFave']", "M53_V123 [0.51, 'HomFave']", "M54_V123 [0.52, 'HomFave']", "M55_V123 [0.51, 'HomFave']", "M56_V123 [0.55, 'HomFave']"]</t>
  </si>
  <si>
    <t>["M1_V119 [0.53, 'HomFave']", "M2_V119 [0.51, 'HomFave']", "M3_V119 [0.52, 'HomFave']", "M4_V119 [0.51, 'HomFave']", "M5_V119 [0.51, 'HomFave']", "M6_V119 [0.54, 'HomFave']", "M7_V119 [0.49, 'VisDog']", "M8_V119 [0.51, 'HomFave']", "M9_V119 [0.42, 'VisDog']", "M10_V119 [0.4, 'VisDog']", "M11_V119 [0.4, 'VisDog']", "M12_V119 [0.5, 'HomFave']", "M13_V119 [0.5, 'HomFave']", "M14_V119 [0.52, 'HomFave']", "M15_V119 [0.45, 'VisDog']"]</t>
  </si>
  <si>
    <t>["M1_V119 [0.63, 'HomFave']", "M2_V119 [0.6, 'HomFave']", "M3_V119 [0.59, 'HomFave']", "M4_V119 [0.6, 'HomFave']", "M5_V119 [0.6, 'HomFave']", "M6_V119 [0.61, 'HomFave']", "M7_V119 [0.57, 'HomFave']", "M8_V119 [0.61, 'HomFave']", "M9_V119 [0.81, 'HomFave']", "M10_V119 [0.72, 'HomFave']", "M11_V119 [0.81, 'HomFave']", "M12_V119 [0.82, 'HomFave']", "M13_V119 [0.6, 'HomFave']", "M14_V119 [0.59, 'HomFave']", "M15_V119 [0.73, 'HomFave']"]</t>
  </si>
  <si>
    <t>["M1_V119 [0.55, 'HomFave']", "M2_V119 [0.53, 'HomFave']", "M3_V119 [0.53, 'HomFave']", "M4_V119 [0.51, 'HomFave']", "M5_V119 [0.51, 'HomFave']", "M6_V119 [0.56, 'HomFave']", "M7_V119 [0.54, 'HomFave']", "M8_V119 [0.52, 'HomFave']", "M9_V119 [0.67, 'HomFave']", "M10_V119 [0.47, 'VisDog']", "M11_V119 [0.52, 'HomFave']", "M12_V119 [0.63, 'HomFave']", "M13_V119 [0.54, 'HomFave']", "M14_V119 [0.58, 'HomFave']", "M15_V119 [0.47, 'VisDog']"]</t>
  </si>
  <si>
    <t>["M16_V123 [0.5, 'HomFave']", "M17_V123 [0.52, 'HomFave']", "M18_V123 [0.5, 'HomFave']", "M19_V123 [0.52, 'HomFave']", "M20_V123 [0.51, 'HomFave']", "M21_V123 [0.51, 'HomFave']", "M22_V123 [0.5, 'HomFave']", "M23_V123 [0.5, 'HomFave']", "M24_V123 [0.5, 'HomFave']", "M25_V123 [0.52, 'HomFave']", "M26_V123 [0.52, 'HomFave']", "M27_V123 [0.53, 'HomFave']", "M28_V123 [0.46, 'VisDog']", "M29_V123 [0.5, 'HomFave']", "M30_V123 [0.53, 'HomFave']", "M31_V123 [0.67, 'HomFave']", "M32_V123 [0.49, 'VisDog']", "M33_V123 [0.51, 'HomFave']", "M34_V123 [0.53, 'HomFave']", "M35_V123 [0.45, 'VisDog']", "M36_V123 [0.52, 'HomFave']", "M37_V123 [0.53, 'HomFave']", "M38_V123 [0.53, 'HomFave']", "M39_V123 [0.47, 'VisDog']", "M40_V123 [0.54, 'HomFave']", "M41_V123 [0.51, 'HomFave']", "M42_V123 [0.5, 'HomFave']", "M43_V123 [0.51, 'HomFave']", "M44_V123 [0.54, 'HomFave']", "M45_V123 [0.52, 'HomFave']", "M46_V123 [0.49, 'VisDog']", "M47_V123 [0.53, 'HomFave']", "M48_V123 [0.55, 'HomFave']", "M49_V123 [0.52, 'HomFave']", "M50_V123 [0.49, 'VisDog']", "M51_V123 [0.5, 'HomFave']", "M52_V123 [0.53, 'HomFave']", "M53_V123 [0.51, 'HomFave']", "M54_V123 [0.51, 'HomFave']", "M55_V123 [0.5, 'HomFave']", "M56_V123 [0.49, 'VisDog']"]</t>
  </si>
  <si>
    <t>["M1_V119 [0.51, 'HomFave']", "M2_V119 [0.5, 'HomFave']", "M3_V119 [0.49, 'VisDog']", "M4_V119 [0.49, 'VisDog']", "M5_V119 [0.49, 'VisDog']", "M6_V119 [0.49, 'VisDog']", "M7_V119 [0.48, 'VisDog']", "M8_V119 [0.45, 'VisDog']", "M9_V119 [0.53, 'HomFave']", "M10_V119 [0.48, 'VisDog']", "M11_V119 [0.38, 'VisDog']", "M12_V119 [0.49, 'VisDog']", "M13_V119 [0.49, 'VisDog']", "M14_V119 [0.47, 'VisDog']", "M15_V119 [0.49, 'VisDog']"]</t>
  </si>
  <si>
    <t>["M16_V123 [0.45, 'VisDog']", "M17_V123 [0.45, 'VisDog']", "M18_V123 [0.47, 'VisDog']", "M19_V123 [0.47, 'VisDog']", "M20_V123 [0.48, 'VisDog']", "M21_V123 [0.47, 'VisDog']", "M22_V123 [0.47, 'VisDog']", "M23_V123 [0.47, 'VisDog']", "M24_V123 [0.49, 'VisDog']", "M25_V123 [0.45, 'VisDog']", "M26_V123 [0.47, 'VisDog']", "M27_V123 [0.45, 'VisDog']", "M28_V123 [0.45, 'VisDog']", "M29_V123 [0.48, 'VisDog']", "M30_V123 [0.46, 'VisDog']", "M31_V123 [0.41, 'VisDog']", "M32_V123 [0.46, 'VisDog']", "M33_V123 [0.48, 'VisDog']", "M34_V123 [0.49, 'VisDog']", "M35_V123 [0.45, 'VisDog']", "M36_V123 [0.42, 'VisDog']", "M37_V123 [0.45, 'VisDog']", "M38_V123 [0.48, 'VisDog']", "M39_V123 [0.4, 'VisDog']", "M40_V123 [0.45, 'VisDog']", "M41_V123 [0.47, 'VisDog']", "M42_V123 [0.47, 'VisDog']", "M43_V123 [0.47, 'VisDog']", "M44_V123 [0.43, 'VisDog']", "M45_V123 [0.46, 'VisDog']", "M46_V123 [0.45, 'VisDog']", "M47_V123 [0.46, 'VisDog']", "M48_V123 [0.49, 'VisDog']", "M49_V123 [0.48, 'VisDog']", "M50_V123 [0.47, 'VisDog']", "M51_V123 [0.49, 'VisDog']", "M52_V123 [0.48, 'VisDog']", "M53_V123 [0.46, 'VisDog']", "M54_V123 [0.47, 'VisDog']", "M55_V123 [0.47, 'VisDog']", "M56_V123 [0.45, 'VisDog']"]</t>
  </si>
  <si>
    <t>["M1_V119 [0.59, 'HomFave']", "M2_V119 [0.58, 'HomFave']", "M3_V119 [0.57, 'HomFave']", "M4_V119 [0.59, 'HomFave']", "M5_V119 [0.59, 'HomFave']", "M6_V119 [0.56, 'HomFave']", "M7_V119 [0.58, 'HomFave']", "M8_V119 [0.56, 'HomFave']", "M9_V119 [0.41, 'VisDog']", "M10_V119 [0.54, 'HomFave']", "M11_V119 [0.48, 'VisDog']", "M12_V119 [0.62, 'HomFave']", "M13_V119 [0.56, 'HomFave']", "M14_V119 [0.59, 'HomFave']", "M15_V119 [0.64, 'HomFave']"]</t>
  </si>
  <si>
    <t>["M1_V119 [0.6, 'HomFave']", "M2_V119 [0.53, 'HomFave']", "M3_V119 [0.55, 'HomFave']", "M4_V119 [0.55, 'HomFave']", "M5_V119 [0.55, 'HomFave']", "M6_V119 [0.56, 'HomFave']", "M7_V119 [0.55, 'HomFave']", "M8_V119 [0.56, 'HomFave']", "M9_V119 [0.44, 'VisDog']", "M10_V119 [0.5, 'HomFave']", "M11_V119 [0.38, 'VisDog']", "M12_V119 [0.5, 'HomFave']", "M13_V119 [0.55, 'HomFave']", "M14_V119 [0.58, 'HomFave']", "M15_V119 [0.58, 'HomFave']"]</t>
  </si>
  <si>
    <t>["M16_V123 [0.52, 'HomFave']", "M17_V123 [0.55, 'HomFave']", "M18_V123 [0.58, 'HomFave']", "M19_V123 [0.54, 'HomFave']", "M20_V123 [0.58, 'HomFave']", "M21_V123 [0.58, 'HomFave']", "M22_V123 [0.56, 'HomFave']", "M23_V123 [0.56, 'HomFave']", "M24_V123 [0.54, 'HomFave']", "M25_V123 [0.53, 'HomFave']", "M26_V123 [0.58, 'HomFave']", "M27_V123 [0.56, 'HomFave']", "M28_V123 [0.5, 'HomFave']", "M29_V123 [0.56, 'HomFave']", "M30_V123 [0.55, 'HomFave']", "M31_V123 [0.55, 'HomFave']", "M32_V123 [0.53, 'HomFave']", "M33_V123 [0.57, 'HomFave']", "M34_V123 [0.55, 'HomFave']", "M35_V123 [0.51, 'HomFave']", "M36_V123 [0.54, 'HomFave']", "M37_V123 [0.56, 'HomFave']", "M38_V123 [0.55, 'HomFave']", "M39_V123 [0.54, 'HomFave']", "M40_V123 [0.55, 'HomFave']", "M41_V123 [0.54, 'HomFave']", "M42_V123 [0.53, 'HomFave']", "M43_V123 [0.54, 'HomFave']", "M44_V123 [0.55, 'HomFave']", "M45_V123 [0.55, 'HomFave']", "M46_V123 [0.48, 'VisDog']", "M47_V123 [0.58, 'HomFave']", "M48_V123 [0.36, 'VisDog']", "M49_V123 [0.51, 'HomFave']", "M50_V123 [0.54, 'HomFave']", "M51_V123 [0.56, 'HomFave']", "M52_V123 [0.58, 'HomFave']", "M53_V123 [0.56, 'HomFave']", "M54_V123 [0.57, 'HomFave']", "M55_V123 [0.55, 'HomFave']", "M56_V123 [0.37, 'VisDog']"]</t>
  </si>
  <si>
    <t>["M1_V119 [0.56, 'HomFave']", "M2_V119 [0.56, 'HomFave']", "M3_V119 [0.55, 'HomFave']", "M4_V119 [0.55, 'HomFave']", "M5_V119 [0.55, 'HomFave']", "M6_V119 [0.57, 'HomFave']", "M7_V119 [0.56, 'HomFave']", "M8_V119 [0.55, 'HomFave']", "M9_V119 [0.64, 'HomFave']", "M10_V119 [0.58, 'HomFave']", "M11_V119 [0.64, 'HomFave']", "M12_V119 [0.65, 'HomFave']", "M13_V119 [0.56, 'HomFave']", "M14_V119 [0.59, 'HomFave']", "M15_V119 [0.55, 'HomFave']"]</t>
  </si>
  <si>
    <t>["M16_V123 [0.55, 'HomFave']", "M17_V123 [0.52, 'HomFave']", "M18_V123 [0.54, 'HomFave']", "M19_V123 [0.54, 'HomFave']", "M20_V123 [0.55, 'HomFave']", "M21_V123 [0.55, 'HomFave']", "M22_V123 [0.52, 'HomFave']", "M23_V123 [0.52, 'HomFave']", "M24_V123 [0.52, 'HomFave']", "M25_V123 [0.52, 'HomFave']", "M26_V123 [0.52, 'HomFave']", "M27_V123 [0.54, 'HomFave']", "M28_V123 [0.56, 'HomFave']", "M29_V123 [0.52, 'HomFave']", "M30_V123 [0.52, 'HomFave']", "M31_V123 [0.62, 'HomFave']", "M32_V123 [0.53, 'HomFave']", "M33_V123 [0.55, 'HomFave']", "M34_V123 [0.53, 'HomFave']", "M35_V123 [0.52, 'HomFave']", "M36_V123 [0.54, 'HomFave']", "M37_V123 [0.54, 'HomFave']", "M38_V123 [0.55, 'HomFave']", "M39_V123 [0.52, 'HomFave']", "M40_V123 [0.5, 'HomFave']", "M41_V123 [0.51, 'HomFave']", "M42_V123 [0.49, 'VisDog']", "M43_V123 [0.52, 'HomFave']", "M44_V123 [0.55, 'HomFave']", "M45_V123 [0.52, 'HomFave']", "M46_V123 [0.51, 'HomFave']", "M47_V123 [0.54, 'HomFave']", "M48_V123 [0.59, 'HomFave']", "M49_V123 [0.56, 'HomFave']", "M50_V123 [0.52, 'HomFave']", "M51_V123 [0.54, 'HomFave']", "M52_V123 [0.51, 'HomFave']", "M53_V123 [0.52, 'HomFave']", "M54_V123 [0.54, 'HomFave']", "M55_V123 [0.5, 'HomFave']", "M56_V123 [0.54, 'HomFave']"]</t>
  </si>
  <si>
    <t>["M1_V119 [0.58, 'HomFave']", "M2_V119 [0.58, 'HomFave']", "M3_V119 [0.58, 'HomFave']", "M4_V119 [0.58, 'HomFave']", "M5_V119 [0.58, 'HomFave']", "M6_V119 [0.56, 'HomFave']", "M7_V119 [0.56, 'HomFave']", "M8_V119 [0.58, 'HomFave']", "M9_V119 [0.63, 'HomFave']", "M10_V119 [0.67, 'HomFave']", "M11_V119 [0.68, 'HomFave']", "M12_V119 [0.62, 'HomFave']", "M13_V119 [0.55, 'HomFave']", "M14_V119 [0.59, 'HomFave']", "M15_V119 [0.61, 'HomFave']"]</t>
  </si>
  <si>
    <t>["M16_V123 [0.54, 'HomFave']", "M17_V123 [0.58, 'HomFave']", "M18_V123 [0.58, 'HomFave']", "M19_V123 [0.58, 'HomFave']", "M20_V123 [0.57, 'HomFave']", "M21_V123 [0.59, 'HomFave']", "M22_V123 [0.55, 'HomFave']", "M23_V123 [0.58, 'HomFave']", "M24_V123 [0.58, 'HomFave']", "M25_V123 [0.57, 'HomFave']", "M26_V123 [0.56, 'HomFave']", "M27_V123 [0.55, 'HomFave']", "M28_V123 [0.58, 'HomFave']", "M29_V123 [0.57, 'HomFave']", "M30_V123 [0.57, 'HomFave']", "M31_V123 [0.74, 'HomFave']", "M32_V123 [0.57, 'HomFave']", "M33_V123 [0.59, 'HomFave']", "M34_V123 [0.61, 'HomFave']", "M35_V123 [0.58, 'HomFave']", "M36_V123 [0.56, 'HomFave']", "M37_V123 [0.59, 'HomFave']", "M38_V123 [0.57, 'HomFave']", "M39_V123 [0.56, 'HomFave']", "M40_V123 [0.56, 'HomFave']", "M41_V123 [0.55, 'HomFave']", "M42_V123 [0.53, 'HomFave']", "M43_V123 [0.56, 'HomFave']", "M44_V123 [0.56, 'HomFave']", "M45_V123 [0.56, 'HomFave']", "M46_V123 [0.52, 'HomFave']", "M47_V123 [0.56, 'HomFave']", "M48_V123 [0.49, 'VisDog']", "M49_V123 [0.56, 'HomFave']", "M50_V123 [0.58, 'HomFave']", "M51_V123 [0.59, 'HomFave']", "M52_V123 [0.58, 'HomFave']", "M53_V123 [0.55, 'HomFave']", "M54_V123 [0.57, 'HomFave']", "M55_V123 [0.55, 'HomFave']", "M56_V123 [0.61, 'HomFave']"]</t>
  </si>
  <si>
    <t>["M1_V119 [0.48, 'VisFave']", "M2_V119 [0.48, 'VisFave']", "M3_V119 [0.48, 'VisFave']", "M4_V119 [0.48, 'VisFave']", "M5_V119 [0.48, 'VisFave']", "M6_V119 [0.5, 'HomDog']", "M7_V119 [0.47, 'VisFave']", "M8_V119 [0.49, 'VisFave']", "M9_V119 [0.5, 'HomDog']", "M10_V119 [0.4, 'VisFave']", "M11_V119 [0.31, 'VisFave']", "M12_V119 [0.5, 'HomDog']", "M13_V119 [0.46, 'VisFave']", "M14_V119 [0.55, 'HomDog']", "M15_V119 [0.45, 'VisFave']"]</t>
  </si>
  <si>
    <t>["M16_V123 [0.48, 'VisFave']", "M17_V123 [0.52, 'HomDog']", "M18_V123 [0.5, 'HomDog']", "M19_V123 [0.5, 'HomDog']", "M20_V123 [0.53, 'HomDog']", "M21_V123 [0.5, 'HomDog']", "M22_V123 [0.5, 'HomDog']", "M23_V123 [0.5, 'HomDog']", "M24_V123 [0.51, 'HomDog']", "M25_V123 [0.5, 'HomDog']", "M26_V123 [0.53, 'HomDog']", "M27_V123 [0.5, 'HomDog']", "M28_V123 [0.51, 'HomDog']", "M29_V123 [0.53, 'HomDog']", "M30_V123 [0.53, 'HomDog']", "M31_V123 [0.43, 'VisFave']", "M32_V123 [0.5, 'HomDog']", "M33_V123 [0.54, 'HomDog']", "M34_V123 [0.51, 'HomDog']", "M35_V123 [0.47, 'VisFave']", "M36_V123 [0.53, 'HomDog']", "M37_V123 [0.5, 'HomDog']", "M38_V123 [0.54, 'HomDog']", "M39_V123 [0.49, 'VisFave']", "M40_V123 [0.51, 'HomDog']", "M41_V123 [0.5, 'HomDog']", "M42_V123 [0.53, 'HomDog']", "M43_V123 [0.49, 'VisFave']", "M44_V123 [0.53, 'HomDog']", "M45_V123 [0.52, 'HomDog']", "M46_V123 [0.5, 'HomDog']", "M47_V123 [0.51, 'HomDog']", "M48_V123 [0.27, 'VisFave']", "M49_V123 [0.54, 'HomDog']", "M50_V123 [0.5, 'HomDog']", "M51_V123 [0.51, 'HomDog']", "M52_V123 [0.52, 'HomDog']", "M53_V123 [0.52, 'HomDog']", "M54_V123 [0.51, 'HomDog']", "M55_V123 [0.5, 'HomDog']", "M56_V123 [0.27, 'VisFave']"]</t>
  </si>
  <si>
    <t>["M1_V119 [0.57, 'HomFave']", "M2_V119 [0.52, 'HomFave']", "M3_V119 [0.56, 'HomFave']", "M4_V119 [0.57, 'HomFave']", "M5_V119 [0.57, 'HomFave']", "M6_V119 [0.54, 'HomFave']", "M7_V119 [0.56, 'HomFave']", "M8_V119 [0.55, 'HomFave']", "M9_V119 [0.55, 'HomFave']", "M10_V119 [0.43, 'VisDog']", "M11_V119 [0.35, 'VisDog']", "M12_V119 [0.55, 'HomFave']", "M13_V119 [0.54, 'HomFave']", "M14_V119 [0.59, 'HomFave']", "M15_V119 [0.49, 'VisDog']"]</t>
  </si>
  <si>
    <t>["M16_V123 [0.48, 'VisDog']", "M17_V123 [0.52, 'HomFave']", "M18_V123 [0.51, 'HomFave']", "M19_V123 [0.54, 'HomFave']", "M20_V123 [0.51, 'HomFave']", "M21_V123 [0.53, 'HomFave']", "M22_V123 [0.52, 'HomFave']", "M23_V123 [0.48, 'VisDog']", "M24_V123 [0.5, 'HomFave']", "M25_V123 [0.54, 'HomFave']", "M26_V123 [0.51, 'HomFave']", "M27_V123 [0.49, 'VisDog']", "M28_V123 [0.5, 'HomFave']", "M29_V123 [0.52, 'HomFave']", "M30_V123 [0.53, 'HomFave']", "M31_V123 [0.6, 'HomFave']", "M32_V123 [0.52, 'HomFave']", "M33_V123 [0.56, 'HomFave']", "M34_V123 [0.54, 'HomFave']", "M35_V123 [0.55, 'HomFave']", "M36_V123 [0.5, 'HomFave']", "M37_V123 [0.5, 'HomFave']", "M38_V123 [0.51, 'HomFave']", "M39_V123 [0.48, 'VisDog']", "M40_V123 [0.49, 'VisDog']", "M41_V123 [0.5, 'HomFave']", "M42_V123 [0.53, 'HomFave']", "M43_V123 [0.51, 'HomFave']", "M44_V123 [0.49, 'VisDog']", "M45_V123 [0.52, 'HomFave']", "M46_V123 [0.51, 'HomFave']", "M47_V123 [0.54, 'HomFave']", "M48_V123 [0.45, 'VisDog']", "M49_V123 [0.51, 'HomFave']", "M50_V123 [0.5, 'HomFave']", "M51_V123 [0.53, 'HomFave']", "M52_V123 [0.53, 'HomFave']", "M53_V123 [0.52, 'HomFave']", "M54_V123 [0.53, 'HomFave']", "M55_V123 [0.52, 'HomFave']", "M56_V123 [0.48, 'VisDog']"]</t>
  </si>
  <si>
    <t>["M1_V119 [0.48, 'VisDog']", "M2_V119 [0.46, 'VisDog']", "M3_V119 [0.52, 'HomFave']", "M4_V119 [0.33, 'VisDog']", "M5_V119 [0.33, 'VisDog']", "M6_V119 [0.53, 'HomFave']", "M7_V119 [0.5, 'HomFave']", "M8_V119 [0.36, 'VisDog']", "M9_V119 [0.65, 'HomFave']", "M10_V119 [0.43, 'VisDog']", "M11_V119 [0.74, 'HomFave']", "M12_V119 [0.5, 'HomFave']", "M13_V119 [0.39, 'VisDog']", "M14_V119 [0.46, 'VisDog']", "M15_V119 [0.38, 'VisDog']"]</t>
  </si>
  <si>
    <t>["M16_V123 [0.52, 'HomFave']", "M17_V123 [0.51, 'HomFave']", "M18_V123 [0.49, 'VisDog']", "M19_V123 [0.53, 'HomFave']", "M20_V123 [0.53, 'HomFave']", "M21_V123 [0.51, 'HomFave']", "M22_V123 [0.52, 'HomFave']", "M23_V123 [0.53, 'HomFave']", "M24_V123 [0.51, 'HomFave']", "M25_V123 [0.51, 'HomFave']", "M26_V123 [0.51, 'HomFave']", "M27_V123 [0.53, 'HomFave']", "M28_V123 [0.55, 'HomFave']", "M29_V123 [0.56, 'HomFave']", "M30_V123 [0.52, 'HomFave']", "M31_V123 [0.53, 'HomFave']", "M32_V123 [0.51, 'HomFave']", "M33_V123 [0.53, 'HomFave']", "M34_V123 [0.53, 'HomFave']", "M35_V123 [0.49, 'VisDog']", "M36_V123 [0.46, 'VisDog']", "M37_V123 [0.53, 'HomFave']", "M38_V123 [0.5, 'HomFave']", "M39_V123 [0.53, 'HomFave']", "M40_V123 [0.54, 'HomFave']", "M41_V123 [0.52, 'HomFave']", "M42_V123 [0.51, 'HomFave']", "M43_V123 [0.5, 'HomFave']", "M44_V123 [0.52, 'HomFave']", "M45_V123 [0.51, 'HomFave']", "M46_V123 [0.54, 'HomFave']", "M47_V123 [0.52, 'HomFave']", "M48_V123 [0.49, 'VisDog']", "M49_V123 [0.51, 'HomFave']", "M50_V123 [0.51, 'HomFave']", "M51_V123 [0.53, 'HomFave']", "M52_V123 [0.53, 'HomFave']", "M53_V123 [0.48, 'VisDog']", "M54_V123 [0.5, 'HomFave']", "M55_V123 [0.5, 'HomFave']", "M56_V123 [0.6, 'HomFave']"]</t>
  </si>
  <si>
    <t>["M1_V119 [0.53, 'HomFave']", "M2_V119 [0.54, 'HomFave']", "M3_V119 [0.55, 'HomFave']", "M4_V119 [0.53, 'HomFave']", "M5_V119 [0.53, 'HomFave']", "M6_V119 [0.52, 'HomFave']", "M7_V119 [0.54, 'HomFave']", "M8_V119 [0.53, 'HomFave']", "M9_V119 [0.48, 'VisDog']", "M10_V119 [0.5, 'HomFave']", "M11_V119 [0.39, 'VisDog']", "M12_V119 [0.58, 'HomFave']", "M13_V119 [0.51, 'HomFave']", "M14_V119 [0.56, 'HomFave']", "M15_V119 [0.43, 'VisDog']"]</t>
  </si>
  <si>
    <t>["M16_V123 [0.55, 'HomFave']", "M17_V123 [0.55, 'HomFave']", "M18_V123 [0.57, 'HomFave']", "M19_V123 [0.57, 'HomFave']", "M20_V123 [0.56, 'HomFave']", "M21_V123 [0.55, 'HomFave']", "M22_V123 [0.52, 'HomFave']", "M23_V123 [0.54, 'HomFave']", "M24_V123 [0.56, 'HomFave']", "M25_V123 [0.57, 'HomFave']", "M26_V123 [0.54, 'HomFave']", "M27_V123 [0.53, 'HomFave']", "M28_V123 [0.54, 'HomFave']", "M29_V123 [0.52, 'HomFave']", "M30_V123 [0.51, 'HomFave']", "M31_V123 [0.81, 'HomFave']", "M32_V123 [0.55, 'HomFave']", "M33_V123 [0.59, 'HomFave']", "M34_V123 [0.55, 'HomFave']", "M35_V123 [0.56, 'HomFave']", "M36_V123 [0.55, 'HomFave']", "M37_V123 [0.53, 'HomFave']", "M38_V123 [0.54, 'HomFave']", "M39_V123 [0.54, 'HomFave']", "M40_V123 [0.53, 'HomFave']", "M41_V123 [0.51, 'HomFave']", "M42_V123 [0.49, 'VisDog']", "M43_V123 [0.53, 'HomFave']", "M44_V123 [0.54, 'HomFave']", "M45_V123 [0.52, 'HomFave']", "M46_V123 [0.51, 'HomFave']", "M47_V123 [0.54, 'HomFave']", "M48_V123 [0.65, 'HomFave']", "M49_V123 [0.56, 'HomFave']", "M50_V123 [0.52, 'HomFave']", "M51_V123 [0.55, 'HomFave']", "M52_V123 [0.53, 'HomFave']", "M53_V123 [0.57, 'HomFave']", "M54_V123 [0.53, 'HomFave']", "M55_V123 [0.54, 'HomFave']", "M56_V123 [0.62, 'HomFave']"]</t>
  </si>
  <si>
    <t>["M1_V119 [0.58, 'HomFave']", "M2_V119 [0.53, 'HomFave']", "M3_V119 [0.53, 'HomFave']", "M4_V119 [0.55, 'HomFave']", "M5_V119 [0.55, 'HomFave']", "M6_V119 [0.54, 'HomFave']", "M7_V119 [0.52, 'HomFave']", "M8_V119 [0.52, 'HomFave']", "M9_V119 [0.45, 'VisDog']", "M10_V119 [0.44, 'VisDog']", "M11_V119 [0.53, 'HomFave']", "M12_V119 [0.63, 'HomFave']", "M13_V119 [0.55, 'HomFave']", "M14_V119 [0.55, 'HomFave']", "M15_V119 [0.53, 'HomFave']"]</t>
  </si>
  <si>
    <t>["M16_V123 [0.49, 'VisDog']", "M17_V123 [0.53, 'HomFave']", "M18_V123 [0.53, 'HomFave']", "M19_V123 [0.52, 'HomFave']", "M20_V123 [0.55, 'HomFave']", "M21_V123 [0.54, 'HomFave']", "M22_V123 [0.54, 'HomFave']", "M23_V123 [0.52, 'HomFave']", "M24_V123 [0.51, 'HomFave']", "M25_V123 [0.51, 'HomFave']", "M26_V123 [0.53, 'HomFave']", "M27_V123 [0.54, 'HomFave']", "M28_V123 [0.44, 'VisDog']", "M29_V123 [0.55, 'HomFave']", "M30_V123 [0.51, 'HomFave']", "M31_V123 [0.61, 'HomFave']", "M32_V123 [0.51, 'HomFave']", "M33_V123 [0.54, 'HomFave']", "M34_V123 [0.51, 'HomFave']", "M35_V123 [0.51, 'HomFave']", "M36_V123 [0.49, 'VisDog']", "M37_V123 [0.53, 'HomFave']", "M38_V123 [0.54, 'HomFave']", "M39_V123 [0.49, 'VisDog']", "M40_V123 [0.53, 'HomFave']", "M41_V123 [0.52, 'HomFave']", "M42_V123 [0.51, 'HomFave']", "M43_V123 [0.5, 'HomFave']", "M44_V123 [0.52, 'HomFave']", "M45_V123 [0.54, 'HomFave']", "M46_V123 [0.51, 'HomFave']", "M47_V123 [0.54, 'HomFave']", "M48_V123 [0.55, 'HomFave']", "M49_V123 [0.5, 'HomFave']", "M50_V123 [0.54, 'HomFave']", "M51_V123 [0.49, 'VisDog']", "M52_V123 [0.52, 'HomFave']", "M53_V123 [0.49, 'VisDog']", "M54_V123 [0.53, 'HomFave']", "M55_V123 [0.53, 'HomFave']", "M56_V123 [0.53, 'HomFave']"]</t>
  </si>
  <si>
    <t>["M1_V119 [0.48, 'VisFave']", "M2_V119 [0.5, 'HomDog']", "M3_V119 [0.48, 'VisFave']", "M4_V119 [0.49, 'VisFave']", "M5_V119 [0.49, 'VisFave']", "M6_V119 [0.48, 'VisFave']", "M7_V119 [0.49, 'VisFave']", "M8_V119 [0.48, 'VisFave']", "M9_V119 [0.62, 'HomDog']", "M10_V119 [0.58, 'HomDog']", "M11_V119 [0.4, 'VisFave']", "M12_V119 [0.53, 'HomDog']", "M13_V119 [0.47, 'VisFave']", "M14_V119 [0.51, 'HomDog']", "M15_V119 [0.44, 'VisFave']"]</t>
  </si>
  <si>
    <t>["M16_V123 [0.5, 'HomDog']", "M17_V123 [0.49, 'VisFave']", "M18_V123 [0.5, 'HomDog']", "M19_V123 [0.51, 'HomDog']", "M20_V123 [0.52, 'HomDog']", "M21_V123 [0.53, 'HomDog']", "M22_V123 [0.51, 'HomDog']", "M23_V123 [0.48, 'VisFave']", "M24_V123 [0.5, 'HomDog']", "M25_V123 [0.49, 'VisFave']", "M26_V123 [0.5, 'HomDog']", "M27_V123 [0.5, 'HomDog']", "M28_V123 [0.55, 'HomDog']", "M29_V123 [0.51, 'HomDog']", "M30_V123 [0.52, 'HomDog']", "M31_V123 [0.48, 'VisFave']", "M32_V123 [0.48, 'VisFave']", "M33_V123 [0.52, 'HomDog']", "M34_V123 [0.51, 'HomDog']", "M35_V123 [0.53, 'HomDog']", "M36_V123 [0.51, 'HomDog']", "M37_V123 [0.5, 'HomDog']", "M38_V123 [0.54, 'HomDog']", "M39_V123 [0.48, 'VisFave']", "M40_V123 [0.45, 'VisFave']", "M41_V123 [0.49, 'VisFave']", "M42_V123 [0.53, 'HomDog']", "M43_V123 [0.47, 'VisFave']", "M44_V123 [0.48, 'VisFave']", "M45_V123 [0.49, 'VisFave']", "M46_V123 [0.51, 'HomDog']", "M47_V123 [0.51, 'HomDog']", "M48_V123 [0.55, 'HomDog']", "M49_V123 [0.51, 'HomDog']", "M50_V123 [0.48, 'VisFave']", "M51_V123 [0.51, 'HomDog']", "M52_V123 [0.51, 'HomDog']", "M53_V123 [0.51, 'HomDog']", "M54_V123 [0.51, 'HomDog']", "M55_V123 [0.49, 'VisFave']", "M56_V123 [0.63, 'HomDog']"]</t>
  </si>
  <si>
    <t>["M1_V119 [0.56, 'HomFave']", "M2_V119 [0.56, 'HomFave']", "M3_V119 [0.57, 'HomFave']", "M4_V119 [0.54, 'HomFave']", "M5_V119 [0.54, 'HomFave']", "M6_V119 [0.56, 'HomFave']", "M7_V119 [0.57, 'HomFave']", "M8_V119 [0.55, 'HomFave']", "M9_V119 [0.61, 'HomFave']", "M10_V119 [0.57, 'HomFave']", "M11_V119 [0.67, 'HomFave']", "M12_V119 [0.65, 'HomFave']", "M13_V119 [0.55, 'HomFave']", "M14_V119 [0.59, 'HomFave']", "M15_V119 [0.63, 'HomFave']"]</t>
  </si>
  <si>
    <t>["M16_V123 [0.53, 'HomFave']", "M17_V123 [0.5, 'HomFave']", "M18_V123 [0.53, 'HomFave']", "M19_V123 [0.53, 'HomFave']", "M20_V123 [0.54, 'HomFave']", "M21_V123 [0.51, 'HomFave']", "M22_V123 [0.51, 'HomFave']", "M23_V123 [0.52, 'HomFave']", "M24_V123 [0.53, 'HomFave']", "M25_V123 [0.52, 'HomFave']", "M26_V123 [0.51, 'HomFave']", "M27_V123 [0.54, 'HomFave']", "M28_V123 [0.54, 'HomFave']", "M29_V123 [0.55, 'HomFave']", "M30_V123 [0.52, 'HomFave']", "M31_V123 [0.77, 'HomFave']", "M32_V123 [0.54, 'HomFave']", "M33_V123 [0.56, 'HomFave']", "M34_V123 [0.52, 'HomFave']", "M35_V123 [0.44, 'VisDog']", "M36_V123 [0.51, 'HomFave']", "M37_V123 [0.54, 'HomFave']", "M38_V123 [0.54, 'HomFave']", "M39_V123 [0.48, 'VisDog']", "M40_V123 [0.53, 'HomFave']", "M41_V123 [0.52, 'HomFave']", "M42_V123 [0.48, 'VisDog']", "M43_V123 [0.53, 'HomFave']", "M44_V123 [0.48, 'VisDog']", "M45_V123 [0.52, 'HomFave']", "M46_V123 [0.54, 'HomFave']", "M47_V123 [0.52, 'HomFave']", "M48_V123 [0.31, 'VisDog']", "M49_V123 [0.52, 'HomFave']", "M50_V123 [0.5, 'HomFave']", "M51_V123 [0.56, 'HomFave']", "M52_V123 [0.52, 'HomFave']", "M53_V123 [0.51, 'HomFave']", "M54_V123 [0.54, 'HomFave']", "M55_V123 [0.52, 'HomFave']", "M56_V123 [0.34, 'VisDog']"]</t>
  </si>
  <si>
    <t>["M16_V123 [0.51, 'HomFave']", "M17_V123 [0.5, 'HomFave']", "M18_V123 [0.51, 'HomFave']", "M19_V123 [0.51, 'HomFave']", "M20_V123 [0.55, 'HomFave']", "M21_V123 [0.52, 'HomFave']", "M22_V123 [0.51, 'HomFave']", "M23_V123 [0.49, 'VisDog']", "M24_V123 [0.51, 'HomFave']", "M25_V123 [0.53, 'HomFave']", "M26_V123 [0.51, 'HomFave']", "M27_V123 [0.51, 'HomFave']", "M28_V123 [0.56, 'HomFave']", "M29_V123 [0.51, 'HomFave']", "M30_V123 [0.51, 'HomFave']", "M31_V123 [0.61, 'HomFave']", "M32_V123 [0.53, 'HomFave']", "M33_V123 [0.54, 'HomFave']", "M34_V123 [0.56, 'HomFave']", "M35_V123 [0.5, 'HomFave']", "M36_V123 [0.48, 'VisDog']", "M37_V123 [0.5, 'HomFave']", "M38_V123 [0.51, 'HomFave']", "M39_V123 [0.47, 'VisDog']", "M40_V123 [0.51, 'HomFave']", "M41_V123 [0.51, 'HomFave']", "M42_V123 [0.54, 'HomFave']", "M43_V123 [0.49, 'VisDog']", "M44_V123 [0.5, 'HomFave']", "M45_V123 [0.53, 'HomFave']", "M46_V123 [0.52, 'HomFave']", "M47_V123 [0.53, 'HomFave']", "M48_V123 [0.46, 'VisDog']", "M49_V123 [0.52, 'HomFave']", "M50_V123 [0.48, 'VisDog']", "M51_V123 [0.51, 'HomFave']", "M52_V123 [0.53, 'HomFave']", "M53_V123 [0.49, 'VisDog']", "M54_V123 [0.51, 'HomFave']", "M55_V123 [0.52, 'HomFave']", "M56_V123 [0.45, 'VisDog']"]</t>
  </si>
  <si>
    <t>["M1_V119 [0.55, 'HomFave']", "M2_V119 [0.55, 'HomFave']", "M3_V119 [0.56, 'HomFave']", "M4_V119 [0.54, 'HomFave']", "M5_V119 [0.54, 'HomFave']", "M6_V119 [0.53, 'HomFave']", "M7_V119 [0.55, 'HomFave']", "M8_V119 [0.56, 'HomFave']", "M9_V119 [0.54, 'HomFave']", "M10_V119 [0.64, 'HomFave']", "M11_V119 [0.83, 'HomFave']", "M12_V119 [0.59, 'HomFave']", "M13_V119 [0.52, 'HomFave']", "M14_V119 [0.59, 'HomFave']", "M15_V119 [0.57, 'HomFave']"]</t>
  </si>
  <si>
    <t>["M16_V123 [0.52, 'HomFave']", "M17_V123 [0.53, 'HomFave']", "M18_V123 [0.55, 'HomFave']", "M19_V123 [0.53, 'HomFave']", "M20_V123 [0.53, 'HomFave']", "M21_V123 [0.55, 'HomFave']", "M22_V123 [0.51, 'HomFave']", "M23_V123 [0.54, 'HomFave']", "M24_V123 [0.53, 'HomFave']", "M25_V123 [0.56, 'HomFave']", "M26_V123 [0.51, 'HomFave']", "M27_V123 [0.54, 'HomFave']", "M28_V123 [0.54, 'HomFave']", "M29_V123 [0.51, 'HomFave']", "M30_V123 [0.52, 'HomFave']", "M31_V123 [0.78, 'HomFave']", "M32_V123 [0.53, 'HomFave']", "M33_V123 [0.56, 'HomFave']", "M34_V123 [0.55, 'HomFave']", "M35_V123 [0.58, 'HomFave']", "M36_V123 [0.49, 'VisDog']", "M37_V123 [0.53, 'HomFave']", "M38_V123 [0.52, 'HomFave']", "M39_V123 [0.51, 'HomFave']", "M40_V123 [0.5, 'HomFave']", "M41_V123 [0.52, 'HomFave']", "M42_V123 [0.56, 'HomFave']", "M43_V123 [0.53, 'HomFave']", "M44_V123 [0.51, 'HomFave']", "M45_V123 [0.52, 'HomFave']", "M46_V123 [0.52, 'HomFave']", "M47_V123 [0.54, 'HomFave']", "M48_V123 [0.64, 'HomFave']", "M49_V123 [0.52, 'HomFave']", "M50_V123 [0.55, 'HomFave']", "M51_V123 [0.54, 'HomFave']", "M52_V123 [0.53, 'HomFave']", "M53_V123 [0.52, 'HomFave']", "M54_V123 [0.52, 'HomFave']", "M55_V123 [0.55, 'HomFave']", "M56_V123 [0.55, 'HomFave']"]</t>
  </si>
  <si>
    <t>["M1_V119 [0.54, 'HomFave']", "M2_V119 [0.52, 'HomFave']", "M3_V119 [0.53, 'HomFave']", "M4_V119 [0.56, 'HomFave']", "M5_V119 [0.56, 'HomFave']", "M6_V119 [0.55, 'HomFave']", "M7_V119 [0.54, 'HomFave']", "M8_V119 [0.53, 'HomFave']", "M9_V119 [0.61, 'HomFave']", "M10_V119 [0.57, 'HomFave']", "M11_V119 [0.5, 'HomFave']", "M12_V119 [0.54, 'HomFave']", "M13_V119 [0.52, 'HomFave']", "M14_V119 [0.58, 'HomFave']", "M15_V119 [0.58, 'HomFave']"]</t>
  </si>
  <si>
    <t>["M1_V119 [0.52, 'HomFave']", "M2_V119 [0.53, 'HomFave']", "M3_V119 [0.51, 'HomFave']", "M4_V119 [0.48, 'VisDog']", "M5_V119 [0.48, 'VisDog']", "M6_V119 [0.51, 'HomFave']", "M7_V119 [0.52, 'HomFave']", "M8_V119 [0.52, 'HomFave']", "M9_V119 [0.64, 'HomFave']", "M10_V119 [0.67, 'HomFave']", "M11_V119 [0.61, 'HomFave']", "M12_V119 [0.59, 'HomFave']", "M13_V119 [0.49, 'VisDog']", "M14_V119 [0.5, 'HomFave']", "M15_V119 [0.49, 'VisDog']"]</t>
  </si>
  <si>
    <t>["M16_V123 [0.57, 'HomFave']", "M17_V123 [0.58, 'HomFave']", "M18_V123 [0.54, 'HomFave']", "M19_V123 [0.55, 'HomFave']", "M20_V123 [0.56, 'HomFave']", "M21_V123 [0.55, 'HomFave']", "M22_V123 [0.53, 'HomFave']", "M23_V123 [0.55, 'HomFave']", "M24_V123 [0.55, 'HomFave']", "M25_V123 [0.56, 'HomFave']", "M26_V123 [0.54, 'HomFave']", "M27_V123 [0.54, 'HomFave']", "M28_V123 [0.58, 'HomFave']", "M29_V123 [0.54, 'HomFave']", "M30_V123 [0.55, 'HomFave']", "M31_V123 [0.72, 'HomFave']", "M32_V123 [0.53, 'HomFave']", "M33_V123 [0.56, 'HomFave']", "M34_V123 [0.57, 'HomFave']", "M35_V123 [0.56, 'HomFave']", "M36_V123 [0.52, 'HomFave']", "M37_V123 [0.57, 'HomFave']", "M38_V123 [0.55, 'HomFave']", "M39_V123 [0.58, 'HomFave']", "M40_V123 [0.54, 'HomFave']", "M41_V123 [0.53, 'HomFave']", "M42_V123 [0.55, 'HomFave']", "M43_V123 [0.54, 'HomFave']", "M44_V123 [0.58, 'HomFave']", "M45_V123 [0.56, 'HomFave']", "M46_V123 [0.53, 'HomFave']", "M47_V123 [0.55, 'HomFave']", "M48_V123 [0.85, 'HomFave']", "M49_V123 [0.52, 'HomFave']", "M50_V123 [0.54, 'HomFave']", "M51_V123 [0.56, 'HomFave']", "M52_V123 [0.55, 'HomFave']", "M53_V123 [0.56, 'HomFave']", "M54_V123 [0.55, 'HomFave']", "M55_V123 [0.55, 'HomFave']", "M56_V123 [0.62, 'HomFave']"]</t>
  </si>
  <si>
    <t>["M1_V119 [0.55, 'HomFave']", "M2_V119 [0.55, 'HomFave']", "M3_V119 [0.56, 'HomFave']", "M4_V119 [0.57, 'HomFave']", "M5_V119 [0.57, 'HomFave']", "M6_V119 [0.55, 'HomFave']", "M7_V119 [0.58, 'HomFave']", "M8_V119 [0.54, 'HomFave']", "M9_V119 [0.71, 'HomFave']", "M10_V119 [0.65, 'HomFave']", "M11_V119 [0.7, 'HomFave']", "M12_V119 [0.6, 'HomFave']", "M13_V119 [0.55, 'HomFave']", "M14_V119 [0.59, 'HomFave']", "M15_V119 [0.55, 'HomFave']"]</t>
  </si>
  <si>
    <t>["M16_V123 [0.49, 'VisDog']", "M17_V123 [0.49, 'VisDog']", "M18_V123 [0.49, 'VisDog']", "M19_V123 [0.5, 'HomFave']", "M20_V123 [0.51, 'HomFave']", "M21_V123 [0.52, 'HomFave']", "M22_V123 [0.51, 'HomFave']", "M23_V123 [0.51, 'HomFave']", "M24_V123 [0.51, 'HomFave']", "M25_V123 [0.51, 'HomFave']", "M26_V123 [0.49, 'VisDog']", "M27_V123 [0.52, 'HomFave']", "M28_V123 [0.55, 'HomFave']", "M29_V123 [0.52, 'HomFave']", "M30_V123 [0.52, 'HomFave']", "M31_V123 [0.53, 'HomFave']", "M32_V123 [0.51, 'HomFave']", "M33_V123 [0.53, 'HomFave']", "M34_V123 [0.51, 'HomFave']", "M35_V123 [0.51, 'HomFave']", "M36_V123 [0.47, 'VisDog']", "M37_V123 [0.53, 'HomFave']", "M38_V123 [0.51, 'HomFave']", "M39_V123 [0.5, 'HomFave']", "M40_V123 [0.53, 'HomFave']", "M41_V123 [0.51, 'HomFave']", "M42_V123 [0.51, 'HomFave']", "M43_V123 [0.49, 'VisDog']", "M44_V123 [0.47, 'VisDog']", "M45_V123 [0.51, 'HomFave']", "M46_V123 [0.52, 'HomFave']", "M47_V123 [0.51, 'HomFave']", "M48_V123 [0.51, 'HomFave']", "M49_V123 [0.5, 'HomFave']", "M50_V123 [0.49, 'VisDog']", "M51_V123 [0.51, 'HomFave']", "M52_V123 [0.5, 'HomFave']", "M53_V123 [0.48, 'VisDog']", "M54_V123 [0.5, 'HomFave']", "M55_V123 [0.51, 'HomFave']", "M56_V123 [0.45, 'VisDog']"]</t>
  </si>
  <si>
    <t>["M1_V119 [0.56, 'HomFave']", "M2_V119 [0.53, 'HomFave']", "M3_V119 [0.57, 'HomFave']", "M4_V119 [0.55, 'HomFave']", "M5_V119 [0.55, 'HomFave']", "M6_V119 [0.55, 'HomFave']", "M7_V119 [0.56, 'HomFave']", "M8_V119 [0.53, 'HomFave']", "M9_V119 [0.55, 'HomFave']", "M10_V119 [0.51, 'HomFave']", "M11_V119 [0.54, 'HomFave']", "M12_V119 [0.55, 'HomFave']", "M13_V119 [0.55, 'HomFave']", "M14_V119 [0.59, 'HomFave']", "M15_V119 [0.55, 'HomFave']"]</t>
  </si>
  <si>
    <t>["M16_V123 [0.57, 'HomFave']", "M17_V123 [0.55, 'HomFave']", "M18_V123 [0.56, 'HomFave']", "M19_V123 [0.54, 'HomFave']", "M20_V123 [0.56, 'HomFave']", "M21_V123 [0.53, 'HomFave']", "M22_V123 [0.54, 'HomFave']", "M23_V123 [0.55, 'HomFave']", "M24_V123 [0.56, 'HomFave']", "M25_V123 [0.55, 'HomFave']", "M26_V123 [0.53, 'HomFave']", "M27_V123 [0.55, 'HomFave']", "M28_V123 [0.62, 'HomFave']", "M29_V123 [0.52, 'HomFave']", "M30_V123 [0.55, 'HomFave']", "M31_V123 [0.51, 'HomFave']", "M32_V123 [0.55, 'HomFave']", "M33_V123 [0.56, 'HomFave']", "M34_V123 [0.55, 'HomFave']", "M35_V123 [0.55, 'HomFave']", "M36_V123 [0.53, 'HomFave']", "M37_V123 [0.56, 'HomFave']", "M38_V123 [0.58, 'HomFave']", "M39_V123 [0.55, 'HomFave']", "M40_V123 [0.55, 'HomFave']", "M41_V123 [0.53, 'HomFave']", "M42_V123 [0.49, 'VisDog']", "M43_V123 [0.56, 'HomFave']", "M44_V123 [0.54, 'HomFave']", "M45_V123 [0.55, 'HomFave']", "M46_V123 [0.54, 'HomFave']", "M47_V123 [0.55, 'HomFave']", "M48_V123 [0.58, 'HomFave']", "M49_V123 [0.54, 'HomFave']", "M50_V123 [0.54, 'HomFave']", "M51_V123 [0.54, 'HomFave']", "M52_V123 [0.53, 'HomFave']", "M53_V123 [0.52, 'HomFave']", "M54_V123 [0.58, 'HomFave']", "M55_V123 [0.52, 'HomFave']", "M56_V123 [0.49, 'VisDog']"]</t>
  </si>
  <si>
    <t>["M1_V119 [0.56, 'HomFave']", "M2_V119 [0.55, 'HomFave']", "M3_V119 [0.54, 'HomFave']", "M4_V119 [0.56, 'HomFave']", "M5_V119 [0.56, 'HomFave']", "M6_V119 [0.56, 'HomFave']", "M7_V119 [0.55, 'HomFave']", "M8_V119 [0.53, 'HomFave']", "M9_V119 [0.6, 'HomFave']", "M10_V119 [0.68, 'HomFave']", "M11_V119 [0.62, 'HomFave']", "M12_V119 [0.66, 'HomFave']", "M13_V119 [0.55, 'HomFave']", "M14_V119 [0.56, 'HomFave']", "M15_V119 [0.53, 'HomFave']"]</t>
  </si>
  <si>
    <t>["M1_V119 [0.52, 'HomFave']", "M2_V119 [0.51, 'HomFave']", "M3_V119 [0.51, 'HomFave']", "M4_V119 [0.48, 'VisDog']", "M5_V119 [0.48, 'VisDog']", "M6_V119 [0.49, 'VisDog']", "M7_V119 [0.51, 'HomFave']", "M8_V119 [0.47, 'VisDog']", "M9_V119 [0.29, 'VisDog']", "M10_V119 [0.36, 'VisDog']", "M11_V119 [0.2, 'VisDog']", "M12_V119 [0.38, 'VisDog']", "M13_V119 [0.48, 'VisDog']", "M14_V119 [0.53, 'HomFave']", "M15_V119 [0.42, 'VisDog']"]</t>
  </si>
  <si>
    <t>["M16_V123 [0.51, 'HomFave']", "M17_V123 [0.52, 'HomFave']", "M18_V123 [0.51, 'HomFave']", "M19_V123 [0.52, 'HomFave']", "M20_V123 [0.51, 'HomFave']", "M21_V123 [0.5, 'HomFave']", "M22_V123 [0.51, 'HomFave']", "M23_V123 [0.54, 'HomFave']", "M24_V123 [0.51, 'HomFave']", "M25_V123 [0.49, 'VisDog']", "M26_V123 [0.51, 'HomFave']", "M27_V123 [0.51, 'HomFave']", "M28_V123 [0.47, 'VisDog']", "M29_V123 [0.54, 'HomFave']", "M30_V123 [0.52, 'HomFave']", "M31_V123 [0.47, 'VisDog']", "M32_V123 [0.53, 'HomFave']", "M33_V123 [0.55, 'HomFave']", "M34_V123 [0.52, 'HomFave']", "M35_V123 [0.5, 'HomFave']", "M36_V123 [0.54, 'HomFave']", "M37_V123 [0.5, 'HomFave']", "M38_V123 [0.52, 'HomFave']", "M39_V123 [0.47, 'VisDog']", "M40_V123 [0.51, 'HomFave']", "M41_V123 [0.5, 'HomFave']", "M42_V123 [0.53, 'HomFave']", "M43_V123 [0.51, 'HomFave']", "M44_V123 [0.49, 'VisDog']", "M45_V123 [0.52, 'HomFave']", "M46_V123 [0.5, 'HomFave']", "M47_V123 [0.51, 'HomFave']", "M48_V123 [0.36, 'VisDog']", "M49_V123 [0.52, 'HomFave']", "M50_V123 [0.52, 'HomFave']", "M51_V123 [0.53, 'HomFave']", "M52_V123 [0.53, 'HomFave']", "M53_V123 [0.49, 'VisDog']", "M54_V123 [0.53, 'HomFave']", "M55_V123 [0.53, 'HomFave']", "M56_V123 [0.36, 'VisDog']"]</t>
  </si>
  <si>
    <t>["M1_V119 [0.57, 'HomFave']", "M2_V119 [0.58, 'HomFave']", "M3_V119 [0.56, 'HomFave']", "M4_V119 [0.55, 'HomFave']", "M5_V119 [0.55, 'HomFave']", "M6_V119 [0.55, 'HomFave']", "M7_V119 [0.58, 'HomFave']", "M8_V119 [0.56, 'HomFave']", "M9_V119 [0.35, 'VisDog']", "M10_V119 [0.51, 'HomFave']", "M11_V119 [0.44, 'VisDog']", "M12_V119 [0.55, 'HomFave']", "M13_V119 [0.54, 'HomFave']", "M14_V119 [0.59, 'HomFave']", "M15_V119 [0.52, 'HomFave']"]</t>
  </si>
  <si>
    <t>["M1_V119 [0.49, 'VisFave']", "M2_V119 [0.5, 'HomDog']", "M3_V119 [0.49, 'VisFave']", "M4_V119 [0.44, 'VisFave']", "M5_V119 [0.44, 'VisFave']", "M6_V119 [0.44, 'VisFave']", "M7_V119 [0.47, 'VisFave']", "M8_V119 [0.44, 'VisFave']", "M9_V119 [0.38, 'VisFave']", "M10_V119 [0.42, 'VisFave']", "M11_V119 [0.42, 'VisFave']", "M12_V119 [0.47, 'VisFave']", "M13_V119 [0.47, 'VisFave']", "M14_V119 [0.54, 'HomDog']", "M15_V119 [0.36, 'VisFave']"]</t>
  </si>
  <si>
    <t>["M16_V123 [0.55, 'HomDog']", "M17_V123 [0.52, 'HomDog']", "M18_V123 [0.53, 'HomDog']", "M19_V123 [0.51, 'HomDog']", "M20_V123 [0.53, 'HomDog']", "M21_V123 [0.52, 'HomDog']", "M22_V123 [0.5, 'HomDog']", "M23_V123 [0.53, 'HomDog']", "M24_V123 [0.53, 'HomDog']", "M25_V123 [0.5, 'HomDog']", "M26_V123 [0.51, 'HomDog']", "M27_V123 [0.55, 'HomDog']", "M28_V123 [0.5, 'HomDog']", "M29_V123 [0.51, 'HomDog']", "M30_V123 [0.5, 'HomDog']", "M31_V123 [0.64, 'HomDog']", "M32_V123 [0.51, 'HomDog']", "M33_V123 [0.52, 'HomDog']", "M34_V123 [0.52, 'HomDog']", "M35_V123 [0.53, 'HomDog']", "M36_V123 [0.52, 'HomDog']", "M37_V123 [0.51, 'HomDog']", "M38_V123 [0.52, 'HomDog']", "M39_V123 [0.53, 'HomDog']", "M40_V123 [0.51, 'HomDog']", "M41_V123 [0.49, 'VisFave']", "M42_V123 [0.49, 'VisFave']", "M43_V123 [0.51, 'HomDog']", "M44_V123 [0.47, 'VisFave']", "M45_V123 [0.5, 'HomDog']", "M46_V123 [0.5, 'HomDog']", "M47_V123 [0.51, 'HomDog']", "M48_V123 [0.6, 'HomDog']", "M49_V123 [0.55, 'HomDog']", "M50_V123 [0.52, 'HomDog']", "M51_V123 [0.52, 'HomDog']", "M52_V123 [0.52, 'HomDog']", "M53_V123 [0.51, 'HomDog']", "M54_V123 [0.52, 'HomDog']", "M55_V123 [0.48, 'VisFave']", "M56_V123 [0.58, 'HomDog']"]</t>
  </si>
  <si>
    <t>["M1_V119 [0.5, 'HomFave']", "M2_V119 [0.5, 'HomFave']", "M3_V119 [0.52, 'HomFave']", "M4_V119 [0.51, 'HomFave']", "M5_V119 [0.51, 'HomFave']", "M6_V119 [0.51, 'HomFave']", "M7_V119 [0.47, 'VisDog']", "M8_V119 [0.49, 'VisDog']", "M9_V119 [0.45, 'VisDog']", "M10_V119 [0.6, 'HomFave']", "M11_V119 [0.56, 'HomFave']", "M12_V119 [0.61, 'HomFave']", "M13_V119 [0.51, 'HomFave']", "M14_V119 [0.52, 'HomFave']", "M15_V119 [0.6, 'HomFave']"]</t>
  </si>
  <si>
    <t>["M16_V123 [0.54, 'HomFave']", "M17_V123 [0.57, 'HomFave']", "M18_V123 [0.54, 'HomFave']", "M19_V123 [0.53, 'HomFave']", "M20_V123 [0.56, 'HomFave']", "M21_V123 [0.53, 'HomFave']", "M22_V123 [0.53, 'HomFave']", "M23_V123 [0.55, 'HomFave']", "M24_V123 [0.52, 'HomFave']", "M25_V123 [0.53, 'HomFave']", "M26_V123 [0.54, 'HomFave']", "M27_V123 [0.55, 'HomFave']", "M28_V123 [0.56, 'HomFave']", "M29_V123 [0.53, 'HomFave']", "M30_V123 [0.51, 'HomFave']", "M31_V123 [0.67, 'HomFave']", "M32_V123 [0.53, 'HomFave']", "M33_V123 [0.54, 'HomFave']", "M34_V123 [0.54, 'HomFave']", "M35_V123 [0.49, 'VisDog']", "M36_V123 [0.51, 'HomFave']", "M37_V123 [0.54, 'HomFave']", "M38_V123 [0.54, 'HomFave']", "M39_V123 [0.55, 'HomFave']", "M40_V123 [0.54, 'HomFave']", "M41_V123 [0.52, 'HomFave']", "M42_V123 [0.52, 'HomFave']", "M43_V123 [0.53, 'HomFave']", "M44_V123 [0.52, 'HomFave']", "M45_V123 [0.54, 'HomFave']", "M46_V123 [0.53, 'HomFave']", "M47_V123 [0.54, 'HomFave']", "M48_V123 [0.7, 'HomFave']", "M49_V123 [0.54, 'HomFave']", "M50_V123 [0.54, 'HomFave']", "M51_V123 [0.53, 'HomFave']", "M52_V123 [0.55, 'HomFave']", "M53_V123 [0.53, 'HomFave']", "M54_V123 [0.54, 'HomFave']", "M55_V123 [0.54, 'HomFave']", "M56_V123 [0.5, 'HomFave']"]</t>
  </si>
  <si>
    <t>["M1_V119 [0.51, 'HomFave']", "M2_V119 [0.51, 'HomFave']", "M3_V119 [0.52, 'HomFave']", "M4_V119 [0.48, 'VisDog']", "M5_V119 [0.48, 'VisDog']", "M6_V119 [0.48, 'VisDog']", "M7_V119 [0.46, 'VisDog']", "M8_V119 [0.5, 'HomFave']", "M9_V119 [0.52, 'HomFave']", "M10_V119 [0.55, 'HomFave']", "M11_V119 [0.62, 'HomFave']", "M12_V119 [0.56, 'HomFave']", "M13_V119 [0.48, 'VisDog']", "M14_V119 [0.53, 'HomFave']", "M15_V119 [0.48, 'VisDog']"]</t>
  </si>
  <si>
    <t>["M16_V123 [0.51, 'HomFave']", "M17_V123 [0.51, 'HomFave']", "M18_V123 [0.53, 'HomFave']", "M19_V123 [0.53, 'HomFave']", "M20_V123 [0.52, 'HomFave']", "M21_V123 [0.53, 'HomFave']", "M22_V123 [0.51, 'HomFave']", "M23_V123 [0.51, 'HomFave']", "M24_V123 [0.49, 'VisDog']", "M25_V123 [0.51, 'HomFave']", "M26_V123 [0.52, 'HomFave']", "M27_V123 [0.53, 'HomFave']", "M28_V123 [0.49, 'VisDog']", "M29_V123 [0.51, 'HomFave']", "M30_V123 [0.51, 'HomFave']", "M31_V123 [0.61, 'HomFave']", "M32_V123 [0.52, 'HomFave']", "M33_V123 [0.54, 'HomFave']", "M34_V123 [0.53, 'HomFave']", "M35_V123 [0.49, 'VisDog']", "M36_V123 [0.5, 'HomFave']", "M37_V123 [0.53, 'HomFave']", "M38_V123 [0.5, 'HomFave']", "M39_V123 [0.5, 'HomFave']", "M40_V123 [0.52, 'HomFave']", "M41_V123 [0.5, 'HomFave']", "M42_V123 [0.51, 'HomFave']", "M43_V123 [0.5, 'HomFave']", "M44_V123 [0.49, 'VisDog']", "M45_V123 [0.53, 'HomFave']", "M46_V123 [0.5, 'HomFave']", "M47_V123 [0.51, 'HomFave']", "M48_V123 [0.61, 'HomFave']", "M49_V123 [0.51, 'HomFave']", "M50_V123 [0.48, 'VisDog']", "M51_V123 [0.54, 'HomFave']", "M52_V123 [0.52, 'HomFave']", "M53_V123 [0.5, 'HomFave']", "M54_V123 [0.5, 'HomFave']", "M55_V123 [0.5, 'HomFave']", "M56_V123 [0.41, 'VisDog']"]</t>
  </si>
  <si>
    <t>["M1_V119 [0.44, 'VisFave']", "M2_V119 [0.46, 'VisFave']", "M3_V119 [0.43, 'VisFave']", "M4_V119 [0.38, 'VisFave']", "M5_V119 [0.38, 'VisFave']", "M6_V119 [0.45, 'VisFave']", "M7_V119 [0.44, 'VisFave']", "M8_V119 [0.43, 'VisFave']", "M9_V119 [0.38, 'VisFave']", "M10_V119 [0.43, 'VisFave']", "M11_V119 [0.42, 'VisFave']", "M12_V119 [0.45, 'VisFave']", "M13_V119 [0.4, 'VisFave']", "M14_V119 [0.42, 'VisFave']", "M15_V119 [0.41, 'VisFave']"]</t>
  </si>
  <si>
    <t>["M16_V123 [0.46, 'VisFave']", "M17_V123 [0.45, 'VisFave']", "M18_V123 [0.48, 'VisFave']", "M19_V123 [0.45, 'VisFave']", "M20_V123 [0.47, 'VisFave']", "M21_V123 [0.47, 'VisFave']", "M22_V123 [0.45, 'VisFave']", "M23_V123 [0.46, 'VisFave']", "M24_V123 [0.48, 'VisFave']", "M25_V123 [0.42, 'VisFave']", "M26_V123 [0.45, 'VisFave']", "M27_V123 [0.44, 'VisFave']", "M28_V123 [0.4, 'VisFave']", "M29_V123 [0.43, 'VisFave']", "M30_V123 [0.45, 'VisFave']", "M31_V123 [0.59, 'HomDog']", "M32_V123 [0.45, 'VisFave']", "M33_V123 [0.46, 'VisFave']", "M34_V123 [0.47, 'VisFave']", "M35_V123 [0.46, 'VisFave']", "M36_V123 [0.41, 'VisFave']", "M37_V123 [0.43, 'VisFave']", "M38_V123 [0.44, 'VisFave']", "M39_V123 [0.45, 'VisFave']", "M40_V123 [0.42, 'VisFave']", "M41_V123 [0.44, 'VisFave']", "M42_V123 [0.5, 'HomDog']", "M43_V123 [0.44, 'VisFave']", "M44_V123 [0.44, 'VisFave']", "M45_V123 [0.47, 'VisFave']", "M46_V123 [0.43, 'VisFave']", "M47_V123 [0.45, 'VisFave']", "M48_V123 [0.6, 'HomDog']", "M49_V123 [0.46, 'VisFave']", "M50_V123 [0.45, 'VisFave']", "M51_V123 [0.49, 'VisFave']", "M52_V123 [0.48, 'VisFave']", "M53_V123 [0.43, 'VisFave']", "M54_V123 [0.47, 'VisFave']", "M55_V123 [0.45, 'VisFave']", "M56_V123 [0.42, 'VisFave']"]</t>
  </si>
  <si>
    <t>["M1_V119 [0.49, 'VisDog']", "M2_V119 [0.52, 'HomFave']", "M3_V119 [0.52, 'HomFave']", "M4_V119 [0.47, 'VisDog']", "M5_V119 [0.47, 'VisDog']", "M6_V119 [0.49, 'VisDog']", "M7_V119 [0.48, 'VisDog']", "M8_V119 [0.5, 'HomFave']", "M9_V119 [0.51, 'HomFave']", "M10_V119 [0.47, 'VisDog']", "M11_V119 [0.41, 'VisDog']", "M12_V119 [0.41, 'VisDog']", "M13_V119 [0.5, 'HomFave']", "M14_V119 [0.5, 'HomFave']", "M15_V119 [0.5, 'HomFave']"]</t>
  </si>
  <si>
    <t>["M16_V123 [0.58, 'HomFave']", "M17_V123 [0.57, 'HomFave']", "M18_V123 [0.54, 'HomFave']", "M19_V123 [0.56, 'HomFave']", "M20_V123 [0.58, 'HomFave']", "M21_V123 [0.57, 'HomFave']", "M22_V123 [0.55, 'HomFave']", "M23_V123 [0.56, 'HomFave']", "M24_V123 [0.56, 'HomFave']", "M25_V123 [0.55, 'HomFave']", "M26_V123 [0.55, 'HomFave']", "M27_V123 [0.55, 'HomFave']", "M28_V123 [0.56, 'HomFave']", "M29_V123 [0.6, 'HomFave']", "M30_V123 [0.58, 'HomFave']", "M31_V123 [0.64, 'HomFave']", "M32_V123 [0.54, 'HomFave']", "M33_V123 [0.57, 'HomFave']", "M34_V123 [0.56, 'HomFave']", "M35_V123 [0.56, 'HomFave']", "M36_V123 [0.53, 'HomFave']", "M37_V123 [0.57, 'HomFave']", "M38_V123 [0.57, 'HomFave']", "M39_V123 [0.57, 'HomFave']", "M40_V123 [0.57, 'HomFave']", "M41_V123 [0.55, 'HomFave']", "M42_V123 [0.53, 'HomFave']", "M43_V123 [0.55, 'HomFave']", "M44_V123 [0.58, 'HomFave']", "M45_V123 [0.57, 'HomFave']", "M46_V123 [0.54, 'HomFave']", "M47_V123 [0.57, 'HomFave']", "M48_V123 [0.4, 'VisDog']", "M49_V123 [0.51, 'HomFave']", "M50_V123 [0.54, 'HomFave']", "M51_V123 [0.58, 'HomFave']", "M52_V123 [0.55, 'HomFave']", "M53_V123 [0.54, 'HomFave']", "M54_V123 [0.56, 'HomFave']", "M55_V123 [0.55, 'HomFave']", "M56_V123 [0.65, 'HomFave']"]</t>
  </si>
  <si>
    <t>["M1_V119 [0.53, 'HomFave']", "M2_V119 [0.52, 'HomFave']", "M3_V119 [0.53, 'HomFave']", "M4_V119 [0.48, 'VisDog']", "M5_V119 [0.48, 'VisDog']", "M6_V119 [0.52, 'HomFave']", "M7_V119 [0.52, 'HomFave']", "M8_V119 [0.53, 'HomFave']", "M9_V119 [0.55, 'HomFave']", "M10_V119 [0.57, 'HomFave']", "M11_V119 [0.79, 'HomFave']", "M12_V119 [0.63, 'HomFave']", "M13_V119 [0.49, 'VisDog']", "M14_V119 [0.5, 'HomFave']", "M15_V119 [0.52, 'HomFave']"]</t>
  </si>
  <si>
    <t>["M16_V123 [0.5, 'HomFave']", "M17_V123 [0.52, 'HomFave']", "M18_V123 [0.54, 'HomFave']", "M19_V123 [0.5, 'HomFave']", "M20_V123 [0.51, 'HomFave']", "M21_V123 [0.55, 'HomFave']", "M22_V123 [0.5, 'HomFave']", "M23_V123 [0.52, 'HomFave']", "M24_V123 [0.51, 'HomFave']", "M25_V123 [0.49, 'VisDog']", "M26_V123 [0.51, 'HomFave']", "M27_V123 [0.52, 'HomFave']", "M28_V123 [0.46, 'VisDog']", "M29_V123 [0.5, 'HomFave']", "M30_V123 [0.5, 'HomFave']", "M31_V123 [0.43, 'VisDog']", "M32_V123 [0.49, 'VisDog']", "M33_V123 [0.53, 'HomFave']", "M34_V123 [0.49, 'VisDog']", "M35_V123 [0.48, 'VisDog']", "M36_V123 [0.5, 'HomFave']", "M37_V123 [0.51, 'HomFave']", "M38_V123 [0.52, 'HomFave']", "M39_V123 [0.48, 'VisDog']", "M40_V123 [0.49, 'VisDog']", "M41_V123 [0.51, 'HomFave']", "M42_V123 [0.52, 'HomFave']", "M43_V123 [0.5, 'HomFave']", "M44_V123 [0.48, 'VisDog']", "M45_V123 [0.49, 'VisDog']", "M46_V123 [0.51, 'HomFave']", "M47_V123 [0.53, 'HomFave']", "M48_V123 [0.69, 'HomFave']", "M49_V123 [0.49, 'VisDog']", "M50_V123 [0.49, 'VisDog']", "M51_V123 [0.52, 'HomFave']", "M52_V123 [0.51, 'HomFave']", "M53_V123 [0.52, 'HomFave']", "M54_V123 [0.5, 'HomFave']", "M55_V123 [0.51, 'HomFave']", "M56_V123 [0.47, 'VisDog']"]</t>
  </si>
  <si>
    <t>["M1_V119 [0.46, 'VisDog']", "M2_V119 [0.5, 'HomFave']", "M3_V119 [0.5, 'HomFave']", "M4_V119 [0.51, 'HomFave']", "M5_V119 [0.51, 'HomFave']", "M6_V119 [0.48, 'VisDog']", "M7_V119 [0.46, 'VisDog']", "M8_V119 [0.5, 'HomFave']", "M9_V119 [0.42, 'VisDog']", "M10_V119 [0.47, 'VisDog']", "M11_V119 [0.36, 'VisDog']", "M12_V119 [0.49, 'VisDog']", "M13_V119 [0.49, 'VisDog']", "M14_V119 [0.48, 'VisDog']", "M15_V119 [0.41, 'VisDog']"]</t>
  </si>
  <si>
    <t>["M16_V123 [0.49, 'VisDog']", "M17_V123 [0.5, 'HomFave']", "M18_V123 [0.5, 'HomFave']", "M19_V123 [0.52, 'HomFave']", "M20_V123 [0.48, 'VisDog']", "M21_V123 [0.51, 'HomFave']", "M22_V123 [0.49, 'VisDog']", "M23_V123 [0.5, 'HomFave']", "M24_V123 [0.49, 'VisDog']", "M25_V123 [0.5, 'HomFave']", "M26_V123 [0.49, 'VisDog']", "M27_V123 [0.48, 'VisDog']", "M28_V123 [0.43, 'VisDog']", "M29_V123 [0.48, 'VisDog']", "M30_V123 [0.47, 'VisDog']", "M31_V123 [0.55, 'HomFave']", "M32_V123 [0.49, 'VisDog']", "M33_V123 [0.53, 'HomFave']", "M34_V123 [0.53, 'HomFave']", "M35_V123 [0.5, 'HomFave']", "M36_V123 [0.49, 'VisDog']", "M37_V123 [0.49, 'VisDog']", "M38_V123 [0.49, 'VisDog']", "M39_V123 [0.5, 'HomFave']", "M40_V123 [0.48, 'VisDog']", "M41_V123 [0.48, 'VisDog']", "M42_V123 [0.52, 'HomFave']", "M43_V123 [0.51, 'HomFave']", "M44_V123 [0.5, 'HomFave']", "M45_V123 [0.49, 'VisDog']", "M46_V123 [0.46, 'VisDog']", "M47_V123 [0.49, 'VisDog']", "M48_V123 [0.68, 'HomFave']", "M49_V123 [0.51, 'HomFave']", "M50_V123 [0.48, 'VisDog']", "M51_V123 [0.51, 'HomFave']", "M52_V123 [0.5, 'HomFave']", "M53_V123 [0.48, 'VisDog']", "M54_V123 [0.49, 'VisDog']", "M55_V123 [0.51, 'HomFave']", "M56_V123 [0.71, 'HomFave']"]</t>
  </si>
  <si>
    <t>["M1_V119 [0.52, 'HomDog']", "M2_V119 [0.49, 'VisFave']", "M3_V119 [0.5, 'HomDog']", "M4_V119 [0.48, 'VisFave']", "M5_V119 [0.48, 'VisFave']", "M6_V119 [0.46, 'VisFave']", "M7_V119 [0.49, 'VisFave']", "M8_V119 [0.49, 'VisFave']", "M9_V119 [0.58, 'HomDog']", "M10_V119 [0.57, 'HomDog']", "M11_V119 [0.58, 'HomDog']", "M12_V119 [0.48, 'VisFave']", "M13_V119 [0.47, 'VisFave']", "M14_V119 [0.45, 'VisFave']", "M15_V119 [0.49, 'VisFave']"]</t>
  </si>
  <si>
    <t>["M16_V123 [0.55, 'HomDog']", "M17_V123 [0.55, 'HomDog']", "M18_V123 [0.59, 'HomDog']", "M19_V123 [0.57, 'HomDog']", "M20_V123 [0.57, 'HomDog']", "M21_V123 [0.57, 'HomDog']", "M22_V123 [0.56, 'HomDog']", "M23_V123 [0.58, 'HomDog']", "M24_V123 [0.55, 'HomDog']", "M25_V123 [0.57, 'HomDog']", "M26_V123 [0.57, 'HomDog']", "M27_V123 [0.57, 'HomDog']", "M28_V123 [0.51, 'HomDog']", "M29_V123 [0.57, 'HomDog']", "M30_V123 [0.57, 'HomDog']", "M31_V123 [0.74, 'HomDog']", "M32_V123 [0.56, 'HomDog']", "M33_V123 [0.58, 'HomDog']", "M34_V123 [0.61, 'HomDog']", "M35_V123 [0.5, 'HomDog']", "M36_V123 [0.56, 'HomDog']", "M37_V123 [0.57, 'HomDog']", "M38_V123 [0.57, 'HomDog']", "M39_V123 [0.57, 'HomDog']", "M40_V123 [0.57, 'HomDog']", "M41_V123 [0.54, 'HomDog']", "M42_V123 [0.58, 'HomDog']", "M43_V123 [0.58, 'HomDog']", "M44_V123 [0.6, 'HomDog']", "M45_V123 [0.57, 'HomDog']", "M46_V123 [0.54, 'HomDog']", "M47_V123 [0.57, 'HomDog']", "M48_V123 [0.61, 'HomDog']", "M49_V123 [0.53, 'HomDog']", "M50_V123 [0.56, 'HomDog']", "M51_V123 [0.57, 'HomDog']", "M52_V123 [0.57, 'HomDog']", "M53_V123 [0.59, 'HomDog']", "M54_V123 [0.57, 'HomDog']", "M55_V123 [0.59, 'HomDog']", "M56_V123 [0.56, 'HomDog']"]</t>
  </si>
  <si>
    <t>["M1_V119 [0.56, 'HomFave']", "M2_V119 [0.52, 'HomFave']", "M3_V119 [0.54, 'HomFave']", "M4_V119 [0.53, 'HomFave']", "M5_V119 [0.53, 'HomFave']", "M6_V119 [0.54, 'HomFave']", "M7_V119 [0.5, 'HomFave']", "M8_V119 [0.54, 'HomFave']", "M9_V119 [0.49, 'VisDog']", "M10_V119 [0.55, 'HomFave']", "M11_V119 [0.56, 'HomFave']", "M12_V119 [0.59, 'HomFave']", "M13_V119 [0.54, 'HomFave']", "M14_V119 [0.46, 'VisDog']", "M15_V119 [0.5, 'HomFave']"]</t>
  </si>
  <si>
    <t>["M16_V123 [0.58, 'HomFave']", "M17_V123 [0.57, 'HomFave']", "M18_V123 [0.58, 'HomFave']", "M19_V123 [0.54, 'HomFave']", "M20_V123 [0.57, 'HomFave']", "M21_V123 [0.61, 'HomFave']", "M22_V123 [0.59, 'HomFave']", "M23_V123 [0.56, 'HomFave']", "M24_V123 [0.58, 'HomFave']", "M25_V123 [0.56, 'HomFave']", "M26_V123 [0.58, 'HomFave']", "M27_V123 [0.58, 'HomFave']", "M28_V123 [0.68, 'HomFave']", "M29_V123 [0.55, 'HomFave']", "M30_V123 [0.57, 'HomFave']", "M31_V123 [0.5, 'HomFave']", "M32_V123 [0.57, 'HomFave']", "M33_V123 [0.59, 'HomFave']", "M34_V123 [0.59, 'HomFave']", "M35_V123 [0.59, 'HomFave']", "M36_V123 [0.54, 'HomFave']", "M37_V123 [0.58, 'HomFave']", "M38_V123 [0.57, 'HomFave']", "M39_V123 [0.58, 'HomFave']", "M40_V123 [0.56, 'HomFave']", "M41_V123 [0.56, 'HomFave']", "M42_V123 [0.52, 'HomFave']", "M43_V123 [0.57, 'HomFave']", "M44_V123 [0.6, 'HomFave']", "M45_V123 [0.56, 'HomFave']", "M46_V123 [0.55, 'HomFave']", "M47_V123 [0.58, 'HomFave']", "M48_V123 [0.58, 'HomFave']", "M49_V123 [0.54, 'HomFave']", "M50_V123 [0.58, 'HomFave']", "M51_V123 [0.58, 'HomFave']", "M52_V123 [0.61, 'HomFave']", "M53_V123 [0.57, 'HomFave']", "M54_V123 [0.59, 'HomFave']", "M55_V123 [0.57, 'HomFave']", "M56_V123 [0.59, 'HomFave']"]</t>
  </si>
  <si>
    <t>["M1_V119 [0.56, 'HomFave']", "M2_V119 [0.51, 'HomFave']", "M3_V119 [0.57, 'HomFave']", "M4_V119 [0.52, 'HomFave']", "M5_V119 [0.52, 'HomFave']", "M6_V119 [0.55, 'HomFave']", "M7_V119 [0.51, 'HomFave']", "M8_V119 [0.54, 'HomFave']", "M9_V119 [0.54, 'HomFave']", "M10_V119 [0.54, 'HomFave']", "M11_V119 [0.61, 'HomFave']", "M12_V119 [0.67, 'HomFave']", "M13_V119 [0.55, 'HomFave']", "M14_V119 [0.46, 'VisDog']", "M15_V119 [0.6, 'HomFave']"]</t>
  </si>
  <si>
    <t>["M16_V123 [0.57, 'HomFave']", "M17_V123 [0.57, 'HomFave']", "M18_V123 [0.57, 'HomFave']", "M19_V123 [0.58, 'HomFave']", "M20_V123 [0.59, 'HomFave']", "M21_V123 [0.57, 'HomFave']", "M22_V123 [0.58, 'HomFave']", "M23_V123 [0.55, 'HomFave']", "M24_V123 [0.57, 'HomFave']", "M25_V123 [0.56, 'HomFave']", "M26_V123 [0.56, 'HomFave']", "M27_V123 [0.58, 'HomFave']", "M28_V123 [0.6, 'HomFave']", "M29_V123 [0.57, 'HomFave']", "M30_V123 [0.58, 'HomFave']", "M31_V123 [0.67, 'HomFave']", "M32_V123 [0.58, 'HomFave']", "M33_V123 [0.59, 'HomFave']", "M34_V123 [0.6, 'HomFave']", "M35_V123 [0.55, 'HomFave']", "M36_V123 [0.57, 'HomFave']", "M37_V123 [0.59, 'HomFave']", "M38_V123 [0.58, 'HomFave']", "M39_V123 [0.55, 'HomFave']", "M40_V123 [0.56, 'HomFave']", "M41_V123 [0.56, 'HomFave']", "M42_V123 [0.54, 'HomFave']", "M43_V123 [0.57, 'HomFave']", "M44_V123 [0.6, 'HomFave']", "M45_V123 [0.57, 'HomFave']", "M46_V123 [0.55, 'HomFave']", "M47_V123 [0.56, 'HomFave']", "M48_V123 [0.77, 'HomFave']", "M49_V123 [0.54, 'HomFave']", "M50_V123 [0.58, 'HomFave']", "M51_V123 [0.59, 'HomFave']", "M52_V123 [0.57, 'HomFave']", "M53_V123 [0.55, 'HomFave']", "M54_V123 [0.57, 'HomFave']", "M55_V123 [0.56, 'HomFave']", "M56_V123 [0.59, 'HomFave']"]</t>
  </si>
  <si>
    <t>["M1_V119 [0.58, 'HomFave']", "M2_V119 [0.54, 'HomFave']", "M3_V119 [0.54, 'HomFave']", "M4_V119 [0.54, 'HomFave']", "M5_V119 [0.54, 'HomFave']", "M6_V119 [0.55, 'HomFave']", "M7_V119 [0.55, 'HomFave']", "M8_V119 [0.55, 'HomFave']", "M9_V119 [0.62, 'HomFave']", "M10_V119 [0.56, 'HomFave']", "M11_V119 [0.65, 'HomFave']", "M12_V119 [0.55, 'HomFave']", "M13_V119 [0.52, 'HomFave']", "M14_V119 [0.58, 'HomFave']", "M15_V119 [0.58, 'HomFave']"]</t>
  </si>
  <si>
    <t>["M16_V123 [0.51, 'HomFave']", "M17_V123 [0.58, 'HomFave']", "M18_V123 [0.52, 'HomFave']", "M19_V123 [0.55, 'HomFave']", "M20_V123 [0.54, 'HomFave']", "M21_V123 [0.55, 'HomFave']", "M22_V123 [0.5, 'HomFave']", "M23_V123 [0.53, 'HomFave']", "M24_V123 [0.54, 'HomFave']", "M25_V123 [0.52, 'HomFave']", "M26_V123 [0.51, 'HomFave']", "M27_V123 [0.53, 'HomFave']", "M28_V123 [0.5, 'HomFave']", "M29_V123 [0.52, 'HomFave']", "M30_V123 [0.53, 'HomFave']", "M31_V123 [0.66, 'HomFave']", "M32_V123 [0.51, 'HomFave']", "M33_V123 [0.55, 'HomFave']", "M34_V123 [0.51, 'HomFave']", "M35_V123 [0.48, 'VisDog']", "M36_V123 [0.54, 'HomFave']", "M37_V123 [0.57, 'HomFave']", "M38_V123 [0.52, 'HomFave']", "M39_V123 [0.53, 'HomFave']", "M40_V123 [0.54, 'HomFave']", "M41_V123 [0.52, 'HomFave']", "M42_V123 [0.53, 'HomFave']", "M43_V123 [0.5, 'HomFave']", "M44_V123 [0.57, 'HomFave']", "M45_V123 [0.53, 'HomFave']", "M46_V123 [0.51, 'HomFave']", "M47_V123 [0.52, 'HomFave']", "M48_V123 [0.38, 'VisDog']", "M49_V123 [0.55, 'HomFave']", "M50_V123 [0.54, 'HomFave']", "M51_V123 [0.55, 'HomFave']", "M52_V123 [0.51, 'HomFave']", "M53_V123 [0.53, 'HomFave']", "M54_V123 [0.52, 'HomFave']", "M55_V123 [0.53, 'HomFave']", "M56_V123 [0.38, 'VisDog']"]</t>
  </si>
  <si>
    <t>["M1_V119 [0.47, 'VisDog']", "M2_V119 [0.52, 'HomFave']", "M3_V119 [0.53, 'HomFave']", "M4_V119 [0.47, 'VisDog']", "M5_V119 [0.47, 'VisDog']", "M6_V119 [0.49, 'VisDog']", "M7_V119 [0.51, 'HomFave']", "M8_V119 [0.53, 'HomFave']", "M9_V119 [0.53, 'HomFave']", "M10_V119 [0.5, 'HomFave']", "M11_V119 [0.46, 'VisDog']", "M12_V119 [0.48, 'VisDog']", "M13_V119 [0.49, 'VisDog']", "M14_V119 [0.56, 'HomFave']", "M15_V119 [0.44, 'VisDog']"]</t>
  </si>
  <si>
    <t>["M16_V123 [0.52, 'HomFave']", "M17_V123 [0.53, 'HomFave']", "M18_V123 [0.54, 'HomFave']", "M19_V123 [0.55, 'HomFave']", "M20_V123 [0.55, 'HomFave']", "M21_V123 [0.56, 'HomFave']", "M22_V123 [0.51, 'HomFave']", "M23_V123 [0.54, 'HomFave']", "M24_V123 [0.54, 'HomFave']", "M25_V123 [0.55, 'HomFave']", "M26_V123 [0.52, 'HomFave']", "M27_V123 [0.53, 'HomFave']", "M28_V123 [0.59, 'HomFave']", "M29_V123 [0.54, 'HomFave']", "M30_V123 [0.52, 'HomFave']", "M31_V123 [0.5, 'HomFave']", "M32_V123 [0.54, 'HomFave']", "M33_V123 [0.58, 'HomFave']", "M34_V123 [0.55, 'HomFave']", "M35_V123 [0.55, 'HomFave']", "M36_V123 [0.52, 'HomFave']", "M37_V123 [0.57, 'HomFave']", "M38_V123 [0.51, 'HomFave']", "M39_V123 [0.5, 'HomFave']", "M40_V123 [0.52, 'HomFave']", "M41_V123 [0.52, 'HomFave']", "M42_V123 [0.5, 'HomFave']", "M43_V123 [0.54, 'HomFave']", "M44_V123 [0.54, 'HomFave']", "M45_V123 [0.53, 'HomFave']", "M46_V123 [0.55, 'HomFave']", "M47_V123 [0.56, 'HomFave']", "M48_V123 [0.5, 'HomFave']", "M49_V123 [0.55, 'HomFave']", "M50_V123 [0.51, 'HomFave']", "M51_V123 [0.56, 'HomFave']", "M52_V123 [0.53, 'HomFave']", "M53_V123 [0.53, 'HomFave']", "M54_V123 [0.55, 'HomFave']", "M55_V123 [0.54, 'HomFave']", "M56_V123 [0.36, 'VisDog']"]</t>
  </si>
  <si>
    <t>["M1_V119 [0.56, 'HomFave']", "M2_V119 [0.52, 'HomFave']", "M3_V119 [0.53, 'HomFave']", "M4_V119 [0.52, 'HomFave']", "M5_V119 [0.52, 'HomFave']", "M6_V119 [0.52, 'HomFave']", "M7_V119 [0.52, 'HomFave']", "M8_V119 [0.5, 'HomFave']", "M9_V119 [0.32, 'VisDog']", "M10_V119 [0.44, 'VisDog']", "M11_V119 [0.37, 'VisDog']", "M12_V119 [0.33, 'VisDog']", "M13_V119 [0.52, 'HomFave']", "M14_V119 [0.53, 'HomFave']", "M15_V119 [0.48, 'VisDog']"]</t>
  </si>
  <si>
    <t>["M16_V123 [0.5, 'HomFave']", "M17_V123 [0.55, 'HomFave']", "M18_V123 [0.55, 'HomFave']", "M19_V123 [0.56, 'HomFave']", "M20_V123 [0.57, 'HomFave']", "M21_V123 [0.53, 'HomFave']", "M22_V123 [0.57, 'HomFave']", "M23_V123 [0.53, 'HomFave']", "M24_V123 [0.52, 'HomFave']", "M25_V123 [0.53, 'HomFave']", "M26_V123 [0.52, 'HomFave']", "M27_V123 [0.52, 'HomFave']", "M28_V123 [0.52, 'HomFave']", "M29_V123 [0.56, 'HomFave']", "M30_V123 [0.55, 'HomFave']", "M31_V123 [0.26, 'VisDog']", "M32_V123 [0.57, 'HomFave']", "M33_V123 [0.57, 'HomFave']", "M34_V123 [0.53, 'HomFave']", "M35_V123 [0.51, 'HomFave']", "M36_V123 [0.5, 'HomFave']", "M37_V123 [0.54, 'HomFave']", "M38_V123 [0.54, 'HomFave']", "M39_V123 [0.45, 'VisDog']", "M40_V123 [0.54, 'HomFave']", "M41_V123 [0.55, 'HomFave']", "M42_V123 [0.47, 'VisDog']", "M43_V123 [0.53, 'HomFave']", "M44_V123 [0.49, 'VisDog']", "M45_V123 [0.53, 'HomFave']", "M46_V123 [0.54, 'HomFave']", "M47_V123 [0.54, 'HomFave']", "M48_V123 [0.52, 'HomFave']", "M49_V123 [0.55, 'HomFave']", "M50_V123 [0.54, 'HomFave']", "M51_V123 [0.53, 'HomFave']", "M52_V123 [0.55, 'HomFave']", "M53_V123 [0.55, 'HomFave']", "M54_V123 [0.55, 'HomFave']", "M55_V123 [0.54, 'HomFave']", "M56_V123 [0.33, 'VisDog']"]</t>
  </si>
  <si>
    <t>["M1_V119 [0.54, 'HomFave']", "M2_V119 [0.52, 'HomFave']", "M3_V119 [0.54, 'HomFave']", "M4_V119 [0.54, 'HomFave']", "M5_V119 [0.54, 'HomFave']", "M6_V119 [0.54, 'HomFave']", "M7_V119 [0.49, 'VisDog']", "M8_V119 [0.54, 'HomFave']", "M9_V119 [0.51, 'HomFave']", "M10_V119 [0.59, 'HomFave']", "M11_V119 [0.79, 'HomFave']", "M12_V119 [0.45, 'VisDog']", "M13_V119 [0.53, 'HomFave']", "M14_V119 [0.51, 'HomFave']", "M15_V119 [0.57, 'HomFave']"]</t>
  </si>
  <si>
    <t>["M16_V123 [0.53, 'HomFave']", "M17_V123 [0.55, 'HomFave']", "M18_V123 [0.57, 'HomFave']", "M19_V123 [0.56, 'HomFave']", "M20_V123 [0.57, 'HomFave']", "M21_V123 [0.56, 'HomFave']", "M22_V123 [0.55, 'HomFave']", "M23_V123 [0.53, 'HomFave']", "M24_V123 [0.55, 'HomFave']", "M25_V123 [0.57, 'HomFave']", "M26_V123 [0.56, 'HomFave']", "M27_V123 [0.56, 'HomFave']", "M28_V123 [0.51, 'HomFave']", "M29_V123 [0.57, 'HomFave']", "M30_V123 [0.56, 'HomFave']", "M31_V123 [0.75, 'HomFave']", "M32_V123 [0.56, 'HomFave']", "M33_V123 [0.59, 'HomFave']", "M34_V123 [0.59, 'HomFave']", "M35_V123 [0.55, 'HomFave']", "M36_V123 [0.56, 'HomFave']", "M37_V123 [0.57, 'HomFave']", "M38_V123 [0.57, 'HomFave']", "M39_V123 [0.54, 'HomFave']", "M40_V123 [0.55, 'HomFave']", "M41_V123 [0.54, 'HomFave']", "M42_V123 [0.5, 'HomFave']", "M43_V123 [0.56, 'HomFave']", "M44_V123 [0.54, 'HomFave']", "M45_V123 [0.55, 'HomFave']", "M46_V123 [0.55, 'HomFave']", "M47_V123 [0.59, 'HomFave']", "M48_V123 [0.72, 'HomFave']", "M49_V123 [0.54, 'HomFave']", "M50_V123 [0.53, 'HomFave']", "M51_V123 [0.59, 'HomFave']", "M52_V123 [0.57, 'HomFave']", "M53_V123 [0.55, 'HomFave']", "M54_V123 [0.56, 'HomFave']", "M55_V123 [0.56, 'HomFave']", "M56_V123 [0.53, 'HomFave']"]</t>
  </si>
  <si>
    <t>["M1_V119 [0.59, 'HomFave']", "M2_V119 [0.51, 'HomFave']", "M3_V119 [0.54, 'HomFave']", "M4_V119 [0.54, 'HomFave']", "M5_V119 [0.54, 'HomFave']", "M6_V119 [0.58, 'HomFave']", "M7_V119 [0.51, 'HomFave']", "M8_V119 [0.55, 'HomFave']", "M9_V119 [0.54, 'HomFave']", "M10_V119 [0.65, 'HomFave']", "M11_V119 [0.63, 'HomFave']", "M12_V119 [0.6, 'HomFave']", "M13_V119 [0.54, 'HomFave']", "M14_V119 [0.56, 'HomFave']", "M15_V119 [0.51, 'HomFave']"]</t>
  </si>
  <si>
    <t>["M16_V123 [0.58, 'HomFave']", "M17_V123 [0.5, 'HomFave']", "M18_V123 [0.54, 'HomFave']", "M19_V123 [0.51, 'HomFave']", "M20_V123 [0.52, 'HomFave']", "M21_V123 [0.54, 'HomFave']", "M22_V123 [0.5, 'HomFave']", "M23_V123 [0.54, 'HomFave']", "M24_V123 [0.51, 'HomFave']", "M25_V123 [0.5, 'HomFave']", "M26_V123 [0.5, 'HomFave']", "M27_V123 [0.51, 'HomFave']", "M28_V123 [0.57, 'HomFave']", "M29_V123 [0.49, 'VisDog']", "M30_V123 [0.48, 'VisDog']", "M31_V123 [0.69, 'HomFave']", "M32_V123 [0.49, 'VisDog']", "M33_V123 [0.55, 'HomFave']", "M34_V123 [0.55, 'HomFave']", "M35_V123 [0.49, 'VisDog']", "M36_V123 [0.49, 'VisDog']", "M37_V123 [0.53, 'HomFave']", "M38_V123 [0.51, 'HomFave']", "M39_V123 [0.5, 'HomFave']", "M40_V123 [0.47, 'VisDog']", "M41_V123 [0.48, 'VisDog']", "M42_V123 [0.5, 'HomFave']", "M43_V123 [0.52, 'HomFave']", "M44_V123 [0.51, 'HomFave']", "M45_V123 [0.51, 'HomFave']", "M46_V123 [0.49, 'VisDog']", "M47_V123 [0.53, 'HomFave']", "M48_V123 [0.53, 'HomFave']", "M49_V123 [0.5, 'HomFave']", "M50_V123 [0.53, 'HomFave']", "M51_V123 [0.52, 'HomFave']", "M52_V123 [0.52, 'HomFave']", "M53_V123 [0.52, 'HomFave']", "M54_V123 [0.51, 'HomFave']", "M55_V123 [0.52, 'HomFave']", "M56_V123 [0.58, 'HomFave']"]</t>
  </si>
  <si>
    <t>["M1_V119 [0.54, 'HomFave']", "M2_V119 [0.52, 'HomFave']", "M3_V119 [0.52, 'HomFave']", "M4_V119 [0.52, 'HomFave']", "M5_V119 [0.52, 'HomFave']", "M6_V119 [0.54, 'HomFave']", "M7_V119 [0.52, 'HomFave']", "M8_V119 [0.52, 'HomFave']", "M9_V119 [0.66, 'HomFave']", "M10_V119 [0.59, 'HomFave']", "M11_V119 [0.58, 'HomFave']", "M12_V119 [0.56, 'HomFave']", "M13_V119 [0.5, 'HomFave']", "M14_V119 [0.56, 'HomFave']", "M15_V119 [0.52, 'HomFave']"]</t>
  </si>
  <si>
    <t>["M16_V123 [0.52, 'HomFave']", "M17_V123 [0.54, 'HomFave']", "M18_V123 [0.54, 'HomFave']", "M19_V123 [0.54, 'HomFave']", "M20_V123 [0.53, 'HomFave']", "M21_V123 [0.53, 'HomFave']", "M22_V123 [0.52, 'HomFave']", "M23_V123 [0.52, 'HomFave']", "M24_V123 [0.54, 'HomFave']", "M25_V123 [0.55, 'HomFave']", "M26_V123 [0.54, 'HomFave']", "M27_V123 [0.52, 'HomFave']", "M28_V123 [0.48, 'VisDog']", "M29_V123 [0.5, 'HomFave']", "M30_V123 [0.53, 'HomFave']", "M31_V123 [0.7, 'HomFave']", "M32_V123 [0.51, 'HomFave']", "M33_V123 [0.55, 'HomFave']", "M34_V123 [0.53, 'HomFave']", "M35_V123 [0.5, 'HomFave']", "M36_V123 [0.51, 'HomFave']", "M37_V123 [0.53, 'HomFave']", "M38_V123 [0.51, 'HomFave']", "M39_V123 [0.52, 'HomFave']", "M40_V123 [0.52, 'HomFave']", "M41_V123 [0.51, 'HomFave']", "M42_V123 [0.49, 'VisDog']", "M43_V123 [0.53, 'HomFave']", "M44_V123 [0.5, 'HomFave']", "M45_V123 [0.54, 'HomFave']", "M46_V123 [0.52, 'HomFave']", "M47_V123 [0.54, 'HomFave']", "M48_V123 [0.77, 'HomFave']", "M49_V123 [0.52, 'HomFave']", "M50_V123 [0.52, 'HomFave']", "M51_V123 [0.52, 'HomFave']", "M52_V123 [0.55, 'HomFave']", "M53_V123 [0.53, 'HomFave']", "M54_V123 [0.54, 'HomFave']", "M55_V123 [0.53, 'HomFave']", "M56_V123 [0.53, 'HomFave']"]</t>
  </si>
  <si>
    <t>["M16_V123 [0.53, 'HomFave']", "M17_V123 [0.55, 'HomFave']", "M18_V123 [0.56, 'HomFave']", "M19_V123 [0.57, 'HomFave']", "M20_V123 [0.56, 'HomFave']", "M21_V123 [0.57, 'HomFave']", "M22_V123 [0.55, 'HomFave']", "M23_V123 [0.56, 'HomFave']", "M24_V123 [0.55, 'HomFave']", "M25_V123 [0.56, 'HomFave']", "M26_V123 [0.55, 'HomFave']", "M27_V123 [0.55, 'HomFave']", "M28_V123 [0.57, 'HomFave']", "M29_V123 [0.55, 'HomFave']", "M30_V123 [0.56, 'HomFave']", "M31_V123 [0.6, 'HomFave']", "M32_V123 [0.56, 'HomFave']", "M33_V123 [0.58, 'HomFave']", "M34_V123 [0.59, 'HomFave']", "M35_V123 [0.54, 'HomFave']", "M36_V123 [0.54, 'HomFave']", "M37_V123 [0.56, 'HomFave']", "M38_V123 [0.56, 'HomFave']", "M39_V123 [0.53, 'HomFave']", "M40_V123 [0.55, 'HomFave']", "M41_V123 [0.53, 'HomFave']", "M42_V123 [0.58, 'HomFave']", "M43_V123 [0.56, 'HomFave']", "M44_V123 [0.55, 'HomFave']", "M45_V123 [0.56, 'HomFave']", "M46_V123 [0.54, 'HomFave']", "M47_V123 [0.57, 'HomFave']", "M48_V123 [0.73, 'HomFave']", "M49_V123 [0.54, 'HomFave']", "M50_V123 [0.53, 'HomFave']", "M51_V123 [0.6, 'HomFave']", "M52_V123 [0.57, 'HomFave']", "M53_V123 [0.52, 'HomFave']", "M54_V123 [0.57, 'HomFave']", "M55_V123 [0.54, 'HomFave']", "M56_V123 [0.5, 'HomFave']"]</t>
  </si>
  <si>
    <t>["M1_V119 [0.42, 'VisFave']", "M2_V119 [0.43, 'VisFave']", "M3_V119 [0.42, 'VisFave']", "M4_V119 [0.39, 'VisFave']", "M5_V119 [0.39, 'VisFave']", "M6_V119 [0.42, 'VisFave']", "M7_V119 [0.42, 'VisFave']", "M8_V119 [0.4, 'VisFave']", "M9_V119 [0.24, 'VisFave']", "M10_V119 [0.34, 'VisFave']", "M11_V119 [0.48, 'VisFave']", "M12_V119 [0.44, 'VisFave']", "M13_V119 [0.39, 'VisFave']", "M14_V119 [0.42, 'VisFave']", "M15_V119 [0.35, 'VisFave']"]</t>
  </si>
  <si>
    <t>["M1_V119 [0.5, 'HomFave']", "M2_V119 [0.5, 'HomFave']", "M3_V119 [0.53, 'HomFave']", "M4_V119 [0.49, 'VisDog']", "M5_V119 [0.49, 'VisDog']", "M6_V119 [0.5, 'HomFave']", "M7_V119 [0.52, 'HomFave']", "M8_V119 [0.51, 'HomFave']", "M9_V119 [0.44, 'VisDog']", "M10_V119 [0.49, 'VisDog']", "M11_V119 [0.56, 'HomFave']", "M12_V119 [0.46, 'VisDog']", "M13_V119 [0.49, 'VisDog']", "M14_V119 [0.51, 'HomFave']", "M15_V119 [0.45, 'VisDog']"]</t>
  </si>
  <si>
    <t>["M16_V123 [0.54, 'HomFave']", "M17_V123 [0.55, 'HomFave']", "M18_V123 [0.54, 'HomFave']", "M19_V123 [0.56, 'HomFave']", "M20_V123 [0.56, 'HomFave']", "M21_V123 [0.56, 'HomFave']", "M22_V123 [0.53, 'HomFave']", "M23_V123 [0.55, 'HomFave']", "M24_V123 [0.56, 'HomFave']", "M25_V123 [0.54, 'HomFave']", "M26_V123 [0.53, 'HomFave']", "M27_V123 [0.54, 'HomFave']", "M28_V123 [0.51, 'HomFave']", "M29_V123 [0.56, 'HomFave']", "M30_V123 [0.54, 'HomFave']", "M31_V123 [0.74, 'HomFave']", "M32_V123 [0.53, 'HomFave']", "M33_V123 [0.56, 'HomFave']", "M34_V123 [0.54, 'HomFave']", "M35_V123 [0.58, 'HomFave']", "M36_V123 [0.55, 'HomFave']", "M37_V123 [0.57, 'HomFave']", "M38_V123 [0.54, 'HomFave']", "M39_V123 [0.54, 'HomFave']", "M40_V123 [0.54, 'HomFave']", "M41_V123 [0.53, 'HomFave']", "M42_V123 [0.5, 'HomFave']", "M43_V123 [0.53, 'HomFave']", "M44_V123 [0.55, 'HomFave']", "M45_V123 [0.54, 'HomFave']", "M46_V123 [0.53, 'HomFave']", "M47_V123 [0.55, 'HomFave']", "M48_V123 [0.81, 'HomFave']", "M49_V123 [0.53, 'HomFave']", "M50_V123 [0.54, 'HomFave']", "M51_V123 [0.55, 'HomFave']", "M52_V123 [0.55, 'HomFave']", "M53_V123 [0.56, 'HomFave']", "M54_V123 [0.55, 'HomFave']", "M55_V123 [0.53, 'HomFave']", "M56_V123 [0.7, 'HomFave']"]</t>
  </si>
  <si>
    <t>["M1_V119 [0.57, 'HomFave']", "M2_V119 [0.56, 'HomFave']", "M3_V119 [0.57, 'HomFave']", "M4_V119 [0.53, 'HomFave']", "M5_V119 [0.53, 'HomFave']", "M6_V119 [0.54, 'HomFave']", "M7_V119 [0.56, 'HomFave']", "M8_V119 [0.55, 'HomFave']", "M9_V119 [0.54, 'HomFave']", "M10_V119 [0.65, 'HomFave']", "M11_V119 [0.5, 'HomFave']", "M12_V119 [0.56, 'HomFave']", "M13_V119 [0.55, 'HomFave']", "M14_V119 [0.59, 'HomFave']", "M15_V119 [0.56, 'HomFave']"]</t>
  </si>
  <si>
    <t>["M16_V123 [0.55, 'HomFave']", "M17_V123 [0.59, 'HomFave']", "M18_V123 [0.56, 'HomFave']", "M19_V123 [0.55, 'HomFave']", "M20_V123 [0.54, 'HomFave']", "M21_V123 [0.57, 'HomFave']", "M22_V123 [0.52, 'HomFave']", "M23_V123 [0.55, 'HomFave']", "M24_V123 [0.54, 'HomFave']", "M25_V123 [0.54, 'HomFave']", "M26_V123 [0.55, 'HomFave']", "M27_V123 [0.54, 'HomFave']", "M28_V123 [0.52, 'HomFave']", "M29_V123 [0.54, 'HomFave']", "M30_V123 [0.53, 'HomFave']", "M31_V123 [0.58, 'HomFave']", "M32_V123 [0.53, 'HomFave']", "M33_V123 [0.57, 'HomFave']", "M34_V123 [0.55, 'HomFave']", "M35_V123 [0.49, 'VisDog']", "M36_V123 [0.53, 'HomFave']", "M37_V123 [0.57, 'HomFave']", "M38_V123 [0.56, 'HomFave']", "M39_V123 [0.53, 'HomFave']", "M40_V123 [0.52, 'HomFave']", "M41_V123 [0.52, 'HomFave']", "M42_V123 [0.5, 'HomFave']", "M43_V123 [0.53, 'HomFave']", "M44_V123 [0.5, 'HomFave']", "M45_V123 [0.53, 'HomFave']", "M46_V123 [0.53, 'HomFave']", "M47_V123 [0.56, 'HomFave']", "M48_V123 [0.64, 'HomFave']", "M49_V123 [0.57, 'HomFave']", "M50_V123 [0.55, 'HomFave']", "M51_V123 [0.56, 'HomFave']", "M52_V123 [0.55, 'HomFave']", "M53_V123 [0.53, 'HomFave']", "M54_V123 [0.53, 'HomFave']", "M55_V123 [0.52, 'HomFave']", "M56_V123 [0.54, 'HomFave']"]</t>
  </si>
  <si>
    <t>["M1_V119 [0.55, 'HomFave']", "M2_V119 [0.54, 'HomFave']", "M3_V119 [0.55, 'HomFave']", "M4_V119 [0.58, 'HomFave']", "M5_V119 [0.58, 'HomFave']", "M6_V119 [0.56, 'HomFave']", "M7_V119 [0.56, 'HomFave']", "M8_V119 [0.56, 'HomFave']", "M9_V119 [0.43, 'VisDog']", "M10_V119 [0.46, 'VisDog']", "M11_V119 [0.35, 'VisDog']", "M12_V119 [0.5, 'HomFave']", "M13_V119 [0.54, 'HomFave']", "M14_V119 [0.57, 'HomFave']", "M15_V119 [0.47, 'VisDog']"]</t>
  </si>
  <si>
    <t>["M16_V123 [0.53, 'HomFave']", "M17_V123 [0.52, 'HomFave']", "M18_V123 [0.54, 'HomFave']", "M19_V123 [0.54, 'HomFave']", "M20_V123 [0.53, 'HomFave']", "M21_V123 [0.55, 'HomFave']", "M22_V123 [0.51, 'HomFave']", "M23_V123 [0.53, 'HomFave']", "M24_V123 [0.51, 'HomFave']", "M25_V123 [0.52, 'HomFave']", "M26_V123 [0.52, 'HomFave']", "M27_V123 [0.51, 'HomFave']", "M28_V123 [0.5, 'HomFave']", "M29_V123 [0.5, 'HomFave']", "M30_V123 [0.51, 'HomFave']", "M31_V123 [0.69, 'HomFave']", "M32_V123 [0.5, 'HomFave']", "M33_V123 [0.54, 'HomFave']", "M34_V123 [0.54, 'HomFave']", "M35_V123 [0.54, 'HomFave']", "M36_V123 [0.52, 'HomFave']", "M37_V123 [0.53, 'HomFave']", "M38_V123 [0.54, 'HomFave']", "M39_V123 [0.53, 'HomFave']", "M40_V123 [0.51, 'HomFave']", "M41_V123 [0.5, 'HomFave']", "M42_V123 [0.52, 'HomFave']", "M43_V123 [0.55, 'HomFave']", "M44_V123 [0.49, 'VisDog']", "M45_V123 [0.51, 'HomFave']", "M46_V123 [0.47, 'VisDog']", "M47_V123 [0.54, 'HomFave']", "M48_V123 [0.59, 'HomFave']", "M49_V123 [0.52, 'HomFave']", "M50_V123 [0.53, 'HomFave']", "M51_V123 [0.53, 'HomFave']", "M52_V123 [0.52, 'HomFave']", "M53_V123 [0.53, 'HomFave']", "M54_V123 [0.54, 'HomFave']", "M55_V123 [0.52, 'HomFave']", "M56_V123 [0.71, 'HomFave']"]</t>
  </si>
  <si>
    <t>["M1_V119 [0.62, 'HomFave']", "M2_V119 [0.56, 'HomFave']", "M3_V119 [0.6, 'HomFave']", "M4_V119 [0.58, 'HomFave']", "M5_V119 [0.58, 'HomFave']", "M6_V119 [0.58, 'HomFave']", "M7_V119 [0.57, 'HomFave']", "M8_V119 [0.57, 'HomFave']", "M9_V119 [0.6, 'HomFave']", "M10_V119 [0.7, 'HomFave']", "M11_V119 [0.8, 'HomFave']", "M12_V119 [0.64, 'HomFave']", "M13_V119 [0.56, 'HomFave']", "M14_V119 [0.59, 'HomFave']", "M15_V119 [0.65, 'HomFave']"]</t>
  </si>
  <si>
    <t>["M16_V123 [0.57, 'HomFave']", "M17_V123 [0.59, 'HomFave']", "M18_V123 [0.57, 'HomFave']", "M19_V123 [0.56, 'HomFave']", "M20_V123 [0.57, 'HomFave']", "M21_V123 [0.59, 'HomFave']", "M22_V123 [0.57, 'HomFave']", "M23_V123 [0.55, 'HomFave']", "M24_V123 [0.58, 'HomFave']", "M25_V123 [0.56, 'HomFave']", "M26_V123 [0.57, 'HomFave']", "M27_V123 [0.56, 'HomFave']", "M28_V123 [0.66, 'HomFave']", "M29_V123 [0.56, 'HomFave']", "M30_V123 [0.57, 'HomFave']", "M31_V123 [0.66, 'HomFave']", "M32_V123 [0.58, 'HomFave']", "M33_V123 [0.59, 'HomFave']", "M34_V123 [0.59, 'HomFave']", "M35_V123 [0.57, 'HomFave']", "M36_V123 [0.56, 'HomFave']", "M37_V123 [0.59, 'HomFave']", "M38_V123 [0.59, 'HomFave']", "M39_V123 [0.61, 'HomFave']", "M40_V123 [0.57, 'HomFave']", "M41_V123 [0.55, 'HomFave']", "M42_V123 [0.55, 'HomFave']", "M43_V123 [0.58, 'HomFave']", "M44_V123 [0.61, 'HomFave']", "M45_V123 [0.56, 'HomFave']", "M46_V123 [0.57, 'HomFave']", "M47_V123 [0.6, 'HomFave']", "M48_V123 [0.65, 'HomFave']", "M49_V123 [0.56, 'HomFave']", "M50_V123 [0.59, 'HomFave']", "M51_V123 [0.58, 'HomFave']", "M52_V123 [0.58, 'HomFave']", "M53_V123 [0.56, 'HomFave']", "M54_V123 [0.6, 'HomFave']", "M55_V123 [0.57, 'HomFave']", "M56_V123 [0.46, 'VisDog']"]</t>
  </si>
  <si>
    <t>["M1_V119 [0.6, 'HomFave']", "M2_V119 [0.55, 'HomFave']", "M3_V119 [0.59, 'HomFave']", "M4_V119 [0.61, 'HomFave']", "M5_V119 [0.61, 'HomFave']", "M6_V119 [0.59, 'HomFave']", "M7_V119 [0.58, 'HomFave']", "M8_V119 [0.6, 'HomFave']", "M9_V119 [0.83, 'HomFave']", "M10_V119 [0.62, 'HomFave']", "M11_V119 [0.68, 'HomFave']", "M12_V119 [0.71, 'HomFave']", "M13_V119 [0.59, 'HomFave']", "M14_V119 [0.59, 'HomFave']", "M15_V119 [0.71, 'HomFave']"]</t>
  </si>
  <si>
    <t>["M1_V119 [0.59, 'HomFave']", "M2_V119 [0.55, 'HomFave']", "M3_V119 [0.55, 'HomFave']", "M4_V119 [0.55, 'HomFave']", "M5_V119 [0.55, 'HomFave']", "M6_V119 [0.56, 'HomFave']", "M7_V119 [0.56, 'HomFave']", "M8_V119 [0.56, 'HomFave']", "M9_V119 [0.48, 'VisDog']", "M10_V119 [0.58, 'HomFave']", "M11_V119 [0.64, 'HomFave']", "M12_V119 [0.55, 'HomFave']", "M13_V119 [0.54, 'HomFave']", "M14_V119 [0.58, 'HomFave']", "M15_V119 [0.51, 'HomFave']"]</t>
  </si>
  <si>
    <t>["M16_V123 [0.52, 'HomFave']", "M17_V123 [0.57, 'HomFave']", "M18_V123 [0.54, 'HomFave']", "M19_V123 [0.57, 'HomFave']", "M20_V123 [0.56, 'HomFave']", "M21_V123 [0.53, 'HomFave']", "M22_V123 [0.52, 'HomFave']", "M23_V123 [0.54, 'HomFave']", "M24_V123 [0.54, 'HomFave']", "M25_V123 [0.53, 'HomFave']", "M26_V123 [0.53, 'HomFave']", "M27_V123 [0.55, 'HomFave']", "M28_V123 [0.52, 'HomFave']", "M29_V123 [0.54, 'HomFave']", "M30_V123 [0.54, 'HomFave']", "M31_V123 [0.47, 'VisDog']", "M32_V123 [0.53, 'HomFave']", "M33_V123 [0.54, 'HomFave']", "M34_V123 [0.54, 'HomFave']", "M35_V123 [0.55, 'HomFave']", "M36_V123 [0.54, 'HomFave']", "M37_V123 [0.56, 'HomFave']", "M38_V123 [0.55, 'HomFave']", "M39_V123 [0.53, 'HomFave']", "M40_V123 [0.55, 'HomFave']", "M41_V123 [0.54, 'HomFave']", "M42_V123 [0.53, 'HomFave']", "M43_V123 [0.51, 'HomFave']", "M44_V123 [0.51, 'HomFave']", "M45_V123 [0.53, 'HomFave']", "M46_V123 [0.52, 'HomFave']", "M47_V123 [0.53, 'HomFave']", "M48_V123 [0.44, 'VisDog']", "M49_V123 [0.57, 'HomFave']", "M50_V123 [0.55, 'HomFave']", "M51_V123 [0.56, 'HomFave']", "M52_V123 [0.52, 'HomFave']", "M53_V123 [0.53, 'HomFave']", "M54_V123 [0.52, 'HomFave']", "M55_V123 [0.55, 'HomFave']", "M56_V123 [0.48, 'VisDog']"]</t>
  </si>
  <si>
    <t>["M1_V119 [0.58, 'HomFave']", "M2_V119 [0.55, 'HomFave']", "M3_V119 [0.56, 'HomFave']", "M4_V119 [0.51, 'HomFave']", "M5_V119 [0.51, 'HomFave']", "M6_V119 [0.53, 'HomFave']", "M7_V119 [0.55, 'HomFave']", "M8_V119 [0.55, 'HomFave']", "M9_V119 [0.38, 'VisDog']", "M10_V119 [0.56, 'HomFave']", "M11_V119 [0.38, 'VisDog']", "M12_V119 [0.52, 'HomFave']", "M13_V119 [0.54, 'HomFave']", "M14_V119 [0.58, 'HomFave']", "M15_V119 [0.52, 'HomFave']"]</t>
  </si>
  <si>
    <t>["M1_V119 [0.53, 'HomFave']", "M2_V119 [0.54, 'HomFave']", "M3_V119 [0.55, 'HomFave']", "M4_V119 [0.5, 'HomFave']", "M5_V119 [0.5, 'HomFave']", "M6_V119 [0.5, 'HomFave']", "M7_V119 [0.54, 'HomFave']", "M8_V119 [0.53, 'HomFave']", "M9_V119 [0.47, 'VisDog']", "M10_V119 [0.51, 'HomFave']", "M11_V119 [0.44, 'VisDog']", "M12_V119 [0.48, 'VisDog']", "M13_V119 [0.5, 'HomFave']", "M14_V119 [0.51, 'HomFave']", "M15_V119 [0.43, 'VisDog']"]</t>
  </si>
  <si>
    <t>["M1_V119 [0.55, 'HomFave']", "M2_V119 [0.52, 'HomFave']", "M3_V119 [0.54, 'HomFave']", "M4_V119 [0.53, 'HomFave']", "M5_V119 [0.53, 'HomFave']", "M6_V119 [0.52, 'HomFave']", "M7_V119 [0.53, 'HomFave']", "M8_V119 [0.53, 'HomFave']", "M9_V119 [0.58, 'HomFave']", "M10_V119 [0.48, 'VisDog']", "M11_V119 [0.68, 'HomFave']", "M12_V119 [0.52, 'HomFave']", "M13_V119 [0.51, 'HomFave']", "M14_V119 [0.51, 'HomFave']", "M15_V119 [0.53, 'HomFave']"]</t>
  </si>
  <si>
    <t>["M16_V123 [0.56, 'HomFave']", "M17_V123 [0.54, 'HomFave']", "M18_V123 [0.54, 'HomFave']", "M19_V123 [0.54, 'HomFave']", "M20_V123 [0.56, 'HomFave']", "M21_V123 [0.54, 'HomFave']", "M22_V123 [0.54, 'HomFave']", "M23_V123 [0.55, 'HomFave']", "M24_V123 [0.54, 'HomFave']", "M25_V123 [0.54, 'HomFave']", "M26_V123 [0.51, 'HomFave']", "M27_V123 [0.51, 'HomFave']", "M28_V123 [0.56, 'HomFave']", "M29_V123 [0.54, 'HomFave']", "M30_V123 [0.52, 'HomFave']", "M31_V123 [0.62, 'HomFave']", "M32_V123 [0.52, 'HomFave']", "M33_V123 [0.55, 'HomFave']", "M34_V123 [0.55, 'HomFave']", "M35_V123 [0.51, 'HomFave']", "M36_V123 [0.51, 'HomFave']", "M37_V123 [0.54, 'HomFave']", "M38_V123 [0.55, 'HomFave']", "M39_V123 [0.53, 'HomFave']", "M40_V123 [0.54, 'HomFave']", "M41_V123 [0.54, 'HomFave']", "M42_V123 [0.51, 'HomFave']", "M43_V123 [0.53, 'HomFave']", "M44_V123 [0.54, 'HomFave']", "M45_V123 [0.52, 'HomFave']", "M46_V123 [0.51, 'HomFave']", "M47_V123 [0.54, 'HomFave']", "M48_V123 [0.53, 'HomFave']", "M49_V123 [0.52, 'HomFave']", "M50_V123 [0.53, 'HomFave']", "M51_V123 [0.54, 'HomFave']", "M52_V123 [0.55, 'HomFave']", "M53_V123 [0.52, 'HomFave']", "M54_V123 [0.54, 'HomFave']", "M55_V123 [0.54, 'HomFave']", "M56_V123 [0.45, 'VisDog']"]</t>
  </si>
  <si>
    <t>["M1_V119 [0.54, 'HomFave']", "M2_V119 [0.55, 'HomFave']", "M3_V119 [0.55, 'HomFave']", "M4_V119 [0.52, 'HomFave']", "M5_V119 [0.52, 'HomFave']", "M6_V119 [0.51, 'HomFave']", "M7_V119 [0.54, 'HomFave']", "M8_V119 [0.52, 'HomFave']", "M9_V119 [0.68, 'HomFave']", "M10_V119 [0.52, 'HomFave']", "M11_V119 [0.43, 'VisDog']", "M12_V119 [0.46, 'VisDog']", "M13_V119 [0.5, 'HomFave']", "M14_V119 [0.56, 'HomFave']", "M15_V119 [0.53, 'HomFave']"]</t>
  </si>
  <si>
    <t>["M16_V123 [0.53, 'HomFave']", "M17_V123 [0.55, 'HomFave']", "M18_V123 [0.55, 'HomFave']", "M19_V123 [0.54, 'HomFave']", "M20_V123 [0.57, 'HomFave']", "M21_V123 [0.54, 'HomFave']", "M22_V123 [0.53, 'HomFave']", "M23_V123 [0.56, 'HomFave']", "M24_V123 [0.54, 'HomFave']", "M25_V123 [0.55, 'HomFave']", "M26_V123 [0.55, 'HomFave']", "M27_V123 [0.53, 'HomFave']", "M28_V123 [0.54, 'HomFave']", "M29_V123 [0.54, 'HomFave']", "M30_V123 [0.54, 'HomFave']", "M31_V123 [0.55, 'HomFave']", "M32_V123 [0.55, 'HomFave']", "M33_V123 [0.57, 'HomFave']", "M34_V123 [0.57, 'HomFave']", "M35_V123 [0.53, 'HomFave']", "M36_V123 [0.53, 'HomFave']", "M37_V123 [0.57, 'HomFave']", "M38_V123 [0.57, 'HomFave']", "M39_V123 [0.55, 'HomFave']", "M40_V123 [0.54, 'HomFave']", "M41_V123 [0.53, 'HomFave']", "M42_V123 [0.53, 'HomFave']", "M43_V123 [0.53, 'HomFave']", "M44_V123 [0.54, 'HomFave']", "M45_V123 [0.54, 'HomFave']", "M46_V123 [0.53, 'HomFave']", "M47_V123 [0.56, 'HomFave']", "M48_V123 [0.56, 'HomFave']", "M49_V123 [0.54, 'HomFave']", "M50_V123 [0.51, 'HomFave']", "M51_V123 [0.56, 'HomFave']", "M52_V123 [0.56, 'HomFave']", "M53_V123 [0.52, 'HomFave']", "M54_V123 [0.54, 'HomFave']", "M55_V123 [0.55, 'HomFave']", "M56_V123 [0.53, 'HomFave']"]</t>
  </si>
  <si>
    <t>["M1_V119 [0.6, 'HomFave']", "M2_V119 [0.53, 'HomFave']", "M3_V119 [0.52, 'HomFave']", "M4_V119 [0.57, 'HomFave']", "M5_V119 [0.57, 'HomFave']", "M6_V119 [0.56, 'HomFave']", "M7_V119 [0.52, 'HomFave']", "M8_V119 [0.58, 'HomFave']", "M9_V119 [0.62, 'HomFave']", "M10_V119 [0.68, 'HomFave']", "M11_V119 [0.73, 'HomFave']", "M12_V119 [0.62, 'HomFave']", "M13_V119 [0.54, 'HomFave']", "M14_V119 [0.55, 'HomFave']", "M15_V119 [0.59, 'HomFave']"]</t>
  </si>
  <si>
    <t>["M16_V123 [0.56, 'HomFave']", "M17_V123 [0.49, 'VisDog']", "M18_V123 [0.53, 'HomFave']", "M19_V123 [0.51, 'HomFave']", "M20_V123 [0.53, 'HomFave']", "M21_V123 [0.55, 'HomFave']", "M22_V123 [0.51, 'HomFave']", "M23_V123 [0.52, 'HomFave']", "M24_V123 [0.51, 'HomFave']", "M25_V123 [0.48, 'VisDog']", "M26_V123 [0.49, 'VisDog']", "M27_V123 [0.5, 'HomFave']", "M28_V123 [0.59, 'HomFave']", "M29_V123 [0.49, 'VisDog']", "M30_V123 [0.5, 'HomFave']", "M31_V123 [0.71, 'HomFave']", "M32_V123 [0.51, 'HomFave']", "M33_V123 [0.54, 'HomFave']", "M34_V123 [0.53, 'HomFave']", "M35_V123 [0.5, 'HomFave']", "M36_V123 [0.5, 'HomFave']", "M37_V123 [0.52, 'HomFave']", "M38_V123 [0.51, 'HomFave']", "M39_V123 [0.55, 'HomFave']", "M40_V123 [0.51, 'HomFave']", "M41_V123 [0.49, 'VisDog']", "M42_V123 [0.5, 'HomFave']", "M43_V123 [0.52, 'HomFave']", "M44_V123 [0.53, 'HomFave']", "M45_V123 [0.5, 'HomFave']", "M46_V123 [0.47, 'VisDog']", "M47_V123 [0.51, 'HomFave']", "M48_V123 [0.71, 'HomFave']", "M49_V123 [0.52, 'HomFave']", "M50_V123 [0.47, 'VisDog']", "M51_V123 [0.52, 'HomFave']", "M52_V123 [0.52, 'HomFave']", "M53_V123 [0.49, 'VisDog']", "M54_V123 [0.5, 'HomFave']", "M55_V123 [0.5, 'HomFave']", "M56_V123 [0.6, 'HomFave']"]</t>
  </si>
  <si>
    <t>["M1_V119 [0.55, 'HomFave']", "M2_V119 [0.53, 'HomFave']", "M3_V119 [0.54, 'HomFave']", "M4_V119 [0.56, 'HomFave']", "M5_V119 [0.56, 'HomFave']", "M6_V119 [0.55, 'HomFave']", "M7_V119 [0.52, 'HomFave']", "M8_V119 [0.54, 'HomFave']", "M9_V119 [0.64, 'HomFave']", "M10_V119 [0.58, 'HomFave']", "M11_V119 [0.45, 'VisDog']", "M12_V119 [0.53, 'HomFave']", "M13_V119 [0.52, 'HomFave']", "M14_V119 [0.57, 'HomFave']", "M15_V119 [0.55, 'HomFave']"]</t>
  </si>
  <si>
    <t>["M16_V123 [0.53, 'HomFave']", "M17_V123 [0.53, 'HomFave']", "M18_V123 [0.54, 'HomFave']", "M19_V123 [0.54, 'HomFave']", "M20_V123 [0.57, 'HomFave']", "M21_V123 [0.53, 'HomFave']", "M22_V123 [0.53, 'HomFave']", "M23_V123 [0.54, 'HomFave']", "M24_V123 [0.53, 'HomFave']", "M25_V123 [0.51, 'HomFave']", "M26_V123 [0.54, 'HomFave']", "M27_V123 [0.54, 'HomFave']", "M28_V123 [0.51, 'HomFave']", "M29_V123 [0.53, 'HomFave']", "M30_V123 [0.5, 'HomFave']", "M31_V123 [0.74, 'HomFave']", "M32_V123 [0.53, 'HomFave']", "M33_V123 [0.52, 'HomFave']", "M34_V123 [0.52, 'HomFave']", "M35_V123 [0.51, 'HomFave']", "M36_V123 [0.49, 'VisDog']", "M37_V123 [0.54, 'HomFave']", "M38_V123 [0.54, 'HomFave']", "M39_V123 [0.52, 'HomFave']", "M40_V123 [0.51, 'HomFave']", "M41_V123 [0.51, 'HomFave']", "M42_V123 [0.52, 'HomFave']", "M43_V123 [0.51, 'HomFave']", "M44_V123 [0.49, 'VisDog']", "M45_V123 [0.51, 'HomFave']", "M46_V123 [0.5, 'HomFave']", "M47_V123 [0.53, 'HomFave']", "M48_V123 [0.66, 'HomFave']", "M49_V123 [0.52, 'HomFave']", "M50_V123 [0.54, 'HomFave']", "M51_V123 [0.53, 'HomFave']", "M52_V123 [0.54, 'HomFave']", "M53_V123 [0.52, 'HomFave']", "M54_V123 [0.52, 'HomFave']", "M55_V123 [0.52, 'HomFave']", "M56_V123 [0.56, 'HomFave']"]</t>
  </si>
  <si>
    <t>["M1_V119 [0.47, 'VisFave']", "M2_V119 [0.47, 'VisFave']", "M3_V119 [0.48, 'VisFave']", "M4_V119 [0.5, 'HomDog']", "M5_V119 [0.5, 'HomDog']", "M6_V119 [0.45, 'VisFave']", "M7_V119 [0.49, 'VisFave']", "M8_V119 [0.48, 'VisFave']", "M9_V119 [0.59, 'HomDog']", "M10_V119 [0.44, 'VisFave']", "M11_V119 [0.6, 'HomDog']", "M12_V119 [0.47, 'VisFave']", "M13_V119 [0.48, 'VisFave']", "M14_V119 [0.49, 'VisFave']", "M15_V119 [0.44, 'VisFave']"]</t>
  </si>
  <si>
    <t>["M16_V123 [0.48, 'VisFave']", "M17_V123 [0.51, 'HomDog']", "M18_V123 [0.52, 'HomDog']", "M19_V123 [0.52, 'HomDog']", "M20_V123 [0.52, 'HomDog']", "M21_V123 [0.52, 'HomDog']", "M22_V123 [0.5, 'HomDog']", "M23_V123 [0.51, 'HomDog']", "M24_V123 [0.52, 'HomDog']", "M25_V123 [0.51, 'HomDog']", "M26_V123 [0.52, 'HomDog']", "M27_V123 [0.52, 'HomDog']", "M28_V123 [0.53, 'HomDog']", "M29_V123 [0.53, 'HomDog']", "M30_V123 [0.51, 'HomDog']", "M31_V123 [0.3, 'VisFave']", "M32_V123 [0.51, 'HomDog']", "M33_V123 [0.55, 'HomDog']", "M34_V123 [0.51, 'HomDog']", "M35_V123 [0.53, 'HomDog']", "M36_V123 [0.54, 'HomDog']", "M37_V123 [0.54, 'HomDog']", "M38_V123 [0.5, 'HomDog']", "M39_V123 [0.46, 'VisFave']", "M40_V123 [0.53, 'HomDog']", "M41_V123 [0.49, 'VisFave']", "M42_V123 [0.51, 'HomDog']", "M43_V123 [0.51, 'HomDog']", "M44_V123 [0.53, 'HomDog']", "M45_V123 [0.51, 'HomDog']", "M46_V123 [0.51, 'HomDog']", "M47_V123 [0.52, 'HomDog']", "M48_V123 [0.51, 'HomDog']", "M49_V123 [0.49, 'VisFave']", "M50_V123 [0.51, 'HomDog']", "M51_V123 [0.53, 'HomDog']", "M52_V123 [0.53, 'HomDog']", "M53_V123 [0.5, 'HomDog']", "M54_V123 [0.53, 'HomDog']", "M55_V123 [0.52, 'HomDog']", "M56_V123 [0.52, 'HomDog']"]</t>
  </si>
  <si>
    <t>["M1_V119 [0.45, 'VisFave']", "M2_V119 [0.43, 'VisFave']", "M3_V119 [0.42, 'VisFave']", "M4_V119 [0.41, 'VisFave']", "M5_V119 [0.41, 'VisFave']", "M6_V119 [0.47, 'VisFave']", "M7_V119 [0.42, 'VisFave']", "M8_V119 [0.41, 'VisFave']", "M9_V119 [0.22, 'VisFave']", "M10_V119 [0.41, 'VisFave']", "M11_V119 [0.42, 'VisFave']", "M12_V119 [0.39, 'VisFave']", "M13_V119 [0.39, 'VisFave']", "M14_V119 [0.45, 'VisFave']", "M15_V119 [0.4, 'VisFave']"]</t>
  </si>
  <si>
    <t>["M16_V123 [0.44, 'VisFave']", "M17_V123 [0.46, 'VisFave']", "M18_V123 [0.47, 'VisFave']", "M19_V123 [0.46, 'VisFave']", "M20_V123 [0.44, 'VisFave']", "M21_V123 [0.45, 'VisFave']", "M22_V123 [0.45, 'VisFave']", "M23_V123 [0.47, 'VisFave']", "M24_V123 [0.47, 'VisFave']", "M25_V123 [0.41, 'VisFave']", "M26_V123 [0.45, 'VisFave']", "M27_V123 [0.45, 'VisFave']", "M28_V123 [0.33, 'VisFave']", "M29_V123 [0.45, 'VisFave']", "M30_V123 [0.46, 'VisFave']", "M31_V123 [0.4, 'VisFave']", "M32_V123 [0.45, 'VisFave']", "M33_V123 [0.46, 'VisFave']", "M34_V123 [0.46, 'VisFave']", "M35_V123 [0.48, 'VisFave']", "M36_V123 [0.41, 'VisFave']", "M37_V123 [0.45, 'VisFave']", "M38_V123 [0.43, 'VisFave']", "M39_V123 [0.39, 'VisFave']", "M40_V123 [0.44, 'VisFave']", "M41_V123 [0.44, 'VisFave']", "M42_V123 [0.43, 'VisFave']", "M43_V123 [0.41, 'VisFave']", "M44_V123 [0.4, 'VisFave']", "M45_V123 [0.46, 'VisFave']", "M46_V123 [0.44, 'VisFave']", "M47_V123 [0.44, 'VisFave']", "M48_V123 [0.54, 'HomDog']", "M49_V123 [0.48, 'VisFave']", "M50_V123 [0.44, 'VisFave']", "M51_V123 [0.46, 'VisFave']", "M52_V123 [0.47, 'VisFave']", "M53_V123 [0.45, 'VisFave']", "M54_V123 [0.45, 'VisFave']", "M55_V123 [0.44, 'VisFave']", "M56_V123 [0.42, 'VisFave']"]</t>
  </si>
  <si>
    <t>["M1_V119 [0.49, 'VisDog']", "M2_V119 [0.48, 'VisDog']", "M3_V119 [0.52, 'HomFave']", "M4_V119 [0.48, 'VisDog']", "M5_V119 [0.48, 'VisDog']", "M6_V119 [0.5, 'HomFave']", "M7_V119 [0.52, 'HomFave']", "M8_V119 [0.5, 'HomFave']", "M9_V119 [0.51, 'HomFave']", "M10_V119 [0.47, 'VisDog']", "M11_V119 [0.45, 'VisDog']", "M12_V119 [0.47, 'VisDog']", "M13_V119 [0.49, 'VisDog']", "M14_V119 [0.56, 'HomFave']", "M15_V119 [0.47, 'VisDog']"]</t>
  </si>
  <si>
    <t>["M16_V123 [0.54, 'HomFave']", "M17_V123 [0.53, 'HomFave']", "M18_V123 [0.53, 'HomFave']", "M19_V123 [0.53, 'HomFave']", "M20_V123 [0.55, 'HomFave']", "M21_V123 [0.55, 'HomFave']", "M22_V123 [0.52, 'HomFave']", "M23_V123 [0.54, 'HomFave']", "M24_V123 [0.55, 'HomFave']", "M25_V123 [0.57, 'HomFave']", "M26_V123 [0.52, 'HomFave']", "M27_V123 [0.54, 'HomFave']", "M28_V123 [0.56, 'HomFave']", "M29_V123 [0.54, 'HomFave']", "M30_V123 [0.52, 'HomFave']", "M31_V123 [0.55, 'HomFave']", "M32_V123 [0.54, 'HomFave']", "M33_V123 [0.56, 'HomFave']", "M34_V123 [0.56, 'HomFave']", "M35_V123 [0.56, 'HomFave']", "M36_V123 [0.56, 'HomFave']", "M37_V123 [0.54, 'HomFave']", "M38_V123 [0.52, 'HomFave']", "M39_V123 [0.58, 'HomFave']", "M40_V123 [0.52, 'HomFave']", "M41_V123 [0.52, 'HomFave']", "M42_V123 [0.47, 'VisDog']", "M43_V123 [0.54, 'HomFave']", "M44_V123 [0.54, 'HomFave']", "M45_V123 [0.53, 'HomFave']", "M46_V123 [0.53, 'HomFave']", "M47_V123 [0.55, 'HomFave']", "M48_V123 [0.7, 'HomFave']", "M49_V123 [0.55, 'HomFave']", "M50_V123 [0.52, 'HomFave']", "M51_V123 [0.57, 'HomFave']", "M52_V123 [0.56, 'HomFave']", "M53_V123 [0.55, 'HomFave']", "M54_V123 [0.54, 'HomFave']", "M55_V123 [0.52, 'HomFave']", "M56_V123 [0.6, 'HomFave']"]</t>
  </si>
  <si>
    <t>["M1_V119 [0.46, 'VisFave']", "M2_V119 [0.5, 'HomDog']", "M3_V119 [0.48, 'VisFave']", "M4_V119 [0.43, 'VisFave']", "M5_V119 [0.43, 'VisFave']", "M6_V119 [0.44, 'VisFave']", "M7_V119 [0.47, 'VisFave']", "M8_V119 [0.45, 'VisFave']", "M9_V119 [0.47, 'VisFave']", "M10_V119 [0.43, 'VisFave']", "M11_V119 [0.57, 'HomDog']", "M12_V119 [0.46, 'VisFave']", "M13_V119 [0.43, 'VisFave']", "M14_V119 [0.42, 'VisFave']", "M15_V119 [0.47, 'VisFave']"]</t>
  </si>
  <si>
    <t>["M16_V123 [0.5, 'HomDog']", "M17_V123 [0.48, 'VisFave']", "M18_V123 [0.5, 'HomDog']", "M19_V123 [0.49, 'VisFave']", "M20_V123 [0.5, 'HomDog']", "M21_V123 [0.51, 'HomDog']", "M22_V123 [0.49, 'VisFave']", "M23_V123 [0.49, 'VisFave']", "M24_V123 [0.47, 'VisFave']", "M25_V123 [0.47, 'VisFave']", "M26_V123 [0.48, 'VisFave']", "M27_V123 [0.52, 'HomDog']", "M28_V123 [0.44, 'VisFave']", "M29_V123 [0.5, 'HomDog']", "M30_V123 [0.47, 'VisFave']", "M31_V123 [0.3, 'VisFave']", "M32_V123 [0.48, 'VisFave']", "M33_V123 [0.5, 'HomDog']", "M34_V123 [0.47, 'VisFave']", "M35_V123 [0.48, 'VisFave']", "M36_V123 [0.51, 'HomDog']", "M37_V123 [0.5, 'HomDog']", "M38_V123 [0.46, 'VisFave']", "M39_V123 [0.5, 'HomDog']", "M40_V123 [0.47, 'VisFave']", "M41_V123 [0.49, 'VisFave']", "M42_V123 [0.5, 'HomDog']", "M43_V123 [0.47, 'VisFave']", "M44_V123 [0.49, 'VisFave']", "M45_V123 [0.47, 'VisFave']", "M46_V123 [0.49, 'VisFave']", "M47_V123 [0.49, 'VisFave']", "M48_V123 [0.55, 'HomDog']", "M49_V123 [0.51, 'HomDog']", "M50_V123 [0.46, 'VisFave']", "M51_V123 [0.5, 'HomDog']", "M52_V123 [0.48, 'VisFave']", "M53_V123 [0.46, 'VisFave']", "M54_V123 [0.47, 'VisFave']", "M55_V123 [0.47, 'VisFave']", "M56_V123 [0.51, 'HomDog']"]</t>
  </si>
  <si>
    <t>["M1_V119 [0.54, 'HomFave']", "M2_V119 [0.52, 'HomFave']", "M3_V119 [0.55, 'HomFave']", "M4_V119 [0.54, 'HomFave']", "M5_V119 [0.54, 'HomFave']", "M6_V119 [0.54, 'HomFave']", "M7_V119 [0.54, 'HomFave']", "M8_V119 [0.54, 'HomFave']", "M9_V119 [0.45, 'VisDog']", "M10_V119 [0.44, 'VisDog']", "M11_V119 [0.41, 'VisDog']", "M12_V119 [0.57, 'HomFave']", "M13_V119 [0.53, 'HomFave']", "M14_V119 [0.57, 'HomFave']", "M15_V119 [0.48, 'VisDog']"]</t>
  </si>
  <si>
    <t>["M16_V123 [0.5, 'HomFave']", "M17_V123 [0.5, 'HomFave']", "M18_V123 [0.5, 'HomFave']", "M19_V123 [0.52, 'HomFave']", "M20_V123 [0.51, 'HomFave']", "M21_V123 [0.53, 'HomFave']", "M22_V123 [0.5, 'HomFave']", "M23_V123 [0.51, 'HomFave']", "M24_V123 [0.52, 'HomFave']", "M25_V123 [0.48, 'VisDog']", "M26_V123 [0.5, 'HomFave']", "M27_V123 [0.48, 'VisDog']", "M28_V123 [0.49, 'VisDog']", "M29_V123 [0.48, 'VisDog']", "M30_V123 [0.5, 'HomFave']", "M31_V123 [0.79, 'HomFave']", "M32_V123 [0.48, 'VisDog']", "M33_V123 [0.5, 'HomFave']", "M34_V123 [0.52, 'HomFave']", "M35_V123 [0.43, 'VisDog']", "M36_V123 [0.49, 'VisDog']", "M37_V123 [0.48, 'VisDog']", "M38_V123 [0.5, 'HomFave']", "M39_V123 [0.52, 'HomFave']", "M40_V123 [0.49, 'VisDog']", "M41_V123 [0.51, 'HomFave']", "M42_V123 [0.52, 'HomFave']", "M43_V123 [0.51, 'HomFave']", "M44_V123 [0.5, 'HomFave']", "M45_V123 [0.49, 'VisDog']", "M46_V123 [0.45, 'VisDog']", "M47_V123 [0.5, 'HomFave']", "M48_V123 [0.6, 'HomFave']", "M49_V123 [0.48, 'VisDog']", "M50_V123 [0.48, 'VisDog']", "M51_V123 [0.52, 'HomFave']", "M52_V123 [0.52, 'HomFave']", "M53_V123 [0.48, 'VisDog']", "M54_V123 [0.52, 'HomFave']", "M55_V123 [0.51, 'HomFave']", "M56_V123 [0.63, 'HomFave']"]</t>
  </si>
  <si>
    <t>["M1_V119 [0.47, 'VisFave']", "M2_V119 [0.49, 'VisFave']", "M3_V119 [0.49, 'VisFave']", "M4_V119 [0.46, 'VisFave']", "M5_V119 [0.46, 'VisFave']", "M6_V119 [0.45, 'VisFave']", "M7_V119 [0.49, 'VisFave']", "M8_V119 [0.46, 'VisFave']", "M9_V119 [0.63, 'HomDog']", "M10_V119 [0.41, 'VisFave']", "M11_V119 [0.64, 'HomDog']", "M12_V119 [0.49, 'VisFave']", "M13_V119 [0.45, 'VisFave']", "M14_V119 [0.51, 'HomDog']", "M15_V119 [0.45, 'VisFave']"]</t>
  </si>
  <si>
    <t>["M16_V123 [0.51, 'HomDog']", "M17_V123 [0.55, 'HomDog']", "M18_V123 [0.55, 'HomDog']", "M19_V123 [0.53, 'HomDog']", "M20_V123 [0.57, 'HomDog']", "M21_V123 [0.54, 'HomDog']", "M22_V123 [0.51, 'HomDog']", "M23_V123 [0.53, 'HomDog']", "M24_V123 [0.54, 'HomDog']", "M25_V123 [0.54, 'HomDog']", "M26_V123 [0.52, 'HomDog']", "M27_V123 [0.51, 'HomDog']", "M28_V123 [0.55, 'HomDog']", "M29_V123 [0.53, 'HomDog']", "M30_V123 [0.51, 'HomDog']", "M31_V123 [0.7, 'HomDog']", "M32_V123 [0.52, 'HomDog']", "M33_V123 [0.56, 'HomDog']", "M34_V123 [0.53, 'HomDog']", "M35_V123 [0.55, 'HomDog']", "M36_V123 [0.54, 'HomDog']", "M37_V123 [0.56, 'HomDog']", "M38_V123 [0.5, 'HomDog']", "M39_V123 [0.51, 'HomDog']", "M40_V123 [0.53, 'HomDog']", "M41_V123 [0.52, 'HomDog']", "M42_V123 [0.49, 'VisFave']", "M43_V123 [0.54, 'HomDog']", "M44_V123 [0.54, 'HomDog']", "M45_V123 [0.53, 'HomDog']", "M46_V123 [0.51, 'HomDog']", "M47_V123 [0.53, 'HomDog']", "M48_V123 [0.6, 'HomDog']", "M49_V123 [0.54, 'HomDog']", "M50_V123 [0.51, 'HomDog']", "M51_V123 [0.54, 'HomDog']", "M52_V123 [0.55, 'HomDog']", "M53_V123 [0.54, 'HomDog']", "M54_V123 [0.55, 'HomDog']", "M55_V123 [0.53, 'HomDog']", "M56_V123 [0.44, 'VisFave']"]</t>
  </si>
  <si>
    <t>["M1_V119 [0.62, 'HomFave']", "M2_V119 [0.6, 'HomFave']", "M3_V119 [0.61, 'HomFave']", "M4_V119 [0.59, 'HomFave']", "M5_V119 [0.59, 'HomFave']", "M6_V119 [0.59, 'HomFave']", "M7_V119 [0.6, 'HomFave']", "M8_V119 [0.58, 'HomFave']", "M9_V119 [0.79, 'HomFave']", "M10_V119 [0.69, 'HomFave']", "M11_V119 [0.77, 'HomFave']", "M12_V119 [0.7, 'HomFave']", "M13_V119 [0.57, 'HomFave']", "M14_V119 [0.59, 'HomFave']", "M15_V119 [0.62, 'HomFave']"]</t>
  </si>
  <si>
    <t>["M16_V123 [0.6, 'HomFave']", "M17_V123 [0.58, 'HomFave']", "M18_V123 [0.6, 'HomFave']", "M19_V123 [0.57, 'HomFave']", "M20_V123 [0.58, 'HomFave']", "M21_V123 [0.59, 'HomFave']", "M22_V123 [0.58, 'HomFave']", "M23_V123 [0.57, 'HomFave']", "M24_V123 [0.59, 'HomFave']", "M25_V123 [0.59, 'HomFave']", "M26_V123 [0.58, 'HomFave']", "M27_V123 [0.56, 'HomFave']", "M28_V123 [0.65, 'HomFave']", "M29_V123 [0.57, 'HomFave']", "M30_V123 [0.57, 'HomFave']", "M31_V123 [0.76, 'HomFave']", "M32_V123 [0.57, 'HomFave']", "M33_V123 [0.6, 'HomFave']", "M34_V123 [0.63, 'HomFave']", "M35_V123 [0.55, 'HomFave']", "M36_V123 [0.57, 'HomFave']", "M37_V123 [0.59, 'HomFave']", "M38_V123 [0.61, 'HomFave']", "M39_V123 [0.64, 'HomFave']", "M40_V123 [0.57, 'HomFave']", "M41_V123 [0.56, 'HomFave']", "M42_V123 [0.5, 'HomFave']", "M43_V123 [0.58, 'HomFave']", "M44_V123 [0.61, 'HomFave']", "M45_V123 [0.57, 'HomFave']", "M46_V123 [0.57, 'HomFave']", "M47_V123 [0.59, 'HomFave']", "M48_V123 [0.74, 'HomFave']", "M49_V123 [0.54, 'HomFave']", "M50_V123 [0.61, 'HomFave']", "M51_V123 [0.61, 'HomFave']", "M52_V123 [0.6, 'HomFave']", "M53_V123 [0.58, 'HomFave']", "M54_V123 [0.59, 'HomFave']", "M55_V123 [0.6, 'HomFave']", "M56_V123 [0.6, 'HomFave']"]</t>
  </si>
  <si>
    <t>["M1_V119 [0.5, 'HomFave']", "M2_V119 [0.51, 'HomFave']", "M3_V119 [0.53, 'HomFave']", "M4_V119 [0.5, 'HomFave']", "M5_V119 [0.5, 'HomFave']", "M6_V119 [0.54, 'HomFave']", "M7_V119 [0.52, 'HomFave']", "M8_V119 [0.51, 'HomFave']", "M9_V119 [0.48, 'VisDog']", "M10_V119 [0.58, 'HomFave']", "M11_V119 [0.57, 'HomFave']", "M12_V119 [0.64, 'HomFave']", "M13_V119 [0.51, 'HomFave']", "M14_V119 [0.54, 'HomFave']", "M15_V119 [0.58, 'HomFave']"]</t>
  </si>
  <si>
    <t>["M16_V123 [0.49, 'VisDog']", "M17_V123 [0.5, 'HomFave']", "M18_V123 [0.51, 'HomFave']", "M19_V123 [0.52, 'HomFave']", "M20_V123 [0.52, 'HomFave']", "M21_V123 [0.52, 'HomFave']", "M22_V123 [0.5, 'HomFave']", "M23_V123 [0.52, 'HomFave']", "M24_V123 [0.51, 'HomFave']", "M25_V123 [0.51, 'HomFave']", "M26_V123 [0.5, 'HomFave']", "M27_V123 [0.51, 'HomFave']", "M28_V123 [0.57, 'HomFave']", "M29_V123 [0.5, 'HomFave']", "M30_V123 [0.48, 'VisDog']", "M31_V123 [0.56, 'HomFave']", "M32_V123 [0.51, 'HomFave']", "M33_V123 [0.52, 'HomFave']", "M34_V123 [0.54, 'HomFave']", "M35_V123 [0.51, 'HomFave']", "M36_V123 [0.5, 'HomFave']", "M37_V123 [0.54, 'HomFave']", "M38_V123 [0.55, 'HomFave']", "M39_V123 [0.56, 'HomFave']", "M40_V123 [0.51, 'HomFave']", "M41_V123 [0.5, 'HomFave']", "M42_V123 [0.51, 'HomFave']", "M43_V123 [0.52, 'HomFave']", "M44_V123 [0.5, 'HomFave']", "M45_V123 [0.52, 'HomFave']", "M46_V123 [0.53, 'HomFave']", "M47_V123 [0.54, 'HomFave']", "M48_V123 [0.65, 'HomFave']", "M49_V123 [0.53, 'HomFave']", "M50_V123 [0.51, 'HomFave']", "M51_V123 [0.52, 'HomFave']", "M52_V123 [0.5, 'HomFave']", "M53_V123 [0.47, 'VisDog']", "M54_V123 [0.54, 'HomFave']", "M55_V123 [0.51, 'HomFave']", "M56_V123 [0.5, 'HomFave']"]</t>
  </si>
  <si>
    <t>["M1_V119 [0.53, 'HomFave']", "M2_V119 [0.51, 'HomFave']", "M3_V119 [0.51, 'HomFave']", "M4_V119 [0.51, 'HomFave']", "M5_V119 [0.51, 'HomFave']", "M6_V119 [0.53, 'HomFave']", "M7_V119 [0.5, 'HomFave']", "M8_V119 [0.49, 'VisDog']", "M9_V119 [0.53, 'HomFave']", "M10_V119 [0.57, 'HomFave']", "M11_V119 [0.4, 'VisDog']", "M12_V119 [0.55, 'HomFave']", "M13_V119 [0.49, 'VisDog']", "M14_V119 [0.57, 'HomFave']", "M15_V119 [0.47, 'VisDog']"]</t>
  </si>
  <si>
    <t>["M16_V123 [0.45, 'VisDog']", "M17_V123 [0.48, 'VisDog']", "M18_V123 [0.46, 'VisDog']", "M19_V123 [0.49, 'VisDog']", "M20_V123 [0.49, 'VisDog']", "M21_V123 [0.51, 'HomFave']", "M22_V123 [0.49, 'VisDog']", "M23_V123 [0.51, 'HomFave']", "M24_V123 [0.5, 'HomFave']", "M25_V123 [0.47, 'VisDog']", "M26_V123 [0.48, 'VisDog']", "M27_V123 [0.48, 'VisDog']", "M28_V123 [0.43, 'VisDog']", "M29_V123 [0.5, 'HomFave']", "M30_V123 [0.49, 'VisDog']", "M31_V123 [0.51, 'HomFave']", "M32_V123 [0.47, 'VisDog']", "M33_V123 [0.52, 'HomFave']", "M34_V123 [0.48, 'VisDog']", "M35_V123 [0.47, 'VisDog']", "M36_V123 [0.49, 'VisDog']", "M37_V123 [0.48, 'VisDog']", "M38_V123 [0.47, 'VisDog']", "M39_V123 [0.51, 'HomFave']", "M40_V123 [0.52, 'HomFave']", "M41_V123 [0.5, 'HomFave']", "M42_V123 [0.5, 'HomFave']", "M43_V123 [0.48, 'VisDog']", "M44_V123 [0.48, 'VisDog']", "M45_V123 [0.49, 'VisDog']", "M46_V123 [0.46, 'VisDog']", "M47_V123 [0.48, 'VisDog']", "M48_V123 [0.33, 'VisDog']", "M49_V123 [0.53, 'HomFave']", "M50_V123 [0.45, 'VisDog']", "M51_V123 [0.48, 'VisDog']", "M52_V123 [0.5, 'HomFave']", "M53_V123 [0.47, 'VisDog']", "M54_V123 [0.49, 'VisDog']", "M55_V123 [0.47, 'VisDog']", "M56_V123 [0.34, 'VisDog']"]</t>
  </si>
  <si>
    <t>["M1_V119 [0.59, 'HomFave']", "M2_V119 [0.54, 'HomFave']", "M3_V119 [0.57, 'HomFave']", "M4_V119 [0.53, 'HomFave']", "M5_V119 [0.53, 'HomFave']", "M6_V119 [0.55, 'HomFave']", "M7_V119 [0.55, 'HomFave']", "M8_V119 [0.55, 'HomFave']", "M9_V119 [0.4, 'VisDog']", "M10_V119 [0.62, 'HomFave']", "M11_V119 [0.56, 'HomFave']", "M12_V119 [0.55, 'HomFave']", "M13_V119 [0.54, 'HomFave']", "M14_V119 [0.58, 'HomFave']", "M15_V119 [0.48, 'VisDog']"]</t>
  </si>
  <si>
    <t>["M1_V119 [0.52, 'HomFave']", "M2_V119 [0.53, 'HomFave']", "M3_V119 [0.53, 'HomFave']", "M4_V119 [0.53, 'HomFave']", "M5_V119 [0.53, 'HomFave']", "M6_V119 [0.51, 'HomFave']", "M7_V119 [0.53, 'HomFave']", "M8_V119 [0.52, 'HomFave']", "M9_V119 [0.28, 'VisDog']", "M10_V119 [0.46, 'VisDog']", "M11_V119 [0.35, 'VisDog']", "M12_V119 [0.45, 'VisDog']", "M13_V119 [0.5, 'HomFave']", "M14_V119 [0.56, 'HomFave']", "M15_V119 [0.38, 'VisDog']"]</t>
  </si>
  <si>
    <t>["M1_V119 [0.57, 'HomFave']", "M2_V119 [0.54, 'HomFave']", "M3_V119 [0.55, 'HomFave']", "M4_V119 [0.54, 'HomFave']", "M5_V119 [0.54, 'HomFave']", "M6_V119 [0.54, 'HomFave']", "M7_V119 [0.53, 'HomFave']", "M8_V119 [0.52, 'HomFave']", "M9_V119 [0.5, 'HomFave']", "M10_V119 [0.46, 'VisDog']", "M11_V119 [0.37, 'VisDog']", "M12_V119 [0.39, 'VisDog']", "M13_V119 [0.51, 'HomFave']", "M14_V119 [0.59, 'HomFave']", "M15_V119 [0.5, 'HomFave']"]</t>
  </si>
  <si>
    <t>["M16_V123 [0.51, 'HomFave']", "M17_V123 [0.54, 'HomFave']", "M18_V123 [0.53, 'HomFave']", "M19_V123 [0.52, 'HomFave']", "M20_V123 [0.57, 'HomFave']", "M21_V123 [0.52, 'HomFave']", "M22_V123 [0.53, 'HomFave']", "M23_V123 [0.53, 'HomFave']", "M24_V123 [0.53, 'HomFave']", "M25_V123 [0.53, 'HomFave']", "M26_V123 [0.52, 'HomFave']", "M27_V123 [0.51, 'HomFave']", "M28_V123 [0.51, 'HomFave']", "M29_V123 [0.52, 'HomFave']", "M30_V123 [0.54, 'HomFave']", "M31_V123 [0.44, 'VisDog']", "M32_V123 [0.52, 'HomFave']", "M33_V123 [0.54, 'HomFave']", "M34_V123 [0.53, 'HomFave']", "M35_V123 [0.51, 'HomFave']", "M36_V123 [0.52, 'HomFave']", "M37_V123 [0.55, 'HomFave']", "M38_V123 [0.53, 'HomFave']", "M39_V123 [0.48, 'VisDog']", "M40_V123 [0.53, 'HomFave']", "M41_V123 [0.53, 'HomFave']", "M42_V123 [0.52, 'HomFave']", "M43_V123 [0.53, 'HomFave']", "M44_V123 [0.49, 'VisDog']", "M45_V123 [0.52, 'HomFave']", "M46_V123 [0.51, 'HomFave']", "M47_V123 [0.53, 'HomFave']", "M48_V123 [0.23, 'VisDog']", "M49_V123 [0.52, 'HomFave']", "M50_V123 [0.52, 'HomFave']", "M51_V123 [0.51, 'HomFave']", "M52_V123 [0.53, 'HomFave']", "M53_V123 [0.53, 'HomFave']", "M54_V123 [0.54, 'HomFave']", "M55_V123 [0.53, 'HomFave']", "M56_V123 [0.21, 'VisDog']"]</t>
  </si>
  <si>
    <t>["M1_V119 [0.58, 'HomFave']", "M2_V119 [0.57, 'HomFave']", "M3_V119 [0.55, 'HomFave']", "M4_V119 [0.55, 'HomFave']", "M5_V119 [0.55, 'HomFave']", "M6_V119 [0.56, 'HomFave']", "M7_V119 [0.55, 'HomFave']", "M8_V119 [0.55, 'HomFave']", "M9_V119 [0.63, 'HomFave']", "M10_V119 [0.6, 'HomFave']", "M11_V119 [0.57, 'HomFave']", "M12_V119 [0.52, 'HomFave']", "M13_V119 [0.56, 'HomFave']", "M14_V119 [0.59, 'HomFave']", "M15_V119 [0.5, 'HomFave']"]</t>
  </si>
  <si>
    <t>["M16_V123 [0.54, 'HomFave']", "M17_V123 [0.52, 'HomFave']", "M18_V123 [0.53, 'HomFave']", "M19_V123 [0.53, 'HomFave']", "M20_V123 [0.59, 'HomFave']", "M21_V123 [0.54, 'HomFave']", "M22_V123 [0.53, 'HomFave']", "M23_V123 [0.53, 'HomFave']", "M24_V123 [0.52, 'HomFave']", "M25_V123 [0.53, 'HomFave']", "M26_V123 [0.53, 'HomFave']", "M27_V123 [0.53, 'HomFave']", "M28_V123 [0.56, 'HomFave']", "M29_V123 [0.53, 'HomFave']", "M30_V123 [0.55, 'HomFave']", "M31_V123 [0.65, 'HomFave']", "M32_V123 [0.53, 'HomFave']", "M33_V123 [0.54, 'HomFave']", "M34_V123 [0.52, 'HomFave']", "M35_V123 [0.54, 'HomFave']", "M36_V123 [0.54, 'HomFave']", "M37_V123 [0.56, 'HomFave']", "M38_V123 [0.51, 'HomFave']", "M39_V123 [0.51, 'HomFave']", "M40_V123 [0.51, 'HomFave']", "M41_V123 [0.5, 'HomFave']", "M42_V123 [0.53, 'HomFave']", "M43_V123 [0.51, 'HomFave']", "M44_V123 [0.54, 'HomFave']", "M45_V123 [0.52, 'HomFave']", "M46_V123 [0.52, 'HomFave']", "M47_V123 [0.52, 'HomFave']", "M48_V123 [0.6, 'HomFave']", "M49_V123 [0.53, 'HomFave']", "M50_V123 [0.49, 'VisDog']", "M51_V123 [0.55, 'HomFave']", "M52_V123 [0.53, 'HomFave']", "M53_V123 [0.52, 'HomFave']", "M54_V123 [0.54, 'HomFave']", "M55_V123 [0.5, 'HomFave']", "M56_V123 [0.47, 'VisDog']"]</t>
  </si>
  <si>
    <t>20260606_MWK6.1_PIT@ATL_-110</t>
  </si>
  <si>
    <t>20260606_MWK6.1_WAS@ARZ_-155</t>
  </si>
  <si>
    <t>20260606_MWK6.1_SF@CHC_-140</t>
  </si>
  <si>
    <t>20260606_MWK6.1_MLW@COL_214</t>
  </si>
  <si>
    <t>20260606_MWK6.1_SEA@DET_116</t>
  </si>
  <si>
    <t>20260606_MWK6.1_OAK@HOU_-107</t>
  </si>
  <si>
    <t>20260606_MWK6.1_LAA@LA_-312</t>
  </si>
  <si>
    <t>20260606_MWK6.1_KC@MIN_-145</t>
  </si>
  <si>
    <t>20260606_MWK6.1_BOS@NYY_-133</t>
  </si>
  <si>
    <t>20260606_MWK6.1_CWS@PHI_-123</t>
  </si>
  <si>
    <t>20260606_MWK6.1_NYM@SD_104</t>
  </si>
  <si>
    <t>20260606_MWK6.1_CIN@STL_-125</t>
  </si>
  <si>
    <t>20260606_MWK6.1_CLE@TEX_-107</t>
  </si>
  <si>
    <t>20260608_MWK6.2_MLW@OAK_130</t>
  </si>
  <si>
    <t>20260608_MWK6.2_CIN@SD_-128</t>
  </si>
  <si>
    <t>20260608_MWK6.2_BOS@TB_-102</t>
  </si>
  <si>
    <t>20260608_MWK6.2_PHI@TOR_154</t>
  </si>
  <si>
    <t>20260609_MWK6.2_SEA@BAL_103</t>
  </si>
  <si>
    <t>20260609_MWK6.2_NYY@CLE_107</t>
  </si>
  <si>
    <t>20260609_MWK6.2_ARZ@FLO_-135</t>
  </si>
  <si>
    <t>20260609_MWK6.2_TEX@KC_110</t>
  </si>
  <si>
    <t>20260609_MWK6.2_STL@NYM_-125</t>
  </si>
  <si>
    <t>20260609_MWK6.2_LA@PIT_-112</t>
  </si>
  <si>
    <t>20260609_MWK6.2_CIN@SD_114</t>
  </si>
  <si>
    <t>20260609_MWK6.2_WAS@SF_-104</t>
  </si>
  <si>
    <t>20260609_MWK6.2_BOS@TB_107</t>
  </si>
  <si>
    <t>20260609_MWK6.2_PHI@TOR_-107</t>
  </si>
  <si>
    <t>20260611_MWK6.2_SEA@BAL_100</t>
  </si>
  <si>
    <t>20260611_MWK6.2_CHC@COL_132</t>
  </si>
  <si>
    <t>20260611_MWK6.2_ATL@CWS_104</t>
  </si>
  <si>
    <t>20260611_MWK6.2_MIN@DET_-120</t>
  </si>
  <si>
    <t>20260611_MWK6.2_ARZ@FLO_-108</t>
  </si>
  <si>
    <t>20260611_MWK6.2_TEX@KC_-115</t>
  </si>
  <si>
    <t>20260611_MWK6.2_STL@NYM_-135</t>
  </si>
  <si>
    <t>20260611_MWK6.2_LA@PIT_137</t>
  </si>
  <si>
    <t>20260612_MWK6.2_SD@BAL_-122</t>
  </si>
  <si>
    <t>20260612_MWK6.2_TEX@BOS_-126</t>
  </si>
  <si>
    <t>20260612_MWK6.2_TB@LAA_148</t>
  </si>
  <si>
    <t>20260612_MWK6.2_ARZ@CIN_-110</t>
  </si>
  <si>
    <t>20260612_MWK6.2_DET@CLE_-116</t>
  </si>
  <si>
    <t>20260612_MWK6.2_LA@CWS_134</t>
  </si>
  <si>
    <t>20260612_MWK6.2_STL@MIN_-130</t>
  </si>
  <si>
    <t>20260612_MWK6.2_SEA@WAS_126</t>
  </si>
  <si>
    <t>20260612_MWK6.2_PHI@MLW_-236</t>
  </si>
  <si>
    <t>20260612_MWK6.2_ATL@NYM_-123</t>
  </si>
  <si>
    <t>20260612_MWK6.2_COL@OAK_-207</t>
  </si>
  <si>
    <t>20260612_MWK6.2_FLO@PIT_-137</t>
  </si>
  <si>
    <t>20260612_MWK6.2_CHC@SF_-120</t>
  </si>
  <si>
    <t>20260612_MWK6.2_NYY@TOR_-108</t>
  </si>
  <si>
    <t>20260615_MWK6.3_LAA@ARZ_-125</t>
  </si>
  <si>
    <t>20260615_MWK6.3_COL@CHC_-205</t>
  </si>
  <si>
    <t>20260615_MWK6.3_NYM@CIN_-131</t>
  </si>
  <si>
    <t>20260615_MWK6.3_DET@HOU_-114</t>
  </si>
  <si>
    <t>20260615_MWK6.3_TB@LA_-172</t>
  </si>
  <si>
    <t>20260615_MWK6.3_FLO@PHI_-186</t>
  </si>
  <si>
    <t>20260615_MWK6.3_MIN@TEX_-150</t>
  </si>
  <si>
    <t>20260618_MWK6.3_SF@ATL_-130</t>
  </si>
  <si>
    <t>20260618_MWK6.3_TOR@BOS_-131</t>
  </si>
  <si>
    <t>20260618_MWK6.3_STL@KC_-111</t>
  </si>
  <si>
    <t>20260618_MWK6.3_CLE@MLW_-138</t>
  </si>
  <si>
    <t>20260618_MWK6.3_CWS@NYY_-157</t>
  </si>
  <si>
    <t>20260618_MWK6.3_LAA@OAK_-133</t>
  </si>
  <si>
    <t>20260618_MWK6.3_NYM@PHI_-114</t>
  </si>
  <si>
    <t>20260618_MWK6.3_BAL@SEA_-133</t>
  </si>
  <si>
    <t>20260618_MWK6.3_MIN@TEX_108</t>
  </si>
  <si>
    <t>20260620_MWK6.3_MLW@ATL_-128</t>
  </si>
  <si>
    <t>20260620_MWK6.3_MIN@ARZ_-125</t>
  </si>
  <si>
    <t>20260620_MWK6.3_PIT@COL_183</t>
  </si>
  <si>
    <t>20260620_MWK6.3_CWS@DET_-115</t>
  </si>
  <si>
    <t>20260620_MWK6.3_SF@FLO_-137</t>
  </si>
  <si>
    <t>20260620_MWK6.3_CLE@HOU_-139</t>
  </si>
  <si>
    <t>20260620_MWK6.3_BAL@LA_-217</t>
  </si>
  <si>
    <t>20260620_MWK6.3_CIN@NYY_-199</t>
  </si>
  <si>
    <t>20260620_MWK6.3_LAA@OAK_-163</t>
  </si>
  <si>
    <t>20260620_MWK6.3_NYM@PHI_-183</t>
  </si>
  <si>
    <t>20260620_MWK6.3_BOS@SEA_-116</t>
  </si>
  <si>
    <t>20260620_MWK6.3_WAS@TB_-117</t>
  </si>
  <si>
    <t>20260620_MWK6.3_SD@TEX_-123</t>
  </si>
  <si>
    <t>20260621_MWK6.3_MLW@ATL_-113</t>
  </si>
  <si>
    <t>20260621_MWK6.3_MIN@ARZ_-126</t>
  </si>
  <si>
    <t>20260621_MWK6.3_PIT@COL_130</t>
  </si>
  <si>
    <t>20260621_MWK6.3_CWS@DET_-114</t>
  </si>
  <si>
    <t>20260621_MWK6.3_SF@FLO_124</t>
  </si>
  <si>
    <t>20260621_MWK6.3_CLE@HOU_-129</t>
  </si>
  <si>
    <t>20260621_MWK6.3_STL@KC_112</t>
  </si>
  <si>
    <t>20260621_MWK6.3_CIN@NYY_-110</t>
  </si>
  <si>
    <t>20260621_MWK6.3_LAA@OAK_-126</t>
  </si>
  <si>
    <t>20260621_MWK6.3_NYM@PHI_-172</t>
  </si>
  <si>
    <t>20260621_MWK6.3_BOS@SEA_-118</t>
  </si>
  <si>
    <t>20260621_MWK6.3_WAS@TB_-127</t>
  </si>
  <si>
    <t>20260621_MWK6.3_SD@TEX_-160</t>
  </si>
  <si>
    <t>G_Total</t>
  </si>
  <si>
    <t>GameID</t>
  </si>
  <si>
    <t>822808_29_2</t>
  </si>
  <si>
    <t>822891_28_7</t>
  </si>
  <si>
    <t>823048_26_6</t>
  </si>
  <si>
    <t>823292_23_18</t>
  </si>
  <si>
    <t>823454_21_9</t>
  </si>
  <si>
    <t>823697_15_13</t>
  </si>
  <si>
    <t>823859_11_27</t>
  </si>
  <si>
    <t>823942_14_4</t>
  </si>
  <si>
    <t>824184_12_20</t>
  </si>
  <si>
    <t>824269_10_24</t>
  </si>
  <si>
    <t>824351_8_17</t>
  </si>
  <si>
    <t>824669_5_25</t>
  </si>
  <si>
    <t>824915_0_22</t>
  </si>
  <si>
    <t>825075_1_16</t>
  </si>
  <si>
    <t>822807_29_2</t>
  </si>
  <si>
    <t>822890_28_7</t>
  </si>
  <si>
    <t>823047_26_6</t>
  </si>
  <si>
    <t>823291_23_18</t>
  </si>
  <si>
    <t>823453_21_9</t>
  </si>
  <si>
    <t>823537_19_3</t>
  </si>
  <si>
    <t>823696_15_13</t>
  </si>
  <si>
    <t>823857_11_27</t>
  </si>
  <si>
    <t>823941_14_4</t>
  </si>
  <si>
    <t>824183_12_20</t>
  </si>
  <si>
    <t>824268_10_24</t>
  </si>
  <si>
    <t>824349_8_17</t>
  </si>
  <si>
    <t>824670_5_25</t>
  </si>
  <si>
    <t>824916_0_22</t>
  </si>
  <si>
    <t>825074_1_16</t>
  </si>
  <si>
    <t>822806_29_21</t>
  </si>
  <si>
    <t>822972_27_3</t>
  </si>
  <si>
    <t>823218_25_16</t>
  </si>
  <si>
    <t>823289_23_6</t>
  </si>
  <si>
    <t>824025_4_12</t>
  </si>
  <si>
    <t>824427_7_19</t>
  </si>
  <si>
    <t>824829_2_24</t>
  </si>
  <si>
    <t>824998_20_17</t>
  </si>
  <si>
    <t>822805_29_21</t>
  </si>
  <si>
    <t>822969_27_3</t>
  </si>
  <si>
    <t>823214_25_16</t>
  </si>
  <si>
    <t>823290_23_6</t>
  </si>
  <si>
    <t>823374_22_14</t>
  </si>
  <si>
    <t>823620_18_26</t>
  </si>
  <si>
    <t>823858_11_1</t>
  </si>
  <si>
    <t>824023_4_12</t>
  </si>
  <si>
    <t>824105_13_28</t>
  </si>
  <si>
    <t>824267_10_15</t>
  </si>
  <si>
    <t>824347_8_5</t>
  </si>
  <si>
    <t>824429_7_19</t>
  </si>
  <si>
    <t>824591_9_0</t>
  </si>
  <si>
    <t>824830_2_24</t>
  </si>
  <si>
    <t>824999_20_17</t>
  </si>
  <si>
    <t>822804_29_21</t>
  </si>
  <si>
    <t>822970_27_3</t>
  </si>
  <si>
    <t>823215_25_16</t>
  </si>
  <si>
    <t>823287_23_6</t>
  </si>
  <si>
    <t>823372_22_14</t>
  </si>
  <si>
    <t>823618_18_26</t>
  </si>
  <si>
    <t>823856_11_1</t>
  </si>
  <si>
    <t>824022_4_12</t>
  </si>
  <si>
    <t>824103_13_28</t>
  </si>
  <si>
    <t>824266_10_15</t>
  </si>
  <si>
    <t>824348_8_5</t>
  </si>
  <si>
    <t>824428_7_19</t>
  </si>
  <si>
    <t>824590_9_0</t>
  </si>
  <si>
    <t>824831_2_24</t>
  </si>
  <si>
    <t>824996_20_17</t>
  </si>
  <si>
    <t>823371_22_14</t>
  </si>
  <si>
    <t>823619_18_26</t>
  </si>
  <si>
    <t>823855_11_1</t>
  </si>
  <si>
    <t>824101_13_28</t>
  </si>
  <si>
    <t>824265_10_15</t>
  </si>
  <si>
    <t>824346_8_5</t>
  </si>
  <si>
    <t>824827_2_24</t>
  </si>
  <si>
    <t>822726_16_24</t>
  </si>
  <si>
    <t>822803_29_19</t>
  </si>
  <si>
    <t>823211_25_5</t>
  </si>
  <si>
    <t>823370_22_11</t>
  </si>
  <si>
    <t>823617_18_0</t>
  </si>
  <si>
    <t>823695_15_26</t>
  </si>
  <si>
    <t>823778_17_21</t>
  </si>
  <si>
    <t>824020_4_27</t>
  </si>
  <si>
    <t>824102_13_12</t>
  </si>
  <si>
    <t>824425_7_10</t>
  </si>
  <si>
    <t>824507_6_1</t>
  </si>
  <si>
    <t>824588_9_14</t>
  </si>
  <si>
    <t>824752_3_28</t>
  </si>
  <si>
    <t>824826_2_23</t>
  </si>
  <si>
    <t>824997_20_8</t>
  </si>
  <si>
    <t>822725_16_24</t>
  </si>
  <si>
    <t>822802_29_19</t>
  </si>
  <si>
    <t>823213_25_5</t>
  </si>
  <si>
    <t>823369_22_11</t>
  </si>
  <si>
    <t>823616_18_0</t>
  </si>
  <si>
    <t>823694_15_26</t>
  </si>
  <si>
    <t>823776_17_21</t>
  </si>
  <si>
    <t>824019_4_27</t>
  </si>
  <si>
    <t>824100_13_12</t>
  </si>
  <si>
    <t>824426_7_10</t>
  </si>
  <si>
    <t>824508_6_1</t>
  </si>
  <si>
    <t>824587_9_14</t>
  </si>
  <si>
    <t>824749_3_28</t>
  </si>
  <si>
    <t>824828_2_23</t>
  </si>
  <si>
    <t>824995_20_8</t>
  </si>
  <si>
    <t>822722_16_24</t>
  </si>
  <si>
    <t>822801_29_19</t>
  </si>
  <si>
    <t>823212_25_5</t>
  </si>
  <si>
    <t>823368_22_11</t>
  </si>
  <si>
    <t>823615_18_0</t>
  </si>
  <si>
    <t>823693_15_26</t>
  </si>
  <si>
    <t>823777_17_21</t>
  </si>
  <si>
    <t>824021_4_27</t>
  </si>
  <si>
    <t>824099_13_12</t>
  </si>
  <si>
    <t>824506_6_1</t>
  </si>
  <si>
    <t>824586_9_14</t>
  </si>
  <si>
    <t>824751_3_28</t>
  </si>
  <si>
    <t>824823_2_23</t>
  </si>
  <si>
    <t>824994_20_8</t>
  </si>
  <si>
    <t>822724_16_13</t>
  </si>
  <si>
    <t>822887_28_15</t>
  </si>
  <si>
    <t>823046_26_23</t>
  </si>
  <si>
    <t>823452_21_11</t>
  </si>
  <si>
    <t>823938_14_27</t>
  </si>
  <si>
    <t>824181_12_10</t>
  </si>
  <si>
    <t>824505_6_18</t>
  </si>
  <si>
    <t>824666_5_8</t>
  </si>
  <si>
    <t>824993_20_22</t>
  </si>
  <si>
    <t>825071_1_4</t>
  </si>
  <si>
    <t>822723_16_13</t>
  </si>
  <si>
    <t>822888_28_15</t>
  </si>
  <si>
    <t>823045_26_23</t>
  </si>
  <si>
    <t>823128_24_2</t>
  </si>
  <si>
    <t>823451_21_11</t>
  </si>
  <si>
    <t>823535_19_9</t>
  </si>
  <si>
    <t>823775_17_7</t>
  </si>
  <si>
    <t>823939_14_27</t>
  </si>
  <si>
    <t>824182_12_10</t>
  </si>
  <si>
    <t>824504_6_18</t>
  </si>
  <si>
    <t>824667_5_8</t>
  </si>
  <si>
    <t>824750_3_29</t>
  </si>
  <si>
    <t>824912_0_25</t>
  </si>
  <si>
    <t>824991_20_22</t>
  </si>
  <si>
    <t>825070_1_4</t>
  </si>
  <si>
    <t>822721_16_13</t>
  </si>
  <si>
    <t>823044_26_23</t>
  </si>
  <si>
    <t>823127_24_2</t>
  </si>
  <si>
    <t>823450_21_11</t>
  </si>
  <si>
    <t>823536_19_9</t>
  </si>
  <si>
    <t>823774_17_7</t>
  </si>
  <si>
    <t>823940_14_27</t>
  </si>
  <si>
    <t>824178_12_10</t>
  </si>
  <si>
    <t>824503_6_18</t>
  </si>
  <si>
    <t>824668_5_8</t>
  </si>
  <si>
    <t>824746_3_29</t>
  </si>
  <si>
    <t>824913_0_25</t>
  </si>
  <si>
    <t>824992_20_22</t>
  </si>
  <si>
    <t>825072_1_4</t>
  </si>
  <si>
    <t>822889_28_15</t>
  </si>
  <si>
    <t>823125_24_2</t>
  </si>
  <si>
    <t>823448_21_18</t>
  </si>
  <si>
    <t>823533_19_9</t>
  </si>
  <si>
    <t>823772_17_7</t>
  </si>
  <si>
    <t>824098_13_26</t>
  </si>
  <si>
    <t>824748_3_29</t>
  </si>
  <si>
    <t>824989_20_4</t>
  </si>
  <si>
    <t>822886_28_23</t>
  </si>
  <si>
    <t>822966_27_16</t>
  </si>
  <si>
    <t>823124_24_3</t>
  </si>
  <si>
    <t>823534_19_6</t>
  </si>
  <si>
    <t>823853_11_25</t>
  </si>
  <si>
    <t>823936_14_2</t>
  </si>
  <si>
    <t>824097_13_26</t>
  </si>
  <si>
    <t>824179_12_7</t>
  </si>
  <si>
    <t>824264_10_9</t>
  </si>
  <si>
    <t>824345_8_22</t>
  </si>
  <si>
    <t>824663_5_29</t>
  </si>
  <si>
    <t>824910_0_17</t>
  </si>
  <si>
    <t>824990_20_4</t>
  </si>
  <si>
    <t>825069_1_15</t>
  </si>
  <si>
    <t>822885_28_23</t>
  </si>
  <si>
    <t>822967_27_16</t>
  </si>
  <si>
    <t>823126_24_3</t>
  </si>
  <si>
    <t>823447_21_18</t>
  </si>
  <si>
    <t>823532_19_6</t>
  </si>
  <si>
    <t>823854_11_25</t>
  </si>
  <si>
    <t>823937_14_2</t>
  </si>
  <si>
    <t>824180_12_7</t>
  </si>
  <si>
    <t>824263_10_9</t>
  </si>
  <si>
    <t>824342_8_22</t>
  </si>
  <si>
    <t>824665_5_29</t>
  </si>
  <si>
    <t>824909_0_17</t>
  </si>
  <si>
    <t>824988_20_4</t>
  </si>
  <si>
    <t>825068_1_15</t>
  </si>
  <si>
    <t>822883_28_23</t>
  </si>
  <si>
    <t>822968_27_16</t>
  </si>
  <si>
    <t>823123_24_3</t>
  </si>
  <si>
    <t>823449_21_18</t>
  </si>
  <si>
    <t>823531_19_6</t>
  </si>
  <si>
    <t>823852_11_25</t>
  </si>
  <si>
    <t>823934_14_2</t>
  </si>
  <si>
    <t>824095_13_26</t>
  </si>
  <si>
    <t>824177_12_7</t>
  </si>
  <si>
    <t>824260_10_9</t>
  </si>
  <si>
    <t>824343_8_22</t>
  </si>
  <si>
    <t>824908_0_17</t>
  </si>
  <si>
    <t>824987_20_4</t>
  </si>
  <si>
    <t>825067_1_15</t>
  </si>
  <si>
    <t>PlayByAgreement</t>
  </si>
  <si>
    <t>StatsOnlyPlay</t>
  </si>
  <si>
    <t>StatsOnlyPosition</t>
  </si>
  <si>
    <t>LineStatsOnlyPosition</t>
  </si>
  <si>
    <t>LineStatsOnlyPlay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</si>
</sst>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164" fontId="0" fillId="0" borderId="0" xfId="42" applyNumberFormat="1" applyFont="1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125-26EE-A44F-8413-340AD060D253}">
  <dimension ref="A1:AA235"/>
  <sheetViews>
    <sheetView workbookViewId="0">
      <pane ySplit="1" topLeftCell="A154" activePane="bottomLeft" state="frozen"/>
      <selection pane="bottomLeft" activeCell="V2" sqref="V2:V209"/>
    </sheetView>
  </sheetViews>
  <sheetFormatPr baseColWidth="10" defaultRowHeight="16" x14ac:dyDescent="0.2"/>
  <cols>
    <col min="7" max="7" width="17.6640625" bestFit="1" customWidth="1"/>
    <col min="8" max="8" width="17.33203125" bestFit="1" customWidth="1"/>
    <col min="9" max="10" width="17.33203125" customWidth="1"/>
    <col min="11" max="11" width="21.83203125" bestFit="1" customWidth="1"/>
    <col min="12" max="12" width="21.5" bestFit="1" customWidth="1"/>
    <col min="15" max="15" width="15.1640625" bestFit="1" customWidth="1"/>
  </cols>
  <sheetData>
    <row r="1" spans="1:27" x14ac:dyDescent="0.2">
      <c r="A1" t="s">
        <v>0</v>
      </c>
      <c r="B1" t="s">
        <v>1</v>
      </c>
      <c r="C1" t="s">
        <v>3</v>
      </c>
      <c r="D1" t="s">
        <v>668</v>
      </c>
      <c r="E1" t="s">
        <v>4</v>
      </c>
      <c r="F1" t="s">
        <v>669</v>
      </c>
      <c r="G1" t="s">
        <v>33</v>
      </c>
      <c r="H1" t="s">
        <v>17</v>
      </c>
      <c r="I1" t="s">
        <v>1307</v>
      </c>
      <c r="J1" t="s">
        <v>1308</v>
      </c>
      <c r="K1" t="s">
        <v>65</v>
      </c>
      <c r="L1" t="s">
        <v>66</v>
      </c>
      <c r="M1" t="s">
        <v>69</v>
      </c>
      <c r="N1" t="s">
        <v>70</v>
      </c>
      <c r="O1" t="s">
        <v>1304</v>
      </c>
      <c r="P1" t="s">
        <v>2</v>
      </c>
      <c r="Q1" t="s">
        <v>5</v>
      </c>
      <c r="R1" t="s">
        <v>6</v>
      </c>
      <c r="S1" t="s">
        <v>7</v>
      </c>
      <c r="T1" t="s">
        <v>8</v>
      </c>
      <c r="U1" t="s">
        <v>671</v>
      </c>
      <c r="V1" t="s">
        <v>670</v>
      </c>
      <c r="W1" t="s">
        <v>677</v>
      </c>
      <c r="X1" t="s">
        <v>678</v>
      </c>
      <c r="Y1" t="s">
        <v>679</v>
      </c>
      <c r="Z1" t="s">
        <v>686</v>
      </c>
      <c r="AA1" t="s">
        <v>71</v>
      </c>
    </row>
    <row r="2" spans="1:27" x14ac:dyDescent="0.2">
      <c r="A2">
        <v>824915</v>
      </c>
      <c r="B2" s="3">
        <f>VLOOKUP($A2,ScionOutput!$A$3:$BL$215,3,FALSE)</f>
        <v>46179</v>
      </c>
      <c r="C2">
        <f>VLOOKUP($A2,ScionOutput!$A$3:$BL$215,22,FALSE)</f>
        <v>0</v>
      </c>
      <c r="D2" t="str">
        <f>VLOOKUP($A2,ScionOutput!$A$3:$BL$215,23,FALSE)</f>
        <v>ATL</v>
      </c>
      <c r="E2">
        <f>VLOOKUP($A2,ScionOutput!$A$3:$BL$215,6,FALSE)</f>
        <v>22</v>
      </c>
      <c r="F2" t="str">
        <f>VLOOKUP($A2,ScionOutput!$A$3:$BL$215,7,FALSE)</f>
        <v>PIT</v>
      </c>
      <c r="G2">
        <f>VLOOKUP($A2,ScionOutput!$A$3:$BL$215,26,FALSE)</f>
        <v>-110</v>
      </c>
      <c r="H2">
        <f>VLOOKUP($A2,ScionOutput!$A$3:$BL$215,10,FALSE)</f>
        <v>100</v>
      </c>
      <c r="I2" s="4" t="str">
        <f>VLOOKUP($A2,ScionOutput!$A$3:$BL$215,45,FALSE)</f>
        <v>HomFave</v>
      </c>
      <c r="J2" s="4">
        <f>VLOOKUP($A2,ScionOutput!$A$3:$BL$215,46,FALSE)</f>
        <v>1</v>
      </c>
      <c r="K2" t="str">
        <f>VLOOKUP($A2,ScionOutput!$A$3:$BL$215,58,FALSE)</f>
        <v>HomFave</v>
      </c>
      <c r="L2">
        <f>VLOOKUP($A2,ScionOutput!$A$3:$BL$215,59,FALSE)</f>
        <v>1.8370000000000001E-2</v>
      </c>
      <c r="M2">
        <f>VLOOKUP($A2,ScionOutput!$A$3:$BL$215,62,FALSE)</f>
        <v>1</v>
      </c>
      <c r="N2">
        <f>VLOOKUP($A2,ScionOutput!$A$3:$BL$215,63,FALSE)</f>
        <v>0.93</v>
      </c>
      <c r="O2" t="b">
        <f>ISNUMBER(SEARCH("Play determined by LineStatEns and StatOnlyEns agreement", AA2))</f>
        <v>1</v>
      </c>
      <c r="P2">
        <f>VLOOKUP($A2,Outcomes!$B$3:$I$209,8,FALSE)</f>
        <v>9</v>
      </c>
      <c r="Q2">
        <f>IF(R2&gt;S2,1,IF(R2&lt;S2,-1,0))</f>
        <v>1</v>
      </c>
      <c r="R2">
        <f>VLOOKUP($A2,Outcomes!$B$3:$I$209,5,FALSE)</f>
        <v>6</v>
      </c>
      <c r="S2">
        <f>VLOOKUP($A2,Outcomes!$B$3:$I$209,6,FALSE)</f>
        <v>3</v>
      </c>
      <c r="T2">
        <f>VLOOKUP($A2,Outcomes!$B$3:$I$209,7,FALSE)</f>
        <v>-3</v>
      </c>
      <c r="U2" t="str">
        <f>IF(T2=0,"Push",IF(G2&lt;H2,IF(T2&lt;0,"HomFave","VisDog"),IF(T2&gt;0,"VisFave","HomDog")))</f>
        <v>HomFave</v>
      </c>
      <c r="V2" s="5">
        <f>IF(OR(T2=0,I2="No Play",J2&lt;&gt;1),"",IF(U2=I2,1,0))</f>
        <v>1</v>
      </c>
      <c r="W2">
        <f t="shared" ref="W2:W65" si="0">IF(V2="","",IF(G2&lt;H2,IF(K2="HomFave",ABS(G2),IF(H2&lt;0,ABS(H2),100)),IF(K2="VisFave",ABS(H2),IF(G2&lt;0,ABS(G2),100))))</f>
        <v>110</v>
      </c>
      <c r="X2">
        <f>IF(V2="","",IF(V2=0,0,IF(G2&lt;H2,IF(K2="HomFave",W2+100,IF(H2&lt;0,100+W2,W2+ABS(H2))),IF(K2="VisFave",W2+100,IF(G2&lt;0,100+W2,W2+ABS(G2))))))</f>
        <v>210</v>
      </c>
      <c r="Y2">
        <f>IF(V2="","",X2-W2)</f>
        <v>100</v>
      </c>
      <c r="Z2" s="2">
        <f>IF(V2="","",Y2/W2)</f>
        <v>0.90909090909090906</v>
      </c>
      <c r="AA2" t="str">
        <f>VLOOKUP($A2,ScionOutput!$A$3:$BL$215,64,FALSE)</f>
        <v xml:space="preserve">824915. Play determined by LineStatEns and StatOnlyEns agreement. </v>
      </c>
    </row>
    <row r="3" spans="1:27" x14ac:dyDescent="0.2">
      <c r="A3">
        <v>825075</v>
      </c>
      <c r="B3" s="3">
        <f>VLOOKUP($A3,ScionOutput!$A$3:$BL$215,3,FALSE)</f>
        <v>46179</v>
      </c>
      <c r="C3">
        <f>VLOOKUP($A3,ScionOutput!$A$3:$BL$215,22,FALSE)</f>
        <v>1</v>
      </c>
      <c r="D3" t="str">
        <f>VLOOKUP($A3,ScionOutput!$A$3:$BL$215,23,FALSE)</f>
        <v>ARZ</v>
      </c>
      <c r="E3">
        <f>VLOOKUP($A3,ScionOutput!$A$3:$BL$215,6,FALSE)</f>
        <v>16</v>
      </c>
      <c r="F3" t="str">
        <f>VLOOKUP($A3,ScionOutput!$A$3:$BL$215,7,FALSE)</f>
        <v>WAS</v>
      </c>
      <c r="G3">
        <f>VLOOKUP($A3,ScionOutput!$A$3:$BL$215,26,FALSE)</f>
        <v>-155</v>
      </c>
      <c r="H3">
        <f>VLOOKUP($A3,ScionOutput!$A$3:$BL$215,10,FALSE)</f>
        <v>140</v>
      </c>
      <c r="I3" s="4" t="str">
        <f>VLOOKUP($A3,ScionOutput!$A$3:$BL$215,45,FALSE)</f>
        <v>HomFave</v>
      </c>
      <c r="J3" s="4">
        <f>VLOOKUP($A3,ScionOutput!$A$3:$BL$215,46,FALSE)</f>
        <v>0</v>
      </c>
      <c r="K3" t="str">
        <f>VLOOKUP($A3,ScionOutput!$A$3:$BL$215,58,FALSE)</f>
        <v>No Play</v>
      </c>
      <c r="L3">
        <f>VLOOKUP($A3,ScionOutput!$A$3:$BL$215,59,FALSE)</f>
        <v>0</v>
      </c>
      <c r="M3">
        <f>VLOOKUP($A3,ScionOutput!$A$3:$BL$215,62,FALSE)</f>
        <v>0</v>
      </c>
      <c r="N3">
        <f>VLOOKUP($A3,ScionOutput!$A$3:$BL$215,63,FALSE)</f>
        <v>0</v>
      </c>
      <c r="O3" t="b">
        <f t="shared" ref="O3:O66" si="1">ISNUMBER(SEARCH("Play determined by LineStatEns and StatOnlyEns agreement", AA3))</f>
        <v>0</v>
      </c>
      <c r="P3">
        <f>VLOOKUP($A3,Outcomes!$B$3:$I$209,8,FALSE)</f>
        <v>7</v>
      </c>
      <c r="Q3">
        <f t="shared" ref="Q3:Q66" si="2">IF(R3&gt;S3,1,IF(R3&lt;S3,-1,0))</f>
        <v>-1</v>
      </c>
      <c r="R3">
        <f>VLOOKUP($A3,Outcomes!$B$3:$I$209,5,FALSE)</f>
        <v>1</v>
      </c>
      <c r="S3">
        <f>VLOOKUP($A3,Outcomes!$B$3:$I$209,6,FALSE)</f>
        <v>6</v>
      </c>
      <c r="T3">
        <f>VLOOKUP($A3,Outcomes!$B$3:$I$209,7,FALSE)</f>
        <v>5</v>
      </c>
      <c r="U3" t="str">
        <f t="shared" ref="U3:U66" si="3">IF(T3=0,"Push",IF(G3&lt;H3,IF(T3&lt;0,"HomFave","VisDog"),IF(T3&gt;0,"VisFave","HomDog")))</f>
        <v>VisDog</v>
      </c>
      <c r="V3" s="5" t="str">
        <f t="shared" ref="V3:V66" si="4">IF(OR(T3=0,I3="No Play",J3&lt;&gt;1),"",IF(U3=I3,1,0))</f>
        <v/>
      </c>
      <c r="W3" t="str">
        <f t="shared" si="0"/>
        <v/>
      </c>
      <c r="X3" t="str">
        <f t="shared" ref="X3:X66" si="5">IF(V3="","",IF(V3=0,0,IF(G3&lt;H3,IF(K3="HomFave",W3+100,IF(H3&lt;0,100+W3,W3+ABS(H3))),IF(K3="VisFave",W3+100,IF(G3&lt;0,100+W3,W3+ABS(G3))))))</f>
        <v/>
      </c>
      <c r="Y3" t="str">
        <f t="shared" ref="Y3:Y66" si="6">IF(V3="","",X3-W3)</f>
        <v/>
      </c>
      <c r="Z3" s="2" t="str">
        <f t="shared" ref="Z3:Z66" si="7">IF(V3="","",Y3/W3)</f>
        <v/>
      </c>
      <c r="AA3" t="str">
        <f>VLOOKUP($A3,ScionOutput!$A$3:$BL$215,64,FALSE)</f>
        <v xml:space="preserve">825075. LineStatEns is NoPlay as bookie-line outside range. StatOnlyEns is NoPlay as bookie-line outside range. No play due to strategy constraints. </v>
      </c>
    </row>
    <row r="4" spans="1:27" x14ac:dyDescent="0.2">
      <c r="A4">
        <v>824669</v>
      </c>
      <c r="B4" s="3">
        <f>VLOOKUP($A4,ScionOutput!$A$3:$BL$215,3,FALSE)</f>
        <v>46179</v>
      </c>
      <c r="C4">
        <f>VLOOKUP($A4,ScionOutput!$A$3:$BL$215,22,FALSE)</f>
        <v>5</v>
      </c>
      <c r="D4" t="str">
        <f>VLOOKUP($A4,ScionOutput!$A$3:$BL$215,23,FALSE)</f>
        <v>CHC</v>
      </c>
      <c r="E4">
        <f>VLOOKUP($A4,ScionOutput!$A$3:$BL$215,6,FALSE)</f>
        <v>25</v>
      </c>
      <c r="F4" t="str">
        <f>VLOOKUP($A4,ScionOutput!$A$3:$BL$215,7,FALSE)</f>
        <v>SF</v>
      </c>
      <c r="G4">
        <f>VLOOKUP($A4,ScionOutput!$A$3:$BL$215,26,FALSE)</f>
        <v>-140</v>
      </c>
      <c r="H4">
        <f>VLOOKUP($A4,ScionOutput!$A$3:$BL$215,10,FALSE)</f>
        <v>127</v>
      </c>
      <c r="I4" s="4" t="str">
        <f>VLOOKUP($A4,ScionOutput!$A$3:$BL$215,45,FALSE)</f>
        <v>HomFave</v>
      </c>
      <c r="J4" s="4">
        <f>VLOOKUP($A4,ScionOutput!$A$3:$BL$215,46,FALSE)</f>
        <v>0</v>
      </c>
      <c r="K4" t="str">
        <f>VLOOKUP($A4,ScionOutput!$A$3:$BL$215,58,FALSE)</f>
        <v>No Play</v>
      </c>
      <c r="L4">
        <f>VLOOKUP($A4,ScionOutput!$A$3:$BL$215,59,FALSE)</f>
        <v>0</v>
      </c>
      <c r="M4">
        <f>VLOOKUP($A4,ScionOutput!$A$3:$BL$215,62,FALSE)</f>
        <v>0</v>
      </c>
      <c r="N4">
        <f>VLOOKUP($A4,ScionOutput!$A$3:$BL$215,63,FALSE)</f>
        <v>0</v>
      </c>
      <c r="O4" t="b">
        <f t="shared" si="1"/>
        <v>0</v>
      </c>
      <c r="P4">
        <f>VLOOKUP($A4,Outcomes!$B$3:$I$209,8,FALSE)</f>
        <v>5</v>
      </c>
      <c r="Q4">
        <f t="shared" si="2"/>
        <v>1</v>
      </c>
      <c r="R4">
        <f>VLOOKUP($A4,Outcomes!$B$3:$I$209,5,FALSE)</f>
        <v>3</v>
      </c>
      <c r="S4">
        <f>VLOOKUP($A4,Outcomes!$B$3:$I$209,6,FALSE)</f>
        <v>2</v>
      </c>
      <c r="T4">
        <f>VLOOKUP($A4,Outcomes!$B$3:$I$209,7,FALSE)</f>
        <v>-1</v>
      </c>
      <c r="U4" t="str">
        <f t="shared" si="3"/>
        <v>HomFave</v>
      </c>
      <c r="V4" s="5" t="str">
        <f t="shared" si="4"/>
        <v/>
      </c>
      <c r="W4" t="str">
        <f t="shared" si="0"/>
        <v/>
      </c>
      <c r="X4" t="str">
        <f t="shared" si="5"/>
        <v/>
      </c>
      <c r="Y4" t="str">
        <f t="shared" si="6"/>
        <v/>
      </c>
      <c r="Z4" s="2" t="str">
        <f t="shared" si="7"/>
        <v/>
      </c>
      <c r="AA4" t="str">
        <f>VLOOKUP($A4,ScionOutput!$A$3:$BL$215,64,FALSE)</f>
        <v xml:space="preserve">824669. LineStatEns probability points gap does not exceed threshold (no edge found)! StatOnlyEns probability points gap does not exceed threshold (no edge found)! No play due to strategy constraints. </v>
      </c>
    </row>
    <row r="5" spans="1:27" x14ac:dyDescent="0.2">
      <c r="A5">
        <v>824351</v>
      </c>
      <c r="B5" s="3">
        <f>VLOOKUP($A5,ScionOutput!$A$3:$BL$215,3,FALSE)</f>
        <v>46179</v>
      </c>
      <c r="C5">
        <f>VLOOKUP($A5,ScionOutput!$A$3:$BL$215,22,FALSE)</f>
        <v>8</v>
      </c>
      <c r="D5" t="str">
        <f>VLOOKUP($A5,ScionOutput!$A$3:$BL$215,23,FALSE)</f>
        <v>COL</v>
      </c>
      <c r="E5">
        <f>VLOOKUP($A5,ScionOutput!$A$3:$BL$215,6,FALSE)</f>
        <v>17</v>
      </c>
      <c r="F5" t="str">
        <f>VLOOKUP($A5,ScionOutput!$A$3:$BL$215,7,FALSE)</f>
        <v>MLW</v>
      </c>
      <c r="G5">
        <f>VLOOKUP($A5,ScionOutput!$A$3:$BL$215,26,FALSE)</f>
        <v>214</v>
      </c>
      <c r="H5">
        <f>VLOOKUP($A5,ScionOutput!$A$3:$BL$215,10,FALSE)</f>
        <v>-240</v>
      </c>
      <c r="I5" s="4" t="str">
        <f>VLOOKUP($A5,ScionOutput!$A$3:$BL$215,45,FALSE)</f>
        <v>VisFave</v>
      </c>
      <c r="J5" s="4">
        <f>VLOOKUP($A5,ScionOutput!$A$3:$BL$215,46,FALSE)</f>
        <v>0</v>
      </c>
      <c r="K5" t="str">
        <f>VLOOKUP($A5,ScionOutput!$A$3:$BL$215,58,FALSE)</f>
        <v>No Play</v>
      </c>
      <c r="L5">
        <f>VLOOKUP($A5,ScionOutput!$A$3:$BL$215,59,FALSE)</f>
        <v>0</v>
      </c>
      <c r="M5">
        <f>VLOOKUP($A5,ScionOutput!$A$3:$BL$215,62,FALSE)</f>
        <v>0</v>
      </c>
      <c r="N5">
        <f>VLOOKUP($A5,ScionOutput!$A$3:$BL$215,63,FALSE)</f>
        <v>0</v>
      </c>
      <c r="O5" t="b">
        <f t="shared" si="1"/>
        <v>0</v>
      </c>
      <c r="P5">
        <f>VLOOKUP($A5,Outcomes!$B$3:$I$209,8,FALSE)</f>
        <v>8</v>
      </c>
      <c r="Q5">
        <f t="shared" si="2"/>
        <v>-1</v>
      </c>
      <c r="R5">
        <f>VLOOKUP($A5,Outcomes!$B$3:$I$209,5,FALSE)</f>
        <v>1</v>
      </c>
      <c r="S5">
        <f>VLOOKUP($A5,Outcomes!$B$3:$I$209,6,FALSE)</f>
        <v>7</v>
      </c>
      <c r="T5">
        <f>VLOOKUP($A5,Outcomes!$B$3:$I$209,7,FALSE)</f>
        <v>6</v>
      </c>
      <c r="U5" t="str">
        <f t="shared" si="3"/>
        <v>VisFave</v>
      </c>
      <c r="V5" s="5" t="str">
        <f t="shared" si="4"/>
        <v/>
      </c>
      <c r="W5" t="str">
        <f t="shared" si="0"/>
        <v/>
      </c>
      <c r="X5" t="str">
        <f t="shared" si="5"/>
        <v/>
      </c>
      <c r="Y5" t="str">
        <f t="shared" si="6"/>
        <v/>
      </c>
      <c r="Z5" s="2" t="str">
        <f t="shared" si="7"/>
        <v/>
      </c>
      <c r="AA5" t="str">
        <f>VLOOKUP($A5,ScionOutput!$A$3:$BL$215,64,FALSE)</f>
        <v xml:space="preserve">824351. LineStatEns is NoPlay as bookie-line outside range. StatOnlyEns is NoPlay as bookie-line outside range. No play due to strategy constraints. </v>
      </c>
    </row>
    <row r="6" spans="1:27" x14ac:dyDescent="0.2">
      <c r="A6">
        <v>824269</v>
      </c>
      <c r="B6" s="3">
        <f>VLOOKUP($A6,ScionOutput!$A$3:$BL$215,3,FALSE)</f>
        <v>46179</v>
      </c>
      <c r="C6">
        <f>VLOOKUP($A6,ScionOutput!$A$3:$BL$215,22,FALSE)</f>
        <v>10</v>
      </c>
      <c r="D6" t="str">
        <f>VLOOKUP($A6,ScionOutput!$A$3:$BL$215,23,FALSE)</f>
        <v>DET</v>
      </c>
      <c r="E6">
        <f>VLOOKUP($A6,ScionOutput!$A$3:$BL$215,6,FALSE)</f>
        <v>24</v>
      </c>
      <c r="F6" t="str">
        <f>VLOOKUP($A6,ScionOutput!$A$3:$BL$215,7,FALSE)</f>
        <v>SEA</v>
      </c>
      <c r="G6">
        <f>VLOOKUP($A6,ScionOutput!$A$3:$BL$215,26,FALSE)</f>
        <v>116</v>
      </c>
      <c r="H6">
        <f>VLOOKUP($A6,ScionOutput!$A$3:$BL$215,10,FALSE)</f>
        <v>-128</v>
      </c>
      <c r="I6" s="4" t="str">
        <f>VLOOKUP($A6,ScionOutput!$A$3:$BL$215,45,FALSE)</f>
        <v>VisFave</v>
      </c>
      <c r="J6" s="4">
        <f>VLOOKUP($A6,ScionOutput!$A$3:$BL$215,46,FALSE)</f>
        <v>0</v>
      </c>
      <c r="K6" t="str">
        <f>VLOOKUP($A6,ScionOutput!$A$3:$BL$215,58,FALSE)</f>
        <v>No Play</v>
      </c>
      <c r="L6">
        <f>VLOOKUP($A6,ScionOutput!$A$3:$BL$215,59,FALSE)</f>
        <v>0</v>
      </c>
      <c r="M6">
        <f>VLOOKUP($A6,ScionOutput!$A$3:$BL$215,62,FALSE)</f>
        <v>0</v>
      </c>
      <c r="N6">
        <f>VLOOKUP($A6,ScionOutput!$A$3:$BL$215,63,FALSE)</f>
        <v>0</v>
      </c>
      <c r="O6" t="b">
        <f t="shared" si="1"/>
        <v>0</v>
      </c>
      <c r="P6">
        <f>VLOOKUP($A6,Outcomes!$B$3:$I$209,8,FALSE)</f>
        <v>4</v>
      </c>
      <c r="Q6">
        <f t="shared" si="2"/>
        <v>-1</v>
      </c>
      <c r="R6">
        <f>VLOOKUP($A6,Outcomes!$B$3:$I$209,5,FALSE)</f>
        <v>0</v>
      </c>
      <c r="S6">
        <f>VLOOKUP($A6,Outcomes!$B$3:$I$209,6,FALSE)</f>
        <v>4</v>
      </c>
      <c r="T6">
        <f>VLOOKUP($A6,Outcomes!$B$3:$I$209,7,FALSE)</f>
        <v>4</v>
      </c>
      <c r="U6" t="str">
        <f t="shared" si="3"/>
        <v>VisFave</v>
      </c>
      <c r="V6" s="5" t="str">
        <f t="shared" si="4"/>
        <v/>
      </c>
      <c r="W6" t="str">
        <f t="shared" si="0"/>
        <v/>
      </c>
      <c r="X6" t="str">
        <f t="shared" si="5"/>
        <v/>
      </c>
      <c r="Y6" t="str">
        <f t="shared" si="6"/>
        <v/>
      </c>
      <c r="Z6" s="2" t="str">
        <f t="shared" si="7"/>
        <v/>
      </c>
      <c r="AA6" t="str">
        <f>VLOOKUP($A6,ScionOutput!$A$3:$BL$215,64,FALSE)</f>
        <v xml:space="preserve">824269. VF plays are disallowed. No play due to strategy constraints. </v>
      </c>
    </row>
    <row r="7" spans="1:27" x14ac:dyDescent="0.2">
      <c r="A7">
        <v>823859</v>
      </c>
      <c r="B7" s="3">
        <f>VLOOKUP($A7,ScionOutput!$A$3:$BL$215,3,FALSE)</f>
        <v>46179</v>
      </c>
      <c r="C7">
        <f>VLOOKUP($A7,ScionOutput!$A$3:$BL$215,22,FALSE)</f>
        <v>11</v>
      </c>
      <c r="D7" t="str">
        <f>VLOOKUP($A7,ScionOutput!$A$3:$BL$215,23,FALSE)</f>
        <v>FLO</v>
      </c>
      <c r="E7">
        <f>VLOOKUP($A7,ScionOutput!$A$3:$BL$215,6,FALSE)</f>
        <v>27</v>
      </c>
      <c r="F7" t="str">
        <f>VLOOKUP($A7,ScionOutput!$A$3:$BL$215,7,FALSE)</f>
        <v>TB</v>
      </c>
      <c r="G7">
        <f>VLOOKUP($A7,ScionOutput!$A$3:$BL$215,26,FALSE)</f>
        <v>117</v>
      </c>
      <c r="H7">
        <f>VLOOKUP($A7,ScionOutput!$A$3:$BL$215,10,FALSE)</f>
        <v>-129</v>
      </c>
      <c r="I7" s="4" t="str">
        <f>VLOOKUP($A7,ScionOutput!$A$3:$BL$215,45,FALSE)</f>
        <v>VisFave</v>
      </c>
      <c r="J7" s="4">
        <f>VLOOKUP($A7,ScionOutput!$A$3:$BL$215,46,FALSE)</f>
        <v>0</v>
      </c>
      <c r="K7" t="str">
        <f>VLOOKUP($A7,ScionOutput!$A$3:$BL$215,58,FALSE)</f>
        <v>No Play</v>
      </c>
      <c r="L7">
        <f>VLOOKUP($A7,ScionOutput!$A$3:$BL$215,59,FALSE)</f>
        <v>0</v>
      </c>
      <c r="M7">
        <f>VLOOKUP($A7,ScionOutput!$A$3:$BL$215,62,FALSE)</f>
        <v>0</v>
      </c>
      <c r="N7">
        <f>VLOOKUP($A7,ScionOutput!$A$3:$BL$215,63,FALSE)</f>
        <v>0</v>
      </c>
      <c r="O7" t="b">
        <f t="shared" si="1"/>
        <v>0</v>
      </c>
      <c r="P7">
        <f>VLOOKUP($A7,Outcomes!$B$3:$I$209,8,FALSE)</f>
        <v>7</v>
      </c>
      <c r="Q7">
        <f t="shared" si="2"/>
        <v>1</v>
      </c>
      <c r="R7">
        <f>VLOOKUP($A7,Outcomes!$B$3:$I$209,5,FALSE)</f>
        <v>4</v>
      </c>
      <c r="S7">
        <f>VLOOKUP($A7,Outcomes!$B$3:$I$209,6,FALSE)</f>
        <v>3</v>
      </c>
      <c r="T7">
        <f>VLOOKUP($A7,Outcomes!$B$3:$I$209,7,FALSE)</f>
        <v>-1</v>
      </c>
      <c r="U7" t="str">
        <f t="shared" si="3"/>
        <v>HomDog</v>
      </c>
      <c r="V7" s="5" t="str">
        <f t="shared" si="4"/>
        <v/>
      </c>
      <c r="W7" t="str">
        <f t="shared" si="0"/>
        <v/>
      </c>
      <c r="X7" t="str">
        <f t="shared" si="5"/>
        <v/>
      </c>
      <c r="Y7" t="str">
        <f t="shared" si="6"/>
        <v/>
      </c>
      <c r="Z7" s="2" t="str">
        <f t="shared" si="7"/>
        <v/>
      </c>
      <c r="AA7" t="str">
        <f>VLOOKUP($A7,ScionOutput!$A$3:$BL$215,64,FALSE)</f>
        <v xml:space="preserve">823859. VF plays are disallowed. No play due to strategy constraints. </v>
      </c>
    </row>
    <row r="8" spans="1:27" x14ac:dyDescent="0.2">
      <c r="A8">
        <v>824184</v>
      </c>
      <c r="B8" s="3">
        <f>VLOOKUP($A8,ScionOutput!$A$3:$BL$215,3,FALSE)</f>
        <v>46179</v>
      </c>
      <c r="C8">
        <f>VLOOKUP($A8,ScionOutput!$A$3:$BL$215,22,FALSE)</f>
        <v>12</v>
      </c>
      <c r="D8" t="str">
        <f>VLOOKUP($A8,ScionOutput!$A$3:$BL$215,23,FALSE)</f>
        <v>HOU</v>
      </c>
      <c r="E8">
        <f>VLOOKUP($A8,ScionOutput!$A$3:$BL$215,6,FALSE)</f>
        <v>20</v>
      </c>
      <c r="F8" t="str">
        <f>VLOOKUP($A8,ScionOutput!$A$3:$BL$215,7,FALSE)</f>
        <v>OAK</v>
      </c>
      <c r="G8">
        <f>VLOOKUP($A8,ScionOutput!$A$3:$BL$215,26,FALSE)</f>
        <v>-107</v>
      </c>
      <c r="H8">
        <f>VLOOKUP($A8,ScionOutput!$A$3:$BL$215,10,FALSE)</f>
        <v>-103</v>
      </c>
      <c r="I8" s="4" t="str">
        <f>VLOOKUP($A8,ScionOutput!$A$3:$BL$215,45,FALSE)</f>
        <v>VisDog</v>
      </c>
      <c r="J8" s="4">
        <f>VLOOKUP($A8,ScionOutput!$A$3:$BL$215,46,FALSE)</f>
        <v>0</v>
      </c>
      <c r="K8" t="str">
        <f>VLOOKUP($A8,ScionOutput!$A$3:$BL$215,58,FALSE)</f>
        <v>No Play</v>
      </c>
      <c r="L8">
        <f>VLOOKUP($A8,ScionOutput!$A$3:$BL$215,59,FALSE)</f>
        <v>0</v>
      </c>
      <c r="M8">
        <f>VLOOKUP($A8,ScionOutput!$A$3:$BL$215,62,FALSE)</f>
        <v>0</v>
      </c>
      <c r="N8">
        <f>VLOOKUP($A8,ScionOutput!$A$3:$BL$215,63,FALSE)</f>
        <v>0</v>
      </c>
      <c r="O8" t="b">
        <f t="shared" si="1"/>
        <v>0</v>
      </c>
      <c r="P8">
        <f>VLOOKUP($A8,Outcomes!$B$3:$I$209,8,FALSE)</f>
        <v>15</v>
      </c>
      <c r="Q8">
        <f t="shared" si="2"/>
        <v>1</v>
      </c>
      <c r="R8">
        <f>VLOOKUP($A8,Outcomes!$B$3:$I$209,5,FALSE)</f>
        <v>13</v>
      </c>
      <c r="S8">
        <f>VLOOKUP($A8,Outcomes!$B$3:$I$209,6,FALSE)</f>
        <v>2</v>
      </c>
      <c r="T8">
        <f>VLOOKUP($A8,Outcomes!$B$3:$I$209,7,FALSE)</f>
        <v>-11</v>
      </c>
      <c r="U8" t="str">
        <f t="shared" si="3"/>
        <v>HomFave</v>
      </c>
      <c r="V8" s="5" t="str">
        <f t="shared" si="4"/>
        <v/>
      </c>
      <c r="W8" t="str">
        <f t="shared" si="0"/>
        <v/>
      </c>
      <c r="X8" t="str">
        <f t="shared" si="5"/>
        <v/>
      </c>
      <c r="Y8" t="str">
        <f t="shared" si="6"/>
        <v/>
      </c>
      <c r="Z8" s="2" t="str">
        <f t="shared" si="7"/>
        <v/>
      </c>
      <c r="AA8" t="str">
        <f>VLOOKUP($A8,ScionOutput!$A$3:$BL$215,64,FALSE)</f>
        <v xml:space="preserve">824184. V_SP is Null, team-based avg used. NoPlay as V_SP is Null. </v>
      </c>
    </row>
    <row r="9" spans="1:27" x14ac:dyDescent="0.2">
      <c r="A9">
        <v>823942</v>
      </c>
      <c r="B9" s="3">
        <f>VLOOKUP($A9,ScionOutput!$A$3:$BL$215,3,FALSE)</f>
        <v>46179</v>
      </c>
      <c r="C9">
        <f>VLOOKUP($A9,ScionOutput!$A$3:$BL$215,22,FALSE)</f>
        <v>14</v>
      </c>
      <c r="D9" t="str">
        <f>VLOOKUP($A9,ScionOutput!$A$3:$BL$215,23,FALSE)</f>
        <v>LA</v>
      </c>
      <c r="E9">
        <f>VLOOKUP($A9,ScionOutput!$A$3:$BL$215,6,FALSE)</f>
        <v>4</v>
      </c>
      <c r="F9" t="str">
        <f>VLOOKUP($A9,ScionOutput!$A$3:$BL$215,7,FALSE)</f>
        <v>LAA</v>
      </c>
      <c r="G9">
        <f>VLOOKUP($A9,ScionOutput!$A$3:$BL$215,26,FALSE)</f>
        <v>-312</v>
      </c>
      <c r="H9">
        <f>VLOOKUP($A9,ScionOutput!$A$3:$BL$215,10,FALSE)</f>
        <v>275</v>
      </c>
      <c r="I9" s="4" t="str">
        <f>VLOOKUP($A9,ScionOutput!$A$3:$BL$215,45,FALSE)</f>
        <v>HomFave</v>
      </c>
      <c r="J9" s="4">
        <f>VLOOKUP($A9,ScionOutput!$A$3:$BL$215,46,FALSE)</f>
        <v>0</v>
      </c>
      <c r="K9" t="str">
        <f>VLOOKUP($A9,ScionOutput!$A$3:$BL$215,58,FALSE)</f>
        <v>No Play</v>
      </c>
      <c r="L9">
        <f>VLOOKUP($A9,ScionOutput!$A$3:$BL$215,59,FALSE)</f>
        <v>0</v>
      </c>
      <c r="M9">
        <f>VLOOKUP($A9,ScionOutput!$A$3:$BL$215,62,FALSE)</f>
        <v>0</v>
      </c>
      <c r="N9">
        <f>VLOOKUP($A9,ScionOutput!$A$3:$BL$215,63,FALSE)</f>
        <v>0</v>
      </c>
      <c r="O9" t="b">
        <f t="shared" si="1"/>
        <v>0</v>
      </c>
      <c r="P9">
        <f>VLOOKUP($A9,Outcomes!$B$3:$I$209,8,FALSE)</f>
        <v>11</v>
      </c>
      <c r="Q9">
        <f t="shared" si="2"/>
        <v>1</v>
      </c>
      <c r="R9">
        <f>VLOOKUP($A9,Outcomes!$B$3:$I$209,5,FALSE)</f>
        <v>9</v>
      </c>
      <c r="S9">
        <f>VLOOKUP($A9,Outcomes!$B$3:$I$209,6,FALSE)</f>
        <v>2</v>
      </c>
      <c r="T9">
        <f>VLOOKUP($A9,Outcomes!$B$3:$I$209,7,FALSE)</f>
        <v>-7</v>
      </c>
      <c r="U9" t="str">
        <f t="shared" si="3"/>
        <v>HomFave</v>
      </c>
      <c r="V9" s="5" t="str">
        <f t="shared" si="4"/>
        <v/>
      </c>
      <c r="W9" t="str">
        <f t="shared" si="0"/>
        <v/>
      </c>
      <c r="X9" t="str">
        <f t="shared" si="5"/>
        <v/>
      </c>
      <c r="Y9" t="str">
        <f t="shared" si="6"/>
        <v/>
      </c>
      <c r="Z9" s="2" t="str">
        <f t="shared" si="7"/>
        <v/>
      </c>
      <c r="AA9" t="str">
        <f>VLOOKUP($A9,ScionOutput!$A$3:$BL$215,64,FALSE)</f>
        <v xml:space="preserve">823942. LineStatEns is NoPlay as bookie-line outside range. StatOnlyEns is NoPlay as bookie-line outside range. No play due to strategy constraints. </v>
      </c>
    </row>
    <row r="10" spans="1:27" x14ac:dyDescent="0.2">
      <c r="A10">
        <v>823697</v>
      </c>
      <c r="B10" s="3">
        <f>VLOOKUP($A10,ScionOutput!$A$3:$BL$215,3,FALSE)</f>
        <v>46179</v>
      </c>
      <c r="C10">
        <f>VLOOKUP($A10,ScionOutput!$A$3:$BL$215,22,FALSE)</f>
        <v>15</v>
      </c>
      <c r="D10" t="str">
        <f>VLOOKUP($A10,ScionOutput!$A$3:$BL$215,23,FALSE)</f>
        <v>MIN</v>
      </c>
      <c r="E10">
        <f>VLOOKUP($A10,ScionOutput!$A$3:$BL$215,6,FALSE)</f>
        <v>13</v>
      </c>
      <c r="F10" t="str">
        <f>VLOOKUP($A10,ScionOutput!$A$3:$BL$215,7,FALSE)</f>
        <v>KC</v>
      </c>
      <c r="G10">
        <f>VLOOKUP($A10,ScionOutput!$A$3:$BL$215,26,FALSE)</f>
        <v>-145</v>
      </c>
      <c r="H10">
        <f>VLOOKUP($A10,ScionOutput!$A$3:$BL$215,10,FALSE)</f>
        <v>131</v>
      </c>
      <c r="I10" s="4" t="str">
        <f>VLOOKUP($A10,ScionOutput!$A$3:$BL$215,45,FALSE)</f>
        <v>HomFave</v>
      </c>
      <c r="J10" s="4">
        <f>VLOOKUP($A10,ScionOutput!$A$3:$BL$215,46,FALSE)</f>
        <v>0</v>
      </c>
      <c r="K10" t="str">
        <f>VLOOKUP($A10,ScionOutput!$A$3:$BL$215,58,FALSE)</f>
        <v>No Play</v>
      </c>
      <c r="L10">
        <f>VLOOKUP($A10,ScionOutput!$A$3:$BL$215,59,FALSE)</f>
        <v>0</v>
      </c>
      <c r="M10">
        <f>VLOOKUP($A10,ScionOutput!$A$3:$BL$215,62,FALSE)</f>
        <v>0</v>
      </c>
      <c r="N10">
        <f>VLOOKUP($A10,ScionOutput!$A$3:$BL$215,63,FALSE)</f>
        <v>0</v>
      </c>
      <c r="O10" t="b">
        <f t="shared" si="1"/>
        <v>0</v>
      </c>
      <c r="P10">
        <f>VLOOKUP($A10,Outcomes!$B$3:$I$209,8,FALSE)</f>
        <v>5</v>
      </c>
      <c r="Q10">
        <f t="shared" si="2"/>
        <v>-1</v>
      </c>
      <c r="R10">
        <f>VLOOKUP($A10,Outcomes!$B$3:$I$209,5,FALSE)</f>
        <v>2</v>
      </c>
      <c r="S10">
        <f>VLOOKUP($A10,Outcomes!$B$3:$I$209,6,FALSE)</f>
        <v>3</v>
      </c>
      <c r="T10">
        <f>VLOOKUP($A10,Outcomes!$B$3:$I$209,7,FALSE)</f>
        <v>1</v>
      </c>
      <c r="U10" t="str">
        <f t="shared" si="3"/>
        <v>VisDog</v>
      </c>
      <c r="V10" s="5" t="str">
        <f t="shared" si="4"/>
        <v/>
      </c>
      <c r="W10" t="str">
        <f t="shared" si="0"/>
        <v/>
      </c>
      <c r="X10" t="str">
        <f t="shared" si="5"/>
        <v/>
      </c>
      <c r="Y10" t="str">
        <f t="shared" si="6"/>
        <v/>
      </c>
      <c r="Z10" s="2" t="str">
        <f t="shared" si="7"/>
        <v/>
      </c>
      <c r="AA10" t="str">
        <f>VLOOKUP($A10,ScionOutput!$A$3:$BL$215,64,FALSE)</f>
        <v xml:space="preserve">823697. LineStatEns probability points gap does not exceed threshold (no edge found)! StatOnlyEns probability points gap does not exceed threshold (no edge found)! No play due to strategy constraints. </v>
      </c>
    </row>
    <row r="11" spans="1:27" x14ac:dyDescent="0.2">
      <c r="A11">
        <v>823454</v>
      </c>
      <c r="B11" s="3">
        <f>VLOOKUP($A11,ScionOutput!$A$3:$BL$215,3,FALSE)</f>
        <v>46179</v>
      </c>
      <c r="C11">
        <f>VLOOKUP($A11,ScionOutput!$A$3:$BL$215,22,FALSE)</f>
        <v>21</v>
      </c>
      <c r="D11" t="str">
        <f>VLOOKUP($A11,ScionOutput!$A$3:$BL$215,23,FALSE)</f>
        <v>PHI</v>
      </c>
      <c r="E11">
        <f>VLOOKUP($A11,ScionOutput!$A$3:$BL$215,6,FALSE)</f>
        <v>9</v>
      </c>
      <c r="F11" t="str">
        <f>VLOOKUP($A11,ScionOutput!$A$3:$BL$215,7,FALSE)</f>
        <v>CWS</v>
      </c>
      <c r="G11">
        <f>VLOOKUP($A11,ScionOutput!$A$3:$BL$215,26,FALSE)</f>
        <v>-123</v>
      </c>
      <c r="H11">
        <f>VLOOKUP($A11,ScionOutput!$A$3:$BL$215,10,FALSE)</f>
        <v>112</v>
      </c>
      <c r="I11" s="4" t="str">
        <f>VLOOKUP($A11,ScionOutput!$A$3:$BL$215,45,FALSE)</f>
        <v>HomFave</v>
      </c>
      <c r="J11" s="4">
        <f>VLOOKUP($A11,ScionOutput!$A$3:$BL$215,46,FALSE)</f>
        <v>0</v>
      </c>
      <c r="K11" t="str">
        <f>VLOOKUP($A11,ScionOutput!$A$3:$BL$215,58,FALSE)</f>
        <v>No Play</v>
      </c>
      <c r="L11">
        <f>VLOOKUP($A11,ScionOutput!$A$3:$BL$215,59,FALSE)</f>
        <v>0</v>
      </c>
      <c r="M11">
        <f>VLOOKUP($A11,ScionOutput!$A$3:$BL$215,62,FALSE)</f>
        <v>0</v>
      </c>
      <c r="N11">
        <f>VLOOKUP($A11,ScionOutput!$A$3:$BL$215,63,FALSE)</f>
        <v>0</v>
      </c>
      <c r="O11" t="b">
        <f t="shared" si="1"/>
        <v>0</v>
      </c>
      <c r="P11">
        <f>VLOOKUP($A11,Outcomes!$B$3:$I$209,8,FALSE)</f>
        <v>9</v>
      </c>
      <c r="Q11">
        <f t="shared" si="2"/>
        <v>-1</v>
      </c>
      <c r="R11">
        <f>VLOOKUP($A11,Outcomes!$B$3:$I$209,5,FALSE)</f>
        <v>3</v>
      </c>
      <c r="S11">
        <f>VLOOKUP($A11,Outcomes!$B$3:$I$209,6,FALSE)</f>
        <v>6</v>
      </c>
      <c r="T11">
        <f>VLOOKUP($A11,Outcomes!$B$3:$I$209,7,FALSE)</f>
        <v>3</v>
      </c>
      <c r="U11" t="str">
        <f t="shared" si="3"/>
        <v>VisDog</v>
      </c>
      <c r="V11" s="5" t="str">
        <f t="shared" si="4"/>
        <v/>
      </c>
      <c r="W11" t="str">
        <f t="shared" si="0"/>
        <v/>
      </c>
      <c r="X11" t="str">
        <f t="shared" si="5"/>
        <v/>
      </c>
      <c r="Y11" t="str">
        <f t="shared" si="6"/>
        <v/>
      </c>
      <c r="Z11" s="2" t="str">
        <f t="shared" si="7"/>
        <v/>
      </c>
      <c r="AA11" t="str">
        <f>VLOOKUP($A11,ScionOutput!$A$3:$BL$215,64,FALSE)</f>
        <v xml:space="preserve">823454. LineStatEns probability points gap does not exceed threshold (no edge found)! No play due to strategy constraints. </v>
      </c>
    </row>
    <row r="12" spans="1:27" x14ac:dyDescent="0.2">
      <c r="A12">
        <v>823292</v>
      </c>
      <c r="B12" s="3">
        <f>VLOOKUP($A12,ScionOutput!$A$3:$BL$215,3,FALSE)</f>
        <v>46179</v>
      </c>
      <c r="C12">
        <f>VLOOKUP($A12,ScionOutput!$A$3:$BL$215,22,FALSE)</f>
        <v>23</v>
      </c>
      <c r="D12" t="str">
        <f>VLOOKUP($A12,ScionOutput!$A$3:$BL$215,23,FALSE)</f>
        <v>SD</v>
      </c>
      <c r="E12">
        <f>VLOOKUP($A12,ScionOutput!$A$3:$BL$215,6,FALSE)</f>
        <v>18</v>
      </c>
      <c r="F12" t="str">
        <f>VLOOKUP($A12,ScionOutput!$A$3:$BL$215,7,FALSE)</f>
        <v>NYM</v>
      </c>
      <c r="G12">
        <f>VLOOKUP($A12,ScionOutput!$A$3:$BL$215,26,FALSE)</f>
        <v>104</v>
      </c>
      <c r="H12">
        <f>VLOOKUP($A12,ScionOutput!$A$3:$BL$215,10,FALSE)</f>
        <v>-115</v>
      </c>
      <c r="I12" s="4" t="str">
        <f>VLOOKUP($A12,ScionOutput!$A$3:$BL$215,45,FALSE)</f>
        <v>VisFave</v>
      </c>
      <c r="J12" s="4">
        <f>VLOOKUP($A12,ScionOutput!$A$3:$BL$215,46,FALSE)</f>
        <v>0</v>
      </c>
      <c r="K12" t="str">
        <f>VLOOKUP($A12,ScionOutput!$A$3:$BL$215,58,FALSE)</f>
        <v>No Play</v>
      </c>
      <c r="L12">
        <f>VLOOKUP($A12,ScionOutput!$A$3:$BL$215,59,FALSE)</f>
        <v>0</v>
      </c>
      <c r="M12">
        <f>VLOOKUP($A12,ScionOutput!$A$3:$BL$215,62,FALSE)</f>
        <v>0</v>
      </c>
      <c r="N12">
        <f>VLOOKUP($A12,ScionOutput!$A$3:$BL$215,63,FALSE)</f>
        <v>0</v>
      </c>
      <c r="O12" t="b">
        <f t="shared" si="1"/>
        <v>0</v>
      </c>
      <c r="P12">
        <f>VLOOKUP($A12,Outcomes!$B$3:$I$209,8,FALSE)</f>
        <v>5</v>
      </c>
      <c r="Q12">
        <f t="shared" si="2"/>
        <v>1</v>
      </c>
      <c r="R12">
        <f>VLOOKUP($A12,Outcomes!$B$3:$I$209,5,FALSE)</f>
        <v>3</v>
      </c>
      <c r="S12">
        <f>VLOOKUP($A12,Outcomes!$B$3:$I$209,6,FALSE)</f>
        <v>2</v>
      </c>
      <c r="T12">
        <f>VLOOKUP($A12,Outcomes!$B$3:$I$209,7,FALSE)</f>
        <v>-1</v>
      </c>
      <c r="U12" t="str">
        <f t="shared" si="3"/>
        <v>HomDog</v>
      </c>
      <c r="V12" s="5" t="str">
        <f t="shared" si="4"/>
        <v/>
      </c>
      <c r="W12" t="str">
        <f t="shared" si="0"/>
        <v/>
      </c>
      <c r="X12" t="str">
        <f t="shared" si="5"/>
        <v/>
      </c>
      <c r="Y12" t="str">
        <f t="shared" si="6"/>
        <v/>
      </c>
      <c r="Z12" s="2" t="str">
        <f t="shared" si="7"/>
        <v/>
      </c>
      <c r="AA12" t="str">
        <f>VLOOKUP($A12,ScionOutput!$A$3:$BL$215,64,FALSE)</f>
        <v xml:space="preserve">823292. VF plays are disallowed. No play due to strategy constraints. </v>
      </c>
    </row>
    <row r="13" spans="1:27" x14ac:dyDescent="0.2">
      <c r="A13">
        <v>823048</v>
      </c>
      <c r="B13" s="3">
        <f>VLOOKUP($A13,ScionOutput!$A$3:$BL$215,3,FALSE)</f>
        <v>46179</v>
      </c>
      <c r="C13">
        <f>VLOOKUP($A13,ScionOutput!$A$3:$BL$215,22,FALSE)</f>
        <v>26</v>
      </c>
      <c r="D13" t="str">
        <f>VLOOKUP($A13,ScionOutput!$A$3:$BL$215,23,FALSE)</f>
        <v>STL</v>
      </c>
      <c r="E13">
        <f>VLOOKUP($A13,ScionOutput!$A$3:$BL$215,6,FALSE)</f>
        <v>6</v>
      </c>
      <c r="F13" t="str">
        <f>VLOOKUP($A13,ScionOutput!$A$3:$BL$215,7,FALSE)</f>
        <v>CIN</v>
      </c>
      <c r="G13">
        <f>VLOOKUP($A13,ScionOutput!$A$3:$BL$215,26,FALSE)</f>
        <v>-125</v>
      </c>
      <c r="H13">
        <f>VLOOKUP($A13,ScionOutput!$A$3:$BL$215,10,FALSE)</f>
        <v>113</v>
      </c>
      <c r="I13" s="4" t="str">
        <f>VLOOKUP($A13,ScionOutput!$A$3:$BL$215,45,FALSE)</f>
        <v>HomFave</v>
      </c>
      <c r="J13" s="4">
        <f>VLOOKUP($A13,ScionOutput!$A$3:$BL$215,46,FALSE)</f>
        <v>0</v>
      </c>
      <c r="K13" t="str">
        <f>VLOOKUP($A13,ScionOutput!$A$3:$BL$215,58,FALSE)</f>
        <v>No Play</v>
      </c>
      <c r="L13">
        <f>VLOOKUP($A13,ScionOutput!$A$3:$BL$215,59,FALSE)</f>
        <v>0</v>
      </c>
      <c r="M13">
        <f>VLOOKUP($A13,ScionOutput!$A$3:$BL$215,62,FALSE)</f>
        <v>0</v>
      </c>
      <c r="N13">
        <f>VLOOKUP($A13,ScionOutput!$A$3:$BL$215,63,FALSE)</f>
        <v>0</v>
      </c>
      <c r="O13" t="b">
        <f t="shared" si="1"/>
        <v>0</v>
      </c>
      <c r="P13">
        <f>VLOOKUP($A13,Outcomes!$B$3:$I$209,8,FALSE)</f>
        <v>11</v>
      </c>
      <c r="Q13">
        <f t="shared" si="2"/>
        <v>1</v>
      </c>
      <c r="R13">
        <f>VLOOKUP($A13,Outcomes!$B$3:$I$209,5,FALSE)</f>
        <v>6</v>
      </c>
      <c r="S13">
        <f>VLOOKUP($A13,Outcomes!$B$3:$I$209,6,FALSE)</f>
        <v>5</v>
      </c>
      <c r="T13">
        <f>VLOOKUP($A13,Outcomes!$B$3:$I$209,7,FALSE)</f>
        <v>-1</v>
      </c>
      <c r="U13" t="str">
        <f t="shared" si="3"/>
        <v>HomFave</v>
      </c>
      <c r="V13" s="5" t="str">
        <f t="shared" si="4"/>
        <v/>
      </c>
      <c r="W13" t="str">
        <f t="shared" si="0"/>
        <v/>
      </c>
      <c r="X13" t="str">
        <f t="shared" si="5"/>
        <v/>
      </c>
      <c r="Y13" t="str">
        <f t="shared" si="6"/>
        <v/>
      </c>
      <c r="Z13" s="2" t="str">
        <f t="shared" si="7"/>
        <v/>
      </c>
      <c r="AA13" t="str">
        <f>VLOOKUP($A13,ScionOutput!$A$3:$BL$215,64,FALSE)</f>
        <v xml:space="preserve">823048. LineStatEns probability points gap does not exceed threshold (no edge found)! StatOnlyEns probability points gap does not exceed threshold (no edge found)! No play due to strategy constraints. </v>
      </c>
    </row>
    <row r="14" spans="1:27" x14ac:dyDescent="0.2">
      <c r="A14">
        <v>822891</v>
      </c>
      <c r="B14" s="3">
        <f>VLOOKUP($A14,ScionOutput!$A$3:$BL$215,3,FALSE)</f>
        <v>46179</v>
      </c>
      <c r="C14">
        <f>VLOOKUP($A14,ScionOutput!$A$3:$BL$215,22,FALSE)</f>
        <v>28</v>
      </c>
      <c r="D14" t="str">
        <f>VLOOKUP($A14,ScionOutput!$A$3:$BL$215,23,FALSE)</f>
        <v>TEX</v>
      </c>
      <c r="E14">
        <f>VLOOKUP($A14,ScionOutput!$A$3:$BL$215,6,FALSE)</f>
        <v>7</v>
      </c>
      <c r="F14" t="str">
        <f>VLOOKUP($A14,ScionOutput!$A$3:$BL$215,7,FALSE)</f>
        <v>CLE</v>
      </c>
      <c r="G14">
        <f>VLOOKUP($A14,ScionOutput!$A$3:$BL$215,26,FALSE)</f>
        <v>-107</v>
      </c>
      <c r="H14">
        <f>VLOOKUP($A14,ScionOutput!$A$3:$BL$215,10,FALSE)</f>
        <v>-103</v>
      </c>
      <c r="I14" s="4" t="str">
        <f>VLOOKUP($A14,ScionOutput!$A$3:$BL$215,45,FALSE)</f>
        <v>HomFave</v>
      </c>
      <c r="J14" s="4">
        <f>VLOOKUP($A14,ScionOutput!$A$3:$BL$215,46,FALSE)</f>
        <v>0</v>
      </c>
      <c r="K14" t="str">
        <f>VLOOKUP($A14,ScionOutput!$A$3:$BL$215,58,FALSE)</f>
        <v>No Play</v>
      </c>
      <c r="L14">
        <f>VLOOKUP($A14,ScionOutput!$A$3:$BL$215,59,FALSE)</f>
        <v>0</v>
      </c>
      <c r="M14">
        <f>VLOOKUP($A14,ScionOutput!$A$3:$BL$215,62,FALSE)</f>
        <v>0</v>
      </c>
      <c r="N14">
        <f>VLOOKUP($A14,ScionOutput!$A$3:$BL$215,63,FALSE)</f>
        <v>0</v>
      </c>
      <c r="O14" t="b">
        <f t="shared" si="1"/>
        <v>0</v>
      </c>
      <c r="P14">
        <f>VLOOKUP($A14,Outcomes!$B$3:$I$209,8,FALSE)</f>
        <v>6</v>
      </c>
      <c r="Q14">
        <f t="shared" si="2"/>
        <v>-1</v>
      </c>
      <c r="R14">
        <f>VLOOKUP($A14,Outcomes!$B$3:$I$209,5,FALSE)</f>
        <v>0</v>
      </c>
      <c r="S14">
        <f>VLOOKUP($A14,Outcomes!$B$3:$I$209,6,FALSE)</f>
        <v>6</v>
      </c>
      <c r="T14">
        <f>VLOOKUP($A14,Outcomes!$B$3:$I$209,7,FALSE)</f>
        <v>6</v>
      </c>
      <c r="U14" t="str">
        <f t="shared" si="3"/>
        <v>VisDog</v>
      </c>
      <c r="V14" s="5" t="str">
        <f t="shared" si="4"/>
        <v/>
      </c>
      <c r="W14" t="str">
        <f t="shared" si="0"/>
        <v/>
      </c>
      <c r="X14" t="str">
        <f t="shared" si="5"/>
        <v/>
      </c>
      <c r="Y14" t="str">
        <f t="shared" si="6"/>
        <v/>
      </c>
      <c r="Z14" s="2" t="str">
        <f t="shared" si="7"/>
        <v/>
      </c>
      <c r="AA14" t="str">
        <f>VLOOKUP($A14,ScionOutput!$A$3:$BL$215,64,FALSE)</f>
        <v xml:space="preserve">822891. LineStatEns probability points gap does not exceed threshold (no edge found)! No play due to strategy constraints. </v>
      </c>
    </row>
    <row r="15" spans="1:27" x14ac:dyDescent="0.2">
      <c r="A15">
        <v>822808</v>
      </c>
      <c r="B15" s="3">
        <f>VLOOKUP($A15,ScionOutput!$A$3:$BL$215,3,FALSE)</f>
        <v>46179</v>
      </c>
      <c r="C15">
        <f>VLOOKUP($A15,ScionOutput!$A$3:$BL$215,22,FALSE)</f>
        <v>29</v>
      </c>
      <c r="D15" t="str">
        <f>VLOOKUP($A15,ScionOutput!$A$3:$BL$215,23,FALSE)</f>
        <v>TOR</v>
      </c>
      <c r="E15">
        <f>VLOOKUP($A15,ScionOutput!$A$3:$BL$215,6,FALSE)</f>
        <v>2</v>
      </c>
      <c r="F15" t="str">
        <f>VLOOKUP($A15,ScionOutput!$A$3:$BL$215,7,FALSE)</f>
        <v>BAL</v>
      </c>
      <c r="G15">
        <f>VLOOKUP($A15,ScionOutput!$A$3:$BL$215,26,FALSE)</f>
        <v>-103</v>
      </c>
      <c r="H15">
        <f>VLOOKUP($A15,ScionOutput!$A$3:$BL$215,10,FALSE)</f>
        <v>-107</v>
      </c>
      <c r="I15" s="4" t="str">
        <f>VLOOKUP($A15,ScionOutput!$A$3:$BL$215,45,FALSE)</f>
        <v>VisFave</v>
      </c>
      <c r="J15" s="4">
        <f>VLOOKUP($A15,ScionOutput!$A$3:$BL$215,46,FALSE)</f>
        <v>0</v>
      </c>
      <c r="K15" t="str">
        <f>VLOOKUP($A15,ScionOutput!$A$3:$BL$215,58,FALSE)</f>
        <v>No Play</v>
      </c>
      <c r="L15">
        <f>VLOOKUP($A15,ScionOutput!$A$3:$BL$215,59,FALSE)</f>
        <v>0</v>
      </c>
      <c r="M15">
        <f>VLOOKUP($A15,ScionOutput!$A$3:$BL$215,62,FALSE)</f>
        <v>0</v>
      </c>
      <c r="N15">
        <f>VLOOKUP($A15,ScionOutput!$A$3:$BL$215,63,FALSE)</f>
        <v>0</v>
      </c>
      <c r="O15" t="b">
        <f t="shared" si="1"/>
        <v>0</v>
      </c>
      <c r="P15">
        <f>VLOOKUP($A15,Outcomes!$B$3:$I$209,8,FALSE)</f>
        <v>10</v>
      </c>
      <c r="Q15">
        <f t="shared" si="2"/>
        <v>1</v>
      </c>
      <c r="R15">
        <f>VLOOKUP($A15,Outcomes!$B$3:$I$209,5,FALSE)</f>
        <v>6</v>
      </c>
      <c r="S15">
        <f>VLOOKUP($A15,Outcomes!$B$3:$I$209,6,FALSE)</f>
        <v>4</v>
      </c>
      <c r="T15">
        <f>VLOOKUP($A15,Outcomes!$B$3:$I$209,7,FALSE)</f>
        <v>-2</v>
      </c>
      <c r="U15" t="str">
        <f t="shared" si="3"/>
        <v>HomDog</v>
      </c>
      <c r="V15" s="5" t="str">
        <f t="shared" si="4"/>
        <v/>
      </c>
      <c r="W15" t="str">
        <f t="shared" si="0"/>
        <v/>
      </c>
      <c r="X15" t="str">
        <f t="shared" si="5"/>
        <v/>
      </c>
      <c r="Y15" t="str">
        <f t="shared" si="6"/>
        <v/>
      </c>
      <c r="Z15" s="2" t="str">
        <f t="shared" si="7"/>
        <v/>
      </c>
      <c r="AA15" t="str">
        <f>VLOOKUP($A15,ScionOutput!$A$3:$BL$215,64,FALSE)</f>
        <v xml:space="preserve">822808. VF plays are disallowed. No play due to strategy constraints. </v>
      </c>
    </row>
    <row r="16" spans="1:27" x14ac:dyDescent="0.2">
      <c r="A16">
        <v>824916</v>
      </c>
      <c r="B16" s="3">
        <f>VLOOKUP($A16,ScionOutput!$A$3:$BL$215,3,FALSE)</f>
        <v>46180</v>
      </c>
      <c r="C16">
        <f>VLOOKUP($A16,ScionOutput!$A$3:$BL$215,22,FALSE)</f>
        <v>0</v>
      </c>
      <c r="D16" t="str">
        <f>VLOOKUP($A16,ScionOutput!$A$3:$BL$215,23,FALSE)</f>
        <v>ATL</v>
      </c>
      <c r="E16">
        <f>VLOOKUP($A16,ScionOutput!$A$3:$BL$215,6,FALSE)</f>
        <v>22</v>
      </c>
      <c r="F16" t="str">
        <f>VLOOKUP($A16,ScionOutput!$A$3:$BL$215,7,FALSE)</f>
        <v>PIT</v>
      </c>
      <c r="G16">
        <f>VLOOKUP($A16,ScionOutput!$A$3:$BL$215,26,FALSE)</f>
        <v>-145</v>
      </c>
      <c r="H16">
        <f>VLOOKUP($A16,ScionOutput!$A$3:$BL$215,10,FALSE)</f>
        <v>133</v>
      </c>
      <c r="I16" s="4" t="str">
        <f>VLOOKUP($A16,ScionOutput!$A$3:$BL$215,45,FALSE)</f>
        <v>HomFave</v>
      </c>
      <c r="J16" s="4">
        <f>VLOOKUP($A16,ScionOutput!$A$3:$BL$215,46,FALSE)</f>
        <v>0</v>
      </c>
      <c r="K16" t="str">
        <f>VLOOKUP($A16,ScionOutput!$A$3:$BL$215,58,FALSE)</f>
        <v>No Play</v>
      </c>
      <c r="L16">
        <f>VLOOKUP($A16,ScionOutput!$A$3:$BL$215,59,FALSE)</f>
        <v>0</v>
      </c>
      <c r="M16">
        <f>VLOOKUP($A16,ScionOutput!$A$3:$BL$215,62,FALSE)</f>
        <v>0</v>
      </c>
      <c r="N16">
        <f>VLOOKUP($A16,ScionOutput!$A$3:$BL$215,63,FALSE)</f>
        <v>0</v>
      </c>
      <c r="O16" t="b">
        <f t="shared" si="1"/>
        <v>0</v>
      </c>
      <c r="P16">
        <f>VLOOKUP($A16,Outcomes!$B$3:$I$209,8,FALSE)</f>
        <v>5</v>
      </c>
      <c r="Q16">
        <f t="shared" si="2"/>
        <v>1</v>
      </c>
      <c r="R16">
        <f>VLOOKUP($A16,Outcomes!$B$3:$I$209,5,FALSE)</f>
        <v>3</v>
      </c>
      <c r="S16">
        <f>VLOOKUP($A16,Outcomes!$B$3:$I$209,6,FALSE)</f>
        <v>2</v>
      </c>
      <c r="T16">
        <f>VLOOKUP($A16,Outcomes!$B$3:$I$209,7,FALSE)</f>
        <v>-1</v>
      </c>
      <c r="U16" t="str">
        <f t="shared" si="3"/>
        <v>HomFave</v>
      </c>
      <c r="V16" s="5" t="str">
        <f t="shared" si="4"/>
        <v/>
      </c>
      <c r="W16" t="str">
        <f t="shared" si="0"/>
        <v/>
      </c>
      <c r="X16" t="str">
        <f t="shared" si="5"/>
        <v/>
      </c>
      <c r="Y16" t="str">
        <f t="shared" si="6"/>
        <v/>
      </c>
      <c r="Z16" s="2" t="str">
        <f t="shared" si="7"/>
        <v/>
      </c>
      <c r="AA16" t="str">
        <f>VLOOKUP($A16,ScionOutput!$A$3:$BL$215,64,FALSE)</f>
        <v xml:space="preserve">824916. LineStatEns probability points gap does not exceed threshold (no edge found)! StatOnlyEns probability points gap does not exceed threshold (no edge found)! No play due to strategy constraints. </v>
      </c>
    </row>
    <row r="17" spans="1:27" x14ac:dyDescent="0.2">
      <c r="A17">
        <v>825074</v>
      </c>
      <c r="B17" s="3">
        <f>VLOOKUP($A17,ScionOutput!$A$3:$BL$215,3,FALSE)</f>
        <v>46180</v>
      </c>
      <c r="C17">
        <f>VLOOKUP($A17,ScionOutput!$A$3:$BL$215,22,FALSE)</f>
        <v>1</v>
      </c>
      <c r="D17" t="str">
        <f>VLOOKUP($A17,ScionOutput!$A$3:$BL$215,23,FALSE)</f>
        <v>ARZ</v>
      </c>
      <c r="E17">
        <f>VLOOKUP($A17,ScionOutput!$A$3:$BL$215,6,FALSE)</f>
        <v>16</v>
      </c>
      <c r="F17" t="str">
        <f>VLOOKUP($A17,ScionOutput!$A$3:$BL$215,7,FALSE)</f>
        <v>WAS</v>
      </c>
      <c r="G17">
        <f>VLOOKUP($A17,ScionOutput!$A$3:$BL$215,26,FALSE)</f>
        <v>-125</v>
      </c>
      <c r="H17">
        <f>VLOOKUP($A17,ScionOutput!$A$3:$BL$215,10,FALSE)</f>
        <v>115</v>
      </c>
      <c r="I17" s="4" t="str">
        <f>VLOOKUP($A17,ScionOutput!$A$3:$BL$215,45,FALSE)</f>
        <v>HomFave</v>
      </c>
      <c r="J17" s="4">
        <f>VLOOKUP($A17,ScionOutput!$A$3:$BL$215,46,FALSE)</f>
        <v>0</v>
      </c>
      <c r="K17" t="str">
        <f>VLOOKUP($A17,ScionOutput!$A$3:$BL$215,58,FALSE)</f>
        <v>No Play</v>
      </c>
      <c r="L17">
        <f>VLOOKUP($A17,ScionOutput!$A$3:$BL$215,59,FALSE)</f>
        <v>0</v>
      </c>
      <c r="M17">
        <f>VLOOKUP($A17,ScionOutput!$A$3:$BL$215,62,FALSE)</f>
        <v>0</v>
      </c>
      <c r="N17">
        <f>VLOOKUP($A17,ScionOutput!$A$3:$BL$215,63,FALSE)</f>
        <v>0</v>
      </c>
      <c r="O17" t="b">
        <f t="shared" si="1"/>
        <v>0</v>
      </c>
      <c r="P17">
        <f>VLOOKUP($A17,Outcomes!$B$3:$I$209,8,FALSE)</f>
        <v>6</v>
      </c>
      <c r="Q17">
        <f t="shared" si="2"/>
        <v>1</v>
      </c>
      <c r="R17">
        <f>VLOOKUP($A17,Outcomes!$B$3:$I$209,5,FALSE)</f>
        <v>5</v>
      </c>
      <c r="S17">
        <f>VLOOKUP($A17,Outcomes!$B$3:$I$209,6,FALSE)</f>
        <v>1</v>
      </c>
      <c r="T17">
        <f>VLOOKUP($A17,Outcomes!$B$3:$I$209,7,FALSE)</f>
        <v>-4</v>
      </c>
      <c r="U17" t="str">
        <f t="shared" si="3"/>
        <v>HomFave</v>
      </c>
      <c r="V17" s="5" t="str">
        <f t="shared" si="4"/>
        <v/>
      </c>
      <c r="W17" t="str">
        <f t="shared" si="0"/>
        <v/>
      </c>
      <c r="X17" t="str">
        <f t="shared" si="5"/>
        <v/>
      </c>
      <c r="Y17" t="str">
        <f t="shared" si="6"/>
        <v/>
      </c>
      <c r="Z17" s="2" t="str">
        <f t="shared" si="7"/>
        <v/>
      </c>
      <c r="AA17" t="str">
        <f>VLOOKUP($A17,ScionOutput!$A$3:$BL$215,64,FALSE)</f>
        <v xml:space="preserve">825074. LineStatEns probability points gap does not exceed threshold (no edge found)! StatOnlyEns probability points gap does not exceed threshold (no edge found)! No play due to strategy constraints. </v>
      </c>
    </row>
    <row r="18" spans="1:27" x14ac:dyDescent="0.2">
      <c r="A18">
        <v>824670</v>
      </c>
      <c r="B18" s="3">
        <f>VLOOKUP($A18,ScionOutput!$A$3:$BL$215,3,FALSE)</f>
        <v>46180</v>
      </c>
      <c r="C18">
        <f>VLOOKUP($A18,ScionOutput!$A$3:$BL$215,22,FALSE)</f>
        <v>5</v>
      </c>
      <c r="D18" t="str">
        <f>VLOOKUP($A18,ScionOutput!$A$3:$BL$215,23,FALSE)</f>
        <v>CHC</v>
      </c>
      <c r="E18">
        <f>VLOOKUP($A18,ScionOutput!$A$3:$BL$215,6,FALSE)</f>
        <v>25</v>
      </c>
      <c r="F18" t="str">
        <f>VLOOKUP($A18,ScionOutput!$A$3:$BL$215,7,FALSE)</f>
        <v>SF</v>
      </c>
      <c r="G18">
        <f>VLOOKUP($A18,ScionOutput!$A$3:$BL$215,26,FALSE)</f>
        <v>-126</v>
      </c>
      <c r="H18">
        <f>VLOOKUP($A18,ScionOutput!$A$3:$BL$215,10,FALSE)</f>
        <v>116</v>
      </c>
      <c r="I18" s="4" t="str">
        <f>VLOOKUP($A18,ScionOutput!$A$3:$BL$215,45,FALSE)</f>
        <v>HomFave</v>
      </c>
      <c r="J18" s="4">
        <f>VLOOKUP($A18,ScionOutput!$A$3:$BL$215,46,FALSE)</f>
        <v>0</v>
      </c>
      <c r="K18" t="str">
        <f>VLOOKUP($A18,ScionOutput!$A$3:$BL$215,58,FALSE)</f>
        <v>No Play</v>
      </c>
      <c r="L18">
        <f>VLOOKUP($A18,ScionOutput!$A$3:$BL$215,59,FALSE)</f>
        <v>0</v>
      </c>
      <c r="M18">
        <f>VLOOKUP($A18,ScionOutput!$A$3:$BL$215,62,FALSE)</f>
        <v>0</v>
      </c>
      <c r="N18">
        <f>VLOOKUP($A18,ScionOutput!$A$3:$BL$215,63,FALSE)</f>
        <v>0</v>
      </c>
      <c r="O18" t="b">
        <f t="shared" si="1"/>
        <v>0</v>
      </c>
      <c r="P18">
        <f>VLOOKUP($A18,Outcomes!$B$3:$I$209,8,FALSE)</f>
        <v>3</v>
      </c>
      <c r="Q18">
        <f t="shared" si="2"/>
        <v>-1</v>
      </c>
      <c r="R18">
        <f>VLOOKUP($A18,Outcomes!$B$3:$I$209,5,FALSE)</f>
        <v>1</v>
      </c>
      <c r="S18">
        <f>VLOOKUP($A18,Outcomes!$B$3:$I$209,6,FALSE)</f>
        <v>2</v>
      </c>
      <c r="T18">
        <f>VLOOKUP($A18,Outcomes!$B$3:$I$209,7,FALSE)</f>
        <v>1</v>
      </c>
      <c r="U18" t="str">
        <f t="shared" si="3"/>
        <v>VisDog</v>
      </c>
      <c r="V18" s="5" t="str">
        <f t="shared" si="4"/>
        <v/>
      </c>
      <c r="W18" t="str">
        <f t="shared" si="0"/>
        <v/>
      </c>
      <c r="X18" t="str">
        <f t="shared" si="5"/>
        <v/>
      </c>
      <c r="Y18" t="str">
        <f t="shared" si="6"/>
        <v/>
      </c>
      <c r="Z18" s="2" t="str">
        <f t="shared" si="7"/>
        <v/>
      </c>
      <c r="AA18" t="str">
        <f>VLOOKUP($A18,ScionOutput!$A$3:$BL$215,64,FALSE)</f>
        <v xml:space="preserve">824670. LineStatEns probability points gap does not exceed threshold (no edge found)! StatOnlyEns probability points gap does not exceed threshold (no edge found)! No play due to strategy constraints. </v>
      </c>
    </row>
    <row r="19" spans="1:27" x14ac:dyDescent="0.2">
      <c r="A19">
        <v>824349</v>
      </c>
      <c r="B19" s="3">
        <f>VLOOKUP($A19,ScionOutput!$A$3:$BL$215,3,FALSE)</f>
        <v>46180</v>
      </c>
      <c r="C19">
        <f>VLOOKUP($A19,ScionOutput!$A$3:$BL$215,22,FALSE)</f>
        <v>8</v>
      </c>
      <c r="D19" t="str">
        <f>VLOOKUP($A19,ScionOutput!$A$3:$BL$215,23,FALSE)</f>
        <v>COL</v>
      </c>
      <c r="E19">
        <f>VLOOKUP($A19,ScionOutput!$A$3:$BL$215,6,FALSE)</f>
        <v>17</v>
      </c>
      <c r="F19" t="str">
        <f>VLOOKUP($A19,ScionOutput!$A$3:$BL$215,7,FALSE)</f>
        <v>MLW</v>
      </c>
      <c r="G19">
        <f>VLOOKUP($A19,ScionOutput!$A$3:$BL$215,26,FALSE)</f>
        <v>160</v>
      </c>
      <c r="H19">
        <f>VLOOKUP($A19,ScionOutput!$A$3:$BL$215,10,FALSE)</f>
        <v>-174</v>
      </c>
      <c r="I19" s="4" t="str">
        <f>VLOOKUP($A19,ScionOutput!$A$3:$BL$215,45,FALSE)</f>
        <v>VisFave</v>
      </c>
      <c r="J19" s="4">
        <f>VLOOKUP($A19,ScionOutput!$A$3:$BL$215,46,FALSE)</f>
        <v>0</v>
      </c>
      <c r="K19" t="str">
        <f>VLOOKUP($A19,ScionOutput!$A$3:$BL$215,58,FALSE)</f>
        <v>No Play</v>
      </c>
      <c r="L19">
        <f>VLOOKUP($A19,ScionOutput!$A$3:$BL$215,59,FALSE)</f>
        <v>0</v>
      </c>
      <c r="M19">
        <f>VLOOKUP($A19,ScionOutput!$A$3:$BL$215,62,FALSE)</f>
        <v>0</v>
      </c>
      <c r="N19">
        <f>VLOOKUP($A19,ScionOutput!$A$3:$BL$215,63,FALSE)</f>
        <v>0</v>
      </c>
      <c r="O19" t="b">
        <f t="shared" si="1"/>
        <v>0</v>
      </c>
      <c r="P19">
        <f>VLOOKUP($A19,Outcomes!$B$3:$I$209,8,FALSE)</f>
        <v>16</v>
      </c>
      <c r="Q19">
        <f t="shared" si="2"/>
        <v>-1</v>
      </c>
      <c r="R19">
        <f>VLOOKUP($A19,Outcomes!$B$3:$I$209,5,FALSE)</f>
        <v>4</v>
      </c>
      <c r="S19">
        <f>VLOOKUP($A19,Outcomes!$B$3:$I$209,6,FALSE)</f>
        <v>12</v>
      </c>
      <c r="T19">
        <f>VLOOKUP($A19,Outcomes!$B$3:$I$209,7,FALSE)</f>
        <v>8</v>
      </c>
      <c r="U19" t="str">
        <f t="shared" si="3"/>
        <v>VisFave</v>
      </c>
      <c r="V19" s="5" t="str">
        <f t="shared" si="4"/>
        <v/>
      </c>
      <c r="W19" t="str">
        <f t="shared" si="0"/>
        <v/>
      </c>
      <c r="X19" t="str">
        <f t="shared" si="5"/>
        <v/>
      </c>
      <c r="Y19" t="str">
        <f t="shared" si="6"/>
        <v/>
      </c>
      <c r="Z19" s="2" t="str">
        <f t="shared" si="7"/>
        <v/>
      </c>
      <c r="AA19" t="str">
        <f>VLOOKUP($A19,ScionOutput!$A$3:$BL$215,64,FALSE)</f>
        <v xml:space="preserve">824349. LineStatEns is NoPlay as bookie-line outside range. StatOnlyEns is NoPlay as bookie-line outside range. No play due to strategy constraints. </v>
      </c>
    </row>
    <row r="20" spans="1:27" x14ac:dyDescent="0.2">
      <c r="A20">
        <v>824268</v>
      </c>
      <c r="B20" s="3">
        <f>VLOOKUP($A20,ScionOutput!$A$3:$BL$215,3,FALSE)</f>
        <v>46180</v>
      </c>
      <c r="C20">
        <f>VLOOKUP($A20,ScionOutput!$A$3:$BL$215,22,FALSE)</f>
        <v>10</v>
      </c>
      <c r="D20" t="str">
        <f>VLOOKUP($A20,ScionOutput!$A$3:$BL$215,23,FALSE)</f>
        <v>DET</v>
      </c>
      <c r="E20">
        <f>VLOOKUP($A20,ScionOutput!$A$3:$BL$215,6,FALSE)</f>
        <v>24</v>
      </c>
      <c r="F20" t="str">
        <f>VLOOKUP($A20,ScionOutput!$A$3:$BL$215,7,FALSE)</f>
        <v>SEA</v>
      </c>
      <c r="G20">
        <f>VLOOKUP($A20,ScionOutput!$A$3:$BL$215,26,FALSE)</f>
        <v>-111</v>
      </c>
      <c r="H20">
        <f>VLOOKUP($A20,ScionOutput!$A$3:$BL$215,10,FALSE)</f>
        <v>102</v>
      </c>
      <c r="I20" s="4" t="str">
        <f>VLOOKUP($A20,ScionOutput!$A$3:$BL$215,45,FALSE)</f>
        <v>VisDog</v>
      </c>
      <c r="J20" s="4">
        <f>VLOOKUP($A20,ScionOutput!$A$3:$BL$215,46,FALSE)</f>
        <v>1</v>
      </c>
      <c r="K20" t="str">
        <f>VLOOKUP($A20,ScionOutput!$A$3:$BL$215,58,FALSE)</f>
        <v>VisDog</v>
      </c>
      <c r="L20">
        <f>VLOOKUP($A20,ScionOutput!$A$3:$BL$215,59,FALSE)</f>
        <v>-3.5189999999999999E-2</v>
      </c>
      <c r="M20">
        <f>VLOOKUP($A20,ScionOutput!$A$3:$BL$215,62,FALSE)</f>
        <v>5</v>
      </c>
      <c r="N20">
        <f>VLOOKUP($A20,ScionOutput!$A$3:$BL$215,63,FALSE)</f>
        <v>0.6</v>
      </c>
      <c r="O20" t="b">
        <f t="shared" si="1"/>
        <v>1</v>
      </c>
      <c r="P20">
        <f>VLOOKUP($A20,Outcomes!$B$3:$I$209,8,FALSE)</f>
        <v>9</v>
      </c>
      <c r="Q20">
        <f t="shared" si="2"/>
        <v>1</v>
      </c>
      <c r="R20">
        <f>VLOOKUP($A20,Outcomes!$B$3:$I$209,5,FALSE)</f>
        <v>5</v>
      </c>
      <c r="S20">
        <f>VLOOKUP($A20,Outcomes!$B$3:$I$209,6,FALSE)</f>
        <v>4</v>
      </c>
      <c r="T20">
        <f>VLOOKUP($A20,Outcomes!$B$3:$I$209,7,FALSE)</f>
        <v>-1</v>
      </c>
      <c r="U20" t="str">
        <f t="shared" si="3"/>
        <v>HomFave</v>
      </c>
      <c r="V20" s="5">
        <f t="shared" si="4"/>
        <v>0</v>
      </c>
      <c r="W20">
        <f t="shared" si="0"/>
        <v>100</v>
      </c>
      <c r="X20">
        <f t="shared" si="5"/>
        <v>0</v>
      </c>
      <c r="Y20">
        <f t="shared" si="6"/>
        <v>-100</v>
      </c>
      <c r="Z20" s="2">
        <f t="shared" si="7"/>
        <v>-1</v>
      </c>
      <c r="AA20" t="str">
        <f>VLOOKUP($A20,ScionOutput!$A$3:$BL$215,64,FALSE)</f>
        <v xml:space="preserve">824268. Play determined by LineStatEns and StatOnlyEns agreement. </v>
      </c>
    </row>
    <row r="21" spans="1:27" x14ac:dyDescent="0.2">
      <c r="A21">
        <v>823857</v>
      </c>
      <c r="B21" s="3">
        <f>VLOOKUP($A21,ScionOutput!$A$3:$BL$215,3,FALSE)</f>
        <v>46180</v>
      </c>
      <c r="C21">
        <f>VLOOKUP($A21,ScionOutput!$A$3:$BL$215,22,FALSE)</f>
        <v>11</v>
      </c>
      <c r="D21" t="str">
        <f>VLOOKUP($A21,ScionOutput!$A$3:$BL$215,23,FALSE)</f>
        <v>FLO</v>
      </c>
      <c r="E21">
        <f>VLOOKUP($A21,ScionOutput!$A$3:$BL$215,6,FALSE)</f>
        <v>27</v>
      </c>
      <c r="F21" t="str">
        <f>VLOOKUP($A21,ScionOutput!$A$3:$BL$215,7,FALSE)</f>
        <v>TB</v>
      </c>
      <c r="G21">
        <f>VLOOKUP($A21,ScionOutput!$A$3:$BL$215,26,FALSE)</f>
        <v>-105</v>
      </c>
      <c r="H21">
        <f>VLOOKUP($A21,ScionOutput!$A$3:$BL$215,10,FALSE)</f>
        <v>-103</v>
      </c>
      <c r="I21" s="4" t="str">
        <f>VLOOKUP($A21,ScionOutput!$A$3:$BL$215,45,FALSE)</f>
        <v>HomFave</v>
      </c>
      <c r="J21" s="4">
        <f>VLOOKUP($A21,ScionOutput!$A$3:$BL$215,46,FALSE)</f>
        <v>1</v>
      </c>
      <c r="K21" t="str">
        <f>VLOOKUP($A21,ScionOutput!$A$3:$BL$215,58,FALSE)</f>
        <v>HomFave</v>
      </c>
      <c r="L21">
        <f>VLOOKUP($A21,ScionOutput!$A$3:$BL$215,59,FALSE)</f>
        <v>7.6400000000000001E-3</v>
      </c>
      <c r="M21">
        <f>VLOOKUP($A21,ScionOutput!$A$3:$BL$215,62,FALSE)</f>
        <v>1</v>
      </c>
      <c r="N21">
        <f>VLOOKUP($A21,ScionOutput!$A$3:$BL$215,63,FALSE)</f>
        <v>0.73</v>
      </c>
      <c r="O21" t="b">
        <f t="shared" si="1"/>
        <v>1</v>
      </c>
      <c r="P21">
        <f>VLOOKUP($A21,Outcomes!$B$3:$I$209,8,FALSE)</f>
        <v>5</v>
      </c>
      <c r="Q21">
        <f t="shared" si="2"/>
        <v>1</v>
      </c>
      <c r="R21">
        <f>VLOOKUP($A21,Outcomes!$B$3:$I$209,5,FALSE)</f>
        <v>4</v>
      </c>
      <c r="S21">
        <f>VLOOKUP($A21,Outcomes!$B$3:$I$209,6,FALSE)</f>
        <v>1</v>
      </c>
      <c r="T21">
        <f>VLOOKUP($A21,Outcomes!$B$3:$I$209,7,FALSE)</f>
        <v>-3</v>
      </c>
      <c r="U21" t="str">
        <f t="shared" si="3"/>
        <v>HomFave</v>
      </c>
      <c r="V21" s="5">
        <f t="shared" si="4"/>
        <v>1</v>
      </c>
      <c r="W21">
        <f t="shared" si="0"/>
        <v>105</v>
      </c>
      <c r="X21">
        <f t="shared" si="5"/>
        <v>205</v>
      </c>
      <c r="Y21">
        <f t="shared" si="6"/>
        <v>100</v>
      </c>
      <c r="Z21" s="2">
        <f t="shared" si="7"/>
        <v>0.95238095238095233</v>
      </c>
      <c r="AA21" t="str">
        <f>VLOOKUP($A21,ScionOutput!$A$3:$BL$215,64,FALSE)</f>
        <v xml:space="preserve">823857. Play determined by LineStatEns and StatOnlyEns agreement. </v>
      </c>
    </row>
    <row r="22" spans="1:27" x14ac:dyDescent="0.2">
      <c r="A22">
        <v>824183</v>
      </c>
      <c r="B22" s="3">
        <f>VLOOKUP($A22,ScionOutput!$A$3:$BL$215,3,FALSE)</f>
        <v>46180</v>
      </c>
      <c r="C22">
        <f>VLOOKUP($A22,ScionOutput!$A$3:$BL$215,22,FALSE)</f>
        <v>12</v>
      </c>
      <c r="D22" t="str">
        <f>VLOOKUP($A22,ScionOutput!$A$3:$BL$215,23,FALSE)</f>
        <v>HOU</v>
      </c>
      <c r="E22">
        <f>VLOOKUP($A22,ScionOutput!$A$3:$BL$215,6,FALSE)</f>
        <v>20</v>
      </c>
      <c r="F22" t="str">
        <f>VLOOKUP($A22,ScionOutput!$A$3:$BL$215,7,FALSE)</f>
        <v>OAK</v>
      </c>
      <c r="G22">
        <f>VLOOKUP($A22,ScionOutput!$A$3:$BL$215,26,FALSE)</f>
        <v>-105</v>
      </c>
      <c r="H22">
        <f>VLOOKUP($A22,ScionOutput!$A$3:$BL$215,10,FALSE)</f>
        <v>-103</v>
      </c>
      <c r="I22" s="4" t="str">
        <f>VLOOKUP($A22,ScionOutput!$A$3:$BL$215,45,FALSE)</f>
        <v>VisDog</v>
      </c>
      <c r="J22" s="4">
        <f>VLOOKUP($A22,ScionOutput!$A$3:$BL$215,46,FALSE)</f>
        <v>1</v>
      </c>
      <c r="K22" t="str">
        <f>VLOOKUP($A22,ScionOutput!$A$3:$BL$215,58,FALSE)</f>
        <v>VisDog</v>
      </c>
      <c r="L22">
        <f>VLOOKUP($A22,ScionOutput!$A$3:$BL$215,59,FALSE)</f>
        <v>-3.236E-2</v>
      </c>
      <c r="M22">
        <f>VLOOKUP($A22,ScionOutput!$A$3:$BL$215,62,FALSE)</f>
        <v>5</v>
      </c>
      <c r="N22">
        <f>VLOOKUP($A22,ScionOutput!$A$3:$BL$215,63,FALSE)</f>
        <v>0.87</v>
      </c>
      <c r="O22" t="b">
        <f t="shared" si="1"/>
        <v>1</v>
      </c>
      <c r="P22">
        <f>VLOOKUP($A22,Outcomes!$B$3:$I$209,8,FALSE)</f>
        <v>5</v>
      </c>
      <c r="Q22">
        <f t="shared" si="2"/>
        <v>-1</v>
      </c>
      <c r="R22">
        <f>VLOOKUP($A22,Outcomes!$B$3:$I$209,5,FALSE)</f>
        <v>0</v>
      </c>
      <c r="S22">
        <f>VLOOKUP($A22,Outcomes!$B$3:$I$209,6,FALSE)</f>
        <v>5</v>
      </c>
      <c r="T22">
        <f>VLOOKUP($A22,Outcomes!$B$3:$I$209,7,FALSE)</f>
        <v>5</v>
      </c>
      <c r="U22" t="str">
        <f t="shared" si="3"/>
        <v>VisDog</v>
      </c>
      <c r="V22" s="5">
        <f t="shared" si="4"/>
        <v>1</v>
      </c>
      <c r="W22">
        <f t="shared" si="0"/>
        <v>103</v>
      </c>
      <c r="X22">
        <f t="shared" si="5"/>
        <v>203</v>
      </c>
      <c r="Y22">
        <f t="shared" si="6"/>
        <v>100</v>
      </c>
      <c r="Z22" s="2">
        <f t="shared" si="7"/>
        <v>0.970873786407767</v>
      </c>
      <c r="AA22" t="str">
        <f>VLOOKUP($A22,ScionOutput!$A$3:$BL$215,64,FALSE)</f>
        <v xml:space="preserve">824183. Play determined by LineStatEns and StatOnlyEns agreement. </v>
      </c>
    </row>
    <row r="23" spans="1:27" x14ac:dyDescent="0.2">
      <c r="A23">
        <v>823941</v>
      </c>
      <c r="B23" s="3">
        <f>VLOOKUP($A23,ScionOutput!$A$3:$BL$215,3,FALSE)</f>
        <v>46180</v>
      </c>
      <c r="C23">
        <f>VLOOKUP($A23,ScionOutput!$A$3:$BL$215,22,FALSE)</f>
        <v>14</v>
      </c>
      <c r="D23" t="str">
        <f>VLOOKUP($A23,ScionOutput!$A$3:$BL$215,23,FALSE)</f>
        <v>LA</v>
      </c>
      <c r="E23">
        <f>VLOOKUP($A23,ScionOutput!$A$3:$BL$215,6,FALSE)</f>
        <v>4</v>
      </c>
      <c r="F23" t="str">
        <f>VLOOKUP($A23,ScionOutput!$A$3:$BL$215,7,FALSE)</f>
        <v>LAA</v>
      </c>
      <c r="G23">
        <f>VLOOKUP($A23,ScionOutput!$A$3:$BL$215,26,FALSE)</f>
        <v>-206</v>
      </c>
      <c r="H23">
        <f>VLOOKUP($A23,ScionOutput!$A$3:$BL$215,10,FALSE)</f>
        <v>187</v>
      </c>
      <c r="I23" s="4" t="str">
        <f>VLOOKUP($A23,ScionOutput!$A$3:$BL$215,45,FALSE)</f>
        <v>HomFave</v>
      </c>
      <c r="J23" s="4">
        <f>VLOOKUP($A23,ScionOutput!$A$3:$BL$215,46,FALSE)</f>
        <v>0</v>
      </c>
      <c r="K23" t="str">
        <f>VLOOKUP($A23,ScionOutput!$A$3:$BL$215,58,FALSE)</f>
        <v>No Play</v>
      </c>
      <c r="L23">
        <f>VLOOKUP($A23,ScionOutput!$A$3:$BL$215,59,FALSE)</f>
        <v>0</v>
      </c>
      <c r="M23">
        <f>VLOOKUP($A23,ScionOutput!$A$3:$BL$215,62,FALSE)</f>
        <v>0</v>
      </c>
      <c r="N23">
        <f>VLOOKUP($A23,ScionOutput!$A$3:$BL$215,63,FALSE)</f>
        <v>0</v>
      </c>
      <c r="O23" t="b">
        <f t="shared" si="1"/>
        <v>0</v>
      </c>
      <c r="P23">
        <f>VLOOKUP($A23,Outcomes!$B$3:$I$209,8,FALSE)</f>
        <v>18</v>
      </c>
      <c r="Q23">
        <f t="shared" si="2"/>
        <v>-1</v>
      </c>
      <c r="R23">
        <f>VLOOKUP($A23,Outcomes!$B$3:$I$209,5,FALSE)</f>
        <v>5</v>
      </c>
      <c r="S23">
        <f>VLOOKUP($A23,Outcomes!$B$3:$I$209,6,FALSE)</f>
        <v>13</v>
      </c>
      <c r="T23">
        <f>VLOOKUP($A23,Outcomes!$B$3:$I$209,7,FALSE)</f>
        <v>8</v>
      </c>
      <c r="U23" t="str">
        <f t="shared" si="3"/>
        <v>VisDog</v>
      </c>
      <c r="V23" s="5" t="str">
        <f t="shared" si="4"/>
        <v/>
      </c>
      <c r="W23" t="str">
        <f t="shared" si="0"/>
        <v/>
      </c>
      <c r="X23" t="str">
        <f t="shared" si="5"/>
        <v/>
      </c>
      <c r="Y23" t="str">
        <f t="shared" si="6"/>
        <v/>
      </c>
      <c r="Z23" s="2" t="str">
        <f t="shared" si="7"/>
        <v/>
      </c>
      <c r="AA23" t="str">
        <f>VLOOKUP($A23,ScionOutput!$A$3:$BL$215,64,FALSE)</f>
        <v xml:space="preserve">823941. LineStatEns is NoPlay as bookie-line outside range. StatOnlyEns is NoPlay as bookie-line outside range. No play due to strategy constraints. </v>
      </c>
    </row>
    <row r="24" spans="1:27" x14ac:dyDescent="0.2">
      <c r="A24">
        <v>823696</v>
      </c>
      <c r="B24" s="3">
        <f>VLOOKUP($A24,ScionOutput!$A$3:$BL$215,3,FALSE)</f>
        <v>46180</v>
      </c>
      <c r="C24">
        <f>VLOOKUP($A24,ScionOutput!$A$3:$BL$215,22,FALSE)</f>
        <v>15</v>
      </c>
      <c r="D24" t="str">
        <f>VLOOKUP($A24,ScionOutput!$A$3:$BL$215,23,FALSE)</f>
        <v>MIN</v>
      </c>
      <c r="E24">
        <f>VLOOKUP($A24,ScionOutput!$A$3:$BL$215,6,FALSE)</f>
        <v>13</v>
      </c>
      <c r="F24" t="str">
        <f>VLOOKUP($A24,ScionOutput!$A$3:$BL$215,7,FALSE)</f>
        <v>KC</v>
      </c>
      <c r="G24">
        <f>VLOOKUP($A24,ScionOutput!$A$3:$BL$215,26,FALSE)</f>
        <v>107</v>
      </c>
      <c r="H24">
        <f>VLOOKUP($A24,ScionOutput!$A$3:$BL$215,10,FALSE)</f>
        <v>-116</v>
      </c>
      <c r="I24" s="4" t="str">
        <f>VLOOKUP($A24,ScionOutput!$A$3:$BL$215,45,FALSE)</f>
        <v>VisFave</v>
      </c>
      <c r="J24" s="4">
        <f>VLOOKUP($A24,ScionOutput!$A$3:$BL$215,46,FALSE)</f>
        <v>0</v>
      </c>
      <c r="K24" t="str">
        <f>VLOOKUP($A24,ScionOutput!$A$3:$BL$215,58,FALSE)</f>
        <v>No Play</v>
      </c>
      <c r="L24">
        <f>VLOOKUP($A24,ScionOutput!$A$3:$BL$215,59,FALSE)</f>
        <v>0</v>
      </c>
      <c r="M24">
        <f>VLOOKUP($A24,ScionOutput!$A$3:$BL$215,62,FALSE)</f>
        <v>0</v>
      </c>
      <c r="N24">
        <f>VLOOKUP($A24,ScionOutput!$A$3:$BL$215,63,FALSE)</f>
        <v>0</v>
      </c>
      <c r="O24" t="b">
        <f t="shared" si="1"/>
        <v>0</v>
      </c>
      <c r="P24">
        <f>VLOOKUP($A24,Outcomes!$B$3:$I$209,8,FALSE)</f>
        <v>11</v>
      </c>
      <c r="Q24">
        <f t="shared" si="2"/>
        <v>-1</v>
      </c>
      <c r="R24">
        <f>VLOOKUP($A24,Outcomes!$B$3:$I$209,5,FALSE)</f>
        <v>5</v>
      </c>
      <c r="S24">
        <f>VLOOKUP($A24,Outcomes!$B$3:$I$209,6,FALSE)</f>
        <v>6</v>
      </c>
      <c r="T24">
        <f>VLOOKUP($A24,Outcomes!$B$3:$I$209,7,FALSE)</f>
        <v>1</v>
      </c>
      <c r="U24" t="str">
        <f t="shared" si="3"/>
        <v>VisFave</v>
      </c>
      <c r="V24" s="5" t="str">
        <f t="shared" si="4"/>
        <v/>
      </c>
      <c r="W24" t="str">
        <f t="shared" si="0"/>
        <v/>
      </c>
      <c r="X24" t="str">
        <f t="shared" si="5"/>
        <v/>
      </c>
      <c r="Y24" t="str">
        <f t="shared" si="6"/>
        <v/>
      </c>
      <c r="Z24" s="2" t="str">
        <f t="shared" si="7"/>
        <v/>
      </c>
      <c r="AA24" t="str">
        <f>VLOOKUP($A24,ScionOutput!$A$3:$BL$215,64,FALSE)</f>
        <v xml:space="preserve">823696. VF plays are disallowed. No play due to strategy constraints. </v>
      </c>
    </row>
    <row r="25" spans="1:27" x14ac:dyDescent="0.2">
      <c r="A25">
        <v>823537</v>
      </c>
      <c r="B25" s="3">
        <f>VLOOKUP($A25,ScionOutput!$A$3:$BL$215,3,FALSE)</f>
        <v>46180</v>
      </c>
      <c r="C25">
        <f>VLOOKUP($A25,ScionOutput!$A$3:$BL$215,22,FALSE)</f>
        <v>19</v>
      </c>
      <c r="D25" t="str">
        <f>VLOOKUP($A25,ScionOutput!$A$3:$BL$215,23,FALSE)</f>
        <v>NYY</v>
      </c>
      <c r="E25">
        <f>VLOOKUP($A25,ScionOutput!$A$3:$BL$215,6,FALSE)</f>
        <v>3</v>
      </c>
      <c r="F25" t="str">
        <f>VLOOKUP($A25,ScionOutput!$A$3:$BL$215,7,FALSE)</f>
        <v>BOS</v>
      </c>
      <c r="G25">
        <f>VLOOKUP($A25,ScionOutput!$A$3:$BL$215,26,FALSE)</f>
        <v>-139</v>
      </c>
      <c r="H25">
        <f>VLOOKUP($A25,ScionOutput!$A$3:$BL$215,10,FALSE)</f>
        <v>128</v>
      </c>
      <c r="I25" s="4" t="str">
        <f>VLOOKUP($A25,ScionOutput!$A$3:$BL$215,45,FALSE)</f>
        <v>HomFave</v>
      </c>
      <c r="J25" s="4">
        <f>VLOOKUP($A25,ScionOutput!$A$3:$BL$215,46,FALSE)</f>
        <v>0</v>
      </c>
      <c r="K25" t="str">
        <f>VLOOKUP($A25,ScionOutput!$A$3:$BL$215,58,FALSE)</f>
        <v>No Play</v>
      </c>
      <c r="L25">
        <f>VLOOKUP($A25,ScionOutput!$A$3:$BL$215,59,FALSE)</f>
        <v>0</v>
      </c>
      <c r="M25">
        <f>VLOOKUP($A25,ScionOutput!$A$3:$BL$215,62,FALSE)</f>
        <v>0</v>
      </c>
      <c r="N25">
        <f>VLOOKUP($A25,ScionOutput!$A$3:$BL$215,63,FALSE)</f>
        <v>0</v>
      </c>
      <c r="O25" t="b">
        <f t="shared" si="1"/>
        <v>0</v>
      </c>
      <c r="P25">
        <f>VLOOKUP($A25,Outcomes!$B$3:$I$209,8,FALSE)</f>
        <v>7</v>
      </c>
      <c r="Q25">
        <f t="shared" si="2"/>
        <v>1</v>
      </c>
      <c r="R25">
        <f>VLOOKUP($A25,Outcomes!$B$3:$I$209,5,FALSE)</f>
        <v>6</v>
      </c>
      <c r="S25">
        <f>VLOOKUP($A25,Outcomes!$B$3:$I$209,6,FALSE)</f>
        <v>1</v>
      </c>
      <c r="T25">
        <f>VLOOKUP($A25,Outcomes!$B$3:$I$209,7,FALSE)</f>
        <v>-5</v>
      </c>
      <c r="U25" t="str">
        <f t="shared" si="3"/>
        <v>HomFave</v>
      </c>
      <c r="V25" s="5" t="str">
        <f t="shared" si="4"/>
        <v/>
      </c>
      <c r="W25" t="str">
        <f t="shared" si="0"/>
        <v/>
      </c>
      <c r="X25" t="str">
        <f t="shared" si="5"/>
        <v/>
      </c>
      <c r="Y25" t="str">
        <f t="shared" si="6"/>
        <v/>
      </c>
      <c r="Z25" s="2" t="str">
        <f t="shared" si="7"/>
        <v/>
      </c>
      <c r="AA25" t="str">
        <f>VLOOKUP($A25,ScionOutput!$A$3:$BL$215,64,FALSE)</f>
        <v xml:space="preserve">823537. LineStatEns probability points gap does not exceed threshold (no edge found)! StatOnlyEns probability points gap does not exceed threshold (no edge found)! No play due to strategy constraints. </v>
      </c>
    </row>
    <row r="26" spans="1:27" x14ac:dyDescent="0.2">
      <c r="A26">
        <v>823453</v>
      </c>
      <c r="B26" s="3">
        <f>VLOOKUP($A26,ScionOutput!$A$3:$BL$215,3,FALSE)</f>
        <v>46180</v>
      </c>
      <c r="C26">
        <f>VLOOKUP($A26,ScionOutput!$A$3:$BL$215,22,FALSE)</f>
        <v>21</v>
      </c>
      <c r="D26" t="str">
        <f>VLOOKUP($A26,ScionOutput!$A$3:$BL$215,23,FALSE)</f>
        <v>PHI</v>
      </c>
      <c r="E26">
        <f>VLOOKUP($A26,ScionOutput!$A$3:$BL$215,6,FALSE)</f>
        <v>9</v>
      </c>
      <c r="F26" t="str">
        <f>VLOOKUP($A26,ScionOutput!$A$3:$BL$215,7,FALSE)</f>
        <v>CWS</v>
      </c>
      <c r="G26">
        <f>VLOOKUP($A26,ScionOutput!$A$3:$BL$215,26,FALSE)</f>
        <v>-163</v>
      </c>
      <c r="H26">
        <f>VLOOKUP($A26,ScionOutput!$A$3:$BL$215,10,FALSE)</f>
        <v>149</v>
      </c>
      <c r="I26" s="4" t="str">
        <f>VLOOKUP($A26,ScionOutput!$A$3:$BL$215,45,FALSE)</f>
        <v>HomFave</v>
      </c>
      <c r="J26" s="4">
        <f>VLOOKUP($A26,ScionOutput!$A$3:$BL$215,46,FALSE)</f>
        <v>0</v>
      </c>
      <c r="K26" t="str">
        <f>VLOOKUP($A26,ScionOutput!$A$3:$BL$215,58,FALSE)</f>
        <v>No Play</v>
      </c>
      <c r="L26">
        <f>VLOOKUP($A26,ScionOutput!$A$3:$BL$215,59,FALSE)</f>
        <v>0</v>
      </c>
      <c r="M26">
        <f>VLOOKUP($A26,ScionOutput!$A$3:$BL$215,62,FALSE)</f>
        <v>0</v>
      </c>
      <c r="N26">
        <f>VLOOKUP($A26,ScionOutput!$A$3:$BL$215,63,FALSE)</f>
        <v>0</v>
      </c>
      <c r="O26" t="b">
        <f t="shared" si="1"/>
        <v>0</v>
      </c>
      <c r="P26">
        <f>VLOOKUP($A26,Outcomes!$B$3:$I$209,8,FALSE)</f>
        <v>14</v>
      </c>
      <c r="Q26">
        <f t="shared" si="2"/>
        <v>1</v>
      </c>
      <c r="R26">
        <f>VLOOKUP($A26,Outcomes!$B$3:$I$209,5,FALSE)</f>
        <v>9</v>
      </c>
      <c r="S26">
        <f>VLOOKUP($A26,Outcomes!$B$3:$I$209,6,FALSE)</f>
        <v>5</v>
      </c>
      <c r="T26">
        <f>VLOOKUP($A26,Outcomes!$B$3:$I$209,7,FALSE)</f>
        <v>-4</v>
      </c>
      <c r="U26" t="str">
        <f t="shared" si="3"/>
        <v>HomFave</v>
      </c>
      <c r="V26" s="5" t="str">
        <f t="shared" si="4"/>
        <v/>
      </c>
      <c r="W26" t="str">
        <f t="shared" si="0"/>
        <v/>
      </c>
      <c r="X26" t="str">
        <f t="shared" si="5"/>
        <v/>
      </c>
      <c r="Y26" t="str">
        <f t="shared" si="6"/>
        <v/>
      </c>
      <c r="Z26" s="2" t="str">
        <f t="shared" si="7"/>
        <v/>
      </c>
      <c r="AA26" t="str">
        <f>VLOOKUP($A26,ScionOutput!$A$3:$BL$215,64,FALSE)</f>
        <v xml:space="preserve">823453. LineStatEns is NoPlay as bookie-line outside range. StatOnlyEns is NoPlay as bookie-line outside range. No play due to strategy constraints. </v>
      </c>
    </row>
    <row r="27" spans="1:27" x14ac:dyDescent="0.2">
      <c r="A27">
        <v>823291</v>
      </c>
      <c r="B27" s="3">
        <f>VLOOKUP($A27,ScionOutput!$A$3:$BL$215,3,FALSE)</f>
        <v>46180</v>
      </c>
      <c r="C27">
        <f>VLOOKUP($A27,ScionOutput!$A$3:$BL$215,22,FALSE)</f>
        <v>23</v>
      </c>
      <c r="D27" t="str">
        <f>VLOOKUP($A27,ScionOutput!$A$3:$BL$215,23,FALSE)</f>
        <v>SD</v>
      </c>
      <c r="E27">
        <f>VLOOKUP($A27,ScionOutput!$A$3:$BL$215,6,FALSE)</f>
        <v>18</v>
      </c>
      <c r="F27" t="str">
        <f>VLOOKUP($A27,ScionOutput!$A$3:$BL$215,7,FALSE)</f>
        <v>NYM</v>
      </c>
      <c r="G27">
        <f>VLOOKUP($A27,ScionOutput!$A$3:$BL$215,26,FALSE)</f>
        <v>-103</v>
      </c>
      <c r="H27">
        <f>VLOOKUP($A27,ScionOutput!$A$3:$BL$215,10,FALSE)</f>
        <v>-105</v>
      </c>
      <c r="I27" s="4" t="str">
        <f>VLOOKUP($A27,ScionOutput!$A$3:$BL$215,45,FALSE)</f>
        <v>HomDog</v>
      </c>
      <c r="J27" s="4">
        <f>VLOOKUP($A27,ScionOutput!$A$3:$BL$215,46,FALSE)</f>
        <v>1</v>
      </c>
      <c r="K27" t="str">
        <f>VLOOKUP($A27,ScionOutput!$A$3:$BL$215,58,FALSE)</f>
        <v>HomDog</v>
      </c>
      <c r="L27">
        <f>VLOOKUP($A27,ScionOutput!$A$3:$BL$215,59,FALSE)</f>
        <v>1.2359999999999999E-2</v>
      </c>
      <c r="M27">
        <f>VLOOKUP($A27,ScionOutput!$A$3:$BL$215,62,FALSE)</f>
        <v>5</v>
      </c>
      <c r="N27">
        <f>VLOOKUP($A27,ScionOutput!$A$3:$BL$215,63,FALSE)</f>
        <v>0.6</v>
      </c>
      <c r="O27" t="b">
        <f t="shared" si="1"/>
        <v>1</v>
      </c>
      <c r="P27">
        <f>VLOOKUP($A27,Outcomes!$B$3:$I$209,8,FALSE)</f>
        <v>10</v>
      </c>
      <c r="Q27">
        <f t="shared" si="2"/>
        <v>-1</v>
      </c>
      <c r="R27">
        <f>VLOOKUP($A27,Outcomes!$B$3:$I$209,5,FALSE)</f>
        <v>3</v>
      </c>
      <c r="S27">
        <f>VLOOKUP($A27,Outcomes!$B$3:$I$209,6,FALSE)</f>
        <v>7</v>
      </c>
      <c r="T27">
        <f>VLOOKUP($A27,Outcomes!$B$3:$I$209,7,FALSE)</f>
        <v>4</v>
      </c>
      <c r="U27" t="str">
        <f t="shared" si="3"/>
        <v>VisFave</v>
      </c>
      <c r="V27" s="5">
        <f t="shared" si="4"/>
        <v>0</v>
      </c>
      <c r="W27">
        <f t="shared" si="0"/>
        <v>103</v>
      </c>
      <c r="X27">
        <f t="shared" si="5"/>
        <v>0</v>
      </c>
      <c r="Y27">
        <f t="shared" si="6"/>
        <v>-103</v>
      </c>
      <c r="Z27" s="2">
        <f t="shared" si="7"/>
        <v>-1</v>
      </c>
      <c r="AA27" t="str">
        <f>VLOOKUP($A27,ScionOutput!$A$3:$BL$215,64,FALSE)</f>
        <v xml:space="preserve">823291. Play determined by LineStatEns and StatOnlyEns agreement. </v>
      </c>
    </row>
    <row r="28" spans="1:27" x14ac:dyDescent="0.2">
      <c r="A28">
        <v>823047</v>
      </c>
      <c r="B28" s="3">
        <f>VLOOKUP($A28,ScionOutput!$A$3:$BL$215,3,FALSE)</f>
        <v>46180</v>
      </c>
      <c r="C28">
        <f>VLOOKUP($A28,ScionOutput!$A$3:$BL$215,22,FALSE)</f>
        <v>26</v>
      </c>
      <c r="D28" t="str">
        <f>VLOOKUP($A28,ScionOutput!$A$3:$BL$215,23,FALSE)</f>
        <v>STL</v>
      </c>
      <c r="E28">
        <f>VLOOKUP($A28,ScionOutput!$A$3:$BL$215,6,FALSE)</f>
        <v>6</v>
      </c>
      <c r="F28" t="str">
        <f>VLOOKUP($A28,ScionOutput!$A$3:$BL$215,7,FALSE)</f>
        <v>CIN</v>
      </c>
      <c r="G28">
        <f>VLOOKUP($A28,ScionOutput!$A$3:$BL$215,26,FALSE)</f>
        <v>-141</v>
      </c>
      <c r="H28">
        <f>VLOOKUP($A28,ScionOutput!$A$3:$BL$215,10,FALSE)</f>
        <v>130</v>
      </c>
      <c r="I28" s="4" t="str">
        <f>VLOOKUP($A28,ScionOutput!$A$3:$BL$215,45,FALSE)</f>
        <v>HomFave</v>
      </c>
      <c r="J28" s="4">
        <f>VLOOKUP($A28,ScionOutput!$A$3:$BL$215,46,FALSE)</f>
        <v>0</v>
      </c>
      <c r="K28" t="str">
        <f>VLOOKUP($A28,ScionOutput!$A$3:$BL$215,58,FALSE)</f>
        <v>No Play</v>
      </c>
      <c r="L28">
        <f>VLOOKUP($A28,ScionOutput!$A$3:$BL$215,59,FALSE)</f>
        <v>0</v>
      </c>
      <c r="M28">
        <f>VLOOKUP($A28,ScionOutput!$A$3:$BL$215,62,FALSE)</f>
        <v>0</v>
      </c>
      <c r="N28">
        <f>VLOOKUP($A28,ScionOutput!$A$3:$BL$215,63,FALSE)</f>
        <v>0</v>
      </c>
      <c r="O28" t="b">
        <f t="shared" si="1"/>
        <v>0</v>
      </c>
      <c r="P28">
        <f>VLOOKUP($A28,Outcomes!$B$3:$I$209,8,FALSE)</f>
        <v>8</v>
      </c>
      <c r="Q28">
        <f t="shared" si="2"/>
        <v>1</v>
      </c>
      <c r="R28">
        <f>VLOOKUP($A28,Outcomes!$B$3:$I$209,5,FALSE)</f>
        <v>5</v>
      </c>
      <c r="S28">
        <f>VLOOKUP($A28,Outcomes!$B$3:$I$209,6,FALSE)</f>
        <v>3</v>
      </c>
      <c r="T28">
        <f>VLOOKUP($A28,Outcomes!$B$3:$I$209,7,FALSE)</f>
        <v>-2</v>
      </c>
      <c r="U28" t="str">
        <f t="shared" si="3"/>
        <v>HomFave</v>
      </c>
      <c r="V28" s="5" t="str">
        <f t="shared" si="4"/>
        <v/>
      </c>
      <c r="W28" t="str">
        <f t="shared" si="0"/>
        <v/>
      </c>
      <c r="X28" t="str">
        <f t="shared" si="5"/>
        <v/>
      </c>
      <c r="Y28" t="str">
        <f t="shared" si="6"/>
        <v/>
      </c>
      <c r="Z28" s="2" t="str">
        <f t="shared" si="7"/>
        <v/>
      </c>
      <c r="AA28" t="str">
        <f>VLOOKUP($A28,ScionOutput!$A$3:$BL$215,64,FALSE)</f>
        <v xml:space="preserve">823047. LineStatEns probability points gap does not exceed threshold (no edge found)! StatOnlyEns probability points gap does not exceed threshold (no edge found)! No play due to strategy constraints. </v>
      </c>
    </row>
    <row r="29" spans="1:27" x14ac:dyDescent="0.2">
      <c r="A29">
        <v>822890</v>
      </c>
      <c r="B29" s="3">
        <f>VLOOKUP($A29,ScionOutput!$A$3:$BL$215,3,FALSE)</f>
        <v>46180</v>
      </c>
      <c r="C29">
        <f>VLOOKUP($A29,ScionOutput!$A$3:$BL$215,22,FALSE)</f>
        <v>28</v>
      </c>
      <c r="D29" t="str">
        <f>VLOOKUP($A29,ScionOutput!$A$3:$BL$215,23,FALSE)</f>
        <v>TEX</v>
      </c>
      <c r="E29">
        <f>VLOOKUP($A29,ScionOutput!$A$3:$BL$215,6,FALSE)</f>
        <v>7</v>
      </c>
      <c r="F29" t="str">
        <f>VLOOKUP($A29,ScionOutput!$A$3:$BL$215,7,FALSE)</f>
        <v>CLE</v>
      </c>
      <c r="G29">
        <f>VLOOKUP($A29,ScionOutput!$A$3:$BL$215,26,FALSE)</f>
        <v>-137</v>
      </c>
      <c r="H29">
        <f>VLOOKUP($A29,ScionOutput!$A$3:$BL$215,10,FALSE)</f>
        <v>126</v>
      </c>
      <c r="I29" s="4" t="str">
        <f>VLOOKUP($A29,ScionOutput!$A$3:$BL$215,45,FALSE)</f>
        <v>HomFave</v>
      </c>
      <c r="J29" s="4">
        <f>VLOOKUP($A29,ScionOutput!$A$3:$BL$215,46,FALSE)</f>
        <v>0</v>
      </c>
      <c r="K29" t="str">
        <f>VLOOKUP($A29,ScionOutput!$A$3:$BL$215,58,FALSE)</f>
        <v>No Play</v>
      </c>
      <c r="L29">
        <f>VLOOKUP($A29,ScionOutput!$A$3:$BL$215,59,FALSE)</f>
        <v>0</v>
      </c>
      <c r="M29">
        <f>VLOOKUP($A29,ScionOutput!$A$3:$BL$215,62,FALSE)</f>
        <v>0</v>
      </c>
      <c r="N29">
        <f>VLOOKUP($A29,ScionOutput!$A$3:$BL$215,63,FALSE)</f>
        <v>0</v>
      </c>
      <c r="O29" t="b">
        <f t="shared" si="1"/>
        <v>0</v>
      </c>
      <c r="P29">
        <f>VLOOKUP($A29,Outcomes!$B$3:$I$209,8,FALSE)</f>
        <v>10</v>
      </c>
      <c r="Q29">
        <f t="shared" si="2"/>
        <v>1</v>
      </c>
      <c r="R29">
        <f>VLOOKUP($A29,Outcomes!$B$3:$I$209,5,FALSE)</f>
        <v>10</v>
      </c>
      <c r="S29">
        <f>VLOOKUP($A29,Outcomes!$B$3:$I$209,6,FALSE)</f>
        <v>0</v>
      </c>
      <c r="T29">
        <f>VLOOKUP($A29,Outcomes!$B$3:$I$209,7,FALSE)</f>
        <v>-10</v>
      </c>
      <c r="U29" t="str">
        <f t="shared" si="3"/>
        <v>HomFave</v>
      </c>
      <c r="V29" s="5" t="str">
        <f t="shared" si="4"/>
        <v/>
      </c>
      <c r="W29" t="str">
        <f t="shared" si="0"/>
        <v/>
      </c>
      <c r="X29" t="str">
        <f t="shared" si="5"/>
        <v/>
      </c>
      <c r="Y29" t="str">
        <f t="shared" si="6"/>
        <v/>
      </c>
      <c r="Z29" s="2" t="str">
        <f t="shared" si="7"/>
        <v/>
      </c>
      <c r="AA29" t="str">
        <f>VLOOKUP($A29,ScionOutput!$A$3:$BL$215,64,FALSE)</f>
        <v xml:space="preserve">822890. LineStatEns probability points gap does not exceed threshold (no edge found)! StatOnlyEns probability points gap does not exceed threshold (no edge found)! No play due to strategy constraints. </v>
      </c>
    </row>
    <row r="30" spans="1:27" x14ac:dyDescent="0.2">
      <c r="A30">
        <v>822807</v>
      </c>
      <c r="B30" s="3">
        <f>VLOOKUP($A30,ScionOutput!$A$3:$BL$215,3,FALSE)</f>
        <v>46180</v>
      </c>
      <c r="C30">
        <f>VLOOKUP($A30,ScionOutput!$A$3:$BL$215,22,FALSE)</f>
        <v>29</v>
      </c>
      <c r="D30" t="str">
        <f>VLOOKUP($A30,ScionOutput!$A$3:$BL$215,23,FALSE)</f>
        <v>TOR</v>
      </c>
      <c r="E30">
        <f>VLOOKUP($A30,ScionOutput!$A$3:$BL$215,6,FALSE)</f>
        <v>2</v>
      </c>
      <c r="F30" t="str">
        <f>VLOOKUP($A30,ScionOutput!$A$3:$BL$215,7,FALSE)</f>
        <v>BAL</v>
      </c>
      <c r="G30">
        <f>VLOOKUP($A30,ScionOutput!$A$3:$BL$215,26,FALSE)</f>
        <v>-130</v>
      </c>
      <c r="H30">
        <f>VLOOKUP($A30,ScionOutput!$A$3:$BL$215,10,FALSE)</f>
        <v>120</v>
      </c>
      <c r="I30" s="4" t="str">
        <f>VLOOKUP($A30,ScionOutput!$A$3:$BL$215,45,FALSE)</f>
        <v>HomFave</v>
      </c>
      <c r="J30" s="4">
        <f>VLOOKUP($A30,ScionOutput!$A$3:$BL$215,46,FALSE)</f>
        <v>0</v>
      </c>
      <c r="K30" t="str">
        <f>VLOOKUP($A30,ScionOutput!$A$3:$BL$215,58,FALSE)</f>
        <v>No Play</v>
      </c>
      <c r="L30">
        <f>VLOOKUP($A30,ScionOutput!$A$3:$BL$215,59,FALSE)</f>
        <v>0</v>
      </c>
      <c r="M30">
        <f>VLOOKUP($A30,ScionOutput!$A$3:$BL$215,62,FALSE)</f>
        <v>0</v>
      </c>
      <c r="N30">
        <f>VLOOKUP($A30,ScionOutput!$A$3:$BL$215,63,FALSE)</f>
        <v>0</v>
      </c>
      <c r="O30" t="b">
        <f t="shared" si="1"/>
        <v>0</v>
      </c>
      <c r="P30">
        <f>VLOOKUP($A30,Outcomes!$B$3:$I$209,8,FALSE)</f>
        <v>10</v>
      </c>
      <c r="Q30">
        <f t="shared" si="2"/>
        <v>1</v>
      </c>
      <c r="R30">
        <f>VLOOKUP($A30,Outcomes!$B$3:$I$209,5,FALSE)</f>
        <v>6</v>
      </c>
      <c r="S30">
        <f>VLOOKUP($A30,Outcomes!$B$3:$I$209,6,FALSE)</f>
        <v>4</v>
      </c>
      <c r="T30">
        <f>VLOOKUP($A30,Outcomes!$B$3:$I$209,7,FALSE)</f>
        <v>-2</v>
      </c>
      <c r="U30" t="str">
        <f t="shared" si="3"/>
        <v>HomFave</v>
      </c>
      <c r="V30" s="5" t="str">
        <f t="shared" si="4"/>
        <v/>
      </c>
      <c r="W30" t="str">
        <f t="shared" si="0"/>
        <v/>
      </c>
      <c r="X30" t="str">
        <f t="shared" si="5"/>
        <v/>
      </c>
      <c r="Y30" t="str">
        <f t="shared" si="6"/>
        <v/>
      </c>
      <c r="Z30" s="2" t="str">
        <f t="shared" si="7"/>
        <v/>
      </c>
      <c r="AA30" t="str">
        <f>VLOOKUP($A30,ScionOutput!$A$3:$BL$215,64,FALSE)</f>
        <v xml:space="preserve">822807. LineStatEns probability points gap does not exceed threshold (no edge found)! StatOnlyEns probability points gap does not exceed threshold (no edge found)! No play due to strategy constraints. </v>
      </c>
    </row>
    <row r="31" spans="1:27" x14ac:dyDescent="0.2">
      <c r="A31">
        <v>824829</v>
      </c>
      <c r="B31" s="3">
        <f>VLOOKUP($A31,ScionOutput!$A$3:$BL$215,3,FALSE)</f>
        <v>46181</v>
      </c>
      <c r="C31">
        <f>VLOOKUP($A31,ScionOutput!$A$3:$BL$215,22,FALSE)</f>
        <v>2</v>
      </c>
      <c r="D31" t="str">
        <f>VLOOKUP($A31,ScionOutput!$A$3:$BL$215,23,FALSE)</f>
        <v>BAL</v>
      </c>
      <c r="E31">
        <f>VLOOKUP($A31,ScionOutput!$A$3:$BL$215,6,FALSE)</f>
        <v>24</v>
      </c>
      <c r="F31" t="str">
        <f>VLOOKUP($A31,ScionOutput!$A$3:$BL$215,7,FALSE)</f>
        <v>SEA</v>
      </c>
      <c r="G31">
        <f>VLOOKUP($A31,ScionOutput!$A$3:$BL$215,26,FALSE)</f>
        <v>111</v>
      </c>
      <c r="H31">
        <f>VLOOKUP($A31,ScionOutput!$A$3:$BL$215,10,FALSE)</f>
        <v>-120</v>
      </c>
      <c r="I31" s="4" t="str">
        <f>VLOOKUP($A31,ScionOutput!$A$3:$BL$215,45,FALSE)</f>
        <v>VisFave</v>
      </c>
      <c r="J31" s="4">
        <f>VLOOKUP($A31,ScionOutput!$A$3:$BL$215,46,FALSE)</f>
        <v>0</v>
      </c>
      <c r="K31" t="str">
        <f>VLOOKUP($A31,ScionOutput!$A$3:$BL$215,58,FALSE)</f>
        <v>No Play</v>
      </c>
      <c r="L31">
        <f>VLOOKUP($A31,ScionOutput!$A$3:$BL$215,59,FALSE)</f>
        <v>0</v>
      </c>
      <c r="M31">
        <f>VLOOKUP($A31,ScionOutput!$A$3:$BL$215,62,FALSE)</f>
        <v>0</v>
      </c>
      <c r="N31">
        <f>VLOOKUP($A31,ScionOutput!$A$3:$BL$215,63,FALSE)</f>
        <v>0</v>
      </c>
      <c r="O31" t="b">
        <f t="shared" si="1"/>
        <v>0</v>
      </c>
      <c r="P31">
        <f>VLOOKUP($A31,Outcomes!$B$3:$I$209,8,FALSE)</f>
        <v>9</v>
      </c>
      <c r="Q31">
        <f t="shared" si="2"/>
        <v>-1</v>
      </c>
      <c r="R31">
        <f>VLOOKUP($A31,Outcomes!$B$3:$I$209,5,FALSE)</f>
        <v>3</v>
      </c>
      <c r="S31">
        <f>VLOOKUP($A31,Outcomes!$B$3:$I$209,6,FALSE)</f>
        <v>6</v>
      </c>
      <c r="T31">
        <f>VLOOKUP($A31,Outcomes!$B$3:$I$209,7,FALSE)</f>
        <v>3</v>
      </c>
      <c r="U31" t="str">
        <f t="shared" si="3"/>
        <v>VisFave</v>
      </c>
      <c r="V31" s="5" t="str">
        <f t="shared" si="4"/>
        <v/>
      </c>
      <c r="W31" t="str">
        <f t="shared" si="0"/>
        <v/>
      </c>
      <c r="X31" t="str">
        <f t="shared" si="5"/>
        <v/>
      </c>
      <c r="Y31" t="str">
        <f t="shared" si="6"/>
        <v/>
      </c>
      <c r="Z31" s="2" t="str">
        <f t="shared" si="7"/>
        <v/>
      </c>
      <c r="AA31" t="str">
        <f>VLOOKUP($A31,ScionOutput!$A$3:$BL$215,64,FALSE)</f>
        <v xml:space="preserve">824829. VF plays are disallowed. No play due to strategy constraints. </v>
      </c>
    </row>
    <row r="32" spans="1:27" x14ac:dyDescent="0.2">
      <c r="A32">
        <v>824025</v>
      </c>
      <c r="B32" s="3">
        <f>VLOOKUP($A32,ScionOutput!$A$3:$BL$215,3,FALSE)</f>
        <v>46181</v>
      </c>
      <c r="C32">
        <f>VLOOKUP($A32,ScionOutput!$A$3:$BL$215,22,FALSE)</f>
        <v>4</v>
      </c>
      <c r="D32" t="str">
        <f>VLOOKUP($A32,ScionOutput!$A$3:$BL$215,23,FALSE)</f>
        <v>LAA</v>
      </c>
      <c r="E32">
        <f>VLOOKUP($A32,ScionOutput!$A$3:$BL$215,6,FALSE)</f>
        <v>12</v>
      </c>
      <c r="F32" t="str">
        <f>VLOOKUP($A32,ScionOutput!$A$3:$BL$215,7,FALSE)</f>
        <v>HOU</v>
      </c>
      <c r="G32">
        <f>VLOOKUP($A32,ScionOutput!$A$3:$BL$215,26,FALSE)</f>
        <v>112</v>
      </c>
      <c r="H32">
        <f>VLOOKUP($A32,ScionOutput!$A$3:$BL$215,10,FALSE)</f>
        <v>-121</v>
      </c>
      <c r="I32" s="4" t="str">
        <f>VLOOKUP($A32,ScionOutput!$A$3:$BL$215,45,FALSE)</f>
        <v>VisFave</v>
      </c>
      <c r="J32" s="4">
        <f>VLOOKUP($A32,ScionOutput!$A$3:$BL$215,46,FALSE)</f>
        <v>0</v>
      </c>
      <c r="K32" t="str">
        <f>VLOOKUP($A32,ScionOutput!$A$3:$BL$215,58,FALSE)</f>
        <v>No Play</v>
      </c>
      <c r="L32">
        <f>VLOOKUP($A32,ScionOutput!$A$3:$BL$215,59,FALSE)</f>
        <v>0</v>
      </c>
      <c r="M32">
        <f>VLOOKUP($A32,ScionOutput!$A$3:$BL$215,62,FALSE)</f>
        <v>0</v>
      </c>
      <c r="N32">
        <f>VLOOKUP($A32,ScionOutput!$A$3:$BL$215,63,FALSE)</f>
        <v>0</v>
      </c>
      <c r="O32" t="b">
        <f t="shared" si="1"/>
        <v>0</v>
      </c>
      <c r="P32">
        <f>VLOOKUP($A32,Outcomes!$B$3:$I$209,8,FALSE)</f>
        <v>9</v>
      </c>
      <c r="Q32">
        <f t="shared" si="2"/>
        <v>-1</v>
      </c>
      <c r="R32">
        <f>VLOOKUP($A32,Outcomes!$B$3:$I$209,5,FALSE)</f>
        <v>4</v>
      </c>
      <c r="S32">
        <f>VLOOKUP($A32,Outcomes!$B$3:$I$209,6,FALSE)</f>
        <v>5</v>
      </c>
      <c r="T32">
        <f>VLOOKUP($A32,Outcomes!$B$3:$I$209,7,FALSE)</f>
        <v>1</v>
      </c>
      <c r="U32" t="str">
        <f t="shared" si="3"/>
        <v>VisFave</v>
      </c>
      <c r="V32" s="5" t="str">
        <f t="shared" si="4"/>
        <v/>
      </c>
      <c r="W32" t="str">
        <f t="shared" si="0"/>
        <v/>
      </c>
      <c r="X32" t="str">
        <f t="shared" si="5"/>
        <v/>
      </c>
      <c r="Y32" t="str">
        <f t="shared" si="6"/>
        <v/>
      </c>
      <c r="Z32" s="2" t="str">
        <f t="shared" si="7"/>
        <v/>
      </c>
      <c r="AA32" t="str">
        <f>VLOOKUP($A32,ScionOutput!$A$3:$BL$215,64,FALSE)</f>
        <v xml:space="preserve">824025. VF plays are disallowed. No play due to strategy constraints. </v>
      </c>
    </row>
    <row r="33" spans="1:27" x14ac:dyDescent="0.2">
      <c r="A33">
        <v>824427</v>
      </c>
      <c r="B33" s="3">
        <f>VLOOKUP($A33,ScionOutput!$A$3:$BL$215,3,FALSE)</f>
        <v>46181</v>
      </c>
      <c r="C33">
        <f>VLOOKUP($A33,ScionOutput!$A$3:$BL$215,22,FALSE)</f>
        <v>7</v>
      </c>
      <c r="D33" t="str">
        <f>VLOOKUP($A33,ScionOutput!$A$3:$BL$215,23,FALSE)</f>
        <v>CLE</v>
      </c>
      <c r="E33">
        <f>VLOOKUP($A33,ScionOutput!$A$3:$BL$215,6,FALSE)</f>
        <v>19</v>
      </c>
      <c r="F33" t="str">
        <f>VLOOKUP($A33,ScionOutput!$A$3:$BL$215,7,FALSE)</f>
        <v>NYY</v>
      </c>
      <c r="G33">
        <f>VLOOKUP($A33,ScionOutput!$A$3:$BL$215,26,FALSE)</f>
        <v>-122</v>
      </c>
      <c r="H33">
        <f>VLOOKUP($A33,ScionOutput!$A$3:$BL$215,10,FALSE)</f>
        <v>113</v>
      </c>
      <c r="I33" s="4" t="str">
        <f>VLOOKUP($A33,ScionOutput!$A$3:$BL$215,45,FALSE)</f>
        <v>HomFave</v>
      </c>
      <c r="J33" s="4">
        <f>VLOOKUP($A33,ScionOutput!$A$3:$BL$215,46,FALSE)</f>
        <v>0</v>
      </c>
      <c r="K33" t="str">
        <f>VLOOKUP($A33,ScionOutput!$A$3:$BL$215,58,FALSE)</f>
        <v>No Play</v>
      </c>
      <c r="L33">
        <f>VLOOKUP($A33,ScionOutput!$A$3:$BL$215,59,FALSE)</f>
        <v>0</v>
      </c>
      <c r="M33">
        <f>VLOOKUP($A33,ScionOutput!$A$3:$BL$215,62,FALSE)</f>
        <v>0</v>
      </c>
      <c r="N33">
        <f>VLOOKUP($A33,ScionOutput!$A$3:$BL$215,63,FALSE)</f>
        <v>0</v>
      </c>
      <c r="O33" t="b">
        <f t="shared" si="1"/>
        <v>0</v>
      </c>
      <c r="P33">
        <f>VLOOKUP($A33,Outcomes!$B$3:$I$209,8,FALSE)</f>
        <v>12</v>
      </c>
      <c r="Q33">
        <f t="shared" si="2"/>
        <v>-1</v>
      </c>
      <c r="R33">
        <f>VLOOKUP($A33,Outcomes!$B$3:$I$209,5,FALSE)</f>
        <v>5</v>
      </c>
      <c r="S33">
        <f>VLOOKUP($A33,Outcomes!$B$3:$I$209,6,FALSE)</f>
        <v>7</v>
      </c>
      <c r="T33">
        <f>VLOOKUP($A33,Outcomes!$B$3:$I$209,7,FALSE)</f>
        <v>2</v>
      </c>
      <c r="U33" t="str">
        <f t="shared" si="3"/>
        <v>VisDog</v>
      </c>
      <c r="V33" s="5" t="str">
        <f t="shared" si="4"/>
        <v/>
      </c>
      <c r="W33" t="str">
        <f t="shared" si="0"/>
        <v/>
      </c>
      <c r="X33" t="str">
        <f t="shared" si="5"/>
        <v/>
      </c>
      <c r="Y33" t="str">
        <f t="shared" si="6"/>
        <v/>
      </c>
      <c r="Z33" s="2" t="str">
        <f t="shared" si="7"/>
        <v/>
      </c>
      <c r="AA33" t="str">
        <f>VLOOKUP($A33,ScionOutput!$A$3:$BL$215,64,FALSE)</f>
        <v xml:space="preserve">824427. LineStatEns probability points gap does not exceed threshold (no edge found)! StatOnlyEns probability points gap does not exceed threshold (no edge found)! No play due to strategy constraints. </v>
      </c>
    </row>
    <row r="34" spans="1:27" x14ac:dyDescent="0.2">
      <c r="A34">
        <v>824998</v>
      </c>
      <c r="B34" s="3">
        <f>VLOOKUP($A34,ScionOutput!$A$3:$BL$215,3,FALSE)</f>
        <v>46181</v>
      </c>
      <c r="C34">
        <f>VLOOKUP($A34,ScionOutput!$A$3:$BL$215,22,FALSE)</f>
        <v>20</v>
      </c>
      <c r="D34" t="str">
        <f>VLOOKUP($A34,ScionOutput!$A$3:$BL$215,23,FALSE)</f>
        <v>OAK</v>
      </c>
      <c r="E34">
        <f>VLOOKUP($A34,ScionOutput!$A$3:$BL$215,6,FALSE)</f>
        <v>17</v>
      </c>
      <c r="F34" t="str">
        <f>VLOOKUP($A34,ScionOutput!$A$3:$BL$215,7,FALSE)</f>
        <v>MLW</v>
      </c>
      <c r="G34">
        <f>VLOOKUP($A34,ScionOutput!$A$3:$BL$215,26,FALSE)</f>
        <v>130</v>
      </c>
      <c r="H34">
        <f>VLOOKUP($A34,ScionOutput!$A$3:$BL$215,10,FALSE)</f>
        <v>-142</v>
      </c>
      <c r="I34" s="4" t="str">
        <f>VLOOKUP($A34,ScionOutput!$A$3:$BL$215,45,FALSE)</f>
        <v>VisFave</v>
      </c>
      <c r="J34" s="4">
        <f>VLOOKUP($A34,ScionOutput!$A$3:$BL$215,46,FALSE)</f>
        <v>0</v>
      </c>
      <c r="K34" t="str">
        <f>VLOOKUP($A34,ScionOutput!$A$3:$BL$215,58,FALSE)</f>
        <v>No Play</v>
      </c>
      <c r="L34">
        <f>VLOOKUP($A34,ScionOutput!$A$3:$BL$215,59,FALSE)</f>
        <v>0</v>
      </c>
      <c r="M34">
        <f>VLOOKUP($A34,ScionOutput!$A$3:$BL$215,62,FALSE)</f>
        <v>0</v>
      </c>
      <c r="N34">
        <f>VLOOKUP($A34,ScionOutput!$A$3:$BL$215,63,FALSE)</f>
        <v>0</v>
      </c>
      <c r="O34" t="b">
        <f t="shared" si="1"/>
        <v>0</v>
      </c>
      <c r="P34">
        <f>VLOOKUP($A34,Outcomes!$B$3:$I$209,8,FALSE)</f>
        <v>29</v>
      </c>
      <c r="Q34">
        <f t="shared" si="2"/>
        <v>-1</v>
      </c>
      <c r="R34">
        <f>VLOOKUP($A34,Outcomes!$B$3:$I$209,5,FALSE)</f>
        <v>14</v>
      </c>
      <c r="S34">
        <f>VLOOKUP($A34,Outcomes!$B$3:$I$209,6,FALSE)</f>
        <v>15</v>
      </c>
      <c r="T34">
        <f>VLOOKUP($A34,Outcomes!$B$3:$I$209,7,FALSE)</f>
        <v>1</v>
      </c>
      <c r="U34" t="str">
        <f t="shared" si="3"/>
        <v>VisFave</v>
      </c>
      <c r="V34" s="5" t="str">
        <f t="shared" si="4"/>
        <v/>
      </c>
      <c r="W34" t="str">
        <f t="shared" si="0"/>
        <v/>
      </c>
      <c r="X34" t="str">
        <f t="shared" si="5"/>
        <v/>
      </c>
      <c r="Y34" t="str">
        <f t="shared" si="6"/>
        <v/>
      </c>
      <c r="Z34" s="2" t="str">
        <f t="shared" si="7"/>
        <v/>
      </c>
      <c r="AA34" t="str">
        <f>VLOOKUP($A34,ScionOutput!$A$3:$BL$215,64,FALSE)</f>
        <v xml:space="preserve">824998. VF plays are disallowed. No play due to strategy constraints. </v>
      </c>
    </row>
    <row r="35" spans="1:27" x14ac:dyDescent="0.2">
      <c r="A35">
        <v>823289</v>
      </c>
      <c r="B35" s="3">
        <f>VLOOKUP($A35,ScionOutput!$A$3:$BL$215,3,FALSE)</f>
        <v>46181</v>
      </c>
      <c r="C35">
        <f>VLOOKUP($A35,ScionOutput!$A$3:$BL$215,22,FALSE)</f>
        <v>23</v>
      </c>
      <c r="D35" t="str">
        <f>VLOOKUP($A35,ScionOutput!$A$3:$BL$215,23,FALSE)</f>
        <v>SD</v>
      </c>
      <c r="E35">
        <f>VLOOKUP($A35,ScionOutput!$A$3:$BL$215,6,FALSE)</f>
        <v>6</v>
      </c>
      <c r="F35" t="str">
        <f>VLOOKUP($A35,ScionOutput!$A$3:$BL$215,7,FALSE)</f>
        <v>CIN</v>
      </c>
      <c r="G35">
        <f>VLOOKUP($A35,ScionOutput!$A$3:$BL$215,26,FALSE)</f>
        <v>-128</v>
      </c>
      <c r="H35">
        <f>VLOOKUP($A35,ScionOutput!$A$3:$BL$215,10,FALSE)</f>
        <v>118</v>
      </c>
      <c r="I35" s="4" t="str">
        <f>VLOOKUP($A35,ScionOutput!$A$3:$BL$215,45,FALSE)</f>
        <v>HomFave</v>
      </c>
      <c r="J35" s="4">
        <f>VLOOKUP($A35,ScionOutput!$A$3:$BL$215,46,FALSE)</f>
        <v>0</v>
      </c>
      <c r="K35" t="str">
        <f>VLOOKUP($A35,ScionOutput!$A$3:$BL$215,58,FALSE)</f>
        <v>No Play</v>
      </c>
      <c r="L35">
        <f>VLOOKUP($A35,ScionOutput!$A$3:$BL$215,59,FALSE)</f>
        <v>0</v>
      </c>
      <c r="M35">
        <f>VLOOKUP($A35,ScionOutput!$A$3:$BL$215,62,FALSE)</f>
        <v>0</v>
      </c>
      <c r="N35">
        <f>VLOOKUP($A35,ScionOutput!$A$3:$BL$215,63,FALSE)</f>
        <v>0</v>
      </c>
      <c r="O35" t="b">
        <f t="shared" si="1"/>
        <v>0</v>
      </c>
      <c r="P35">
        <f>VLOOKUP($A35,Outcomes!$B$3:$I$209,8,FALSE)</f>
        <v>8</v>
      </c>
      <c r="Q35">
        <f t="shared" si="2"/>
        <v>1</v>
      </c>
      <c r="R35">
        <f>VLOOKUP($A35,Outcomes!$B$3:$I$209,5,FALSE)</f>
        <v>6</v>
      </c>
      <c r="S35">
        <f>VLOOKUP($A35,Outcomes!$B$3:$I$209,6,FALSE)</f>
        <v>2</v>
      </c>
      <c r="T35">
        <f>VLOOKUP($A35,Outcomes!$B$3:$I$209,7,FALSE)</f>
        <v>-4</v>
      </c>
      <c r="U35" t="str">
        <f t="shared" si="3"/>
        <v>HomFave</v>
      </c>
      <c r="V35" s="5" t="str">
        <f t="shared" si="4"/>
        <v/>
      </c>
      <c r="W35" t="str">
        <f t="shared" si="0"/>
        <v/>
      </c>
      <c r="X35" t="str">
        <f t="shared" si="5"/>
        <v/>
      </c>
      <c r="Y35" t="str">
        <f t="shared" si="6"/>
        <v/>
      </c>
      <c r="Z35" s="2" t="str">
        <f t="shared" si="7"/>
        <v/>
      </c>
      <c r="AA35" t="str">
        <f>VLOOKUP($A35,ScionOutput!$A$3:$BL$215,64,FALSE)</f>
        <v xml:space="preserve">823289. LineStatEns probability points gap does not exceed threshold (no edge found)! StatOnlyEns probability points gap does not exceed threshold (no edge found)! No play due to strategy constraints. </v>
      </c>
    </row>
    <row r="36" spans="1:27" x14ac:dyDescent="0.2">
      <c r="A36">
        <v>823218</v>
      </c>
      <c r="B36" s="3">
        <f>VLOOKUP($A36,ScionOutput!$A$3:$BL$215,3,FALSE)</f>
        <v>46181</v>
      </c>
      <c r="C36">
        <f>VLOOKUP($A36,ScionOutput!$A$3:$BL$215,22,FALSE)</f>
        <v>25</v>
      </c>
      <c r="D36" t="str">
        <f>VLOOKUP($A36,ScionOutput!$A$3:$BL$215,23,FALSE)</f>
        <v>SF</v>
      </c>
      <c r="E36">
        <f>VLOOKUP($A36,ScionOutput!$A$3:$BL$215,6,FALSE)</f>
        <v>16</v>
      </c>
      <c r="F36" t="str">
        <f>VLOOKUP($A36,ScionOutput!$A$3:$BL$215,7,FALSE)</f>
        <v>WAS</v>
      </c>
      <c r="G36">
        <f>VLOOKUP($A36,ScionOutput!$A$3:$BL$215,26,FALSE)</f>
        <v>-145</v>
      </c>
      <c r="H36">
        <f>VLOOKUP($A36,ScionOutput!$A$3:$BL$215,10,FALSE)</f>
        <v>133</v>
      </c>
      <c r="I36" s="4" t="str">
        <f>VLOOKUP($A36,ScionOutput!$A$3:$BL$215,45,FALSE)</f>
        <v>HomFave</v>
      </c>
      <c r="J36" s="4">
        <f>VLOOKUP($A36,ScionOutput!$A$3:$BL$215,46,FALSE)</f>
        <v>0</v>
      </c>
      <c r="K36" t="str">
        <f>VLOOKUP($A36,ScionOutput!$A$3:$BL$215,58,FALSE)</f>
        <v>No Play</v>
      </c>
      <c r="L36">
        <f>VLOOKUP($A36,ScionOutput!$A$3:$BL$215,59,FALSE)</f>
        <v>0</v>
      </c>
      <c r="M36">
        <f>VLOOKUP($A36,ScionOutput!$A$3:$BL$215,62,FALSE)</f>
        <v>0</v>
      </c>
      <c r="N36">
        <f>VLOOKUP($A36,ScionOutput!$A$3:$BL$215,63,FALSE)</f>
        <v>0</v>
      </c>
      <c r="O36" t="b">
        <f t="shared" si="1"/>
        <v>0</v>
      </c>
      <c r="P36">
        <f>VLOOKUP($A36,Outcomes!$B$3:$I$209,8,FALSE)</f>
        <v>7</v>
      </c>
      <c r="Q36">
        <f t="shared" si="2"/>
        <v>-1</v>
      </c>
      <c r="R36">
        <f>VLOOKUP($A36,Outcomes!$B$3:$I$209,5,FALSE)</f>
        <v>3</v>
      </c>
      <c r="S36">
        <f>VLOOKUP($A36,Outcomes!$B$3:$I$209,6,FALSE)</f>
        <v>4</v>
      </c>
      <c r="T36">
        <f>VLOOKUP($A36,Outcomes!$B$3:$I$209,7,FALSE)</f>
        <v>1</v>
      </c>
      <c r="U36" t="str">
        <f t="shared" si="3"/>
        <v>VisDog</v>
      </c>
      <c r="V36" s="5" t="str">
        <f t="shared" si="4"/>
        <v/>
      </c>
      <c r="W36" t="str">
        <f t="shared" si="0"/>
        <v/>
      </c>
      <c r="X36" t="str">
        <f t="shared" si="5"/>
        <v/>
      </c>
      <c r="Y36" t="str">
        <f t="shared" si="6"/>
        <v/>
      </c>
      <c r="Z36" s="2" t="str">
        <f t="shared" si="7"/>
        <v/>
      </c>
      <c r="AA36" t="str">
        <f>VLOOKUP($A36,ScionOutput!$A$3:$BL$215,64,FALSE)</f>
        <v xml:space="preserve">823218. LineStatEns probability points gap does not exceed threshold (no edge found)! StatOnlyEns probability points gap does not exceed threshold (no edge found)! No play due to strategy constraints. </v>
      </c>
    </row>
    <row r="37" spans="1:27" x14ac:dyDescent="0.2">
      <c r="A37">
        <v>822972</v>
      </c>
      <c r="B37" s="3">
        <f>VLOOKUP($A37,ScionOutput!$A$3:$BL$215,3,FALSE)</f>
        <v>46181</v>
      </c>
      <c r="C37">
        <f>VLOOKUP($A37,ScionOutput!$A$3:$BL$215,22,FALSE)</f>
        <v>27</v>
      </c>
      <c r="D37" t="str">
        <f>VLOOKUP($A37,ScionOutput!$A$3:$BL$215,23,FALSE)</f>
        <v>TB</v>
      </c>
      <c r="E37">
        <f>VLOOKUP($A37,ScionOutput!$A$3:$BL$215,6,FALSE)</f>
        <v>3</v>
      </c>
      <c r="F37" t="str">
        <f>VLOOKUP($A37,ScionOutput!$A$3:$BL$215,7,FALSE)</f>
        <v>BOS</v>
      </c>
      <c r="G37">
        <f>VLOOKUP($A37,ScionOutput!$A$3:$BL$215,26,FALSE)</f>
        <v>-102</v>
      </c>
      <c r="H37">
        <f>VLOOKUP($A37,ScionOutput!$A$3:$BL$215,10,FALSE)</f>
        <v>-106</v>
      </c>
      <c r="I37" s="4" t="str">
        <f>VLOOKUP($A37,ScionOutput!$A$3:$BL$215,45,FALSE)</f>
        <v>VisFave</v>
      </c>
      <c r="J37" s="4">
        <f>VLOOKUP($A37,ScionOutput!$A$3:$BL$215,46,FALSE)</f>
        <v>0</v>
      </c>
      <c r="K37" t="str">
        <f>VLOOKUP($A37,ScionOutput!$A$3:$BL$215,58,FALSE)</f>
        <v>No Play</v>
      </c>
      <c r="L37">
        <f>VLOOKUP($A37,ScionOutput!$A$3:$BL$215,59,FALSE)</f>
        <v>0</v>
      </c>
      <c r="M37">
        <f>VLOOKUP($A37,ScionOutput!$A$3:$BL$215,62,FALSE)</f>
        <v>0</v>
      </c>
      <c r="N37">
        <f>VLOOKUP($A37,ScionOutput!$A$3:$BL$215,63,FALSE)</f>
        <v>0</v>
      </c>
      <c r="O37" t="b">
        <f t="shared" si="1"/>
        <v>0</v>
      </c>
      <c r="P37">
        <f>VLOOKUP($A37,Outcomes!$B$3:$I$209,8,FALSE)</f>
        <v>4</v>
      </c>
      <c r="Q37">
        <f t="shared" si="2"/>
        <v>1</v>
      </c>
      <c r="R37">
        <f>VLOOKUP($A37,Outcomes!$B$3:$I$209,5,FALSE)</f>
        <v>3</v>
      </c>
      <c r="S37">
        <f>VLOOKUP($A37,Outcomes!$B$3:$I$209,6,FALSE)</f>
        <v>1</v>
      </c>
      <c r="T37">
        <f>VLOOKUP($A37,Outcomes!$B$3:$I$209,7,FALSE)</f>
        <v>-2</v>
      </c>
      <c r="U37" t="str">
        <f t="shared" si="3"/>
        <v>HomDog</v>
      </c>
      <c r="V37" s="5" t="str">
        <f t="shared" si="4"/>
        <v/>
      </c>
      <c r="W37" t="str">
        <f t="shared" si="0"/>
        <v/>
      </c>
      <c r="X37" t="str">
        <f t="shared" si="5"/>
        <v/>
      </c>
      <c r="Y37" t="str">
        <f t="shared" si="6"/>
        <v/>
      </c>
      <c r="Z37" s="2" t="str">
        <f t="shared" si="7"/>
        <v/>
      </c>
      <c r="AA37" t="str">
        <f>VLOOKUP($A37,ScionOutput!$A$3:$BL$215,64,FALSE)</f>
        <v xml:space="preserve">822972. VF plays are disallowed. No play due to strategy constraints. </v>
      </c>
    </row>
    <row r="38" spans="1:27" x14ac:dyDescent="0.2">
      <c r="A38">
        <v>822806</v>
      </c>
      <c r="B38" s="3">
        <f>VLOOKUP($A38,ScionOutput!$A$3:$BL$215,3,FALSE)</f>
        <v>46181</v>
      </c>
      <c r="C38">
        <f>VLOOKUP($A38,ScionOutput!$A$3:$BL$215,22,FALSE)</f>
        <v>29</v>
      </c>
      <c r="D38" t="str">
        <f>VLOOKUP($A38,ScionOutput!$A$3:$BL$215,23,FALSE)</f>
        <v>TOR</v>
      </c>
      <c r="E38">
        <f>VLOOKUP($A38,ScionOutput!$A$3:$BL$215,6,FALSE)</f>
        <v>21</v>
      </c>
      <c r="F38" t="str">
        <f>VLOOKUP($A38,ScionOutput!$A$3:$BL$215,7,FALSE)</f>
        <v>PHI</v>
      </c>
      <c r="G38">
        <f>VLOOKUP($A38,ScionOutput!$A$3:$BL$215,26,FALSE)</f>
        <v>154</v>
      </c>
      <c r="H38">
        <f>VLOOKUP($A38,ScionOutput!$A$3:$BL$215,10,FALSE)</f>
        <v>-168</v>
      </c>
      <c r="I38" s="4" t="str">
        <f>VLOOKUP($A38,ScionOutput!$A$3:$BL$215,45,FALSE)</f>
        <v>VisFave</v>
      </c>
      <c r="J38" s="4">
        <f>VLOOKUP($A38,ScionOutput!$A$3:$BL$215,46,FALSE)</f>
        <v>0</v>
      </c>
      <c r="K38" t="str">
        <f>VLOOKUP($A38,ScionOutput!$A$3:$BL$215,58,FALSE)</f>
        <v>No Play</v>
      </c>
      <c r="L38">
        <f>VLOOKUP($A38,ScionOutput!$A$3:$BL$215,59,FALSE)</f>
        <v>0</v>
      </c>
      <c r="M38">
        <f>VLOOKUP($A38,ScionOutput!$A$3:$BL$215,62,FALSE)</f>
        <v>0</v>
      </c>
      <c r="N38">
        <f>VLOOKUP($A38,ScionOutput!$A$3:$BL$215,63,FALSE)</f>
        <v>0</v>
      </c>
      <c r="O38" t="b">
        <f t="shared" si="1"/>
        <v>0</v>
      </c>
      <c r="P38">
        <f>VLOOKUP($A38,Outcomes!$B$3:$I$209,8,FALSE)</f>
        <v>7</v>
      </c>
      <c r="Q38">
        <f t="shared" si="2"/>
        <v>-1</v>
      </c>
      <c r="R38">
        <f>VLOOKUP($A38,Outcomes!$B$3:$I$209,5,FALSE)</f>
        <v>2</v>
      </c>
      <c r="S38">
        <f>VLOOKUP($A38,Outcomes!$B$3:$I$209,6,FALSE)</f>
        <v>5</v>
      </c>
      <c r="T38">
        <f>VLOOKUP($A38,Outcomes!$B$3:$I$209,7,FALSE)</f>
        <v>3</v>
      </c>
      <c r="U38" t="str">
        <f t="shared" si="3"/>
        <v>VisFave</v>
      </c>
      <c r="V38" s="5" t="str">
        <f t="shared" si="4"/>
        <v/>
      </c>
      <c r="W38" t="str">
        <f t="shared" si="0"/>
        <v/>
      </c>
      <c r="X38" t="str">
        <f t="shared" si="5"/>
        <v/>
      </c>
      <c r="Y38" t="str">
        <f t="shared" si="6"/>
        <v/>
      </c>
      <c r="Z38" s="2" t="str">
        <f t="shared" si="7"/>
        <v/>
      </c>
      <c r="AA38" t="str">
        <f>VLOOKUP($A38,ScionOutput!$A$3:$BL$215,64,FALSE)</f>
        <v xml:space="preserve">822806. LineStatEns is NoPlay as bookie-line outside range. StatOnlyEns is NoPlay as bookie-line outside range. No play due to strategy constraints. </v>
      </c>
    </row>
    <row r="39" spans="1:27" x14ac:dyDescent="0.2">
      <c r="A39">
        <v>824830</v>
      </c>
      <c r="B39" s="3">
        <f>VLOOKUP($A39,ScionOutput!$A$3:$BL$215,3,FALSE)</f>
        <v>46182</v>
      </c>
      <c r="C39">
        <f>VLOOKUP($A39,ScionOutput!$A$3:$BL$215,22,FALSE)</f>
        <v>2</v>
      </c>
      <c r="D39" t="str">
        <f>VLOOKUP($A39,ScionOutput!$A$3:$BL$215,23,FALSE)</f>
        <v>BAL</v>
      </c>
      <c r="E39">
        <f>VLOOKUP($A39,ScionOutput!$A$3:$BL$215,6,FALSE)</f>
        <v>24</v>
      </c>
      <c r="F39" t="str">
        <f>VLOOKUP($A39,ScionOutput!$A$3:$BL$215,7,FALSE)</f>
        <v>SEA</v>
      </c>
      <c r="G39">
        <f>VLOOKUP($A39,ScionOutput!$A$3:$BL$215,26,FALSE)</f>
        <v>103</v>
      </c>
      <c r="H39">
        <f>VLOOKUP($A39,ScionOutput!$A$3:$BL$215,10,FALSE)</f>
        <v>-112</v>
      </c>
      <c r="I39" s="4" t="str">
        <f>VLOOKUP($A39,ScionOutput!$A$3:$BL$215,45,FALSE)</f>
        <v>VisFave</v>
      </c>
      <c r="J39" s="4">
        <f>VLOOKUP($A39,ScionOutput!$A$3:$BL$215,46,FALSE)</f>
        <v>0</v>
      </c>
      <c r="K39" t="str">
        <f>VLOOKUP($A39,ScionOutput!$A$3:$BL$215,58,FALSE)</f>
        <v>No Play</v>
      </c>
      <c r="L39">
        <f>VLOOKUP($A39,ScionOutput!$A$3:$BL$215,59,FALSE)</f>
        <v>0</v>
      </c>
      <c r="M39">
        <f>VLOOKUP($A39,ScionOutput!$A$3:$BL$215,62,FALSE)</f>
        <v>0</v>
      </c>
      <c r="N39">
        <f>VLOOKUP($A39,ScionOutput!$A$3:$BL$215,63,FALSE)</f>
        <v>0</v>
      </c>
      <c r="O39" t="b">
        <f t="shared" si="1"/>
        <v>0</v>
      </c>
      <c r="P39">
        <f>VLOOKUP($A39,Outcomes!$B$3:$I$209,8,FALSE)</f>
        <v>11</v>
      </c>
      <c r="Q39">
        <f t="shared" si="2"/>
        <v>-1</v>
      </c>
      <c r="R39">
        <f>VLOOKUP($A39,Outcomes!$B$3:$I$209,5,FALSE)</f>
        <v>5</v>
      </c>
      <c r="S39">
        <f>VLOOKUP($A39,Outcomes!$B$3:$I$209,6,FALSE)</f>
        <v>6</v>
      </c>
      <c r="T39">
        <f>VLOOKUP($A39,Outcomes!$B$3:$I$209,7,FALSE)</f>
        <v>1</v>
      </c>
      <c r="U39" t="str">
        <f t="shared" si="3"/>
        <v>VisFave</v>
      </c>
      <c r="V39" s="5" t="str">
        <f t="shared" si="4"/>
        <v/>
      </c>
      <c r="W39" t="str">
        <f t="shared" si="0"/>
        <v/>
      </c>
      <c r="X39" t="str">
        <f t="shared" si="5"/>
        <v/>
      </c>
      <c r="Y39" t="str">
        <f t="shared" si="6"/>
        <v/>
      </c>
      <c r="Z39" s="2" t="str">
        <f t="shared" si="7"/>
        <v/>
      </c>
      <c r="AA39" t="str">
        <f>VLOOKUP($A39,ScionOutput!$A$3:$BL$215,64,FALSE)</f>
        <v xml:space="preserve">824830. VF plays are disallowed. No play due to strategy constraints. </v>
      </c>
    </row>
    <row r="40" spans="1:27" x14ac:dyDescent="0.2">
      <c r="A40">
        <v>824023</v>
      </c>
      <c r="B40" s="3">
        <f>VLOOKUP($A40,ScionOutput!$A$3:$BL$215,3,FALSE)</f>
        <v>46182</v>
      </c>
      <c r="C40">
        <f>VLOOKUP($A40,ScionOutput!$A$3:$BL$215,22,FALSE)</f>
        <v>4</v>
      </c>
      <c r="D40" t="str">
        <f>VLOOKUP($A40,ScionOutput!$A$3:$BL$215,23,FALSE)</f>
        <v>LAA</v>
      </c>
      <c r="E40">
        <f>VLOOKUP($A40,ScionOutput!$A$3:$BL$215,6,FALSE)</f>
        <v>12</v>
      </c>
      <c r="F40" t="str">
        <f>VLOOKUP($A40,ScionOutput!$A$3:$BL$215,7,FALSE)</f>
        <v>HOU</v>
      </c>
      <c r="G40">
        <f>VLOOKUP($A40,ScionOutput!$A$3:$BL$215,26,FALSE)</f>
        <v>111</v>
      </c>
      <c r="H40">
        <f>VLOOKUP($A40,ScionOutput!$A$3:$BL$215,10,FALSE)</f>
        <v>-120</v>
      </c>
      <c r="I40" s="4" t="str">
        <f>VLOOKUP($A40,ScionOutput!$A$3:$BL$215,45,FALSE)</f>
        <v>VisFave</v>
      </c>
      <c r="J40" s="4">
        <f>VLOOKUP($A40,ScionOutput!$A$3:$BL$215,46,FALSE)</f>
        <v>0</v>
      </c>
      <c r="K40" t="str">
        <f>VLOOKUP($A40,ScionOutput!$A$3:$BL$215,58,FALSE)</f>
        <v>No Play</v>
      </c>
      <c r="L40">
        <f>VLOOKUP($A40,ScionOutput!$A$3:$BL$215,59,FALSE)</f>
        <v>0</v>
      </c>
      <c r="M40">
        <f>VLOOKUP($A40,ScionOutput!$A$3:$BL$215,62,FALSE)</f>
        <v>0</v>
      </c>
      <c r="N40">
        <f>VLOOKUP($A40,ScionOutput!$A$3:$BL$215,63,FALSE)</f>
        <v>0</v>
      </c>
      <c r="O40" t="b">
        <f t="shared" si="1"/>
        <v>0</v>
      </c>
      <c r="P40">
        <f>VLOOKUP($A40,Outcomes!$B$3:$I$209,8,FALSE)</f>
        <v>11</v>
      </c>
      <c r="Q40">
        <f t="shared" si="2"/>
        <v>1</v>
      </c>
      <c r="R40">
        <f>VLOOKUP($A40,Outcomes!$B$3:$I$209,5,FALSE)</f>
        <v>10</v>
      </c>
      <c r="S40">
        <f>VLOOKUP($A40,Outcomes!$B$3:$I$209,6,FALSE)</f>
        <v>1</v>
      </c>
      <c r="T40">
        <f>VLOOKUP($A40,Outcomes!$B$3:$I$209,7,FALSE)</f>
        <v>-9</v>
      </c>
      <c r="U40" t="str">
        <f t="shared" si="3"/>
        <v>HomDog</v>
      </c>
      <c r="V40" s="5" t="str">
        <f t="shared" si="4"/>
        <v/>
      </c>
      <c r="W40" t="str">
        <f t="shared" si="0"/>
        <v/>
      </c>
      <c r="X40" t="str">
        <f t="shared" si="5"/>
        <v/>
      </c>
      <c r="Y40" t="str">
        <f t="shared" si="6"/>
        <v/>
      </c>
      <c r="Z40" s="2" t="str">
        <f t="shared" si="7"/>
        <v/>
      </c>
      <c r="AA40" t="str">
        <f>VLOOKUP($A40,ScionOutput!$A$3:$BL$215,64,FALSE)</f>
        <v xml:space="preserve">824023. VF plays are disallowed. No play due to strategy constraints. </v>
      </c>
    </row>
    <row r="41" spans="1:27" x14ac:dyDescent="0.2">
      <c r="A41">
        <v>824429</v>
      </c>
      <c r="B41" s="3">
        <f>VLOOKUP($A41,ScionOutput!$A$3:$BL$215,3,FALSE)</f>
        <v>46182</v>
      </c>
      <c r="C41">
        <f>VLOOKUP($A41,ScionOutput!$A$3:$BL$215,22,FALSE)</f>
        <v>7</v>
      </c>
      <c r="D41" t="str">
        <f>VLOOKUP($A41,ScionOutput!$A$3:$BL$215,23,FALSE)</f>
        <v>CLE</v>
      </c>
      <c r="E41">
        <f>VLOOKUP($A41,ScionOutput!$A$3:$BL$215,6,FALSE)</f>
        <v>19</v>
      </c>
      <c r="F41" t="str">
        <f>VLOOKUP($A41,ScionOutput!$A$3:$BL$215,7,FALSE)</f>
        <v>NYY</v>
      </c>
      <c r="G41">
        <f>VLOOKUP($A41,ScionOutput!$A$3:$BL$215,26,FALSE)</f>
        <v>107</v>
      </c>
      <c r="H41">
        <f>VLOOKUP($A41,ScionOutput!$A$3:$BL$215,10,FALSE)</f>
        <v>-116</v>
      </c>
      <c r="I41" s="4" t="str">
        <f>VLOOKUP($A41,ScionOutput!$A$3:$BL$215,45,FALSE)</f>
        <v>VisFave</v>
      </c>
      <c r="J41" s="4">
        <f>VLOOKUP($A41,ScionOutput!$A$3:$BL$215,46,FALSE)</f>
        <v>0</v>
      </c>
      <c r="K41" t="str">
        <f>VLOOKUP($A41,ScionOutput!$A$3:$BL$215,58,FALSE)</f>
        <v>No Play</v>
      </c>
      <c r="L41">
        <f>VLOOKUP($A41,ScionOutput!$A$3:$BL$215,59,FALSE)</f>
        <v>0</v>
      </c>
      <c r="M41">
        <f>VLOOKUP($A41,ScionOutput!$A$3:$BL$215,62,FALSE)</f>
        <v>0</v>
      </c>
      <c r="N41">
        <f>VLOOKUP($A41,ScionOutput!$A$3:$BL$215,63,FALSE)</f>
        <v>0</v>
      </c>
      <c r="O41" t="b">
        <f t="shared" si="1"/>
        <v>0</v>
      </c>
      <c r="P41">
        <f>VLOOKUP($A41,Outcomes!$B$3:$I$209,8,FALSE)</f>
        <v>5</v>
      </c>
      <c r="Q41">
        <f t="shared" si="2"/>
        <v>-1</v>
      </c>
      <c r="R41">
        <f>VLOOKUP($A41,Outcomes!$B$3:$I$209,5,FALSE)</f>
        <v>2</v>
      </c>
      <c r="S41">
        <f>VLOOKUP($A41,Outcomes!$B$3:$I$209,6,FALSE)</f>
        <v>3</v>
      </c>
      <c r="T41">
        <f>VLOOKUP($A41,Outcomes!$B$3:$I$209,7,FALSE)</f>
        <v>1</v>
      </c>
      <c r="U41" t="str">
        <f t="shared" si="3"/>
        <v>VisFave</v>
      </c>
      <c r="V41" s="5" t="str">
        <f t="shared" si="4"/>
        <v/>
      </c>
      <c r="W41" t="str">
        <f t="shared" si="0"/>
        <v/>
      </c>
      <c r="X41" t="str">
        <f t="shared" si="5"/>
        <v/>
      </c>
      <c r="Y41" t="str">
        <f t="shared" si="6"/>
        <v/>
      </c>
      <c r="Z41" s="2" t="str">
        <f t="shared" si="7"/>
        <v/>
      </c>
      <c r="AA41" t="str">
        <f>VLOOKUP($A41,ScionOutput!$A$3:$BL$215,64,FALSE)</f>
        <v xml:space="preserve">824429. VF plays are disallowed. No play due to strategy constraints. </v>
      </c>
    </row>
    <row r="42" spans="1:27" x14ac:dyDescent="0.2">
      <c r="A42">
        <v>824347</v>
      </c>
      <c r="B42" s="3">
        <f>VLOOKUP($A42,ScionOutput!$A$3:$BL$215,3,FALSE)</f>
        <v>46182</v>
      </c>
      <c r="C42">
        <f>VLOOKUP($A42,ScionOutput!$A$3:$BL$215,22,FALSE)</f>
        <v>8</v>
      </c>
      <c r="D42" t="str">
        <f>VLOOKUP($A42,ScionOutput!$A$3:$BL$215,23,FALSE)</f>
        <v>COL</v>
      </c>
      <c r="E42">
        <f>VLOOKUP($A42,ScionOutput!$A$3:$BL$215,6,FALSE)</f>
        <v>5</v>
      </c>
      <c r="F42" t="str">
        <f>VLOOKUP($A42,ScionOutput!$A$3:$BL$215,7,FALSE)</f>
        <v>CHC</v>
      </c>
      <c r="G42">
        <f>VLOOKUP($A42,ScionOutput!$A$3:$BL$215,26,FALSE)</f>
        <v>141</v>
      </c>
      <c r="H42">
        <f>VLOOKUP($A42,ScionOutput!$A$3:$BL$215,10,FALSE)</f>
        <v>-153</v>
      </c>
      <c r="I42" s="4" t="str">
        <f>VLOOKUP($A42,ScionOutput!$A$3:$BL$215,45,FALSE)</f>
        <v>VisFave</v>
      </c>
      <c r="J42" s="4">
        <f>VLOOKUP($A42,ScionOutput!$A$3:$BL$215,46,FALSE)</f>
        <v>0</v>
      </c>
      <c r="K42" t="str">
        <f>VLOOKUP($A42,ScionOutput!$A$3:$BL$215,58,FALSE)</f>
        <v>No Play</v>
      </c>
      <c r="L42">
        <f>VLOOKUP($A42,ScionOutput!$A$3:$BL$215,59,FALSE)</f>
        <v>0</v>
      </c>
      <c r="M42">
        <f>VLOOKUP($A42,ScionOutput!$A$3:$BL$215,62,FALSE)</f>
        <v>0</v>
      </c>
      <c r="N42">
        <f>VLOOKUP($A42,ScionOutput!$A$3:$BL$215,63,FALSE)</f>
        <v>0</v>
      </c>
      <c r="O42" t="b">
        <f t="shared" si="1"/>
        <v>0</v>
      </c>
      <c r="P42">
        <f>VLOOKUP($A42,Outcomes!$B$3:$I$209,8,FALSE)</f>
        <v>10</v>
      </c>
      <c r="Q42">
        <f t="shared" si="2"/>
        <v>1</v>
      </c>
      <c r="R42">
        <f>VLOOKUP($A42,Outcomes!$B$3:$I$209,5,FALSE)</f>
        <v>7</v>
      </c>
      <c r="S42">
        <f>VLOOKUP($A42,Outcomes!$B$3:$I$209,6,FALSE)</f>
        <v>3</v>
      </c>
      <c r="T42">
        <f>VLOOKUP($A42,Outcomes!$B$3:$I$209,7,FALSE)</f>
        <v>-4</v>
      </c>
      <c r="U42" t="str">
        <f t="shared" si="3"/>
        <v>HomDog</v>
      </c>
      <c r="V42" s="5" t="str">
        <f t="shared" si="4"/>
        <v/>
      </c>
      <c r="W42" t="str">
        <f t="shared" si="0"/>
        <v/>
      </c>
      <c r="X42" t="str">
        <f t="shared" si="5"/>
        <v/>
      </c>
      <c r="Y42" t="str">
        <f t="shared" si="6"/>
        <v/>
      </c>
      <c r="Z42" s="2" t="str">
        <f t="shared" si="7"/>
        <v/>
      </c>
      <c r="AA42" t="str">
        <f>VLOOKUP($A42,ScionOutput!$A$3:$BL$215,64,FALSE)</f>
        <v xml:space="preserve">824347. VF plays are disallowed. No play due to strategy constraints. </v>
      </c>
    </row>
    <row r="43" spans="1:27" x14ac:dyDescent="0.2">
      <c r="A43">
        <v>824591</v>
      </c>
      <c r="B43" s="3">
        <f>VLOOKUP($A43,ScionOutput!$A$3:$BL$215,3,FALSE)</f>
        <v>46182</v>
      </c>
      <c r="C43">
        <f>VLOOKUP($A43,ScionOutput!$A$3:$BL$215,22,FALSE)</f>
        <v>9</v>
      </c>
      <c r="D43" t="str">
        <f>VLOOKUP($A43,ScionOutput!$A$3:$BL$215,23,FALSE)</f>
        <v>CWS</v>
      </c>
      <c r="E43">
        <f>VLOOKUP($A43,ScionOutput!$A$3:$BL$215,6,FALSE)</f>
        <v>0</v>
      </c>
      <c r="F43" t="str">
        <f>VLOOKUP($A43,ScionOutput!$A$3:$BL$215,7,FALSE)</f>
        <v>ATL</v>
      </c>
      <c r="G43">
        <f>VLOOKUP($A43,ScionOutput!$A$3:$BL$215,26,FALSE)</f>
        <v>139</v>
      </c>
      <c r="H43">
        <f>VLOOKUP($A43,ScionOutput!$A$3:$BL$215,10,FALSE)</f>
        <v>-152</v>
      </c>
      <c r="I43" s="4" t="str">
        <f>VLOOKUP($A43,ScionOutput!$A$3:$BL$215,45,FALSE)</f>
        <v>VisFave</v>
      </c>
      <c r="J43" s="4">
        <f>VLOOKUP($A43,ScionOutput!$A$3:$BL$215,46,FALSE)</f>
        <v>0</v>
      </c>
      <c r="K43" t="str">
        <f>VLOOKUP($A43,ScionOutput!$A$3:$BL$215,58,FALSE)</f>
        <v>No Play</v>
      </c>
      <c r="L43">
        <f>VLOOKUP($A43,ScionOutput!$A$3:$BL$215,59,FALSE)</f>
        <v>0</v>
      </c>
      <c r="M43">
        <f>VLOOKUP($A43,ScionOutput!$A$3:$BL$215,62,FALSE)</f>
        <v>0</v>
      </c>
      <c r="N43">
        <f>VLOOKUP($A43,ScionOutput!$A$3:$BL$215,63,FALSE)</f>
        <v>0</v>
      </c>
      <c r="O43" t="b">
        <f t="shared" si="1"/>
        <v>0</v>
      </c>
      <c r="P43">
        <f>VLOOKUP($A43,Outcomes!$B$3:$I$209,8,FALSE)</f>
        <v>11</v>
      </c>
      <c r="Q43">
        <f t="shared" si="2"/>
        <v>1</v>
      </c>
      <c r="R43">
        <f>VLOOKUP($A43,Outcomes!$B$3:$I$209,5,FALSE)</f>
        <v>6</v>
      </c>
      <c r="S43">
        <f>VLOOKUP($A43,Outcomes!$B$3:$I$209,6,FALSE)</f>
        <v>5</v>
      </c>
      <c r="T43">
        <f>VLOOKUP($A43,Outcomes!$B$3:$I$209,7,FALSE)</f>
        <v>-1</v>
      </c>
      <c r="U43" t="str">
        <f t="shared" si="3"/>
        <v>HomDog</v>
      </c>
      <c r="V43" s="5" t="str">
        <f t="shared" si="4"/>
        <v/>
      </c>
      <c r="W43" t="str">
        <f t="shared" si="0"/>
        <v/>
      </c>
      <c r="X43" t="str">
        <f t="shared" si="5"/>
        <v/>
      </c>
      <c r="Y43" t="str">
        <f t="shared" si="6"/>
        <v/>
      </c>
      <c r="Z43" s="2" t="str">
        <f t="shared" si="7"/>
        <v/>
      </c>
      <c r="AA43" t="str">
        <f>VLOOKUP($A43,ScionOutput!$A$3:$BL$215,64,FALSE)</f>
        <v xml:space="preserve">824591. LineStatEns price is outside allowable range! VF plays are disallowed. No play due to strategy constraints. </v>
      </c>
    </row>
    <row r="44" spans="1:27" x14ac:dyDescent="0.2">
      <c r="A44">
        <v>824267</v>
      </c>
      <c r="B44" s="3">
        <f>VLOOKUP($A44,ScionOutput!$A$3:$BL$215,3,FALSE)</f>
        <v>46182</v>
      </c>
      <c r="C44">
        <f>VLOOKUP($A44,ScionOutput!$A$3:$BL$215,22,FALSE)</f>
        <v>10</v>
      </c>
      <c r="D44" t="str">
        <f>VLOOKUP($A44,ScionOutput!$A$3:$BL$215,23,FALSE)</f>
        <v>DET</v>
      </c>
      <c r="E44">
        <f>VLOOKUP($A44,ScionOutput!$A$3:$BL$215,6,FALSE)</f>
        <v>15</v>
      </c>
      <c r="F44" t="str">
        <f>VLOOKUP($A44,ScionOutput!$A$3:$BL$215,7,FALSE)</f>
        <v>MIN</v>
      </c>
      <c r="G44">
        <f>VLOOKUP($A44,ScionOutput!$A$3:$BL$215,26,FALSE)</f>
        <v>-122</v>
      </c>
      <c r="H44">
        <f>VLOOKUP($A44,ScionOutput!$A$3:$BL$215,10,FALSE)</f>
        <v>112</v>
      </c>
      <c r="I44" s="4" t="str">
        <f>VLOOKUP($A44,ScionOutput!$A$3:$BL$215,45,FALSE)</f>
        <v>HomFave</v>
      </c>
      <c r="J44" s="4">
        <f>VLOOKUP($A44,ScionOutput!$A$3:$BL$215,46,FALSE)</f>
        <v>0</v>
      </c>
      <c r="K44" t="str">
        <f>VLOOKUP($A44,ScionOutput!$A$3:$BL$215,58,FALSE)</f>
        <v>No Play</v>
      </c>
      <c r="L44">
        <f>VLOOKUP($A44,ScionOutput!$A$3:$BL$215,59,FALSE)</f>
        <v>0</v>
      </c>
      <c r="M44">
        <f>VLOOKUP($A44,ScionOutput!$A$3:$BL$215,62,FALSE)</f>
        <v>0</v>
      </c>
      <c r="N44">
        <f>VLOOKUP($A44,ScionOutput!$A$3:$BL$215,63,FALSE)</f>
        <v>0</v>
      </c>
      <c r="O44" t="b">
        <f t="shared" si="1"/>
        <v>0</v>
      </c>
      <c r="P44">
        <f>VLOOKUP($A44,Outcomes!$B$3:$I$209,8,FALSE)</f>
        <v>14</v>
      </c>
      <c r="Q44">
        <f t="shared" si="2"/>
        <v>1</v>
      </c>
      <c r="R44">
        <f>VLOOKUP($A44,Outcomes!$B$3:$I$209,5,FALSE)</f>
        <v>10</v>
      </c>
      <c r="S44">
        <f>VLOOKUP($A44,Outcomes!$B$3:$I$209,6,FALSE)</f>
        <v>4</v>
      </c>
      <c r="T44">
        <f>VLOOKUP($A44,Outcomes!$B$3:$I$209,7,FALSE)</f>
        <v>-6</v>
      </c>
      <c r="U44" t="str">
        <f t="shared" si="3"/>
        <v>HomFave</v>
      </c>
      <c r="V44" s="5" t="str">
        <f t="shared" si="4"/>
        <v/>
      </c>
      <c r="W44" t="str">
        <f t="shared" si="0"/>
        <v/>
      </c>
      <c r="X44" t="str">
        <f t="shared" si="5"/>
        <v/>
      </c>
      <c r="Y44" t="str">
        <f t="shared" si="6"/>
        <v/>
      </c>
      <c r="Z44" s="2" t="str">
        <f t="shared" si="7"/>
        <v/>
      </c>
      <c r="AA44" t="str">
        <f>VLOOKUP($A44,ScionOutput!$A$3:$BL$215,64,FALSE)</f>
        <v xml:space="preserve">824267. LineStatEns probability points gap does not exceed threshold (no edge found)! StatOnlyEns probability points gap does not exceed threshold (no edge found)! No play due to strategy constraints. </v>
      </c>
    </row>
    <row r="45" spans="1:27" x14ac:dyDescent="0.2">
      <c r="A45">
        <v>823858</v>
      </c>
      <c r="B45" s="3">
        <f>VLOOKUP($A45,ScionOutput!$A$3:$BL$215,3,FALSE)</f>
        <v>46182</v>
      </c>
      <c r="C45">
        <f>VLOOKUP($A45,ScionOutput!$A$3:$BL$215,22,FALSE)</f>
        <v>11</v>
      </c>
      <c r="D45" t="str">
        <f>VLOOKUP($A45,ScionOutput!$A$3:$BL$215,23,FALSE)</f>
        <v>FLO</v>
      </c>
      <c r="E45">
        <f>VLOOKUP($A45,ScionOutput!$A$3:$BL$215,6,FALSE)</f>
        <v>1</v>
      </c>
      <c r="F45" t="str">
        <f>VLOOKUP($A45,ScionOutput!$A$3:$BL$215,7,FALSE)</f>
        <v>ARZ</v>
      </c>
      <c r="G45">
        <f>VLOOKUP($A45,ScionOutput!$A$3:$BL$215,26,FALSE)</f>
        <v>-135</v>
      </c>
      <c r="H45">
        <f>VLOOKUP($A45,ScionOutput!$A$3:$BL$215,10,FALSE)</f>
        <v>124</v>
      </c>
      <c r="I45" s="4" t="str">
        <f>VLOOKUP($A45,ScionOutput!$A$3:$BL$215,45,FALSE)</f>
        <v>HomFave</v>
      </c>
      <c r="J45" s="4">
        <f>VLOOKUP($A45,ScionOutput!$A$3:$BL$215,46,FALSE)</f>
        <v>0</v>
      </c>
      <c r="K45" t="str">
        <f>VLOOKUP($A45,ScionOutput!$A$3:$BL$215,58,FALSE)</f>
        <v>No Play</v>
      </c>
      <c r="L45">
        <f>VLOOKUP($A45,ScionOutput!$A$3:$BL$215,59,FALSE)</f>
        <v>0</v>
      </c>
      <c r="M45">
        <f>VLOOKUP($A45,ScionOutput!$A$3:$BL$215,62,FALSE)</f>
        <v>0</v>
      </c>
      <c r="N45">
        <f>VLOOKUP($A45,ScionOutput!$A$3:$BL$215,63,FALSE)</f>
        <v>0</v>
      </c>
      <c r="O45" t="b">
        <f t="shared" si="1"/>
        <v>0</v>
      </c>
      <c r="P45">
        <f>VLOOKUP($A45,Outcomes!$B$3:$I$209,8,FALSE)</f>
        <v>16</v>
      </c>
      <c r="Q45">
        <f t="shared" si="2"/>
        <v>1</v>
      </c>
      <c r="R45">
        <f>VLOOKUP($A45,Outcomes!$B$3:$I$209,5,FALSE)</f>
        <v>10</v>
      </c>
      <c r="S45">
        <f>VLOOKUP($A45,Outcomes!$B$3:$I$209,6,FALSE)</f>
        <v>6</v>
      </c>
      <c r="T45">
        <f>VLOOKUP($A45,Outcomes!$B$3:$I$209,7,FALSE)</f>
        <v>-4</v>
      </c>
      <c r="U45" t="str">
        <f t="shared" si="3"/>
        <v>HomFave</v>
      </c>
      <c r="V45" s="5" t="str">
        <f t="shared" si="4"/>
        <v/>
      </c>
      <c r="W45" t="str">
        <f t="shared" si="0"/>
        <v/>
      </c>
      <c r="X45" t="str">
        <f t="shared" si="5"/>
        <v/>
      </c>
      <c r="Y45" t="str">
        <f t="shared" si="6"/>
        <v/>
      </c>
      <c r="Z45" s="2" t="str">
        <f t="shared" si="7"/>
        <v/>
      </c>
      <c r="AA45" t="str">
        <f>VLOOKUP($A45,ScionOutput!$A$3:$BL$215,64,FALSE)</f>
        <v xml:space="preserve">823858. LineStatEns probability points gap does not exceed threshold (no edge found)! StatOnlyEns probability points gap does not exceed threshold (no edge found)! No play due to strategy constraints. </v>
      </c>
    </row>
    <row r="46" spans="1:27" x14ac:dyDescent="0.2">
      <c r="A46">
        <v>824105</v>
      </c>
      <c r="B46" s="3">
        <f>VLOOKUP($A46,ScionOutput!$A$3:$BL$215,3,FALSE)</f>
        <v>46182</v>
      </c>
      <c r="C46">
        <f>VLOOKUP($A46,ScionOutput!$A$3:$BL$215,22,FALSE)</f>
        <v>13</v>
      </c>
      <c r="D46" t="str">
        <f>VLOOKUP($A46,ScionOutput!$A$3:$BL$215,23,FALSE)</f>
        <v>KC</v>
      </c>
      <c r="E46">
        <f>VLOOKUP($A46,ScionOutput!$A$3:$BL$215,6,FALSE)</f>
        <v>28</v>
      </c>
      <c r="F46" t="str">
        <f>VLOOKUP($A46,ScionOutput!$A$3:$BL$215,7,FALSE)</f>
        <v>TEX</v>
      </c>
      <c r="G46">
        <f>VLOOKUP($A46,ScionOutput!$A$3:$BL$215,26,FALSE)</f>
        <v>110</v>
      </c>
      <c r="H46">
        <f>VLOOKUP($A46,ScionOutput!$A$3:$BL$215,10,FALSE)</f>
        <v>-120</v>
      </c>
      <c r="I46" s="4" t="str">
        <f>VLOOKUP($A46,ScionOutput!$A$3:$BL$215,45,FALSE)</f>
        <v>VisFave</v>
      </c>
      <c r="J46" s="4">
        <f>VLOOKUP($A46,ScionOutput!$A$3:$BL$215,46,FALSE)</f>
        <v>0</v>
      </c>
      <c r="K46" t="str">
        <f>VLOOKUP($A46,ScionOutput!$A$3:$BL$215,58,FALSE)</f>
        <v>No Play</v>
      </c>
      <c r="L46">
        <f>VLOOKUP($A46,ScionOutput!$A$3:$BL$215,59,FALSE)</f>
        <v>0</v>
      </c>
      <c r="M46">
        <f>VLOOKUP($A46,ScionOutput!$A$3:$BL$215,62,FALSE)</f>
        <v>0</v>
      </c>
      <c r="N46">
        <f>VLOOKUP($A46,ScionOutput!$A$3:$BL$215,63,FALSE)</f>
        <v>0</v>
      </c>
      <c r="O46" t="b">
        <f t="shared" si="1"/>
        <v>0</v>
      </c>
      <c r="P46">
        <f>VLOOKUP($A46,Outcomes!$B$3:$I$209,8,FALSE)</f>
        <v>8</v>
      </c>
      <c r="Q46">
        <f t="shared" si="2"/>
        <v>1</v>
      </c>
      <c r="R46">
        <f>VLOOKUP($A46,Outcomes!$B$3:$I$209,5,FALSE)</f>
        <v>5</v>
      </c>
      <c r="S46">
        <f>VLOOKUP($A46,Outcomes!$B$3:$I$209,6,FALSE)</f>
        <v>3</v>
      </c>
      <c r="T46">
        <f>VLOOKUP($A46,Outcomes!$B$3:$I$209,7,FALSE)</f>
        <v>-2</v>
      </c>
      <c r="U46" t="str">
        <f t="shared" si="3"/>
        <v>HomDog</v>
      </c>
      <c r="V46" s="5" t="str">
        <f t="shared" si="4"/>
        <v/>
      </c>
      <c r="W46" t="str">
        <f t="shared" si="0"/>
        <v/>
      </c>
      <c r="X46" t="str">
        <f t="shared" si="5"/>
        <v/>
      </c>
      <c r="Y46" t="str">
        <f t="shared" si="6"/>
        <v/>
      </c>
      <c r="Z46" s="2" t="str">
        <f t="shared" si="7"/>
        <v/>
      </c>
      <c r="AA46" t="str">
        <f>VLOOKUP($A46,ScionOutput!$A$3:$BL$215,64,FALSE)</f>
        <v xml:space="preserve">824105. VF plays are disallowed. No play due to strategy constraints. </v>
      </c>
    </row>
    <row r="47" spans="1:27" x14ac:dyDescent="0.2">
      <c r="A47">
        <v>823620</v>
      </c>
      <c r="B47" s="3">
        <f>VLOOKUP($A47,ScionOutput!$A$3:$BL$215,3,FALSE)</f>
        <v>46182</v>
      </c>
      <c r="C47">
        <f>VLOOKUP($A47,ScionOutput!$A$3:$BL$215,22,FALSE)</f>
        <v>18</v>
      </c>
      <c r="D47" t="str">
        <f>VLOOKUP($A47,ScionOutput!$A$3:$BL$215,23,FALSE)</f>
        <v>NYM</v>
      </c>
      <c r="E47">
        <f>VLOOKUP($A47,ScionOutput!$A$3:$BL$215,6,FALSE)</f>
        <v>26</v>
      </c>
      <c r="F47" t="str">
        <f>VLOOKUP($A47,ScionOutput!$A$3:$BL$215,7,FALSE)</f>
        <v>STL</v>
      </c>
      <c r="G47">
        <f>VLOOKUP($A47,ScionOutput!$A$3:$BL$215,26,FALSE)</f>
        <v>-125</v>
      </c>
      <c r="H47">
        <f>VLOOKUP($A47,ScionOutput!$A$3:$BL$215,10,FALSE)</f>
        <v>115</v>
      </c>
      <c r="I47" s="4" t="str">
        <f>VLOOKUP($A47,ScionOutput!$A$3:$BL$215,45,FALSE)</f>
        <v>HomFave</v>
      </c>
      <c r="J47" s="4">
        <f>VLOOKUP($A47,ScionOutput!$A$3:$BL$215,46,FALSE)</f>
        <v>0</v>
      </c>
      <c r="K47" t="str">
        <f>VLOOKUP($A47,ScionOutput!$A$3:$BL$215,58,FALSE)</f>
        <v>No Play</v>
      </c>
      <c r="L47">
        <f>VLOOKUP($A47,ScionOutput!$A$3:$BL$215,59,FALSE)</f>
        <v>0</v>
      </c>
      <c r="M47">
        <f>VLOOKUP($A47,ScionOutput!$A$3:$BL$215,62,FALSE)</f>
        <v>0</v>
      </c>
      <c r="N47">
        <f>VLOOKUP($A47,ScionOutput!$A$3:$BL$215,63,FALSE)</f>
        <v>0</v>
      </c>
      <c r="O47" t="b">
        <f t="shared" si="1"/>
        <v>0</v>
      </c>
      <c r="P47">
        <f>VLOOKUP($A47,Outcomes!$B$3:$I$209,8,FALSE)</f>
        <v>7</v>
      </c>
      <c r="Q47">
        <f t="shared" si="2"/>
        <v>-1</v>
      </c>
      <c r="R47">
        <f>VLOOKUP($A47,Outcomes!$B$3:$I$209,5,FALSE)</f>
        <v>0</v>
      </c>
      <c r="S47">
        <f>VLOOKUP($A47,Outcomes!$B$3:$I$209,6,FALSE)</f>
        <v>7</v>
      </c>
      <c r="T47">
        <f>VLOOKUP($A47,Outcomes!$B$3:$I$209,7,FALSE)</f>
        <v>7</v>
      </c>
      <c r="U47" t="str">
        <f t="shared" si="3"/>
        <v>VisDog</v>
      </c>
      <c r="V47" s="5" t="str">
        <f t="shared" si="4"/>
        <v/>
      </c>
      <c r="W47" t="str">
        <f t="shared" si="0"/>
        <v/>
      </c>
      <c r="X47" t="str">
        <f t="shared" si="5"/>
        <v/>
      </c>
      <c r="Y47" t="str">
        <f t="shared" si="6"/>
        <v/>
      </c>
      <c r="Z47" s="2" t="str">
        <f t="shared" si="7"/>
        <v/>
      </c>
      <c r="AA47" t="str">
        <f>VLOOKUP($A47,ScionOutput!$A$3:$BL$215,64,FALSE)</f>
        <v xml:space="preserve">823620. LineStatEns probability points gap does not exceed threshold (no edge found)! StatOnlyEns probability points gap does not exceed threshold (no edge found)! No play due to strategy constraints. </v>
      </c>
    </row>
    <row r="48" spans="1:27" x14ac:dyDescent="0.2">
      <c r="A48">
        <v>824999</v>
      </c>
      <c r="B48" s="3">
        <f>VLOOKUP($A48,ScionOutput!$A$3:$BL$215,3,FALSE)</f>
        <v>46182</v>
      </c>
      <c r="C48">
        <f>VLOOKUP($A48,ScionOutput!$A$3:$BL$215,22,FALSE)</f>
        <v>20</v>
      </c>
      <c r="D48" t="str">
        <f>VLOOKUP($A48,ScionOutput!$A$3:$BL$215,23,FALSE)</f>
        <v>OAK</v>
      </c>
      <c r="E48">
        <f>VLOOKUP($A48,ScionOutput!$A$3:$BL$215,6,FALSE)</f>
        <v>17</v>
      </c>
      <c r="F48" t="str">
        <f>VLOOKUP($A48,ScionOutput!$A$3:$BL$215,7,FALSE)</f>
        <v>MLW</v>
      </c>
      <c r="G48">
        <f>VLOOKUP($A48,ScionOutput!$A$3:$BL$215,26,FALSE)</f>
        <v>-106</v>
      </c>
      <c r="H48">
        <f>VLOOKUP($A48,ScionOutput!$A$3:$BL$215,10,FALSE)</f>
        <v>-102</v>
      </c>
      <c r="I48" s="4" t="str">
        <f>VLOOKUP($A48,ScionOutput!$A$3:$BL$215,45,FALSE)</f>
        <v>HomFave</v>
      </c>
      <c r="J48" s="4">
        <f>VLOOKUP($A48,ScionOutput!$A$3:$BL$215,46,FALSE)</f>
        <v>0</v>
      </c>
      <c r="K48" t="str">
        <f>VLOOKUP($A48,ScionOutput!$A$3:$BL$215,58,FALSE)</f>
        <v>No Play</v>
      </c>
      <c r="L48">
        <f>VLOOKUP($A48,ScionOutput!$A$3:$BL$215,59,FALSE)</f>
        <v>0</v>
      </c>
      <c r="M48">
        <f>VLOOKUP($A48,ScionOutput!$A$3:$BL$215,62,FALSE)</f>
        <v>0</v>
      </c>
      <c r="N48">
        <f>VLOOKUP($A48,ScionOutput!$A$3:$BL$215,63,FALSE)</f>
        <v>0</v>
      </c>
      <c r="O48" t="b">
        <f t="shared" si="1"/>
        <v>0</v>
      </c>
      <c r="P48">
        <f>VLOOKUP($A48,Outcomes!$B$3:$I$209,8,FALSE)</f>
        <v>12</v>
      </c>
      <c r="Q48">
        <f t="shared" si="2"/>
        <v>1</v>
      </c>
      <c r="R48">
        <f>VLOOKUP($A48,Outcomes!$B$3:$I$209,5,FALSE)</f>
        <v>7</v>
      </c>
      <c r="S48">
        <f>VLOOKUP($A48,Outcomes!$B$3:$I$209,6,FALSE)</f>
        <v>5</v>
      </c>
      <c r="T48">
        <f>VLOOKUP($A48,Outcomes!$B$3:$I$209,7,FALSE)</f>
        <v>-2</v>
      </c>
      <c r="U48" t="str">
        <f t="shared" si="3"/>
        <v>HomFave</v>
      </c>
      <c r="V48" s="5" t="str">
        <f t="shared" si="4"/>
        <v/>
      </c>
      <c r="W48" t="str">
        <f t="shared" si="0"/>
        <v/>
      </c>
      <c r="X48" t="str">
        <f t="shared" si="5"/>
        <v/>
      </c>
      <c r="Y48" t="str">
        <f t="shared" si="6"/>
        <v/>
      </c>
      <c r="Z48" s="2" t="str">
        <f t="shared" si="7"/>
        <v/>
      </c>
      <c r="AA48" t="str">
        <f>VLOOKUP($A48,ScionOutput!$A$3:$BL$215,64,FALSE)</f>
        <v xml:space="preserve">824999. LineStatEns probability points gap does not exceed threshold (no edge found)! No play due to strategy constraints. </v>
      </c>
    </row>
    <row r="49" spans="1:27" x14ac:dyDescent="0.2">
      <c r="A49">
        <v>823374</v>
      </c>
      <c r="B49" s="3">
        <f>VLOOKUP($A49,ScionOutput!$A$3:$BL$215,3,FALSE)</f>
        <v>46182</v>
      </c>
      <c r="C49">
        <f>VLOOKUP($A49,ScionOutput!$A$3:$BL$215,22,FALSE)</f>
        <v>22</v>
      </c>
      <c r="D49" t="str">
        <f>VLOOKUP($A49,ScionOutput!$A$3:$BL$215,23,FALSE)</f>
        <v>PIT</v>
      </c>
      <c r="E49">
        <f>VLOOKUP($A49,ScionOutput!$A$3:$BL$215,6,FALSE)</f>
        <v>14</v>
      </c>
      <c r="F49" t="str">
        <f>VLOOKUP($A49,ScionOutput!$A$3:$BL$215,7,FALSE)</f>
        <v>LA</v>
      </c>
      <c r="G49">
        <f>VLOOKUP($A49,ScionOutput!$A$3:$BL$215,26,FALSE)</f>
        <v>-112</v>
      </c>
      <c r="H49">
        <f>VLOOKUP($A49,ScionOutput!$A$3:$BL$215,10,FALSE)</f>
        <v>104</v>
      </c>
      <c r="I49" s="4" t="str">
        <f>VLOOKUP($A49,ScionOutput!$A$3:$BL$215,45,FALSE)</f>
        <v>HomFave</v>
      </c>
      <c r="J49" s="4">
        <f>VLOOKUP($A49,ScionOutput!$A$3:$BL$215,46,FALSE)</f>
        <v>0</v>
      </c>
      <c r="K49" t="str">
        <f>VLOOKUP($A49,ScionOutput!$A$3:$BL$215,58,FALSE)</f>
        <v>No Play</v>
      </c>
      <c r="L49">
        <f>VLOOKUP($A49,ScionOutput!$A$3:$BL$215,59,FALSE)</f>
        <v>0</v>
      </c>
      <c r="M49">
        <f>VLOOKUP($A49,ScionOutput!$A$3:$BL$215,62,FALSE)</f>
        <v>0</v>
      </c>
      <c r="N49">
        <f>VLOOKUP($A49,ScionOutput!$A$3:$BL$215,63,FALSE)</f>
        <v>0</v>
      </c>
      <c r="O49" t="b">
        <f t="shared" si="1"/>
        <v>0</v>
      </c>
      <c r="P49">
        <f>VLOOKUP($A49,Outcomes!$B$3:$I$209,8,FALSE)</f>
        <v>15</v>
      </c>
      <c r="Q49">
        <f t="shared" si="2"/>
        <v>-1</v>
      </c>
      <c r="R49">
        <f>VLOOKUP($A49,Outcomes!$B$3:$I$209,5,FALSE)</f>
        <v>3</v>
      </c>
      <c r="S49">
        <f>VLOOKUP($A49,Outcomes!$B$3:$I$209,6,FALSE)</f>
        <v>12</v>
      </c>
      <c r="T49">
        <f>VLOOKUP($A49,Outcomes!$B$3:$I$209,7,FALSE)</f>
        <v>9</v>
      </c>
      <c r="U49" t="str">
        <f t="shared" si="3"/>
        <v>VisDog</v>
      </c>
      <c r="V49" s="5" t="str">
        <f t="shared" si="4"/>
        <v/>
      </c>
      <c r="W49" t="str">
        <f t="shared" si="0"/>
        <v/>
      </c>
      <c r="X49" t="str">
        <f t="shared" si="5"/>
        <v/>
      </c>
      <c r="Y49" t="str">
        <f t="shared" si="6"/>
        <v/>
      </c>
      <c r="Z49" s="2" t="str">
        <f t="shared" si="7"/>
        <v/>
      </c>
      <c r="AA49" t="str">
        <f>VLOOKUP($A49,ScionOutput!$A$3:$BL$215,64,FALSE)</f>
        <v xml:space="preserve">823374. LineStatEns probability points gap does not exceed threshold (no edge found)! No play due to strategy constraints. </v>
      </c>
    </row>
    <row r="50" spans="1:27" x14ac:dyDescent="0.2">
      <c r="A50">
        <v>823290</v>
      </c>
      <c r="B50" s="3">
        <f>VLOOKUP($A50,ScionOutput!$A$3:$BL$215,3,FALSE)</f>
        <v>46182</v>
      </c>
      <c r="C50">
        <f>VLOOKUP($A50,ScionOutput!$A$3:$BL$215,22,FALSE)</f>
        <v>23</v>
      </c>
      <c r="D50" t="str">
        <f>VLOOKUP($A50,ScionOutput!$A$3:$BL$215,23,FALSE)</f>
        <v>SD</v>
      </c>
      <c r="E50">
        <f>VLOOKUP($A50,ScionOutput!$A$3:$BL$215,6,FALSE)</f>
        <v>6</v>
      </c>
      <c r="F50" t="str">
        <f>VLOOKUP($A50,ScionOutput!$A$3:$BL$215,7,FALSE)</f>
        <v>CIN</v>
      </c>
      <c r="G50">
        <f>VLOOKUP($A50,ScionOutput!$A$3:$BL$215,26,FALSE)</f>
        <v>114</v>
      </c>
      <c r="H50">
        <f>VLOOKUP($A50,ScionOutput!$A$3:$BL$215,10,FALSE)</f>
        <v>-123</v>
      </c>
      <c r="I50" s="4" t="str">
        <f>VLOOKUP($A50,ScionOutput!$A$3:$BL$215,45,FALSE)</f>
        <v>VisFave</v>
      </c>
      <c r="J50" s="4">
        <f>VLOOKUP($A50,ScionOutput!$A$3:$BL$215,46,FALSE)</f>
        <v>0</v>
      </c>
      <c r="K50" t="str">
        <f>VLOOKUP($A50,ScionOutput!$A$3:$BL$215,58,FALSE)</f>
        <v>No Play</v>
      </c>
      <c r="L50">
        <f>VLOOKUP($A50,ScionOutput!$A$3:$BL$215,59,FALSE)</f>
        <v>0</v>
      </c>
      <c r="M50">
        <f>VLOOKUP($A50,ScionOutput!$A$3:$BL$215,62,FALSE)</f>
        <v>0</v>
      </c>
      <c r="N50">
        <f>VLOOKUP($A50,ScionOutput!$A$3:$BL$215,63,FALSE)</f>
        <v>0</v>
      </c>
      <c r="O50" t="b">
        <f t="shared" si="1"/>
        <v>0</v>
      </c>
      <c r="P50">
        <f>VLOOKUP($A50,Outcomes!$B$3:$I$209,8,FALSE)</f>
        <v>8</v>
      </c>
      <c r="Q50">
        <f t="shared" si="2"/>
        <v>-1</v>
      </c>
      <c r="R50">
        <f>VLOOKUP($A50,Outcomes!$B$3:$I$209,5,FALSE)</f>
        <v>3</v>
      </c>
      <c r="S50">
        <f>VLOOKUP($A50,Outcomes!$B$3:$I$209,6,FALSE)</f>
        <v>5</v>
      </c>
      <c r="T50">
        <f>VLOOKUP($A50,Outcomes!$B$3:$I$209,7,FALSE)</f>
        <v>2</v>
      </c>
      <c r="U50" t="str">
        <f t="shared" si="3"/>
        <v>VisFave</v>
      </c>
      <c r="V50" s="5" t="str">
        <f t="shared" si="4"/>
        <v/>
      </c>
      <c r="W50" t="str">
        <f t="shared" si="0"/>
        <v/>
      </c>
      <c r="X50" t="str">
        <f t="shared" si="5"/>
        <v/>
      </c>
      <c r="Y50" t="str">
        <f t="shared" si="6"/>
        <v/>
      </c>
      <c r="Z50" s="2" t="str">
        <f t="shared" si="7"/>
        <v/>
      </c>
      <c r="AA50" t="str">
        <f>VLOOKUP($A50,ScionOutput!$A$3:$BL$215,64,FALSE)</f>
        <v xml:space="preserve">823290. VF plays are disallowed. No play due to strategy constraints. </v>
      </c>
    </row>
    <row r="51" spans="1:27" x14ac:dyDescent="0.2">
      <c r="A51">
        <v>823214</v>
      </c>
      <c r="B51" s="3">
        <f>VLOOKUP($A51,ScionOutput!$A$3:$BL$215,3,FALSE)</f>
        <v>46182</v>
      </c>
      <c r="C51">
        <f>VLOOKUP($A51,ScionOutput!$A$3:$BL$215,22,FALSE)</f>
        <v>25</v>
      </c>
      <c r="D51" t="str">
        <f>VLOOKUP($A51,ScionOutput!$A$3:$BL$215,23,FALSE)</f>
        <v>SF</v>
      </c>
      <c r="E51">
        <f>VLOOKUP($A51,ScionOutput!$A$3:$BL$215,6,FALSE)</f>
        <v>16</v>
      </c>
      <c r="F51" t="str">
        <f>VLOOKUP($A51,ScionOutput!$A$3:$BL$215,7,FALSE)</f>
        <v>WAS</v>
      </c>
      <c r="G51">
        <f>VLOOKUP($A51,ScionOutput!$A$3:$BL$215,26,FALSE)</f>
        <v>-104</v>
      </c>
      <c r="H51">
        <f>VLOOKUP($A51,ScionOutput!$A$3:$BL$215,10,FALSE)</f>
        <v>-105</v>
      </c>
      <c r="I51" s="4" t="str">
        <f>VLOOKUP($A51,ScionOutput!$A$3:$BL$215,45,FALSE)</f>
        <v>VisFave</v>
      </c>
      <c r="J51" s="4">
        <f>VLOOKUP($A51,ScionOutput!$A$3:$BL$215,46,FALSE)</f>
        <v>0</v>
      </c>
      <c r="K51" t="str">
        <f>VLOOKUP($A51,ScionOutput!$A$3:$BL$215,58,FALSE)</f>
        <v>No Play</v>
      </c>
      <c r="L51">
        <f>VLOOKUP($A51,ScionOutput!$A$3:$BL$215,59,FALSE)</f>
        <v>0</v>
      </c>
      <c r="M51">
        <f>VLOOKUP($A51,ScionOutput!$A$3:$BL$215,62,FALSE)</f>
        <v>0</v>
      </c>
      <c r="N51">
        <f>VLOOKUP($A51,ScionOutput!$A$3:$BL$215,63,FALSE)</f>
        <v>0</v>
      </c>
      <c r="O51" t="b">
        <f t="shared" si="1"/>
        <v>0</v>
      </c>
      <c r="P51">
        <f>VLOOKUP($A51,Outcomes!$B$3:$I$209,8,FALSE)</f>
        <v>9</v>
      </c>
      <c r="Q51">
        <f t="shared" si="2"/>
        <v>-1</v>
      </c>
      <c r="R51">
        <f>VLOOKUP($A51,Outcomes!$B$3:$I$209,5,FALSE)</f>
        <v>3</v>
      </c>
      <c r="S51">
        <f>VLOOKUP($A51,Outcomes!$B$3:$I$209,6,FALSE)</f>
        <v>6</v>
      </c>
      <c r="T51">
        <f>VLOOKUP($A51,Outcomes!$B$3:$I$209,7,FALSE)</f>
        <v>3</v>
      </c>
      <c r="U51" t="str">
        <f t="shared" si="3"/>
        <v>VisFave</v>
      </c>
      <c r="V51" s="5" t="str">
        <f t="shared" si="4"/>
        <v/>
      </c>
      <c r="W51" t="str">
        <f t="shared" si="0"/>
        <v/>
      </c>
      <c r="X51" t="str">
        <f t="shared" si="5"/>
        <v/>
      </c>
      <c r="Y51" t="str">
        <f t="shared" si="6"/>
        <v/>
      </c>
      <c r="Z51" s="2" t="str">
        <f t="shared" si="7"/>
        <v/>
      </c>
      <c r="AA51" t="str">
        <f>VLOOKUP($A51,ScionOutput!$A$3:$BL$215,64,FALSE)</f>
        <v xml:space="preserve">823214. VF plays are disallowed. No play due to strategy constraints. </v>
      </c>
    </row>
    <row r="52" spans="1:27" x14ac:dyDescent="0.2">
      <c r="A52">
        <v>822969</v>
      </c>
      <c r="B52" s="3">
        <f>VLOOKUP($A52,ScionOutput!$A$3:$BL$215,3,FALSE)</f>
        <v>46182</v>
      </c>
      <c r="C52">
        <f>VLOOKUP($A52,ScionOutput!$A$3:$BL$215,22,FALSE)</f>
        <v>27</v>
      </c>
      <c r="D52" t="str">
        <f>VLOOKUP($A52,ScionOutput!$A$3:$BL$215,23,FALSE)</f>
        <v>TB</v>
      </c>
      <c r="E52">
        <f>VLOOKUP($A52,ScionOutput!$A$3:$BL$215,6,FALSE)</f>
        <v>3</v>
      </c>
      <c r="F52" t="str">
        <f>VLOOKUP($A52,ScionOutput!$A$3:$BL$215,7,FALSE)</f>
        <v>BOS</v>
      </c>
      <c r="G52">
        <f>VLOOKUP($A52,ScionOutput!$A$3:$BL$215,26,FALSE)</f>
        <v>107</v>
      </c>
      <c r="H52">
        <f>VLOOKUP($A52,ScionOutput!$A$3:$BL$215,10,FALSE)</f>
        <v>-115</v>
      </c>
      <c r="I52" s="4" t="str">
        <f>VLOOKUP($A52,ScionOutput!$A$3:$BL$215,45,FALSE)</f>
        <v>VisFave</v>
      </c>
      <c r="J52" s="4">
        <f>VLOOKUP($A52,ScionOutput!$A$3:$BL$215,46,FALSE)</f>
        <v>0</v>
      </c>
      <c r="K52" t="str">
        <f>VLOOKUP($A52,ScionOutput!$A$3:$BL$215,58,FALSE)</f>
        <v>No Play</v>
      </c>
      <c r="L52">
        <f>VLOOKUP($A52,ScionOutput!$A$3:$BL$215,59,FALSE)</f>
        <v>0</v>
      </c>
      <c r="M52">
        <f>VLOOKUP($A52,ScionOutput!$A$3:$BL$215,62,FALSE)</f>
        <v>0</v>
      </c>
      <c r="N52">
        <f>VLOOKUP($A52,ScionOutput!$A$3:$BL$215,63,FALSE)</f>
        <v>0</v>
      </c>
      <c r="O52" t="b">
        <f t="shared" si="1"/>
        <v>0</v>
      </c>
      <c r="P52">
        <f>VLOOKUP($A52,Outcomes!$B$3:$I$209,8,FALSE)</f>
        <v>7</v>
      </c>
      <c r="Q52">
        <f t="shared" si="2"/>
        <v>1</v>
      </c>
      <c r="R52">
        <f>VLOOKUP($A52,Outcomes!$B$3:$I$209,5,FALSE)</f>
        <v>4</v>
      </c>
      <c r="S52">
        <f>VLOOKUP($A52,Outcomes!$B$3:$I$209,6,FALSE)</f>
        <v>3</v>
      </c>
      <c r="T52">
        <f>VLOOKUP($A52,Outcomes!$B$3:$I$209,7,FALSE)</f>
        <v>-1</v>
      </c>
      <c r="U52" t="str">
        <f t="shared" si="3"/>
        <v>HomDog</v>
      </c>
      <c r="V52" s="5" t="str">
        <f t="shared" si="4"/>
        <v/>
      </c>
      <c r="W52" t="str">
        <f t="shared" si="0"/>
        <v/>
      </c>
      <c r="X52" t="str">
        <f t="shared" si="5"/>
        <v/>
      </c>
      <c r="Y52" t="str">
        <f t="shared" si="6"/>
        <v/>
      </c>
      <c r="Z52" s="2" t="str">
        <f t="shared" si="7"/>
        <v/>
      </c>
      <c r="AA52" t="str">
        <f>VLOOKUP($A52,ScionOutput!$A$3:$BL$215,64,FALSE)</f>
        <v xml:space="preserve">822969. VF plays are disallowed. No play due to strategy constraints. </v>
      </c>
    </row>
    <row r="53" spans="1:27" x14ac:dyDescent="0.2">
      <c r="A53">
        <v>822805</v>
      </c>
      <c r="B53" s="3">
        <f>VLOOKUP($A53,ScionOutput!$A$3:$BL$215,3,FALSE)</f>
        <v>46182</v>
      </c>
      <c r="C53">
        <f>VLOOKUP($A53,ScionOutput!$A$3:$BL$215,22,FALSE)</f>
        <v>29</v>
      </c>
      <c r="D53" t="str">
        <f>VLOOKUP($A53,ScionOutput!$A$3:$BL$215,23,FALSE)</f>
        <v>TOR</v>
      </c>
      <c r="E53">
        <f>VLOOKUP($A53,ScionOutput!$A$3:$BL$215,6,FALSE)</f>
        <v>21</v>
      </c>
      <c r="F53" t="str">
        <f>VLOOKUP($A53,ScionOutput!$A$3:$BL$215,7,FALSE)</f>
        <v>PHI</v>
      </c>
      <c r="G53">
        <f>VLOOKUP($A53,ScionOutput!$A$3:$BL$215,26,FALSE)</f>
        <v>-107</v>
      </c>
      <c r="H53">
        <f>VLOOKUP($A53,ScionOutput!$A$3:$BL$215,10,FALSE)</f>
        <v>-101</v>
      </c>
      <c r="I53" s="4" t="str">
        <f>VLOOKUP($A53,ScionOutput!$A$3:$BL$215,45,FALSE)</f>
        <v>HomFave</v>
      </c>
      <c r="J53" s="4">
        <f>VLOOKUP($A53,ScionOutput!$A$3:$BL$215,46,FALSE)</f>
        <v>1</v>
      </c>
      <c r="K53" t="str">
        <f>VLOOKUP($A53,ScionOutput!$A$3:$BL$215,58,FALSE)</f>
        <v>HomFave</v>
      </c>
      <c r="L53">
        <f>VLOOKUP($A53,ScionOutput!$A$3:$BL$215,59,FALSE)</f>
        <v>2.2929999999999999E-2</v>
      </c>
      <c r="M53">
        <f>VLOOKUP($A53,ScionOutput!$A$3:$BL$215,62,FALSE)</f>
        <v>3</v>
      </c>
      <c r="N53">
        <f>VLOOKUP($A53,ScionOutput!$A$3:$BL$215,63,FALSE)</f>
        <v>0.8</v>
      </c>
      <c r="O53" t="b">
        <f t="shared" si="1"/>
        <v>0</v>
      </c>
      <c r="P53">
        <f>VLOOKUP($A53,Outcomes!$B$3:$I$209,8,FALSE)</f>
        <v>5</v>
      </c>
      <c r="Q53">
        <f t="shared" si="2"/>
        <v>1</v>
      </c>
      <c r="R53">
        <f>VLOOKUP($A53,Outcomes!$B$3:$I$209,5,FALSE)</f>
        <v>3</v>
      </c>
      <c r="S53">
        <f>VLOOKUP($A53,Outcomes!$B$3:$I$209,6,FALSE)</f>
        <v>2</v>
      </c>
      <c r="T53">
        <f>VLOOKUP($A53,Outcomes!$B$3:$I$209,7,FALSE)</f>
        <v>-1</v>
      </c>
      <c r="U53" t="str">
        <f t="shared" si="3"/>
        <v>HomFave</v>
      </c>
      <c r="V53" s="5">
        <f t="shared" si="4"/>
        <v>1</v>
      </c>
      <c r="W53">
        <f t="shared" si="0"/>
        <v>107</v>
      </c>
      <c r="X53">
        <f t="shared" si="5"/>
        <v>207</v>
      </c>
      <c r="Y53">
        <f t="shared" si="6"/>
        <v>100</v>
      </c>
      <c r="Z53" s="2">
        <f t="shared" si="7"/>
        <v>0.93457943925233644</v>
      </c>
      <c r="AA53" t="str">
        <f>VLOOKUP($A53,ScionOutput!$A$3:$BL$215,64,FALSE)</f>
        <v xml:space="preserve">822805. StatOnlyEns probability points gap does not exceed threshold (no edge found)! Play determined by LineStatEns only. </v>
      </c>
    </row>
    <row r="54" spans="1:27" x14ac:dyDescent="0.2">
      <c r="A54">
        <v>824831</v>
      </c>
      <c r="B54" s="3">
        <f>VLOOKUP($A54,ScionOutput!$A$3:$BL$215,3,FALSE)</f>
        <v>46183</v>
      </c>
      <c r="C54">
        <f>VLOOKUP($A54,ScionOutput!$A$3:$BL$215,22,FALSE)</f>
        <v>2</v>
      </c>
      <c r="D54" t="str">
        <f>VLOOKUP($A54,ScionOutput!$A$3:$BL$215,23,FALSE)</f>
        <v>BAL</v>
      </c>
      <c r="E54">
        <f>VLOOKUP($A54,ScionOutput!$A$3:$BL$215,6,FALSE)</f>
        <v>24</v>
      </c>
      <c r="F54" t="str">
        <f>VLOOKUP($A54,ScionOutput!$A$3:$BL$215,7,FALSE)</f>
        <v>SEA</v>
      </c>
      <c r="G54">
        <f>VLOOKUP($A54,ScionOutput!$A$3:$BL$215,26,FALSE)</f>
        <v>-104</v>
      </c>
      <c r="H54">
        <f>VLOOKUP($A54,ScionOutput!$A$3:$BL$215,10,FALSE)</f>
        <v>-104</v>
      </c>
      <c r="I54" s="4" t="str">
        <f>VLOOKUP($A54,ScionOutput!$A$3:$BL$215,45,FALSE)</f>
        <v>VisFave</v>
      </c>
      <c r="J54" s="4">
        <f>VLOOKUP($A54,ScionOutput!$A$3:$BL$215,46,FALSE)</f>
        <v>0</v>
      </c>
      <c r="K54" t="str">
        <f>VLOOKUP($A54,ScionOutput!$A$3:$BL$215,58,FALSE)</f>
        <v>No Play</v>
      </c>
      <c r="L54">
        <f>VLOOKUP($A54,ScionOutput!$A$3:$BL$215,59,FALSE)</f>
        <v>0</v>
      </c>
      <c r="M54">
        <f>VLOOKUP($A54,ScionOutput!$A$3:$BL$215,62,FALSE)</f>
        <v>0</v>
      </c>
      <c r="N54">
        <f>VLOOKUP($A54,ScionOutput!$A$3:$BL$215,63,FALSE)</f>
        <v>0</v>
      </c>
      <c r="O54" t="b">
        <f t="shared" si="1"/>
        <v>0</v>
      </c>
      <c r="P54">
        <f>VLOOKUP($A54,Outcomes!$B$3:$I$209,8,FALSE)</f>
        <v>9</v>
      </c>
      <c r="Q54">
        <f t="shared" si="2"/>
        <v>1</v>
      </c>
      <c r="R54">
        <f>VLOOKUP($A54,Outcomes!$B$3:$I$209,5,FALSE)</f>
        <v>7</v>
      </c>
      <c r="S54">
        <f>VLOOKUP($A54,Outcomes!$B$3:$I$209,6,FALSE)</f>
        <v>2</v>
      </c>
      <c r="T54">
        <f>VLOOKUP($A54,Outcomes!$B$3:$I$209,7,FALSE)</f>
        <v>-5</v>
      </c>
      <c r="U54" t="str">
        <f t="shared" si="3"/>
        <v>HomDog</v>
      </c>
      <c r="V54" s="5" t="str">
        <f t="shared" si="4"/>
        <v/>
      </c>
      <c r="W54" t="str">
        <f t="shared" si="0"/>
        <v/>
      </c>
      <c r="X54" t="str">
        <f t="shared" si="5"/>
        <v/>
      </c>
      <c r="Y54" t="str">
        <f t="shared" si="6"/>
        <v/>
      </c>
      <c r="Z54" s="2" t="str">
        <f t="shared" si="7"/>
        <v/>
      </c>
      <c r="AA54" t="str">
        <f>VLOOKUP($A54,ScionOutput!$A$3:$BL$215,64,FALSE)</f>
        <v xml:space="preserve">824831. VF plays are disallowed. No play due to strategy constraints. </v>
      </c>
    </row>
    <row r="55" spans="1:27" x14ac:dyDescent="0.2">
      <c r="A55">
        <v>824022</v>
      </c>
      <c r="B55" s="3">
        <f>VLOOKUP($A55,ScionOutput!$A$3:$BL$215,3,FALSE)</f>
        <v>46183</v>
      </c>
      <c r="C55">
        <f>VLOOKUP($A55,ScionOutput!$A$3:$BL$215,22,FALSE)</f>
        <v>4</v>
      </c>
      <c r="D55" t="str">
        <f>VLOOKUP($A55,ScionOutput!$A$3:$BL$215,23,FALSE)</f>
        <v>LAA</v>
      </c>
      <c r="E55">
        <f>VLOOKUP($A55,ScionOutput!$A$3:$BL$215,6,FALSE)</f>
        <v>12</v>
      </c>
      <c r="F55" t="str">
        <f>VLOOKUP($A55,ScionOutput!$A$3:$BL$215,7,FALSE)</f>
        <v>HOU</v>
      </c>
      <c r="G55">
        <f>VLOOKUP($A55,ScionOutput!$A$3:$BL$215,26,FALSE)</f>
        <v>-111</v>
      </c>
      <c r="H55">
        <f>VLOOKUP($A55,ScionOutput!$A$3:$BL$215,10,FALSE)</f>
        <v>102</v>
      </c>
      <c r="I55" s="4" t="str">
        <f>VLOOKUP($A55,ScionOutput!$A$3:$BL$215,45,FALSE)</f>
        <v>HomFave</v>
      </c>
      <c r="J55" s="4">
        <f>VLOOKUP($A55,ScionOutput!$A$3:$BL$215,46,FALSE)</f>
        <v>0</v>
      </c>
      <c r="K55" t="str">
        <f>VLOOKUP($A55,ScionOutput!$A$3:$BL$215,58,FALSE)</f>
        <v>No Play</v>
      </c>
      <c r="L55">
        <f>VLOOKUP($A55,ScionOutput!$A$3:$BL$215,59,FALSE)</f>
        <v>0</v>
      </c>
      <c r="M55">
        <f>VLOOKUP($A55,ScionOutput!$A$3:$BL$215,62,FALSE)</f>
        <v>0</v>
      </c>
      <c r="N55">
        <f>VLOOKUP($A55,ScionOutput!$A$3:$BL$215,63,FALSE)</f>
        <v>0</v>
      </c>
      <c r="O55" t="b">
        <f t="shared" si="1"/>
        <v>0</v>
      </c>
      <c r="P55">
        <f>VLOOKUP($A55,Outcomes!$B$3:$I$209,8,FALSE)</f>
        <v>5</v>
      </c>
      <c r="Q55">
        <f t="shared" si="2"/>
        <v>1</v>
      </c>
      <c r="R55">
        <f>VLOOKUP($A55,Outcomes!$B$3:$I$209,5,FALSE)</f>
        <v>3</v>
      </c>
      <c r="S55">
        <f>VLOOKUP($A55,Outcomes!$B$3:$I$209,6,FALSE)</f>
        <v>2</v>
      </c>
      <c r="T55">
        <f>VLOOKUP($A55,Outcomes!$B$3:$I$209,7,FALSE)</f>
        <v>-1</v>
      </c>
      <c r="U55" t="str">
        <f t="shared" si="3"/>
        <v>HomFave</v>
      </c>
      <c r="V55" s="5" t="str">
        <f t="shared" si="4"/>
        <v/>
      </c>
      <c r="W55" t="str">
        <f t="shared" si="0"/>
        <v/>
      </c>
      <c r="X55" t="str">
        <f t="shared" si="5"/>
        <v/>
      </c>
      <c r="Y55" t="str">
        <f t="shared" si="6"/>
        <v/>
      </c>
      <c r="Z55" s="2" t="str">
        <f t="shared" si="7"/>
        <v/>
      </c>
      <c r="AA55" t="str">
        <f>VLOOKUP($A55,ScionOutput!$A$3:$BL$215,64,FALSE)</f>
        <v xml:space="preserve">824022. LineStatEns probability points gap does not exceed threshold (no edge found)! StatOnlyEns probability points gap does not exceed threshold (no edge found)! No play due to strategy constraints. </v>
      </c>
    </row>
    <row r="56" spans="1:27" x14ac:dyDescent="0.2">
      <c r="A56">
        <v>824428</v>
      </c>
      <c r="B56" s="3">
        <f>VLOOKUP($A56,ScionOutput!$A$3:$BL$215,3,FALSE)</f>
        <v>46183</v>
      </c>
      <c r="C56">
        <f>VLOOKUP($A56,ScionOutput!$A$3:$BL$215,22,FALSE)</f>
        <v>7</v>
      </c>
      <c r="D56" t="str">
        <f>VLOOKUP($A56,ScionOutput!$A$3:$BL$215,23,FALSE)</f>
        <v>CLE</v>
      </c>
      <c r="E56">
        <f>VLOOKUP($A56,ScionOutput!$A$3:$BL$215,6,FALSE)</f>
        <v>19</v>
      </c>
      <c r="F56" t="str">
        <f>VLOOKUP($A56,ScionOutput!$A$3:$BL$215,7,FALSE)</f>
        <v>NYY</v>
      </c>
      <c r="G56">
        <f>VLOOKUP($A56,ScionOutput!$A$3:$BL$215,26,FALSE)</f>
        <v>-115</v>
      </c>
      <c r="H56">
        <f>VLOOKUP($A56,ScionOutput!$A$3:$BL$215,10,FALSE)</f>
        <v>106</v>
      </c>
      <c r="I56" s="4" t="str">
        <f>VLOOKUP($A56,ScionOutput!$A$3:$BL$215,45,FALSE)</f>
        <v>HomFave</v>
      </c>
      <c r="J56" s="4">
        <f>VLOOKUP($A56,ScionOutput!$A$3:$BL$215,46,FALSE)</f>
        <v>0</v>
      </c>
      <c r="K56" t="str">
        <f>VLOOKUP($A56,ScionOutput!$A$3:$BL$215,58,FALSE)</f>
        <v>No Play</v>
      </c>
      <c r="L56">
        <f>VLOOKUP($A56,ScionOutput!$A$3:$BL$215,59,FALSE)</f>
        <v>0</v>
      </c>
      <c r="M56">
        <f>VLOOKUP($A56,ScionOutput!$A$3:$BL$215,62,FALSE)</f>
        <v>0</v>
      </c>
      <c r="N56">
        <f>VLOOKUP($A56,ScionOutput!$A$3:$BL$215,63,FALSE)</f>
        <v>0</v>
      </c>
      <c r="O56" t="b">
        <f t="shared" si="1"/>
        <v>0</v>
      </c>
      <c r="P56">
        <f>VLOOKUP($A56,Outcomes!$B$3:$I$209,8,FALSE)</f>
        <v>12</v>
      </c>
      <c r="Q56">
        <f t="shared" si="2"/>
        <v>-1</v>
      </c>
      <c r="R56">
        <f>VLOOKUP($A56,Outcomes!$B$3:$I$209,5,FALSE)</f>
        <v>4</v>
      </c>
      <c r="S56">
        <f>VLOOKUP($A56,Outcomes!$B$3:$I$209,6,FALSE)</f>
        <v>8</v>
      </c>
      <c r="T56">
        <f>VLOOKUP($A56,Outcomes!$B$3:$I$209,7,FALSE)</f>
        <v>4</v>
      </c>
      <c r="U56" t="str">
        <f t="shared" si="3"/>
        <v>VisDog</v>
      </c>
      <c r="V56" s="5" t="str">
        <f t="shared" si="4"/>
        <v/>
      </c>
      <c r="W56" t="str">
        <f t="shared" si="0"/>
        <v/>
      </c>
      <c r="X56" t="str">
        <f t="shared" si="5"/>
        <v/>
      </c>
      <c r="Y56" t="str">
        <f t="shared" si="6"/>
        <v/>
      </c>
      <c r="Z56" s="2" t="str">
        <f t="shared" si="7"/>
        <v/>
      </c>
      <c r="AA56" t="str">
        <f>VLOOKUP($A56,ScionOutput!$A$3:$BL$215,64,FALSE)</f>
        <v xml:space="preserve">824428. LineStatEns probability points gap does not exceed threshold (no edge found)! StatOnlyEns probability points gap does not exceed threshold (no edge found)! No play due to strategy constraints. </v>
      </c>
    </row>
    <row r="57" spans="1:27" x14ac:dyDescent="0.2">
      <c r="A57">
        <v>824348</v>
      </c>
      <c r="B57" s="3">
        <f>VLOOKUP($A57,ScionOutput!$A$3:$BL$215,3,FALSE)</f>
        <v>46183</v>
      </c>
      <c r="C57">
        <f>VLOOKUP($A57,ScionOutput!$A$3:$BL$215,22,FALSE)</f>
        <v>8</v>
      </c>
      <c r="D57" t="str">
        <f>VLOOKUP($A57,ScionOutput!$A$3:$BL$215,23,FALSE)</f>
        <v>COL</v>
      </c>
      <c r="E57">
        <f>VLOOKUP($A57,ScionOutput!$A$3:$BL$215,6,FALSE)</f>
        <v>5</v>
      </c>
      <c r="F57" t="str">
        <f>VLOOKUP($A57,ScionOutput!$A$3:$BL$215,7,FALSE)</f>
        <v>CHC</v>
      </c>
      <c r="G57">
        <f>VLOOKUP($A57,ScionOutput!$A$3:$BL$215,26,FALSE)</f>
        <v>149</v>
      </c>
      <c r="H57">
        <f>VLOOKUP($A57,ScionOutput!$A$3:$BL$215,10,FALSE)</f>
        <v>-162</v>
      </c>
      <c r="I57" s="4" t="str">
        <f>VLOOKUP($A57,ScionOutput!$A$3:$BL$215,45,FALSE)</f>
        <v>VisFave</v>
      </c>
      <c r="J57" s="4">
        <f>VLOOKUP($A57,ScionOutput!$A$3:$BL$215,46,FALSE)</f>
        <v>0</v>
      </c>
      <c r="K57" t="str">
        <f>VLOOKUP($A57,ScionOutput!$A$3:$BL$215,58,FALSE)</f>
        <v>No Play</v>
      </c>
      <c r="L57">
        <f>VLOOKUP($A57,ScionOutput!$A$3:$BL$215,59,FALSE)</f>
        <v>0</v>
      </c>
      <c r="M57">
        <f>VLOOKUP($A57,ScionOutput!$A$3:$BL$215,62,FALSE)</f>
        <v>0</v>
      </c>
      <c r="N57">
        <f>VLOOKUP($A57,ScionOutput!$A$3:$BL$215,63,FALSE)</f>
        <v>0</v>
      </c>
      <c r="O57" t="b">
        <f t="shared" si="1"/>
        <v>0</v>
      </c>
      <c r="P57">
        <f>VLOOKUP($A57,Outcomes!$B$3:$I$209,8,FALSE)</f>
        <v>5</v>
      </c>
      <c r="Q57">
        <f t="shared" si="2"/>
        <v>1</v>
      </c>
      <c r="R57">
        <f>VLOOKUP($A57,Outcomes!$B$3:$I$209,5,FALSE)</f>
        <v>3</v>
      </c>
      <c r="S57">
        <f>VLOOKUP($A57,Outcomes!$B$3:$I$209,6,FALSE)</f>
        <v>2</v>
      </c>
      <c r="T57">
        <f>VLOOKUP($A57,Outcomes!$B$3:$I$209,7,FALSE)</f>
        <v>-1</v>
      </c>
      <c r="U57" t="str">
        <f t="shared" si="3"/>
        <v>HomDog</v>
      </c>
      <c r="V57" s="5" t="str">
        <f t="shared" si="4"/>
        <v/>
      </c>
      <c r="W57" t="str">
        <f t="shared" si="0"/>
        <v/>
      </c>
      <c r="X57" t="str">
        <f t="shared" si="5"/>
        <v/>
      </c>
      <c r="Y57" t="str">
        <f t="shared" si="6"/>
        <v/>
      </c>
      <c r="Z57" s="2" t="str">
        <f t="shared" si="7"/>
        <v/>
      </c>
      <c r="AA57" t="str">
        <f>VLOOKUP($A57,ScionOutput!$A$3:$BL$215,64,FALSE)</f>
        <v xml:space="preserve">824348. VF plays are disallowed. No play due to strategy constraints. </v>
      </c>
    </row>
    <row r="58" spans="1:27" x14ac:dyDescent="0.2">
      <c r="A58">
        <v>824590</v>
      </c>
      <c r="B58" s="3">
        <f>VLOOKUP($A58,ScionOutput!$A$3:$BL$215,3,FALSE)</f>
        <v>46183</v>
      </c>
      <c r="C58">
        <f>VLOOKUP($A58,ScionOutput!$A$3:$BL$215,22,FALSE)</f>
        <v>9</v>
      </c>
      <c r="D58" t="str">
        <f>VLOOKUP($A58,ScionOutput!$A$3:$BL$215,23,FALSE)</f>
        <v>CWS</v>
      </c>
      <c r="E58">
        <f>VLOOKUP($A58,ScionOutput!$A$3:$BL$215,6,FALSE)</f>
        <v>0</v>
      </c>
      <c r="F58" t="str">
        <f>VLOOKUP($A58,ScionOutput!$A$3:$BL$215,7,FALSE)</f>
        <v>ATL</v>
      </c>
      <c r="G58">
        <f>VLOOKUP($A58,ScionOutput!$A$3:$BL$215,26,FALSE)</f>
        <v>132</v>
      </c>
      <c r="H58">
        <f>VLOOKUP($A58,ScionOutput!$A$3:$BL$215,10,FALSE)</f>
        <v>-143</v>
      </c>
      <c r="I58" s="4" t="str">
        <f>VLOOKUP($A58,ScionOutput!$A$3:$BL$215,45,FALSE)</f>
        <v>VisFave</v>
      </c>
      <c r="J58" s="4">
        <f>VLOOKUP($A58,ScionOutput!$A$3:$BL$215,46,FALSE)</f>
        <v>0</v>
      </c>
      <c r="K58" t="str">
        <f>VLOOKUP($A58,ScionOutput!$A$3:$BL$215,58,FALSE)</f>
        <v>No Play</v>
      </c>
      <c r="L58">
        <f>VLOOKUP($A58,ScionOutput!$A$3:$BL$215,59,FALSE)</f>
        <v>0</v>
      </c>
      <c r="M58">
        <f>VLOOKUP($A58,ScionOutput!$A$3:$BL$215,62,FALSE)</f>
        <v>0</v>
      </c>
      <c r="N58">
        <f>VLOOKUP($A58,ScionOutput!$A$3:$BL$215,63,FALSE)</f>
        <v>0</v>
      </c>
      <c r="O58" t="b">
        <f t="shared" si="1"/>
        <v>0</v>
      </c>
      <c r="P58">
        <f>VLOOKUP($A58,Outcomes!$B$3:$I$209,8,FALSE)</f>
        <v>3</v>
      </c>
      <c r="Q58">
        <f t="shared" si="2"/>
        <v>1</v>
      </c>
      <c r="R58">
        <f>VLOOKUP($A58,Outcomes!$B$3:$I$209,5,FALSE)</f>
        <v>2</v>
      </c>
      <c r="S58">
        <f>VLOOKUP($A58,Outcomes!$B$3:$I$209,6,FALSE)</f>
        <v>1</v>
      </c>
      <c r="T58">
        <f>VLOOKUP($A58,Outcomes!$B$3:$I$209,7,FALSE)</f>
        <v>-1</v>
      </c>
      <c r="U58" t="str">
        <f t="shared" si="3"/>
        <v>HomDog</v>
      </c>
      <c r="V58" s="5" t="str">
        <f t="shared" si="4"/>
        <v/>
      </c>
      <c r="W58" t="str">
        <f t="shared" si="0"/>
        <v/>
      </c>
      <c r="X58" t="str">
        <f t="shared" si="5"/>
        <v/>
      </c>
      <c r="Y58" t="str">
        <f t="shared" si="6"/>
        <v/>
      </c>
      <c r="Z58" s="2" t="str">
        <f t="shared" si="7"/>
        <v/>
      </c>
      <c r="AA58" t="str">
        <f>VLOOKUP($A58,ScionOutput!$A$3:$BL$215,64,FALSE)</f>
        <v xml:space="preserve">824590. LineStatEns price is outside allowable range! StatOnlyEns price is outside allowable range! No play due to strategy constraints. </v>
      </c>
    </row>
    <row r="59" spans="1:27" x14ac:dyDescent="0.2">
      <c r="A59">
        <v>824266</v>
      </c>
      <c r="B59" s="3">
        <f>VLOOKUP($A59,ScionOutput!$A$3:$BL$215,3,FALSE)</f>
        <v>46183</v>
      </c>
      <c r="C59">
        <f>VLOOKUP($A59,ScionOutput!$A$3:$BL$215,22,FALSE)</f>
        <v>10</v>
      </c>
      <c r="D59" t="str">
        <f>VLOOKUP($A59,ScionOutput!$A$3:$BL$215,23,FALSE)</f>
        <v>DET</v>
      </c>
      <c r="E59">
        <f>VLOOKUP($A59,ScionOutput!$A$3:$BL$215,6,FALSE)</f>
        <v>15</v>
      </c>
      <c r="F59" t="str">
        <f>VLOOKUP($A59,ScionOutput!$A$3:$BL$215,7,FALSE)</f>
        <v>MIN</v>
      </c>
      <c r="G59">
        <f>VLOOKUP($A59,ScionOutput!$A$3:$BL$215,26,FALSE)</f>
        <v>-164</v>
      </c>
      <c r="H59">
        <f>VLOOKUP($A59,ScionOutput!$A$3:$BL$215,10,FALSE)</f>
        <v>150</v>
      </c>
      <c r="I59" s="4" t="str">
        <f>VLOOKUP($A59,ScionOutput!$A$3:$BL$215,45,FALSE)</f>
        <v>HomFave</v>
      </c>
      <c r="J59" s="4">
        <f>VLOOKUP($A59,ScionOutput!$A$3:$BL$215,46,FALSE)</f>
        <v>0</v>
      </c>
      <c r="K59" t="str">
        <f>VLOOKUP($A59,ScionOutput!$A$3:$BL$215,58,FALSE)</f>
        <v>No Play</v>
      </c>
      <c r="L59">
        <f>VLOOKUP($A59,ScionOutput!$A$3:$BL$215,59,FALSE)</f>
        <v>0</v>
      </c>
      <c r="M59">
        <f>VLOOKUP($A59,ScionOutput!$A$3:$BL$215,62,FALSE)</f>
        <v>0</v>
      </c>
      <c r="N59">
        <f>VLOOKUP($A59,ScionOutput!$A$3:$BL$215,63,FALSE)</f>
        <v>0</v>
      </c>
      <c r="O59" t="b">
        <f t="shared" si="1"/>
        <v>0</v>
      </c>
      <c r="P59">
        <f>VLOOKUP($A59,Outcomes!$B$3:$I$209,8,FALSE)</f>
        <v>10</v>
      </c>
      <c r="Q59">
        <f t="shared" si="2"/>
        <v>-1</v>
      </c>
      <c r="R59">
        <f>VLOOKUP($A59,Outcomes!$B$3:$I$209,5,FALSE)</f>
        <v>4</v>
      </c>
      <c r="S59">
        <f>VLOOKUP($A59,Outcomes!$B$3:$I$209,6,FALSE)</f>
        <v>6</v>
      </c>
      <c r="T59">
        <f>VLOOKUP($A59,Outcomes!$B$3:$I$209,7,FALSE)</f>
        <v>2</v>
      </c>
      <c r="U59" t="str">
        <f t="shared" si="3"/>
        <v>VisDog</v>
      </c>
      <c r="V59" s="5" t="str">
        <f t="shared" si="4"/>
        <v/>
      </c>
      <c r="W59" t="str">
        <f t="shared" si="0"/>
        <v/>
      </c>
      <c r="X59" t="str">
        <f t="shared" si="5"/>
        <v/>
      </c>
      <c r="Y59" t="str">
        <f t="shared" si="6"/>
        <v/>
      </c>
      <c r="Z59" s="2" t="str">
        <f t="shared" si="7"/>
        <v/>
      </c>
      <c r="AA59" t="str">
        <f>VLOOKUP($A59,ScionOutput!$A$3:$BL$215,64,FALSE)</f>
        <v xml:space="preserve">824266. V_SP is Null, team-based avg used. NoPlay as V_SP is Null. </v>
      </c>
    </row>
    <row r="60" spans="1:27" x14ac:dyDescent="0.2">
      <c r="A60">
        <v>823856</v>
      </c>
      <c r="B60" s="3">
        <f>VLOOKUP($A60,ScionOutput!$A$3:$BL$215,3,FALSE)</f>
        <v>46183</v>
      </c>
      <c r="C60">
        <f>VLOOKUP($A60,ScionOutput!$A$3:$BL$215,22,FALSE)</f>
        <v>11</v>
      </c>
      <c r="D60" t="str">
        <f>VLOOKUP($A60,ScionOutput!$A$3:$BL$215,23,FALSE)</f>
        <v>FLO</v>
      </c>
      <c r="E60">
        <f>VLOOKUP($A60,ScionOutput!$A$3:$BL$215,6,FALSE)</f>
        <v>1</v>
      </c>
      <c r="F60" t="str">
        <f>VLOOKUP($A60,ScionOutput!$A$3:$BL$215,7,FALSE)</f>
        <v>ARZ</v>
      </c>
      <c r="G60">
        <f>VLOOKUP($A60,ScionOutput!$A$3:$BL$215,26,FALSE)</f>
        <v>102</v>
      </c>
      <c r="H60">
        <f>VLOOKUP($A60,ScionOutput!$A$3:$BL$215,10,FALSE)</f>
        <v>-111</v>
      </c>
      <c r="I60" s="4" t="str">
        <f>VLOOKUP($A60,ScionOutput!$A$3:$BL$215,45,FALSE)</f>
        <v>HomDog</v>
      </c>
      <c r="J60" s="4">
        <f>VLOOKUP($A60,ScionOutput!$A$3:$BL$215,46,FALSE)</f>
        <v>1</v>
      </c>
      <c r="K60" t="str">
        <f>VLOOKUP($A60,ScionOutput!$A$3:$BL$215,58,FALSE)</f>
        <v>HomDog</v>
      </c>
      <c r="L60">
        <f>VLOOKUP($A60,ScionOutput!$A$3:$BL$215,59,FALSE)</f>
        <v>1.519E-2</v>
      </c>
      <c r="M60">
        <f>VLOOKUP($A60,ScionOutput!$A$3:$BL$215,62,FALSE)</f>
        <v>5</v>
      </c>
      <c r="N60">
        <f>VLOOKUP($A60,ScionOutput!$A$3:$BL$215,63,FALSE)</f>
        <v>0.6</v>
      </c>
      <c r="O60" t="b">
        <f t="shared" si="1"/>
        <v>1</v>
      </c>
      <c r="P60">
        <f>VLOOKUP($A60,Outcomes!$B$3:$I$209,8,FALSE)</f>
        <v>8</v>
      </c>
      <c r="Q60">
        <f t="shared" si="2"/>
        <v>1</v>
      </c>
      <c r="R60">
        <f>VLOOKUP($A60,Outcomes!$B$3:$I$209,5,FALSE)</f>
        <v>8</v>
      </c>
      <c r="S60">
        <f>VLOOKUP($A60,Outcomes!$B$3:$I$209,6,FALSE)</f>
        <v>0</v>
      </c>
      <c r="T60">
        <f>VLOOKUP($A60,Outcomes!$B$3:$I$209,7,FALSE)</f>
        <v>-8</v>
      </c>
      <c r="U60" t="str">
        <f t="shared" si="3"/>
        <v>HomDog</v>
      </c>
      <c r="V60" s="5">
        <f t="shared" si="4"/>
        <v>1</v>
      </c>
      <c r="W60">
        <f t="shared" si="0"/>
        <v>100</v>
      </c>
      <c r="X60">
        <f t="shared" si="5"/>
        <v>202</v>
      </c>
      <c r="Y60">
        <f t="shared" si="6"/>
        <v>102</v>
      </c>
      <c r="Z60" s="2">
        <f t="shared" si="7"/>
        <v>1.02</v>
      </c>
      <c r="AA60" t="str">
        <f>VLOOKUP($A60,ScionOutput!$A$3:$BL$215,64,FALSE)</f>
        <v xml:space="preserve">823856. Play determined by LineStatEns and StatOnlyEns agreement. </v>
      </c>
    </row>
    <row r="61" spans="1:27" x14ac:dyDescent="0.2">
      <c r="A61">
        <v>824103</v>
      </c>
      <c r="B61" s="3">
        <f>VLOOKUP($A61,ScionOutput!$A$3:$BL$215,3,FALSE)</f>
        <v>46183</v>
      </c>
      <c r="C61">
        <f>VLOOKUP($A61,ScionOutput!$A$3:$BL$215,22,FALSE)</f>
        <v>13</v>
      </c>
      <c r="D61" t="str">
        <f>VLOOKUP($A61,ScionOutput!$A$3:$BL$215,23,FALSE)</f>
        <v>KC</v>
      </c>
      <c r="E61">
        <f>VLOOKUP($A61,ScionOutput!$A$3:$BL$215,6,FALSE)</f>
        <v>28</v>
      </c>
      <c r="F61" t="str">
        <f>VLOOKUP($A61,ScionOutput!$A$3:$BL$215,7,FALSE)</f>
        <v>TEX</v>
      </c>
      <c r="G61">
        <f>VLOOKUP($A61,ScionOutput!$A$3:$BL$215,26,FALSE)</f>
        <v>108</v>
      </c>
      <c r="H61">
        <f>VLOOKUP($A61,ScionOutput!$A$3:$BL$215,10,FALSE)</f>
        <v>-117</v>
      </c>
      <c r="I61" s="4" t="str">
        <f>VLOOKUP($A61,ScionOutput!$A$3:$BL$215,45,FALSE)</f>
        <v>VisFave</v>
      </c>
      <c r="J61" s="4">
        <f>VLOOKUP($A61,ScionOutput!$A$3:$BL$215,46,FALSE)</f>
        <v>0</v>
      </c>
      <c r="K61" t="str">
        <f>VLOOKUP($A61,ScionOutput!$A$3:$BL$215,58,FALSE)</f>
        <v>No Play</v>
      </c>
      <c r="L61">
        <f>VLOOKUP($A61,ScionOutput!$A$3:$BL$215,59,FALSE)</f>
        <v>0</v>
      </c>
      <c r="M61">
        <f>VLOOKUP($A61,ScionOutput!$A$3:$BL$215,62,FALSE)</f>
        <v>0</v>
      </c>
      <c r="N61">
        <f>VLOOKUP($A61,ScionOutput!$A$3:$BL$215,63,FALSE)</f>
        <v>0</v>
      </c>
      <c r="O61" t="b">
        <f t="shared" si="1"/>
        <v>0</v>
      </c>
      <c r="P61">
        <f>VLOOKUP($A61,Outcomes!$B$3:$I$209,8,FALSE)</f>
        <v>10</v>
      </c>
      <c r="Q61">
        <f t="shared" si="2"/>
        <v>-1</v>
      </c>
      <c r="R61">
        <f>VLOOKUP($A61,Outcomes!$B$3:$I$209,5,FALSE)</f>
        <v>4</v>
      </c>
      <c r="S61">
        <f>VLOOKUP($A61,Outcomes!$B$3:$I$209,6,FALSE)</f>
        <v>6</v>
      </c>
      <c r="T61">
        <f>VLOOKUP($A61,Outcomes!$B$3:$I$209,7,FALSE)</f>
        <v>2</v>
      </c>
      <c r="U61" t="str">
        <f t="shared" si="3"/>
        <v>VisFave</v>
      </c>
      <c r="V61" s="5" t="str">
        <f t="shared" si="4"/>
        <v/>
      </c>
      <c r="W61" t="str">
        <f t="shared" si="0"/>
        <v/>
      </c>
      <c r="X61" t="str">
        <f t="shared" si="5"/>
        <v/>
      </c>
      <c r="Y61" t="str">
        <f t="shared" si="6"/>
        <v/>
      </c>
      <c r="Z61" s="2" t="str">
        <f t="shared" si="7"/>
        <v/>
      </c>
      <c r="AA61" t="str">
        <f>VLOOKUP($A61,ScionOutput!$A$3:$BL$215,64,FALSE)</f>
        <v xml:space="preserve">824103. VF plays are disallowed. No play due to strategy constraints. </v>
      </c>
    </row>
    <row r="62" spans="1:27" x14ac:dyDescent="0.2">
      <c r="A62">
        <v>823618</v>
      </c>
      <c r="B62" s="3">
        <f>VLOOKUP($A62,ScionOutput!$A$3:$BL$215,3,FALSE)</f>
        <v>46183</v>
      </c>
      <c r="C62">
        <f>VLOOKUP($A62,ScionOutput!$A$3:$BL$215,22,FALSE)</f>
        <v>18</v>
      </c>
      <c r="D62" t="str">
        <f>VLOOKUP($A62,ScionOutput!$A$3:$BL$215,23,FALSE)</f>
        <v>NYM</v>
      </c>
      <c r="E62">
        <f>VLOOKUP($A62,ScionOutput!$A$3:$BL$215,6,FALSE)</f>
        <v>26</v>
      </c>
      <c r="F62" t="str">
        <f>VLOOKUP($A62,ScionOutput!$A$3:$BL$215,7,FALSE)</f>
        <v>STL</v>
      </c>
      <c r="G62">
        <f>VLOOKUP($A62,ScionOutput!$A$3:$BL$215,26,FALSE)</f>
        <v>-128</v>
      </c>
      <c r="H62">
        <f>VLOOKUP($A62,ScionOutput!$A$3:$BL$215,10,FALSE)</f>
        <v>118</v>
      </c>
      <c r="I62" s="4" t="str">
        <f>VLOOKUP($A62,ScionOutput!$A$3:$BL$215,45,FALSE)</f>
        <v>HomFave</v>
      </c>
      <c r="J62" s="4">
        <f>VLOOKUP($A62,ScionOutput!$A$3:$BL$215,46,FALSE)</f>
        <v>0</v>
      </c>
      <c r="K62" t="str">
        <f>VLOOKUP($A62,ScionOutput!$A$3:$BL$215,58,FALSE)</f>
        <v>No Play</v>
      </c>
      <c r="L62">
        <f>VLOOKUP($A62,ScionOutput!$A$3:$BL$215,59,FALSE)</f>
        <v>0</v>
      </c>
      <c r="M62">
        <f>VLOOKUP($A62,ScionOutput!$A$3:$BL$215,62,FALSE)</f>
        <v>0</v>
      </c>
      <c r="N62">
        <f>VLOOKUP($A62,ScionOutput!$A$3:$BL$215,63,FALSE)</f>
        <v>0</v>
      </c>
      <c r="O62" t="b">
        <f t="shared" si="1"/>
        <v>0</v>
      </c>
      <c r="P62">
        <f>VLOOKUP($A62,Outcomes!$B$3:$I$209,8,FALSE)</f>
        <v>11</v>
      </c>
      <c r="Q62">
        <f t="shared" si="2"/>
        <v>-1</v>
      </c>
      <c r="R62">
        <f>VLOOKUP($A62,Outcomes!$B$3:$I$209,5,FALSE)</f>
        <v>2</v>
      </c>
      <c r="S62">
        <f>VLOOKUP($A62,Outcomes!$B$3:$I$209,6,FALSE)</f>
        <v>9</v>
      </c>
      <c r="T62">
        <f>VLOOKUP($A62,Outcomes!$B$3:$I$209,7,FALSE)</f>
        <v>7</v>
      </c>
      <c r="U62" t="str">
        <f t="shared" si="3"/>
        <v>VisDog</v>
      </c>
      <c r="V62" s="5" t="str">
        <f t="shared" si="4"/>
        <v/>
      </c>
      <c r="W62" t="str">
        <f t="shared" si="0"/>
        <v/>
      </c>
      <c r="X62" t="str">
        <f t="shared" si="5"/>
        <v/>
      </c>
      <c r="Y62" t="str">
        <f t="shared" si="6"/>
        <v/>
      </c>
      <c r="Z62" s="2" t="str">
        <f t="shared" si="7"/>
        <v/>
      </c>
      <c r="AA62" t="str">
        <f>VLOOKUP($A62,ScionOutput!$A$3:$BL$215,64,FALSE)</f>
        <v xml:space="preserve">823618. LineStatEns probability points gap does not exceed threshold (no edge found)! StatOnlyEns probability points gap does not exceed threshold (no edge found)! No play due to strategy constraints. </v>
      </c>
    </row>
    <row r="63" spans="1:27" x14ac:dyDescent="0.2">
      <c r="A63">
        <v>824996</v>
      </c>
      <c r="B63" s="3">
        <f>VLOOKUP($A63,ScionOutput!$A$3:$BL$215,3,FALSE)</f>
        <v>46183</v>
      </c>
      <c r="C63">
        <f>VLOOKUP($A63,ScionOutput!$A$3:$BL$215,22,FALSE)</f>
        <v>20</v>
      </c>
      <c r="D63" t="str">
        <f>VLOOKUP($A63,ScionOutput!$A$3:$BL$215,23,FALSE)</f>
        <v>OAK</v>
      </c>
      <c r="E63">
        <f>VLOOKUP($A63,ScionOutput!$A$3:$BL$215,6,FALSE)</f>
        <v>17</v>
      </c>
      <c r="F63" t="str">
        <f>VLOOKUP($A63,ScionOutput!$A$3:$BL$215,7,FALSE)</f>
        <v>MLW</v>
      </c>
      <c r="G63">
        <f>VLOOKUP($A63,ScionOutput!$A$3:$BL$215,26,FALSE)</f>
        <v>-105</v>
      </c>
      <c r="H63">
        <f>VLOOKUP($A63,ScionOutput!$A$3:$BL$215,10,FALSE)</f>
        <v>-103</v>
      </c>
      <c r="I63" s="4" t="str">
        <f>VLOOKUP($A63,ScionOutput!$A$3:$BL$215,45,FALSE)</f>
        <v>HomFave</v>
      </c>
      <c r="J63" s="4">
        <f>VLOOKUP($A63,ScionOutput!$A$3:$BL$215,46,FALSE)</f>
        <v>1</v>
      </c>
      <c r="K63" t="str">
        <f>VLOOKUP($A63,ScionOutput!$A$3:$BL$215,58,FALSE)</f>
        <v>VisDog</v>
      </c>
      <c r="L63">
        <f>VLOOKUP($A63,ScionOutput!$A$3:$BL$215,59,FALSE)</f>
        <v>-6.2359999999999999E-2</v>
      </c>
      <c r="M63">
        <f>VLOOKUP($A63,ScionOutput!$A$3:$BL$215,62,FALSE)</f>
        <v>5</v>
      </c>
      <c r="N63">
        <f>VLOOKUP($A63,ScionOutput!$A$3:$BL$215,63,FALSE)</f>
        <v>0.98</v>
      </c>
      <c r="O63" t="b">
        <f t="shared" si="1"/>
        <v>0</v>
      </c>
      <c r="P63">
        <f>VLOOKUP($A63,Outcomes!$B$3:$I$209,8,FALSE)</f>
        <v>7</v>
      </c>
      <c r="Q63">
        <f t="shared" si="2"/>
        <v>1</v>
      </c>
      <c r="R63">
        <f>VLOOKUP($A63,Outcomes!$B$3:$I$209,5,FALSE)</f>
        <v>4</v>
      </c>
      <c r="S63">
        <f>VLOOKUP($A63,Outcomes!$B$3:$I$209,6,FALSE)</f>
        <v>3</v>
      </c>
      <c r="T63">
        <f>VLOOKUP($A63,Outcomes!$B$3:$I$209,7,FALSE)</f>
        <v>-1</v>
      </c>
      <c r="U63" t="str">
        <f t="shared" si="3"/>
        <v>HomFave</v>
      </c>
      <c r="V63" s="5">
        <f t="shared" si="4"/>
        <v>1</v>
      </c>
      <c r="W63">
        <f t="shared" si="0"/>
        <v>103</v>
      </c>
      <c r="X63">
        <f t="shared" si="5"/>
        <v>203</v>
      </c>
      <c r="Y63">
        <f t="shared" si="6"/>
        <v>100</v>
      </c>
      <c r="Z63" s="2">
        <f t="shared" si="7"/>
        <v>0.970873786407767</v>
      </c>
      <c r="AA63" t="str">
        <f>VLOOKUP($A63,ScionOutput!$A$3:$BL$215,64,FALSE)</f>
        <v xml:space="preserve">824996. Play determined by StatOnlyEns when it disagrees with LineStatEns. </v>
      </c>
    </row>
    <row r="64" spans="1:27" x14ac:dyDescent="0.2">
      <c r="A64">
        <v>823372</v>
      </c>
      <c r="B64" s="3">
        <f>VLOOKUP($A64,ScionOutput!$A$3:$BL$215,3,FALSE)</f>
        <v>46183</v>
      </c>
      <c r="C64">
        <f>VLOOKUP($A64,ScionOutput!$A$3:$BL$215,22,FALSE)</f>
        <v>22</v>
      </c>
      <c r="D64" t="str">
        <f>VLOOKUP($A64,ScionOutput!$A$3:$BL$215,23,FALSE)</f>
        <v>PIT</v>
      </c>
      <c r="E64">
        <f>VLOOKUP($A64,ScionOutput!$A$3:$BL$215,6,FALSE)</f>
        <v>14</v>
      </c>
      <c r="F64" t="str">
        <f>VLOOKUP($A64,ScionOutput!$A$3:$BL$215,7,FALSE)</f>
        <v>LA</v>
      </c>
      <c r="G64">
        <f>VLOOKUP($A64,ScionOutput!$A$3:$BL$215,26,FALSE)</f>
        <v>175</v>
      </c>
      <c r="H64">
        <f>VLOOKUP($A64,ScionOutput!$A$3:$BL$215,10,FALSE)</f>
        <v>-193</v>
      </c>
      <c r="I64" s="4" t="str">
        <f>VLOOKUP($A64,ScionOutput!$A$3:$BL$215,45,FALSE)</f>
        <v>VisFave</v>
      </c>
      <c r="J64" s="4">
        <f>VLOOKUP($A64,ScionOutput!$A$3:$BL$215,46,FALSE)</f>
        <v>0</v>
      </c>
      <c r="K64" t="str">
        <f>VLOOKUP($A64,ScionOutput!$A$3:$BL$215,58,FALSE)</f>
        <v>No Play</v>
      </c>
      <c r="L64">
        <f>VLOOKUP($A64,ScionOutput!$A$3:$BL$215,59,FALSE)</f>
        <v>0</v>
      </c>
      <c r="M64">
        <f>VLOOKUP($A64,ScionOutput!$A$3:$BL$215,62,FALSE)</f>
        <v>0</v>
      </c>
      <c r="N64">
        <f>VLOOKUP($A64,ScionOutput!$A$3:$BL$215,63,FALSE)</f>
        <v>0</v>
      </c>
      <c r="O64" t="b">
        <f t="shared" si="1"/>
        <v>0</v>
      </c>
      <c r="P64">
        <f>VLOOKUP($A64,Outcomes!$B$3:$I$209,8,FALSE)</f>
        <v>17</v>
      </c>
      <c r="Q64">
        <f t="shared" si="2"/>
        <v>1</v>
      </c>
      <c r="R64">
        <f>VLOOKUP($A64,Outcomes!$B$3:$I$209,5,FALSE)</f>
        <v>9</v>
      </c>
      <c r="S64">
        <f>VLOOKUP($A64,Outcomes!$B$3:$I$209,6,FALSE)</f>
        <v>8</v>
      </c>
      <c r="T64">
        <f>VLOOKUP($A64,Outcomes!$B$3:$I$209,7,FALSE)</f>
        <v>-1</v>
      </c>
      <c r="U64" t="str">
        <f t="shared" si="3"/>
        <v>HomDog</v>
      </c>
      <c r="V64" s="5" t="str">
        <f t="shared" si="4"/>
        <v/>
      </c>
      <c r="W64" t="str">
        <f t="shared" si="0"/>
        <v/>
      </c>
      <c r="X64" t="str">
        <f t="shared" si="5"/>
        <v/>
      </c>
      <c r="Y64" t="str">
        <f t="shared" si="6"/>
        <v/>
      </c>
      <c r="Z64" s="2" t="str">
        <f t="shared" si="7"/>
        <v/>
      </c>
      <c r="AA64" t="str">
        <f>VLOOKUP($A64,ScionOutput!$A$3:$BL$215,64,FALSE)</f>
        <v xml:space="preserve">823372. LineStatEns is NoPlay as bookie-line outside range. StatOnlyEns is NoPlay as bookie-line outside range. No play due to strategy constraints. </v>
      </c>
    </row>
    <row r="65" spans="1:27" x14ac:dyDescent="0.2">
      <c r="A65">
        <v>823287</v>
      </c>
      <c r="B65" s="3">
        <f>VLOOKUP($A65,ScionOutput!$A$3:$BL$215,3,FALSE)</f>
        <v>46183</v>
      </c>
      <c r="C65">
        <f>VLOOKUP($A65,ScionOutput!$A$3:$BL$215,22,FALSE)</f>
        <v>23</v>
      </c>
      <c r="D65" t="str">
        <f>VLOOKUP($A65,ScionOutput!$A$3:$BL$215,23,FALSE)</f>
        <v>SD</v>
      </c>
      <c r="E65">
        <f>VLOOKUP($A65,ScionOutput!$A$3:$BL$215,6,FALSE)</f>
        <v>6</v>
      </c>
      <c r="F65" t="str">
        <f>VLOOKUP($A65,ScionOutput!$A$3:$BL$215,7,FALSE)</f>
        <v>CIN</v>
      </c>
      <c r="G65">
        <f>VLOOKUP($A65,ScionOutput!$A$3:$BL$215,26,FALSE)</f>
        <v>-158</v>
      </c>
      <c r="H65">
        <f>VLOOKUP($A65,ScionOutput!$A$3:$BL$215,10,FALSE)</f>
        <v>145</v>
      </c>
      <c r="I65" s="4" t="str">
        <f>VLOOKUP($A65,ScionOutput!$A$3:$BL$215,45,FALSE)</f>
        <v>HomFave</v>
      </c>
      <c r="J65" s="4">
        <f>VLOOKUP($A65,ScionOutput!$A$3:$BL$215,46,FALSE)</f>
        <v>0</v>
      </c>
      <c r="K65" t="str">
        <f>VLOOKUP($A65,ScionOutput!$A$3:$BL$215,58,FALSE)</f>
        <v>No Play</v>
      </c>
      <c r="L65">
        <f>VLOOKUP($A65,ScionOutput!$A$3:$BL$215,59,FALSE)</f>
        <v>0</v>
      </c>
      <c r="M65">
        <f>VLOOKUP($A65,ScionOutput!$A$3:$BL$215,62,FALSE)</f>
        <v>0</v>
      </c>
      <c r="N65">
        <f>VLOOKUP($A65,ScionOutput!$A$3:$BL$215,63,FALSE)</f>
        <v>0</v>
      </c>
      <c r="O65" t="b">
        <f t="shared" si="1"/>
        <v>0</v>
      </c>
      <c r="P65">
        <f>VLOOKUP($A65,Outcomes!$B$3:$I$209,8,FALSE)</f>
        <v>9</v>
      </c>
      <c r="Q65">
        <f t="shared" si="2"/>
        <v>1</v>
      </c>
      <c r="R65">
        <f>VLOOKUP($A65,Outcomes!$B$3:$I$209,5,FALSE)</f>
        <v>5</v>
      </c>
      <c r="S65">
        <f>VLOOKUP($A65,Outcomes!$B$3:$I$209,6,FALSE)</f>
        <v>4</v>
      </c>
      <c r="T65">
        <f>VLOOKUP($A65,Outcomes!$B$3:$I$209,7,FALSE)</f>
        <v>-1</v>
      </c>
      <c r="U65" t="str">
        <f t="shared" si="3"/>
        <v>HomFave</v>
      </c>
      <c r="V65" s="5" t="str">
        <f t="shared" si="4"/>
        <v/>
      </c>
      <c r="W65" t="str">
        <f t="shared" si="0"/>
        <v/>
      </c>
      <c r="X65" t="str">
        <f t="shared" si="5"/>
        <v/>
      </c>
      <c r="Y65" t="str">
        <f t="shared" si="6"/>
        <v/>
      </c>
      <c r="Z65" s="2" t="str">
        <f t="shared" si="7"/>
        <v/>
      </c>
      <c r="AA65" t="str">
        <f>VLOOKUP($A65,ScionOutput!$A$3:$BL$215,64,FALSE)</f>
        <v xml:space="preserve">823287. LineStatEns is NoPlay as bookie-line outside range. StatOnlyEns is NoPlay as bookie-line outside range. No play due to strategy constraints. </v>
      </c>
    </row>
    <row r="66" spans="1:27" x14ac:dyDescent="0.2">
      <c r="A66">
        <v>823215</v>
      </c>
      <c r="B66" s="3">
        <f>VLOOKUP($A66,ScionOutput!$A$3:$BL$215,3,FALSE)</f>
        <v>46183</v>
      </c>
      <c r="C66">
        <f>VLOOKUP($A66,ScionOutput!$A$3:$BL$215,22,FALSE)</f>
        <v>25</v>
      </c>
      <c r="D66" t="str">
        <f>VLOOKUP($A66,ScionOutput!$A$3:$BL$215,23,FALSE)</f>
        <v>SF</v>
      </c>
      <c r="E66">
        <f>VLOOKUP($A66,ScionOutput!$A$3:$BL$215,6,FALSE)</f>
        <v>16</v>
      </c>
      <c r="F66" t="str">
        <f>VLOOKUP($A66,ScionOutput!$A$3:$BL$215,7,FALSE)</f>
        <v>WAS</v>
      </c>
      <c r="G66">
        <f>VLOOKUP($A66,ScionOutput!$A$3:$BL$215,26,FALSE)</f>
        <v>-105</v>
      </c>
      <c r="H66">
        <f>VLOOKUP($A66,ScionOutput!$A$3:$BL$215,10,FALSE)</f>
        <v>-103</v>
      </c>
      <c r="I66" s="4" t="str">
        <f>VLOOKUP($A66,ScionOutput!$A$3:$BL$215,45,FALSE)</f>
        <v>VisDog</v>
      </c>
      <c r="J66" s="4">
        <f>VLOOKUP($A66,ScionOutput!$A$3:$BL$215,46,FALSE)</f>
        <v>1</v>
      </c>
      <c r="K66" t="str">
        <f>VLOOKUP($A66,ScionOutput!$A$3:$BL$215,58,FALSE)</f>
        <v>VisDog</v>
      </c>
      <c r="L66">
        <f>VLOOKUP($A66,ScionOutput!$A$3:$BL$215,59,FALSE)</f>
        <v>-3.236E-2</v>
      </c>
      <c r="M66">
        <f>VLOOKUP($A66,ScionOutput!$A$3:$BL$215,62,FALSE)</f>
        <v>3</v>
      </c>
      <c r="N66">
        <f>VLOOKUP($A66,ScionOutput!$A$3:$BL$215,63,FALSE)</f>
        <v>0.93</v>
      </c>
      <c r="O66" t="b">
        <f t="shared" si="1"/>
        <v>0</v>
      </c>
      <c r="P66">
        <f>VLOOKUP($A66,Outcomes!$B$3:$I$209,8,FALSE)</f>
        <v>21</v>
      </c>
      <c r="Q66">
        <f t="shared" si="2"/>
        <v>1</v>
      </c>
      <c r="R66">
        <f>VLOOKUP($A66,Outcomes!$B$3:$I$209,5,FALSE)</f>
        <v>11</v>
      </c>
      <c r="S66">
        <f>VLOOKUP($A66,Outcomes!$B$3:$I$209,6,FALSE)</f>
        <v>10</v>
      </c>
      <c r="T66">
        <f>VLOOKUP($A66,Outcomes!$B$3:$I$209,7,FALSE)</f>
        <v>-1</v>
      </c>
      <c r="U66" t="str">
        <f t="shared" si="3"/>
        <v>HomFave</v>
      </c>
      <c r="V66" s="5">
        <f t="shared" si="4"/>
        <v>0</v>
      </c>
      <c r="W66">
        <f t="shared" ref="W66:W129" si="8">IF(V66="","",IF(G66&lt;H66,IF(K66="HomFave",ABS(G66),IF(H66&lt;0,ABS(H66),100)),IF(K66="VisFave",ABS(H66),IF(G66&lt;0,ABS(G66),100))))</f>
        <v>103</v>
      </c>
      <c r="X66">
        <f t="shared" si="5"/>
        <v>0</v>
      </c>
      <c r="Y66">
        <f t="shared" si="6"/>
        <v>-103</v>
      </c>
      <c r="Z66" s="2">
        <f t="shared" si="7"/>
        <v>-1</v>
      </c>
      <c r="AA66" t="str">
        <f>VLOOKUP($A66,ScionOutput!$A$3:$BL$215,64,FALSE)</f>
        <v xml:space="preserve">823215. StatOnlyEns probability points gap does not exceed threshold (no edge found)! Play determined by LineStatEns only. </v>
      </c>
    </row>
    <row r="67" spans="1:27" x14ac:dyDescent="0.2">
      <c r="A67">
        <v>822970</v>
      </c>
      <c r="B67" s="3">
        <f>VLOOKUP($A67,ScionOutput!$A$3:$BL$215,3,FALSE)</f>
        <v>46183</v>
      </c>
      <c r="C67">
        <f>VLOOKUP($A67,ScionOutput!$A$3:$BL$215,22,FALSE)</f>
        <v>27</v>
      </c>
      <c r="D67" t="str">
        <f>VLOOKUP($A67,ScionOutput!$A$3:$BL$215,23,FALSE)</f>
        <v>TB</v>
      </c>
      <c r="E67">
        <f>VLOOKUP($A67,ScionOutput!$A$3:$BL$215,6,FALSE)</f>
        <v>3</v>
      </c>
      <c r="F67" t="str">
        <f>VLOOKUP($A67,ScionOutput!$A$3:$BL$215,7,FALSE)</f>
        <v>BOS</v>
      </c>
      <c r="G67">
        <f>VLOOKUP($A67,ScionOutput!$A$3:$BL$215,26,FALSE)</f>
        <v>-154</v>
      </c>
      <c r="H67">
        <f>VLOOKUP($A67,ScionOutput!$A$3:$BL$215,10,FALSE)</f>
        <v>142</v>
      </c>
      <c r="I67" s="4" t="str">
        <f>VLOOKUP($A67,ScionOutput!$A$3:$BL$215,45,FALSE)</f>
        <v>HomFave</v>
      </c>
      <c r="J67" s="4">
        <f>VLOOKUP($A67,ScionOutput!$A$3:$BL$215,46,FALSE)</f>
        <v>0</v>
      </c>
      <c r="K67" t="str">
        <f>VLOOKUP($A67,ScionOutput!$A$3:$BL$215,58,FALSE)</f>
        <v>No Play</v>
      </c>
      <c r="L67">
        <f>VLOOKUP($A67,ScionOutput!$A$3:$BL$215,59,FALSE)</f>
        <v>0</v>
      </c>
      <c r="M67">
        <f>VLOOKUP($A67,ScionOutput!$A$3:$BL$215,62,FALSE)</f>
        <v>0</v>
      </c>
      <c r="N67">
        <f>VLOOKUP($A67,ScionOutput!$A$3:$BL$215,63,FALSE)</f>
        <v>0</v>
      </c>
      <c r="O67" t="b">
        <f t="shared" ref="O67:O130" si="9">ISNUMBER(SEARCH("Play determined by LineStatEns and StatOnlyEns agreement", AA67))</f>
        <v>0</v>
      </c>
      <c r="P67">
        <f>VLOOKUP($A67,Outcomes!$B$3:$I$209,8,FALSE)</f>
        <v>12</v>
      </c>
      <c r="Q67">
        <f t="shared" ref="Q67:Q130" si="10">IF(R67&gt;S67,1,IF(R67&lt;S67,-1,0))</f>
        <v>1</v>
      </c>
      <c r="R67">
        <f>VLOOKUP($A67,Outcomes!$B$3:$I$209,5,FALSE)</f>
        <v>7</v>
      </c>
      <c r="S67">
        <f>VLOOKUP($A67,Outcomes!$B$3:$I$209,6,FALSE)</f>
        <v>5</v>
      </c>
      <c r="T67">
        <f>VLOOKUP($A67,Outcomes!$B$3:$I$209,7,FALSE)</f>
        <v>-2</v>
      </c>
      <c r="U67" t="str">
        <f t="shared" ref="U67:U130" si="11">IF(T67=0,"Push",IF(G67&lt;H67,IF(T67&lt;0,"HomFave","VisDog"),IF(T67&gt;0,"VisFave","HomDog")))</f>
        <v>HomFave</v>
      </c>
      <c r="V67" s="5" t="str">
        <f t="shared" ref="V67:V130" si="12">IF(OR(T67=0,I67="No Play",J67&lt;&gt;1),"",IF(U67=I67,1,0))</f>
        <v/>
      </c>
      <c r="W67" t="str">
        <f t="shared" si="8"/>
        <v/>
      </c>
      <c r="X67" t="str">
        <f t="shared" ref="X67:X130" si="13">IF(V67="","",IF(V67=0,0,IF(G67&lt;H67,IF(K67="HomFave",W67+100,IF(H67&lt;0,100+W67,W67+ABS(H67))),IF(K67="VisFave",W67+100,IF(G67&lt;0,100+W67,W67+ABS(G67))))))</f>
        <v/>
      </c>
      <c r="Y67" t="str">
        <f t="shared" ref="Y67:Y130" si="14">IF(V67="","",X67-W67)</f>
        <v/>
      </c>
      <c r="Z67" s="2" t="str">
        <f t="shared" ref="Z67:Z130" si="15">IF(V67="","",Y67/W67)</f>
        <v/>
      </c>
      <c r="AA67" t="str">
        <f>VLOOKUP($A67,ScionOutput!$A$3:$BL$215,64,FALSE)</f>
        <v xml:space="preserve">822970. LineStatEns is NoPlay as bookie-line outside range. StatOnlyEns is NoPlay as bookie-line outside range. No play due to strategy constraints. </v>
      </c>
    </row>
    <row r="68" spans="1:27" x14ac:dyDescent="0.2">
      <c r="A68">
        <v>822804</v>
      </c>
      <c r="B68" s="3">
        <f>VLOOKUP($A68,ScionOutput!$A$3:$BL$215,3,FALSE)</f>
        <v>46183</v>
      </c>
      <c r="C68">
        <f>VLOOKUP($A68,ScionOutput!$A$3:$BL$215,22,FALSE)</f>
        <v>29</v>
      </c>
      <c r="D68" t="str">
        <f>VLOOKUP($A68,ScionOutput!$A$3:$BL$215,23,FALSE)</f>
        <v>TOR</v>
      </c>
      <c r="E68">
        <f>VLOOKUP($A68,ScionOutput!$A$3:$BL$215,6,FALSE)</f>
        <v>21</v>
      </c>
      <c r="F68" t="str">
        <f>VLOOKUP($A68,ScionOutput!$A$3:$BL$215,7,FALSE)</f>
        <v>PHI</v>
      </c>
      <c r="G68">
        <f>VLOOKUP($A68,ScionOutput!$A$3:$BL$215,26,FALSE)</f>
        <v>114</v>
      </c>
      <c r="H68">
        <f>VLOOKUP($A68,ScionOutput!$A$3:$BL$215,10,FALSE)</f>
        <v>-124</v>
      </c>
      <c r="I68" s="4" t="str">
        <f>VLOOKUP($A68,ScionOutput!$A$3:$BL$215,45,FALSE)</f>
        <v>VisFave</v>
      </c>
      <c r="J68" s="4">
        <f>VLOOKUP($A68,ScionOutput!$A$3:$BL$215,46,FALSE)</f>
        <v>0</v>
      </c>
      <c r="K68" t="str">
        <f>VLOOKUP($A68,ScionOutput!$A$3:$BL$215,58,FALSE)</f>
        <v>No Play</v>
      </c>
      <c r="L68">
        <f>VLOOKUP($A68,ScionOutput!$A$3:$BL$215,59,FALSE)</f>
        <v>0</v>
      </c>
      <c r="M68">
        <f>VLOOKUP($A68,ScionOutput!$A$3:$BL$215,62,FALSE)</f>
        <v>0</v>
      </c>
      <c r="N68">
        <f>VLOOKUP($A68,ScionOutput!$A$3:$BL$215,63,FALSE)</f>
        <v>0</v>
      </c>
      <c r="O68" t="b">
        <f t="shared" si="9"/>
        <v>0</v>
      </c>
      <c r="P68">
        <f>VLOOKUP($A68,Outcomes!$B$3:$I$209,8,FALSE)</f>
        <v>11</v>
      </c>
      <c r="Q68">
        <f t="shared" si="10"/>
        <v>-1</v>
      </c>
      <c r="R68">
        <f>VLOOKUP($A68,Outcomes!$B$3:$I$209,5,FALSE)</f>
        <v>4</v>
      </c>
      <c r="S68">
        <f>VLOOKUP($A68,Outcomes!$B$3:$I$209,6,FALSE)</f>
        <v>7</v>
      </c>
      <c r="T68">
        <f>VLOOKUP($A68,Outcomes!$B$3:$I$209,7,FALSE)</f>
        <v>3</v>
      </c>
      <c r="U68" t="str">
        <f t="shared" si="11"/>
        <v>VisFave</v>
      </c>
      <c r="V68" s="5" t="str">
        <f t="shared" si="12"/>
        <v/>
      </c>
      <c r="W68" t="str">
        <f t="shared" si="8"/>
        <v/>
      </c>
      <c r="X68" t="str">
        <f t="shared" si="13"/>
        <v/>
      </c>
      <c r="Y68" t="str">
        <f t="shared" si="14"/>
        <v/>
      </c>
      <c r="Z68" s="2" t="str">
        <f t="shared" si="15"/>
        <v/>
      </c>
      <c r="AA68" t="str">
        <f>VLOOKUP($A68,ScionOutput!$A$3:$BL$215,64,FALSE)</f>
        <v xml:space="preserve">822804. VF plays are disallowed. No play due to strategy constraints. </v>
      </c>
    </row>
    <row r="69" spans="1:27" x14ac:dyDescent="0.2">
      <c r="A69">
        <v>824827</v>
      </c>
      <c r="B69" s="3">
        <f>VLOOKUP($A69,ScionOutput!$A$3:$BL$215,3,FALSE)</f>
        <v>46184</v>
      </c>
      <c r="C69">
        <f>VLOOKUP($A69,ScionOutput!$A$3:$BL$215,22,FALSE)</f>
        <v>2</v>
      </c>
      <c r="D69" t="str">
        <f>VLOOKUP($A69,ScionOutput!$A$3:$BL$215,23,FALSE)</f>
        <v>BAL</v>
      </c>
      <c r="E69">
        <f>VLOOKUP($A69,ScionOutput!$A$3:$BL$215,6,FALSE)</f>
        <v>24</v>
      </c>
      <c r="F69" t="str">
        <f>VLOOKUP($A69,ScionOutput!$A$3:$BL$215,7,FALSE)</f>
        <v>SEA</v>
      </c>
      <c r="G69">
        <f>VLOOKUP($A69,ScionOutput!$A$3:$BL$215,26,FALSE)</f>
        <v>100</v>
      </c>
      <c r="H69">
        <f>VLOOKUP($A69,ScionOutput!$A$3:$BL$215,10,FALSE)</f>
        <v>-110</v>
      </c>
      <c r="I69" s="4" t="str">
        <f>VLOOKUP($A69,ScionOutput!$A$3:$BL$215,45,FALSE)</f>
        <v>VisFave</v>
      </c>
      <c r="J69" s="4">
        <f>VLOOKUP($A69,ScionOutput!$A$3:$BL$215,46,FALSE)</f>
        <v>0</v>
      </c>
      <c r="K69" t="str">
        <f>VLOOKUP($A69,ScionOutput!$A$3:$BL$215,58,FALSE)</f>
        <v>No Play</v>
      </c>
      <c r="L69">
        <f>VLOOKUP($A69,ScionOutput!$A$3:$BL$215,59,FALSE)</f>
        <v>0</v>
      </c>
      <c r="M69">
        <f>VLOOKUP($A69,ScionOutput!$A$3:$BL$215,62,FALSE)</f>
        <v>0</v>
      </c>
      <c r="N69">
        <f>VLOOKUP($A69,ScionOutput!$A$3:$BL$215,63,FALSE)</f>
        <v>0</v>
      </c>
      <c r="O69" t="b">
        <f t="shared" si="9"/>
        <v>0</v>
      </c>
      <c r="P69">
        <f>VLOOKUP($A69,Outcomes!$B$3:$I$209,8,FALSE)</f>
        <v>12</v>
      </c>
      <c r="Q69">
        <f t="shared" si="10"/>
        <v>1</v>
      </c>
      <c r="R69">
        <f>VLOOKUP($A69,Outcomes!$B$3:$I$209,5,FALSE)</f>
        <v>7</v>
      </c>
      <c r="S69">
        <f>VLOOKUP($A69,Outcomes!$B$3:$I$209,6,FALSE)</f>
        <v>5</v>
      </c>
      <c r="T69">
        <f>VLOOKUP($A69,Outcomes!$B$3:$I$209,7,FALSE)</f>
        <v>-2</v>
      </c>
      <c r="U69" t="str">
        <f t="shared" si="11"/>
        <v>HomDog</v>
      </c>
      <c r="V69" s="5" t="str">
        <f t="shared" si="12"/>
        <v/>
      </c>
      <c r="W69" t="str">
        <f t="shared" si="8"/>
        <v/>
      </c>
      <c r="X69" t="str">
        <f t="shared" si="13"/>
        <v/>
      </c>
      <c r="Y69" t="str">
        <f t="shared" si="14"/>
        <v/>
      </c>
      <c r="Z69" s="2" t="str">
        <f t="shared" si="15"/>
        <v/>
      </c>
      <c r="AA69" t="str">
        <f>VLOOKUP($A69,ScionOutput!$A$3:$BL$215,64,FALSE)</f>
        <v xml:space="preserve">824827. VF plays are disallowed. No play due to strategy constraints. </v>
      </c>
    </row>
    <row r="70" spans="1:27" x14ac:dyDescent="0.2">
      <c r="A70">
        <v>824346</v>
      </c>
      <c r="B70" s="3">
        <f>VLOOKUP($A70,ScionOutput!$A$3:$BL$215,3,FALSE)</f>
        <v>46184</v>
      </c>
      <c r="C70">
        <f>VLOOKUP($A70,ScionOutput!$A$3:$BL$215,22,FALSE)</f>
        <v>8</v>
      </c>
      <c r="D70" t="str">
        <f>VLOOKUP($A70,ScionOutput!$A$3:$BL$215,23,FALSE)</f>
        <v>COL</v>
      </c>
      <c r="E70">
        <f>VLOOKUP($A70,ScionOutput!$A$3:$BL$215,6,FALSE)</f>
        <v>5</v>
      </c>
      <c r="F70" t="str">
        <f>VLOOKUP($A70,ScionOutput!$A$3:$BL$215,7,FALSE)</f>
        <v>CHC</v>
      </c>
      <c r="G70">
        <f>VLOOKUP($A70,ScionOutput!$A$3:$BL$215,26,FALSE)</f>
        <v>132</v>
      </c>
      <c r="H70">
        <f>VLOOKUP($A70,ScionOutput!$A$3:$BL$215,10,FALSE)</f>
        <v>-146</v>
      </c>
      <c r="I70" s="4" t="str">
        <f>VLOOKUP($A70,ScionOutput!$A$3:$BL$215,45,FALSE)</f>
        <v>VisFave</v>
      </c>
      <c r="J70" s="4">
        <f>VLOOKUP($A70,ScionOutput!$A$3:$BL$215,46,FALSE)</f>
        <v>0</v>
      </c>
      <c r="K70" t="str">
        <f>VLOOKUP($A70,ScionOutput!$A$3:$BL$215,58,FALSE)</f>
        <v>No Play</v>
      </c>
      <c r="L70">
        <f>VLOOKUP($A70,ScionOutput!$A$3:$BL$215,59,FALSE)</f>
        <v>0</v>
      </c>
      <c r="M70">
        <f>VLOOKUP($A70,ScionOutput!$A$3:$BL$215,62,FALSE)</f>
        <v>0</v>
      </c>
      <c r="N70">
        <f>VLOOKUP($A70,ScionOutput!$A$3:$BL$215,63,FALSE)</f>
        <v>0</v>
      </c>
      <c r="O70" t="b">
        <f t="shared" si="9"/>
        <v>0</v>
      </c>
      <c r="P70">
        <f>VLOOKUP($A70,Outcomes!$B$3:$I$209,8,FALSE)</f>
        <v>12</v>
      </c>
      <c r="Q70">
        <f t="shared" si="10"/>
        <v>-1</v>
      </c>
      <c r="R70">
        <f>VLOOKUP($A70,Outcomes!$B$3:$I$209,5,FALSE)</f>
        <v>3</v>
      </c>
      <c r="S70">
        <f>VLOOKUP($A70,Outcomes!$B$3:$I$209,6,FALSE)</f>
        <v>9</v>
      </c>
      <c r="T70">
        <f>VLOOKUP($A70,Outcomes!$B$3:$I$209,7,FALSE)</f>
        <v>6</v>
      </c>
      <c r="U70" t="str">
        <f t="shared" si="11"/>
        <v>VisFave</v>
      </c>
      <c r="V70" s="5" t="str">
        <f t="shared" si="12"/>
        <v/>
      </c>
      <c r="W70" t="str">
        <f t="shared" si="8"/>
        <v/>
      </c>
      <c r="X70" t="str">
        <f t="shared" si="13"/>
        <v/>
      </c>
      <c r="Y70" t="str">
        <f t="shared" si="14"/>
        <v/>
      </c>
      <c r="Z70" s="2" t="str">
        <f t="shared" si="15"/>
        <v/>
      </c>
      <c r="AA70" t="str">
        <f>VLOOKUP($A70,ScionOutput!$A$3:$BL$215,64,FALSE)</f>
        <v xml:space="preserve">824346. LineStatEns price is outside allowable range! VF plays are disallowed. No play due to strategy constraints. </v>
      </c>
    </row>
    <row r="71" spans="1:27" x14ac:dyDescent="0.2">
      <c r="A71">
        <v>824265</v>
      </c>
      <c r="B71" s="3">
        <f>VLOOKUP($A71,ScionOutput!$A$3:$BL$215,3,FALSE)</f>
        <v>46184</v>
      </c>
      <c r="C71">
        <f>VLOOKUP($A71,ScionOutput!$A$3:$BL$215,22,FALSE)</f>
        <v>10</v>
      </c>
      <c r="D71" t="str">
        <f>VLOOKUP($A71,ScionOutput!$A$3:$BL$215,23,FALSE)</f>
        <v>DET</v>
      </c>
      <c r="E71">
        <f>VLOOKUP($A71,ScionOutput!$A$3:$BL$215,6,FALSE)</f>
        <v>15</v>
      </c>
      <c r="F71" t="str">
        <f>VLOOKUP($A71,ScionOutput!$A$3:$BL$215,7,FALSE)</f>
        <v>MIN</v>
      </c>
      <c r="G71">
        <f>VLOOKUP($A71,ScionOutput!$A$3:$BL$215,26,FALSE)</f>
        <v>-120</v>
      </c>
      <c r="H71">
        <f>VLOOKUP($A71,ScionOutput!$A$3:$BL$215,10,FALSE)</f>
        <v>109</v>
      </c>
      <c r="I71" s="4" t="str">
        <f>VLOOKUP($A71,ScionOutput!$A$3:$BL$215,45,FALSE)</f>
        <v>HomFave</v>
      </c>
      <c r="J71" s="4">
        <f>VLOOKUP($A71,ScionOutput!$A$3:$BL$215,46,FALSE)</f>
        <v>0</v>
      </c>
      <c r="K71" t="str">
        <f>VLOOKUP($A71,ScionOutput!$A$3:$BL$215,58,FALSE)</f>
        <v>No Play</v>
      </c>
      <c r="L71">
        <f>VLOOKUP($A71,ScionOutput!$A$3:$BL$215,59,FALSE)</f>
        <v>0</v>
      </c>
      <c r="M71">
        <f>VLOOKUP($A71,ScionOutput!$A$3:$BL$215,62,FALSE)</f>
        <v>0</v>
      </c>
      <c r="N71">
        <f>VLOOKUP($A71,ScionOutput!$A$3:$BL$215,63,FALSE)</f>
        <v>0</v>
      </c>
      <c r="O71" t="b">
        <f t="shared" si="9"/>
        <v>0</v>
      </c>
      <c r="P71">
        <f>VLOOKUP($A71,Outcomes!$B$3:$I$209,8,FALSE)</f>
        <v>11</v>
      </c>
      <c r="Q71">
        <f t="shared" si="10"/>
        <v>1</v>
      </c>
      <c r="R71">
        <f>VLOOKUP($A71,Outcomes!$B$3:$I$209,5,FALSE)</f>
        <v>11</v>
      </c>
      <c r="S71">
        <f>VLOOKUP($A71,Outcomes!$B$3:$I$209,6,FALSE)</f>
        <v>0</v>
      </c>
      <c r="T71">
        <f>VLOOKUP($A71,Outcomes!$B$3:$I$209,7,FALSE)</f>
        <v>-11</v>
      </c>
      <c r="U71" t="str">
        <f t="shared" si="11"/>
        <v>HomFave</v>
      </c>
      <c r="V71" s="5" t="str">
        <f t="shared" si="12"/>
        <v/>
      </c>
      <c r="W71" t="str">
        <f t="shared" si="8"/>
        <v/>
      </c>
      <c r="X71" t="str">
        <f t="shared" si="13"/>
        <v/>
      </c>
      <c r="Y71" t="str">
        <f t="shared" si="14"/>
        <v/>
      </c>
      <c r="Z71" s="2" t="str">
        <f t="shared" si="15"/>
        <v/>
      </c>
      <c r="AA71" t="str">
        <f>VLOOKUP($A71,ScionOutput!$A$3:$BL$215,64,FALSE)</f>
        <v xml:space="preserve">824265. LineStatEns probability points gap does not exceed threshold (no edge found)! StatOnlyEns probability points gap does not exceed threshold (no edge found)! No play due to strategy constraints. </v>
      </c>
    </row>
    <row r="72" spans="1:27" x14ac:dyDescent="0.2">
      <c r="A72">
        <v>823855</v>
      </c>
      <c r="B72" s="3">
        <f>VLOOKUP($A72,ScionOutput!$A$3:$BL$215,3,FALSE)</f>
        <v>46184</v>
      </c>
      <c r="C72">
        <f>VLOOKUP($A72,ScionOutput!$A$3:$BL$215,22,FALSE)</f>
        <v>11</v>
      </c>
      <c r="D72" t="str">
        <f>VLOOKUP($A72,ScionOutput!$A$3:$BL$215,23,FALSE)</f>
        <v>FLO</v>
      </c>
      <c r="E72">
        <f>VLOOKUP($A72,ScionOutput!$A$3:$BL$215,6,FALSE)</f>
        <v>1</v>
      </c>
      <c r="F72" t="str">
        <f>VLOOKUP($A72,ScionOutput!$A$3:$BL$215,7,FALSE)</f>
        <v>ARZ</v>
      </c>
      <c r="G72">
        <f>VLOOKUP($A72,ScionOutput!$A$3:$BL$215,26,FALSE)</f>
        <v>-108</v>
      </c>
      <c r="H72">
        <f>VLOOKUP($A72,ScionOutput!$A$3:$BL$215,10,FALSE)</f>
        <v>-102</v>
      </c>
      <c r="I72" s="4" t="str">
        <f>VLOOKUP($A72,ScionOutput!$A$3:$BL$215,45,FALSE)</f>
        <v>HomFave</v>
      </c>
      <c r="J72" s="4">
        <f>VLOOKUP($A72,ScionOutput!$A$3:$BL$215,46,FALSE)</f>
        <v>1</v>
      </c>
      <c r="K72" t="str">
        <f>VLOOKUP($A72,ScionOutput!$A$3:$BL$215,58,FALSE)</f>
        <v>HomFave</v>
      </c>
      <c r="L72">
        <f>VLOOKUP($A72,ScionOutput!$A$3:$BL$215,59,FALSE)</f>
        <v>2.3029999999999998E-2</v>
      </c>
      <c r="M72">
        <f>VLOOKUP($A72,ScionOutput!$A$3:$BL$215,62,FALSE)</f>
        <v>1</v>
      </c>
      <c r="N72">
        <f>VLOOKUP($A72,ScionOutput!$A$3:$BL$215,63,FALSE)</f>
        <v>0.93</v>
      </c>
      <c r="O72" t="b">
        <f t="shared" si="9"/>
        <v>1</v>
      </c>
      <c r="P72">
        <f>VLOOKUP($A72,Outcomes!$B$3:$I$209,8,FALSE)</f>
        <v>2</v>
      </c>
      <c r="Q72">
        <f t="shared" si="10"/>
        <v>1</v>
      </c>
      <c r="R72">
        <f>VLOOKUP($A72,Outcomes!$B$3:$I$209,5,FALSE)</f>
        <v>2</v>
      </c>
      <c r="S72">
        <f>VLOOKUP($A72,Outcomes!$B$3:$I$209,6,FALSE)</f>
        <v>0</v>
      </c>
      <c r="T72">
        <f>VLOOKUP($A72,Outcomes!$B$3:$I$209,7,FALSE)</f>
        <v>-2</v>
      </c>
      <c r="U72" t="str">
        <f t="shared" si="11"/>
        <v>HomFave</v>
      </c>
      <c r="V72" s="5">
        <f t="shared" si="12"/>
        <v>1</v>
      </c>
      <c r="W72">
        <f t="shared" si="8"/>
        <v>108</v>
      </c>
      <c r="X72">
        <f t="shared" si="13"/>
        <v>208</v>
      </c>
      <c r="Y72">
        <f t="shared" si="14"/>
        <v>100</v>
      </c>
      <c r="Z72" s="2">
        <f t="shared" si="15"/>
        <v>0.92592592592592593</v>
      </c>
      <c r="AA72" t="str">
        <f>VLOOKUP($A72,ScionOutput!$A$3:$BL$215,64,FALSE)</f>
        <v xml:space="preserve">823855. Play determined by LineStatEns and StatOnlyEns agreement. </v>
      </c>
    </row>
    <row r="73" spans="1:27" x14ac:dyDescent="0.2">
      <c r="A73">
        <v>824101</v>
      </c>
      <c r="B73" s="3">
        <f>VLOOKUP($A73,ScionOutput!$A$3:$BL$215,3,FALSE)</f>
        <v>46184</v>
      </c>
      <c r="C73">
        <f>VLOOKUP($A73,ScionOutput!$A$3:$BL$215,22,FALSE)</f>
        <v>13</v>
      </c>
      <c r="D73" t="str">
        <f>VLOOKUP($A73,ScionOutput!$A$3:$BL$215,23,FALSE)</f>
        <v>KC</v>
      </c>
      <c r="E73">
        <f>VLOOKUP($A73,ScionOutput!$A$3:$BL$215,6,FALSE)</f>
        <v>28</v>
      </c>
      <c r="F73" t="str">
        <f>VLOOKUP($A73,ScionOutput!$A$3:$BL$215,7,FALSE)</f>
        <v>TEX</v>
      </c>
      <c r="G73">
        <f>VLOOKUP($A73,ScionOutput!$A$3:$BL$215,26,FALSE)</f>
        <v>-115</v>
      </c>
      <c r="H73">
        <f>VLOOKUP($A73,ScionOutput!$A$3:$BL$215,10,FALSE)</f>
        <v>104</v>
      </c>
      <c r="I73" s="4" t="str">
        <f>VLOOKUP($A73,ScionOutput!$A$3:$BL$215,45,FALSE)</f>
        <v>HomFave</v>
      </c>
      <c r="J73" s="4">
        <f>VLOOKUP($A73,ScionOutput!$A$3:$BL$215,46,FALSE)</f>
        <v>1</v>
      </c>
      <c r="K73" t="str">
        <f>VLOOKUP($A73,ScionOutput!$A$3:$BL$215,58,FALSE)</f>
        <v>HomFave</v>
      </c>
      <c r="L73">
        <f>VLOOKUP($A73,ScionOutput!$A$3:$BL$215,59,FALSE)</f>
        <v>8.2000000000000007E-3</v>
      </c>
      <c r="M73">
        <f>VLOOKUP($A73,ScionOutput!$A$3:$BL$215,62,FALSE)</f>
        <v>3</v>
      </c>
      <c r="N73">
        <f>VLOOKUP($A73,ScionOutput!$A$3:$BL$215,63,FALSE)</f>
        <v>0.87</v>
      </c>
      <c r="O73" t="b">
        <f t="shared" si="9"/>
        <v>0</v>
      </c>
      <c r="P73">
        <f>VLOOKUP($A73,Outcomes!$B$3:$I$209,8,FALSE)</f>
        <v>6</v>
      </c>
      <c r="Q73">
        <f t="shared" si="10"/>
        <v>-1</v>
      </c>
      <c r="R73">
        <f>VLOOKUP($A73,Outcomes!$B$3:$I$209,5,FALSE)</f>
        <v>2</v>
      </c>
      <c r="S73">
        <f>VLOOKUP($A73,Outcomes!$B$3:$I$209,6,FALSE)</f>
        <v>4</v>
      </c>
      <c r="T73">
        <f>VLOOKUP($A73,Outcomes!$B$3:$I$209,7,FALSE)</f>
        <v>2</v>
      </c>
      <c r="U73" t="str">
        <f t="shared" si="11"/>
        <v>VisDog</v>
      </c>
      <c r="V73" s="5">
        <f t="shared" si="12"/>
        <v>0</v>
      </c>
      <c r="W73">
        <f t="shared" si="8"/>
        <v>115</v>
      </c>
      <c r="X73">
        <f t="shared" si="13"/>
        <v>0</v>
      </c>
      <c r="Y73">
        <f t="shared" si="14"/>
        <v>-115</v>
      </c>
      <c r="Z73" s="2">
        <f t="shared" si="15"/>
        <v>-1</v>
      </c>
      <c r="AA73" t="str">
        <f>VLOOKUP($A73,ScionOutput!$A$3:$BL$215,64,FALSE)</f>
        <v xml:space="preserve">824101. StatOnlyEns probability points gap does not exceed threshold (no edge found)! Play determined by LineStatEns only. </v>
      </c>
    </row>
    <row r="74" spans="1:27" x14ac:dyDescent="0.2">
      <c r="A74">
        <v>823619</v>
      </c>
      <c r="B74" s="3">
        <f>VLOOKUP($A74,ScionOutput!$A$3:$BL$215,3,FALSE)</f>
        <v>46184</v>
      </c>
      <c r="C74">
        <f>VLOOKUP($A74,ScionOutput!$A$3:$BL$215,22,FALSE)</f>
        <v>18</v>
      </c>
      <c r="D74" t="str">
        <f>VLOOKUP($A74,ScionOutput!$A$3:$BL$215,23,FALSE)</f>
        <v>NYM</v>
      </c>
      <c r="E74">
        <f>VLOOKUP($A74,ScionOutput!$A$3:$BL$215,6,FALSE)</f>
        <v>26</v>
      </c>
      <c r="F74" t="str">
        <f>VLOOKUP($A74,ScionOutput!$A$3:$BL$215,7,FALSE)</f>
        <v>STL</v>
      </c>
      <c r="G74">
        <f>VLOOKUP($A74,ScionOutput!$A$3:$BL$215,26,FALSE)</f>
        <v>-135</v>
      </c>
      <c r="H74">
        <f>VLOOKUP($A74,ScionOutput!$A$3:$BL$215,10,FALSE)</f>
        <v>122</v>
      </c>
      <c r="I74" s="4" t="str">
        <f>VLOOKUP($A74,ScionOutput!$A$3:$BL$215,45,FALSE)</f>
        <v>HomFave</v>
      </c>
      <c r="J74" s="4">
        <f>VLOOKUP($A74,ScionOutput!$A$3:$BL$215,46,FALSE)</f>
        <v>0</v>
      </c>
      <c r="K74" t="str">
        <f>VLOOKUP($A74,ScionOutput!$A$3:$BL$215,58,FALSE)</f>
        <v>No Play</v>
      </c>
      <c r="L74">
        <f>VLOOKUP($A74,ScionOutput!$A$3:$BL$215,59,FALSE)</f>
        <v>0</v>
      </c>
      <c r="M74">
        <f>VLOOKUP($A74,ScionOutput!$A$3:$BL$215,62,FALSE)</f>
        <v>0</v>
      </c>
      <c r="N74">
        <f>VLOOKUP($A74,ScionOutput!$A$3:$BL$215,63,FALSE)</f>
        <v>0</v>
      </c>
      <c r="O74" t="b">
        <f t="shared" si="9"/>
        <v>0</v>
      </c>
      <c r="P74">
        <f>VLOOKUP($A74,Outcomes!$B$3:$I$209,8,FALSE)</f>
        <v>9</v>
      </c>
      <c r="Q74">
        <f t="shared" si="10"/>
        <v>1</v>
      </c>
      <c r="R74">
        <f>VLOOKUP($A74,Outcomes!$B$3:$I$209,5,FALSE)</f>
        <v>5</v>
      </c>
      <c r="S74">
        <f>VLOOKUP($A74,Outcomes!$B$3:$I$209,6,FALSE)</f>
        <v>4</v>
      </c>
      <c r="T74">
        <f>VLOOKUP($A74,Outcomes!$B$3:$I$209,7,FALSE)</f>
        <v>-1</v>
      </c>
      <c r="U74" t="str">
        <f t="shared" si="11"/>
        <v>HomFave</v>
      </c>
      <c r="V74" s="5" t="str">
        <f t="shared" si="12"/>
        <v/>
      </c>
      <c r="W74" t="str">
        <f t="shared" si="8"/>
        <v/>
      </c>
      <c r="X74" t="str">
        <f t="shared" si="13"/>
        <v/>
      </c>
      <c r="Y74" t="str">
        <f t="shared" si="14"/>
        <v/>
      </c>
      <c r="Z74" s="2" t="str">
        <f t="shared" si="15"/>
        <v/>
      </c>
      <c r="AA74" t="str">
        <f>VLOOKUP($A74,ScionOutput!$A$3:$BL$215,64,FALSE)</f>
        <v xml:space="preserve">823619. LineStatEns probability points gap does not exceed threshold (no edge found)! StatOnlyEns probability points gap does not exceed threshold (no edge found)! No play due to strategy constraints. </v>
      </c>
    </row>
    <row r="75" spans="1:27" x14ac:dyDescent="0.2">
      <c r="A75">
        <v>823371</v>
      </c>
      <c r="B75" s="3">
        <f>VLOOKUP($A75,ScionOutput!$A$3:$BL$215,3,FALSE)</f>
        <v>46184</v>
      </c>
      <c r="C75">
        <f>VLOOKUP($A75,ScionOutput!$A$3:$BL$215,22,FALSE)</f>
        <v>22</v>
      </c>
      <c r="D75" t="str">
        <f>VLOOKUP($A75,ScionOutput!$A$3:$BL$215,23,FALSE)</f>
        <v>PIT</v>
      </c>
      <c r="E75">
        <f>VLOOKUP($A75,ScionOutput!$A$3:$BL$215,6,FALSE)</f>
        <v>14</v>
      </c>
      <c r="F75" t="str">
        <f>VLOOKUP($A75,ScionOutput!$A$3:$BL$215,7,FALSE)</f>
        <v>LA</v>
      </c>
      <c r="G75">
        <f>VLOOKUP($A75,ScionOutput!$A$3:$BL$215,26,FALSE)</f>
        <v>137</v>
      </c>
      <c r="H75">
        <f>VLOOKUP($A75,ScionOutput!$A$3:$BL$215,10,FALSE)</f>
        <v>-152</v>
      </c>
      <c r="I75" s="4" t="str">
        <f>VLOOKUP($A75,ScionOutput!$A$3:$BL$215,45,FALSE)</f>
        <v>VisFave</v>
      </c>
      <c r="J75" s="4">
        <f>VLOOKUP($A75,ScionOutput!$A$3:$BL$215,46,FALSE)</f>
        <v>0</v>
      </c>
      <c r="K75" t="str">
        <f>VLOOKUP($A75,ScionOutput!$A$3:$BL$215,58,FALSE)</f>
        <v>No Play</v>
      </c>
      <c r="L75">
        <f>VLOOKUP($A75,ScionOutput!$A$3:$BL$215,59,FALSE)</f>
        <v>0</v>
      </c>
      <c r="M75">
        <f>VLOOKUP($A75,ScionOutput!$A$3:$BL$215,62,FALSE)</f>
        <v>0</v>
      </c>
      <c r="N75">
        <f>VLOOKUP($A75,ScionOutput!$A$3:$BL$215,63,FALSE)</f>
        <v>0</v>
      </c>
      <c r="O75" t="b">
        <f t="shared" si="9"/>
        <v>0</v>
      </c>
      <c r="P75">
        <f>VLOOKUP($A75,Outcomes!$B$3:$I$209,8,FALSE)</f>
        <v>14</v>
      </c>
      <c r="Q75">
        <f t="shared" si="10"/>
        <v>-1</v>
      </c>
      <c r="R75">
        <f>VLOOKUP($A75,Outcomes!$B$3:$I$209,5,FALSE)</f>
        <v>6</v>
      </c>
      <c r="S75">
        <f>VLOOKUP($A75,Outcomes!$B$3:$I$209,6,FALSE)</f>
        <v>8</v>
      </c>
      <c r="T75">
        <f>VLOOKUP($A75,Outcomes!$B$3:$I$209,7,FALSE)</f>
        <v>2</v>
      </c>
      <c r="U75" t="str">
        <f t="shared" si="11"/>
        <v>VisFave</v>
      </c>
      <c r="V75" s="5" t="str">
        <f t="shared" si="12"/>
        <v/>
      </c>
      <c r="W75" t="str">
        <f t="shared" si="8"/>
        <v/>
      </c>
      <c r="X75" t="str">
        <f t="shared" si="13"/>
        <v/>
      </c>
      <c r="Y75" t="str">
        <f t="shared" si="14"/>
        <v/>
      </c>
      <c r="Z75" s="2" t="str">
        <f t="shared" si="15"/>
        <v/>
      </c>
      <c r="AA75" t="str">
        <f>VLOOKUP($A75,ScionOutput!$A$3:$BL$215,64,FALSE)</f>
        <v xml:space="preserve">823371. VF plays are disallowed. No play due to strategy constraints. </v>
      </c>
    </row>
    <row r="76" spans="1:27" x14ac:dyDescent="0.2">
      <c r="A76">
        <v>824826</v>
      </c>
      <c r="B76" s="3">
        <f>VLOOKUP($A76,ScionOutput!$A$3:$BL$215,3,FALSE)</f>
        <v>46185</v>
      </c>
      <c r="C76">
        <f>VLOOKUP($A76,ScionOutput!$A$3:$BL$215,22,FALSE)</f>
        <v>2</v>
      </c>
      <c r="D76" t="str">
        <f>VLOOKUP($A76,ScionOutput!$A$3:$BL$215,23,FALSE)</f>
        <v>BAL</v>
      </c>
      <c r="E76">
        <f>VLOOKUP($A76,ScionOutput!$A$3:$BL$215,6,FALSE)</f>
        <v>23</v>
      </c>
      <c r="F76" t="str">
        <f>VLOOKUP($A76,ScionOutput!$A$3:$BL$215,7,FALSE)</f>
        <v>SD</v>
      </c>
      <c r="G76">
        <f>VLOOKUP($A76,ScionOutput!$A$3:$BL$215,26,FALSE)</f>
        <v>-122</v>
      </c>
      <c r="H76">
        <f>VLOOKUP($A76,ScionOutput!$A$3:$BL$215,10,FALSE)</f>
        <v>113</v>
      </c>
      <c r="I76" s="4" t="str">
        <f>VLOOKUP($A76,ScionOutput!$A$3:$BL$215,45,FALSE)</f>
        <v>HomFave</v>
      </c>
      <c r="J76" s="4">
        <f>VLOOKUP($A76,ScionOutput!$A$3:$BL$215,46,FALSE)</f>
        <v>0</v>
      </c>
      <c r="K76" t="str">
        <f>VLOOKUP($A76,ScionOutput!$A$3:$BL$215,58,FALSE)</f>
        <v>No Play</v>
      </c>
      <c r="L76">
        <f>VLOOKUP($A76,ScionOutput!$A$3:$BL$215,59,FALSE)</f>
        <v>0</v>
      </c>
      <c r="M76">
        <f>VLOOKUP($A76,ScionOutput!$A$3:$BL$215,62,FALSE)</f>
        <v>0</v>
      </c>
      <c r="N76">
        <f>VLOOKUP($A76,ScionOutput!$A$3:$BL$215,63,FALSE)</f>
        <v>0</v>
      </c>
      <c r="O76" t="b">
        <f t="shared" si="9"/>
        <v>0</v>
      </c>
      <c r="P76">
        <f>VLOOKUP($A76,Outcomes!$B$3:$I$209,8,FALSE)</f>
        <v>10</v>
      </c>
      <c r="Q76">
        <f t="shared" si="10"/>
        <v>1</v>
      </c>
      <c r="R76">
        <f>VLOOKUP($A76,Outcomes!$B$3:$I$209,5,FALSE)</f>
        <v>7</v>
      </c>
      <c r="S76">
        <f>VLOOKUP($A76,Outcomes!$B$3:$I$209,6,FALSE)</f>
        <v>3</v>
      </c>
      <c r="T76">
        <f>VLOOKUP($A76,Outcomes!$B$3:$I$209,7,FALSE)</f>
        <v>-4</v>
      </c>
      <c r="U76" t="str">
        <f t="shared" si="11"/>
        <v>HomFave</v>
      </c>
      <c r="V76" s="5" t="str">
        <f t="shared" si="12"/>
        <v/>
      </c>
      <c r="W76" t="str">
        <f t="shared" si="8"/>
        <v/>
      </c>
      <c r="X76" t="str">
        <f t="shared" si="13"/>
        <v/>
      </c>
      <c r="Y76" t="str">
        <f t="shared" si="14"/>
        <v/>
      </c>
      <c r="Z76" s="2" t="str">
        <f t="shared" si="15"/>
        <v/>
      </c>
      <c r="AA76" t="str">
        <f>VLOOKUP($A76,ScionOutput!$A$3:$BL$215,64,FALSE)</f>
        <v xml:space="preserve">824826. LineStatEns probability points gap does not exceed threshold (no edge found)! StatOnlyEns probability points gap does not exceed threshold (no edge found)! No play due to strategy constraints. </v>
      </c>
    </row>
    <row r="77" spans="1:27" x14ac:dyDescent="0.2">
      <c r="A77">
        <v>824752</v>
      </c>
      <c r="B77" s="3">
        <f>VLOOKUP($A77,ScionOutput!$A$3:$BL$215,3,FALSE)</f>
        <v>46185</v>
      </c>
      <c r="C77">
        <f>VLOOKUP($A77,ScionOutput!$A$3:$BL$215,22,FALSE)</f>
        <v>3</v>
      </c>
      <c r="D77" t="str">
        <f>VLOOKUP($A77,ScionOutput!$A$3:$BL$215,23,FALSE)</f>
        <v>BOS</v>
      </c>
      <c r="E77">
        <f>VLOOKUP($A77,ScionOutput!$A$3:$BL$215,6,FALSE)</f>
        <v>28</v>
      </c>
      <c r="F77" t="str">
        <f>VLOOKUP($A77,ScionOutput!$A$3:$BL$215,7,FALSE)</f>
        <v>TEX</v>
      </c>
      <c r="G77">
        <f>VLOOKUP($A77,ScionOutput!$A$3:$BL$215,26,FALSE)</f>
        <v>-126</v>
      </c>
      <c r="H77">
        <f>VLOOKUP($A77,ScionOutput!$A$3:$BL$215,10,FALSE)</f>
        <v>117</v>
      </c>
      <c r="I77" s="4" t="str">
        <f>VLOOKUP($A77,ScionOutput!$A$3:$BL$215,45,FALSE)</f>
        <v>HomFave</v>
      </c>
      <c r="J77" s="4">
        <f>VLOOKUP($A77,ScionOutput!$A$3:$BL$215,46,FALSE)</f>
        <v>0</v>
      </c>
      <c r="K77" t="str">
        <f>VLOOKUP($A77,ScionOutput!$A$3:$BL$215,58,FALSE)</f>
        <v>No Play</v>
      </c>
      <c r="L77">
        <f>VLOOKUP($A77,ScionOutput!$A$3:$BL$215,59,FALSE)</f>
        <v>0</v>
      </c>
      <c r="M77">
        <f>VLOOKUP($A77,ScionOutput!$A$3:$BL$215,62,FALSE)</f>
        <v>0</v>
      </c>
      <c r="N77">
        <f>VLOOKUP($A77,ScionOutput!$A$3:$BL$215,63,FALSE)</f>
        <v>0</v>
      </c>
      <c r="O77" t="b">
        <f t="shared" si="9"/>
        <v>0</v>
      </c>
      <c r="P77">
        <f>VLOOKUP($A77,Outcomes!$B$3:$I$209,8,FALSE)</f>
        <v>11</v>
      </c>
      <c r="Q77">
        <f t="shared" si="10"/>
        <v>1</v>
      </c>
      <c r="R77">
        <f>VLOOKUP($A77,Outcomes!$B$3:$I$209,5,FALSE)</f>
        <v>10</v>
      </c>
      <c r="S77">
        <f>VLOOKUP($A77,Outcomes!$B$3:$I$209,6,FALSE)</f>
        <v>1</v>
      </c>
      <c r="T77">
        <f>VLOOKUP($A77,Outcomes!$B$3:$I$209,7,FALSE)</f>
        <v>-9</v>
      </c>
      <c r="U77" t="str">
        <f t="shared" si="11"/>
        <v>HomFave</v>
      </c>
      <c r="V77" s="5" t="str">
        <f t="shared" si="12"/>
        <v/>
      </c>
      <c r="W77" t="str">
        <f t="shared" si="8"/>
        <v/>
      </c>
      <c r="X77" t="str">
        <f t="shared" si="13"/>
        <v/>
      </c>
      <c r="Y77" t="str">
        <f t="shared" si="14"/>
        <v/>
      </c>
      <c r="Z77" s="2" t="str">
        <f t="shared" si="15"/>
        <v/>
      </c>
      <c r="AA77" t="str">
        <f>VLOOKUP($A77,ScionOutput!$A$3:$BL$215,64,FALSE)</f>
        <v xml:space="preserve">824752. LineStatEns probability points gap does not exceed threshold (no edge found)! StatOnlyEns probability points gap does not exceed threshold (no edge found)! No play due to strategy constraints. </v>
      </c>
    </row>
    <row r="78" spans="1:27" x14ac:dyDescent="0.2">
      <c r="A78">
        <v>824020</v>
      </c>
      <c r="B78" s="3">
        <f>VLOOKUP($A78,ScionOutput!$A$3:$BL$215,3,FALSE)</f>
        <v>46185</v>
      </c>
      <c r="C78">
        <f>VLOOKUP($A78,ScionOutput!$A$3:$BL$215,22,FALSE)</f>
        <v>4</v>
      </c>
      <c r="D78" t="str">
        <f>VLOOKUP($A78,ScionOutput!$A$3:$BL$215,23,FALSE)</f>
        <v>LAA</v>
      </c>
      <c r="E78">
        <f>VLOOKUP($A78,ScionOutput!$A$3:$BL$215,6,FALSE)</f>
        <v>27</v>
      </c>
      <c r="F78" t="str">
        <f>VLOOKUP($A78,ScionOutput!$A$3:$BL$215,7,FALSE)</f>
        <v>TB</v>
      </c>
      <c r="G78">
        <f>VLOOKUP($A78,ScionOutput!$A$3:$BL$215,26,FALSE)</f>
        <v>148</v>
      </c>
      <c r="H78">
        <f>VLOOKUP($A78,ScionOutput!$A$3:$BL$215,10,FALSE)</f>
        <v>-162</v>
      </c>
      <c r="I78" s="4" t="str">
        <f>VLOOKUP($A78,ScionOutput!$A$3:$BL$215,45,FALSE)</f>
        <v>VisFave</v>
      </c>
      <c r="J78" s="4">
        <f>VLOOKUP($A78,ScionOutput!$A$3:$BL$215,46,FALSE)</f>
        <v>0</v>
      </c>
      <c r="K78" t="str">
        <f>VLOOKUP($A78,ScionOutput!$A$3:$BL$215,58,FALSE)</f>
        <v>No Play</v>
      </c>
      <c r="L78">
        <f>VLOOKUP($A78,ScionOutput!$A$3:$BL$215,59,FALSE)</f>
        <v>0</v>
      </c>
      <c r="M78">
        <f>VLOOKUP($A78,ScionOutput!$A$3:$BL$215,62,FALSE)</f>
        <v>0</v>
      </c>
      <c r="N78">
        <f>VLOOKUP($A78,ScionOutput!$A$3:$BL$215,63,FALSE)</f>
        <v>0</v>
      </c>
      <c r="O78" t="b">
        <f t="shared" si="9"/>
        <v>0</v>
      </c>
      <c r="P78">
        <f>VLOOKUP($A78,Outcomes!$B$3:$I$209,8,FALSE)</f>
        <v>7</v>
      </c>
      <c r="Q78">
        <f t="shared" si="10"/>
        <v>1</v>
      </c>
      <c r="R78">
        <f>VLOOKUP($A78,Outcomes!$B$3:$I$209,5,FALSE)</f>
        <v>4</v>
      </c>
      <c r="S78">
        <f>VLOOKUP($A78,Outcomes!$B$3:$I$209,6,FALSE)</f>
        <v>3</v>
      </c>
      <c r="T78">
        <f>VLOOKUP($A78,Outcomes!$B$3:$I$209,7,FALSE)</f>
        <v>-1</v>
      </c>
      <c r="U78" t="str">
        <f t="shared" si="11"/>
        <v>HomDog</v>
      </c>
      <c r="V78" s="5" t="str">
        <f t="shared" si="12"/>
        <v/>
      </c>
      <c r="W78" t="str">
        <f t="shared" si="8"/>
        <v/>
      </c>
      <c r="X78" t="str">
        <f t="shared" si="13"/>
        <v/>
      </c>
      <c r="Y78" t="str">
        <f t="shared" si="14"/>
        <v/>
      </c>
      <c r="Z78" s="2" t="str">
        <f t="shared" si="15"/>
        <v/>
      </c>
      <c r="AA78" t="str">
        <f>VLOOKUP($A78,ScionOutput!$A$3:$BL$215,64,FALSE)</f>
        <v xml:space="preserve">824020. VF plays are disallowed. No play due to strategy constraints. </v>
      </c>
    </row>
    <row r="79" spans="1:27" x14ac:dyDescent="0.2">
      <c r="A79">
        <v>824507</v>
      </c>
      <c r="B79" s="3">
        <f>VLOOKUP($A79,ScionOutput!$A$3:$BL$215,3,FALSE)</f>
        <v>46185</v>
      </c>
      <c r="C79">
        <f>VLOOKUP($A79,ScionOutput!$A$3:$BL$215,22,FALSE)</f>
        <v>6</v>
      </c>
      <c r="D79" t="str">
        <f>VLOOKUP($A79,ScionOutput!$A$3:$BL$215,23,FALSE)</f>
        <v>CIN</v>
      </c>
      <c r="E79">
        <f>VLOOKUP($A79,ScionOutput!$A$3:$BL$215,6,FALSE)</f>
        <v>1</v>
      </c>
      <c r="F79" t="str">
        <f>VLOOKUP($A79,ScionOutput!$A$3:$BL$215,7,FALSE)</f>
        <v>ARZ</v>
      </c>
      <c r="G79">
        <f>VLOOKUP($A79,ScionOutput!$A$3:$BL$215,26,FALSE)</f>
        <v>-110</v>
      </c>
      <c r="H79">
        <f>VLOOKUP($A79,ScionOutput!$A$3:$BL$215,10,FALSE)</f>
        <v>101</v>
      </c>
      <c r="I79" s="4" t="str">
        <f>VLOOKUP($A79,ScionOutput!$A$3:$BL$215,45,FALSE)</f>
        <v>VisDog</v>
      </c>
      <c r="J79" s="4">
        <f>VLOOKUP($A79,ScionOutput!$A$3:$BL$215,46,FALSE)</f>
        <v>1</v>
      </c>
      <c r="K79" t="str">
        <f>VLOOKUP($A79,ScionOutput!$A$3:$BL$215,58,FALSE)</f>
        <v>VisDog</v>
      </c>
      <c r="L79">
        <f>VLOOKUP($A79,ScionOutput!$A$3:$BL$215,59,FALSE)</f>
        <v>-3.2870000000000003E-2</v>
      </c>
      <c r="M79">
        <f>VLOOKUP($A79,ScionOutput!$A$3:$BL$215,62,FALSE)</f>
        <v>3</v>
      </c>
      <c r="N79">
        <f>VLOOKUP($A79,ScionOutput!$A$3:$BL$215,63,FALSE)</f>
        <v>0.73</v>
      </c>
      <c r="O79" t="b">
        <f t="shared" si="9"/>
        <v>0</v>
      </c>
      <c r="P79">
        <f>VLOOKUP($A79,Outcomes!$B$3:$I$209,8,FALSE)</f>
        <v>7</v>
      </c>
      <c r="Q79">
        <f t="shared" si="10"/>
        <v>-1</v>
      </c>
      <c r="R79">
        <f>VLOOKUP($A79,Outcomes!$B$3:$I$209,5,FALSE)</f>
        <v>2</v>
      </c>
      <c r="S79">
        <f>VLOOKUP($A79,Outcomes!$B$3:$I$209,6,FALSE)</f>
        <v>5</v>
      </c>
      <c r="T79">
        <f>VLOOKUP($A79,Outcomes!$B$3:$I$209,7,FALSE)</f>
        <v>3</v>
      </c>
      <c r="U79" t="str">
        <f t="shared" si="11"/>
        <v>VisDog</v>
      </c>
      <c r="V79" s="5">
        <f t="shared" si="12"/>
        <v>1</v>
      </c>
      <c r="W79">
        <f t="shared" si="8"/>
        <v>100</v>
      </c>
      <c r="X79">
        <f t="shared" si="13"/>
        <v>201</v>
      </c>
      <c r="Y79">
        <f t="shared" si="14"/>
        <v>101</v>
      </c>
      <c r="Z79" s="2">
        <f t="shared" si="15"/>
        <v>1.01</v>
      </c>
      <c r="AA79" t="str">
        <f>VLOOKUP($A79,ScionOutput!$A$3:$BL$215,64,FALSE)</f>
        <v xml:space="preserve">824507. StatOnlyEns probability points gap does not exceed threshold (no edge found)! Play determined by LineStatEns only. </v>
      </c>
    </row>
    <row r="80" spans="1:27" x14ac:dyDescent="0.2">
      <c r="A80">
        <v>824425</v>
      </c>
      <c r="B80" s="3">
        <f>VLOOKUP($A80,ScionOutput!$A$3:$BL$215,3,FALSE)</f>
        <v>46185</v>
      </c>
      <c r="C80">
        <f>VLOOKUP($A80,ScionOutput!$A$3:$BL$215,22,FALSE)</f>
        <v>7</v>
      </c>
      <c r="D80" t="str">
        <f>VLOOKUP($A80,ScionOutput!$A$3:$BL$215,23,FALSE)</f>
        <v>CLE</v>
      </c>
      <c r="E80">
        <f>VLOOKUP($A80,ScionOutput!$A$3:$BL$215,6,FALSE)</f>
        <v>10</v>
      </c>
      <c r="F80" t="str">
        <f>VLOOKUP($A80,ScionOutput!$A$3:$BL$215,7,FALSE)</f>
        <v>DET</v>
      </c>
      <c r="G80">
        <f>VLOOKUP($A80,ScionOutput!$A$3:$BL$215,26,FALSE)</f>
        <v>-116</v>
      </c>
      <c r="H80">
        <f>VLOOKUP($A80,ScionOutput!$A$3:$BL$215,10,FALSE)</f>
        <v>107</v>
      </c>
      <c r="I80" s="4" t="str">
        <f>VLOOKUP($A80,ScionOutput!$A$3:$BL$215,45,FALSE)</f>
        <v>VisDog</v>
      </c>
      <c r="J80" s="4">
        <f>VLOOKUP($A80,ScionOutput!$A$3:$BL$215,46,FALSE)</f>
        <v>1</v>
      </c>
      <c r="K80" t="str">
        <f>VLOOKUP($A80,ScionOutput!$A$3:$BL$215,58,FALSE)</f>
        <v>VisDog</v>
      </c>
      <c r="L80">
        <f>VLOOKUP($A80,ScionOutput!$A$3:$BL$215,59,FALSE)</f>
        <v>-3.644E-2</v>
      </c>
      <c r="M80">
        <f>VLOOKUP($A80,ScionOutput!$A$3:$BL$215,62,FALSE)</f>
        <v>3</v>
      </c>
      <c r="N80">
        <f>VLOOKUP($A80,ScionOutput!$A$3:$BL$215,63,FALSE)</f>
        <v>0.73</v>
      </c>
      <c r="O80" t="b">
        <f t="shared" si="9"/>
        <v>0</v>
      </c>
      <c r="P80">
        <f>VLOOKUP($A80,Outcomes!$B$3:$I$209,8,FALSE)</f>
        <v>5</v>
      </c>
      <c r="Q80">
        <f t="shared" si="10"/>
        <v>1</v>
      </c>
      <c r="R80">
        <f>VLOOKUP($A80,Outcomes!$B$3:$I$209,5,FALSE)</f>
        <v>3</v>
      </c>
      <c r="S80">
        <f>VLOOKUP($A80,Outcomes!$B$3:$I$209,6,FALSE)</f>
        <v>2</v>
      </c>
      <c r="T80">
        <f>VLOOKUP($A80,Outcomes!$B$3:$I$209,7,FALSE)</f>
        <v>-1</v>
      </c>
      <c r="U80" t="str">
        <f t="shared" si="11"/>
        <v>HomFave</v>
      </c>
      <c r="V80" s="5">
        <f t="shared" si="12"/>
        <v>0</v>
      </c>
      <c r="W80">
        <f t="shared" si="8"/>
        <v>100</v>
      </c>
      <c r="X80">
        <f t="shared" si="13"/>
        <v>0</v>
      </c>
      <c r="Y80">
        <f t="shared" si="14"/>
        <v>-100</v>
      </c>
      <c r="Z80" s="2">
        <f t="shared" si="15"/>
        <v>-1</v>
      </c>
      <c r="AA80" t="str">
        <f>VLOOKUP($A80,ScionOutput!$A$3:$BL$215,64,FALSE)</f>
        <v xml:space="preserve">824425. StatOnlyEns probability points gap does not exceed threshold (no edge found)! Play determined by LineStatEns only. </v>
      </c>
    </row>
    <row r="81" spans="1:27" x14ac:dyDescent="0.2">
      <c r="A81">
        <v>824588</v>
      </c>
      <c r="B81" s="3">
        <f>VLOOKUP($A81,ScionOutput!$A$3:$BL$215,3,FALSE)</f>
        <v>46185</v>
      </c>
      <c r="C81">
        <f>VLOOKUP($A81,ScionOutput!$A$3:$BL$215,22,FALSE)</f>
        <v>9</v>
      </c>
      <c r="D81" t="str">
        <f>VLOOKUP($A81,ScionOutput!$A$3:$BL$215,23,FALSE)</f>
        <v>CWS</v>
      </c>
      <c r="E81">
        <f>VLOOKUP($A81,ScionOutput!$A$3:$BL$215,6,FALSE)</f>
        <v>14</v>
      </c>
      <c r="F81" t="str">
        <f>VLOOKUP($A81,ScionOutput!$A$3:$BL$215,7,FALSE)</f>
        <v>LA</v>
      </c>
      <c r="G81">
        <f>VLOOKUP($A81,ScionOutput!$A$3:$BL$215,26,FALSE)</f>
        <v>134</v>
      </c>
      <c r="H81">
        <f>VLOOKUP($A81,ScionOutput!$A$3:$BL$215,10,FALSE)</f>
        <v>-146</v>
      </c>
      <c r="I81" s="4" t="str">
        <f>VLOOKUP($A81,ScionOutput!$A$3:$BL$215,45,FALSE)</f>
        <v>VisFave</v>
      </c>
      <c r="J81" s="4">
        <f>VLOOKUP($A81,ScionOutput!$A$3:$BL$215,46,FALSE)</f>
        <v>0</v>
      </c>
      <c r="K81" t="str">
        <f>VLOOKUP($A81,ScionOutput!$A$3:$BL$215,58,FALSE)</f>
        <v>No Play</v>
      </c>
      <c r="L81">
        <f>VLOOKUP($A81,ScionOutput!$A$3:$BL$215,59,FALSE)</f>
        <v>0</v>
      </c>
      <c r="M81">
        <f>VLOOKUP($A81,ScionOutput!$A$3:$BL$215,62,FALSE)</f>
        <v>0</v>
      </c>
      <c r="N81">
        <f>VLOOKUP($A81,ScionOutput!$A$3:$BL$215,63,FALSE)</f>
        <v>0</v>
      </c>
      <c r="O81" t="b">
        <f t="shared" si="9"/>
        <v>0</v>
      </c>
      <c r="P81">
        <f>VLOOKUP($A81,Outcomes!$B$3:$I$209,8,FALSE)</f>
        <v>10</v>
      </c>
      <c r="Q81">
        <f t="shared" si="10"/>
        <v>1</v>
      </c>
      <c r="R81">
        <f>VLOOKUP($A81,Outcomes!$B$3:$I$209,5,FALSE)</f>
        <v>8</v>
      </c>
      <c r="S81">
        <f>VLOOKUP($A81,Outcomes!$B$3:$I$209,6,FALSE)</f>
        <v>2</v>
      </c>
      <c r="T81">
        <f>VLOOKUP($A81,Outcomes!$B$3:$I$209,7,FALSE)</f>
        <v>-6</v>
      </c>
      <c r="U81" t="str">
        <f t="shared" si="11"/>
        <v>HomDog</v>
      </c>
      <c r="V81" s="5" t="str">
        <f t="shared" si="12"/>
        <v/>
      </c>
      <c r="W81" t="str">
        <f t="shared" si="8"/>
        <v/>
      </c>
      <c r="X81" t="str">
        <f t="shared" si="13"/>
        <v/>
      </c>
      <c r="Y81" t="str">
        <f t="shared" si="14"/>
        <v/>
      </c>
      <c r="Z81" s="2" t="str">
        <f t="shared" si="15"/>
        <v/>
      </c>
      <c r="AA81" t="str">
        <f>VLOOKUP($A81,ScionOutput!$A$3:$BL$215,64,FALSE)</f>
        <v xml:space="preserve">824588. LineStatEns price is outside allowable range! VF plays are disallowed. No play due to strategy constraints. </v>
      </c>
    </row>
    <row r="82" spans="1:27" x14ac:dyDescent="0.2">
      <c r="A82">
        <v>824102</v>
      </c>
      <c r="B82" s="3">
        <f>VLOOKUP($A82,ScionOutput!$A$3:$BL$215,3,FALSE)</f>
        <v>46185</v>
      </c>
      <c r="C82">
        <f>VLOOKUP($A82,ScionOutput!$A$3:$BL$215,22,FALSE)</f>
        <v>13</v>
      </c>
      <c r="D82" t="str">
        <f>VLOOKUP($A82,ScionOutput!$A$3:$BL$215,23,FALSE)</f>
        <v>KC</v>
      </c>
      <c r="E82">
        <f>VLOOKUP($A82,ScionOutput!$A$3:$BL$215,6,FALSE)</f>
        <v>12</v>
      </c>
      <c r="F82" t="str">
        <f>VLOOKUP($A82,ScionOutput!$A$3:$BL$215,7,FALSE)</f>
        <v>HOU</v>
      </c>
      <c r="G82">
        <f>VLOOKUP($A82,ScionOutput!$A$3:$BL$215,26,FALSE)</f>
        <v>100</v>
      </c>
      <c r="H82">
        <f>VLOOKUP($A82,ScionOutput!$A$3:$BL$215,10,FALSE)</f>
        <v>-109</v>
      </c>
      <c r="I82" s="4" t="str">
        <f>VLOOKUP($A82,ScionOutput!$A$3:$BL$215,45,FALSE)</f>
        <v>VisFave</v>
      </c>
      <c r="J82" s="4">
        <f>VLOOKUP($A82,ScionOutput!$A$3:$BL$215,46,FALSE)</f>
        <v>0</v>
      </c>
      <c r="K82" t="str">
        <f>VLOOKUP($A82,ScionOutput!$A$3:$BL$215,58,FALSE)</f>
        <v>No Play</v>
      </c>
      <c r="L82">
        <f>VLOOKUP($A82,ScionOutput!$A$3:$BL$215,59,FALSE)</f>
        <v>0</v>
      </c>
      <c r="M82">
        <f>VLOOKUP($A82,ScionOutput!$A$3:$BL$215,62,FALSE)</f>
        <v>0</v>
      </c>
      <c r="N82">
        <f>VLOOKUP($A82,ScionOutput!$A$3:$BL$215,63,FALSE)</f>
        <v>0</v>
      </c>
      <c r="O82" t="b">
        <f t="shared" si="9"/>
        <v>0</v>
      </c>
      <c r="P82">
        <f>VLOOKUP($A82,Outcomes!$B$3:$I$209,8,FALSE)</f>
        <v>18</v>
      </c>
      <c r="Q82">
        <f t="shared" si="10"/>
        <v>-1</v>
      </c>
      <c r="R82">
        <f>VLOOKUP($A82,Outcomes!$B$3:$I$209,5,FALSE)</f>
        <v>8</v>
      </c>
      <c r="S82">
        <f>VLOOKUP($A82,Outcomes!$B$3:$I$209,6,FALSE)</f>
        <v>10</v>
      </c>
      <c r="T82">
        <f>VLOOKUP($A82,Outcomes!$B$3:$I$209,7,FALSE)</f>
        <v>2</v>
      </c>
      <c r="U82" t="str">
        <f t="shared" si="11"/>
        <v>VisFave</v>
      </c>
      <c r="V82" s="5" t="str">
        <f t="shared" si="12"/>
        <v/>
      </c>
      <c r="W82" t="str">
        <f t="shared" si="8"/>
        <v/>
      </c>
      <c r="X82" t="str">
        <f t="shared" si="13"/>
        <v/>
      </c>
      <c r="Y82" t="str">
        <f t="shared" si="14"/>
        <v/>
      </c>
      <c r="Z82" s="2" t="str">
        <f t="shared" si="15"/>
        <v/>
      </c>
      <c r="AA82" t="str">
        <f>VLOOKUP($A82,ScionOutput!$A$3:$BL$215,64,FALSE)</f>
        <v xml:space="preserve">824102. VF plays are disallowed. No play due to strategy constraints. </v>
      </c>
    </row>
    <row r="83" spans="1:27" x14ac:dyDescent="0.2">
      <c r="A83">
        <v>823695</v>
      </c>
      <c r="B83" s="3">
        <f>VLOOKUP($A83,ScionOutput!$A$3:$BL$215,3,FALSE)</f>
        <v>46185</v>
      </c>
      <c r="C83">
        <f>VLOOKUP($A83,ScionOutput!$A$3:$BL$215,22,FALSE)</f>
        <v>15</v>
      </c>
      <c r="D83" t="str">
        <f>VLOOKUP($A83,ScionOutput!$A$3:$BL$215,23,FALSE)</f>
        <v>MIN</v>
      </c>
      <c r="E83">
        <f>VLOOKUP($A83,ScionOutput!$A$3:$BL$215,6,FALSE)</f>
        <v>26</v>
      </c>
      <c r="F83" t="str">
        <f>VLOOKUP($A83,ScionOutput!$A$3:$BL$215,7,FALSE)</f>
        <v>STL</v>
      </c>
      <c r="G83">
        <f>VLOOKUP($A83,ScionOutput!$A$3:$BL$215,26,FALSE)</f>
        <v>-130</v>
      </c>
      <c r="H83">
        <f>VLOOKUP($A83,ScionOutput!$A$3:$BL$215,10,FALSE)</f>
        <v>120</v>
      </c>
      <c r="I83" s="4" t="str">
        <f>VLOOKUP($A83,ScionOutput!$A$3:$BL$215,45,FALSE)</f>
        <v>HomFave</v>
      </c>
      <c r="J83" s="4">
        <f>VLOOKUP($A83,ScionOutput!$A$3:$BL$215,46,FALSE)</f>
        <v>0</v>
      </c>
      <c r="K83" t="str">
        <f>VLOOKUP($A83,ScionOutput!$A$3:$BL$215,58,FALSE)</f>
        <v>No Play</v>
      </c>
      <c r="L83">
        <f>VLOOKUP($A83,ScionOutput!$A$3:$BL$215,59,FALSE)</f>
        <v>0</v>
      </c>
      <c r="M83">
        <f>VLOOKUP($A83,ScionOutput!$A$3:$BL$215,62,FALSE)</f>
        <v>0</v>
      </c>
      <c r="N83">
        <f>VLOOKUP($A83,ScionOutput!$A$3:$BL$215,63,FALSE)</f>
        <v>0</v>
      </c>
      <c r="O83" t="b">
        <f t="shared" si="9"/>
        <v>0</v>
      </c>
      <c r="P83">
        <f>VLOOKUP($A83,Outcomes!$B$3:$I$209,8,FALSE)</f>
        <v>17</v>
      </c>
      <c r="Q83">
        <f t="shared" si="10"/>
        <v>1</v>
      </c>
      <c r="R83">
        <f>VLOOKUP($A83,Outcomes!$B$3:$I$209,5,FALSE)</f>
        <v>9</v>
      </c>
      <c r="S83">
        <f>VLOOKUP($A83,Outcomes!$B$3:$I$209,6,FALSE)</f>
        <v>8</v>
      </c>
      <c r="T83">
        <f>VLOOKUP($A83,Outcomes!$B$3:$I$209,7,FALSE)</f>
        <v>-1</v>
      </c>
      <c r="U83" t="str">
        <f t="shared" si="11"/>
        <v>HomFave</v>
      </c>
      <c r="V83" s="5" t="str">
        <f t="shared" si="12"/>
        <v/>
      </c>
      <c r="W83" t="str">
        <f t="shared" si="8"/>
        <v/>
      </c>
      <c r="X83" t="str">
        <f t="shared" si="13"/>
        <v/>
      </c>
      <c r="Y83" t="str">
        <f t="shared" si="14"/>
        <v/>
      </c>
      <c r="Z83" s="2" t="str">
        <f t="shared" si="15"/>
        <v/>
      </c>
      <c r="AA83" t="str">
        <f>VLOOKUP($A83,ScionOutput!$A$3:$BL$215,64,FALSE)</f>
        <v xml:space="preserve">823695. LineStatEns probability points gap does not exceed threshold (no edge found)! StatOnlyEns probability points gap does not exceed threshold (no edge found)! No play due to strategy constraints. </v>
      </c>
    </row>
    <row r="84" spans="1:27" x14ac:dyDescent="0.2">
      <c r="A84">
        <v>822726</v>
      </c>
      <c r="B84" s="3">
        <f>VLOOKUP($A84,ScionOutput!$A$3:$BL$215,3,FALSE)</f>
        <v>46185</v>
      </c>
      <c r="C84">
        <f>VLOOKUP($A84,ScionOutput!$A$3:$BL$215,22,FALSE)</f>
        <v>16</v>
      </c>
      <c r="D84" t="str">
        <f>VLOOKUP($A84,ScionOutput!$A$3:$BL$215,23,FALSE)</f>
        <v>WAS</v>
      </c>
      <c r="E84">
        <f>VLOOKUP($A84,ScionOutput!$A$3:$BL$215,6,FALSE)</f>
        <v>24</v>
      </c>
      <c r="F84" t="str">
        <f>VLOOKUP($A84,ScionOutput!$A$3:$BL$215,7,FALSE)</f>
        <v>SEA</v>
      </c>
      <c r="G84">
        <f>VLOOKUP($A84,ScionOutput!$A$3:$BL$215,26,FALSE)</f>
        <v>126</v>
      </c>
      <c r="H84">
        <f>VLOOKUP($A84,ScionOutput!$A$3:$BL$215,10,FALSE)</f>
        <v>-137</v>
      </c>
      <c r="I84" s="4" t="str">
        <f>VLOOKUP($A84,ScionOutput!$A$3:$BL$215,45,FALSE)</f>
        <v>VisFave</v>
      </c>
      <c r="J84" s="4">
        <f>VLOOKUP($A84,ScionOutput!$A$3:$BL$215,46,FALSE)</f>
        <v>0</v>
      </c>
      <c r="K84" t="str">
        <f>VLOOKUP($A84,ScionOutput!$A$3:$BL$215,58,FALSE)</f>
        <v>No Play</v>
      </c>
      <c r="L84">
        <f>VLOOKUP($A84,ScionOutput!$A$3:$BL$215,59,FALSE)</f>
        <v>0</v>
      </c>
      <c r="M84">
        <f>VLOOKUP($A84,ScionOutput!$A$3:$BL$215,62,FALSE)</f>
        <v>0</v>
      </c>
      <c r="N84">
        <f>VLOOKUP($A84,ScionOutput!$A$3:$BL$215,63,FALSE)</f>
        <v>0</v>
      </c>
      <c r="O84" t="b">
        <f t="shared" si="9"/>
        <v>0</v>
      </c>
      <c r="P84">
        <f>VLOOKUP($A84,Outcomes!$B$3:$I$209,8,FALSE)</f>
        <v>12</v>
      </c>
      <c r="Q84">
        <f t="shared" si="10"/>
        <v>-1</v>
      </c>
      <c r="R84">
        <f>VLOOKUP($A84,Outcomes!$B$3:$I$209,5,FALSE)</f>
        <v>2</v>
      </c>
      <c r="S84">
        <f>VLOOKUP($A84,Outcomes!$B$3:$I$209,6,FALSE)</f>
        <v>10</v>
      </c>
      <c r="T84">
        <f>VLOOKUP($A84,Outcomes!$B$3:$I$209,7,FALSE)</f>
        <v>8</v>
      </c>
      <c r="U84" t="str">
        <f t="shared" si="11"/>
        <v>VisFave</v>
      </c>
      <c r="V84" s="5" t="str">
        <f t="shared" si="12"/>
        <v/>
      </c>
      <c r="W84" t="str">
        <f t="shared" si="8"/>
        <v/>
      </c>
      <c r="X84" t="str">
        <f t="shared" si="13"/>
        <v/>
      </c>
      <c r="Y84" t="str">
        <f t="shared" si="14"/>
        <v/>
      </c>
      <c r="Z84" s="2" t="str">
        <f t="shared" si="15"/>
        <v/>
      </c>
      <c r="AA84" t="str">
        <f>VLOOKUP($A84,ScionOutput!$A$3:$BL$215,64,FALSE)</f>
        <v xml:space="preserve">822726. VF plays are disallowed. No play due to strategy constraints. </v>
      </c>
    </row>
    <row r="85" spans="1:27" x14ac:dyDescent="0.2">
      <c r="A85">
        <v>823778</v>
      </c>
      <c r="B85" s="3">
        <f>VLOOKUP($A85,ScionOutput!$A$3:$BL$215,3,FALSE)</f>
        <v>46185</v>
      </c>
      <c r="C85">
        <f>VLOOKUP($A85,ScionOutput!$A$3:$BL$215,22,FALSE)</f>
        <v>17</v>
      </c>
      <c r="D85" t="str">
        <f>VLOOKUP($A85,ScionOutput!$A$3:$BL$215,23,FALSE)</f>
        <v>MLW</v>
      </c>
      <c r="E85">
        <f>VLOOKUP($A85,ScionOutput!$A$3:$BL$215,6,FALSE)</f>
        <v>21</v>
      </c>
      <c r="F85" t="str">
        <f>VLOOKUP($A85,ScionOutput!$A$3:$BL$215,7,FALSE)</f>
        <v>PHI</v>
      </c>
      <c r="G85">
        <f>VLOOKUP($A85,ScionOutput!$A$3:$BL$215,26,FALSE)</f>
        <v>-236</v>
      </c>
      <c r="H85">
        <f>VLOOKUP($A85,ScionOutput!$A$3:$BL$215,10,FALSE)</f>
        <v>213</v>
      </c>
      <c r="I85" s="4" t="str">
        <f>VLOOKUP($A85,ScionOutput!$A$3:$BL$215,45,FALSE)</f>
        <v>HomFave</v>
      </c>
      <c r="J85" s="4">
        <f>VLOOKUP($A85,ScionOutput!$A$3:$BL$215,46,FALSE)</f>
        <v>0</v>
      </c>
      <c r="K85" t="str">
        <f>VLOOKUP($A85,ScionOutput!$A$3:$BL$215,58,FALSE)</f>
        <v>No Play</v>
      </c>
      <c r="L85">
        <f>VLOOKUP($A85,ScionOutput!$A$3:$BL$215,59,FALSE)</f>
        <v>0</v>
      </c>
      <c r="M85">
        <f>VLOOKUP($A85,ScionOutput!$A$3:$BL$215,62,FALSE)</f>
        <v>0</v>
      </c>
      <c r="N85">
        <f>VLOOKUP($A85,ScionOutput!$A$3:$BL$215,63,FALSE)</f>
        <v>0</v>
      </c>
      <c r="O85" t="b">
        <f t="shared" si="9"/>
        <v>0</v>
      </c>
      <c r="P85">
        <f>VLOOKUP($A85,Outcomes!$B$3:$I$209,8,FALSE)</f>
        <v>6</v>
      </c>
      <c r="Q85">
        <f t="shared" si="10"/>
        <v>1</v>
      </c>
      <c r="R85">
        <f>VLOOKUP($A85,Outcomes!$B$3:$I$209,5,FALSE)</f>
        <v>6</v>
      </c>
      <c r="S85">
        <f>VLOOKUP($A85,Outcomes!$B$3:$I$209,6,FALSE)</f>
        <v>0</v>
      </c>
      <c r="T85">
        <f>VLOOKUP($A85,Outcomes!$B$3:$I$209,7,FALSE)</f>
        <v>-6</v>
      </c>
      <c r="U85" t="str">
        <f t="shared" si="11"/>
        <v>HomFave</v>
      </c>
      <c r="V85" s="5" t="str">
        <f t="shared" si="12"/>
        <v/>
      </c>
      <c r="W85" t="str">
        <f t="shared" si="8"/>
        <v/>
      </c>
      <c r="X85" t="str">
        <f t="shared" si="13"/>
        <v/>
      </c>
      <c r="Y85" t="str">
        <f t="shared" si="14"/>
        <v/>
      </c>
      <c r="Z85" s="2" t="str">
        <f t="shared" si="15"/>
        <v/>
      </c>
      <c r="AA85" t="str">
        <f>VLOOKUP($A85,ScionOutput!$A$3:$BL$215,64,FALSE)</f>
        <v xml:space="preserve">823778. V_SP is Null, team-based avg used. NoPlay as V_SP is Null. </v>
      </c>
    </row>
    <row r="86" spans="1:27" x14ac:dyDescent="0.2">
      <c r="A86">
        <v>823617</v>
      </c>
      <c r="B86" s="3">
        <f>VLOOKUP($A86,ScionOutput!$A$3:$BL$215,3,FALSE)</f>
        <v>46185</v>
      </c>
      <c r="C86">
        <f>VLOOKUP($A86,ScionOutput!$A$3:$BL$215,22,FALSE)</f>
        <v>18</v>
      </c>
      <c r="D86" t="str">
        <f>VLOOKUP($A86,ScionOutput!$A$3:$BL$215,23,FALSE)</f>
        <v>NYM</v>
      </c>
      <c r="E86">
        <f>VLOOKUP($A86,ScionOutput!$A$3:$BL$215,6,FALSE)</f>
        <v>0</v>
      </c>
      <c r="F86" t="str">
        <f>VLOOKUP($A86,ScionOutput!$A$3:$BL$215,7,FALSE)</f>
        <v>ATL</v>
      </c>
      <c r="G86">
        <f>VLOOKUP($A86,ScionOutput!$A$3:$BL$215,26,FALSE)</f>
        <v>-123</v>
      </c>
      <c r="H86">
        <f>VLOOKUP($A86,ScionOutput!$A$3:$BL$215,10,FALSE)</f>
        <v>113</v>
      </c>
      <c r="I86" s="4" t="str">
        <f>VLOOKUP($A86,ScionOutput!$A$3:$BL$215,45,FALSE)</f>
        <v>VisDog</v>
      </c>
      <c r="J86" s="4">
        <f>VLOOKUP($A86,ScionOutput!$A$3:$BL$215,46,FALSE)</f>
        <v>1</v>
      </c>
      <c r="K86" t="str">
        <f>VLOOKUP($A86,ScionOutput!$A$3:$BL$215,58,FALSE)</f>
        <v>VisDog</v>
      </c>
      <c r="L86">
        <f>VLOOKUP($A86,ScionOutput!$A$3:$BL$215,59,FALSE)</f>
        <v>-6.0199999999999997E-2</v>
      </c>
      <c r="M86">
        <f>VLOOKUP($A86,ScionOutput!$A$3:$BL$215,62,FALSE)</f>
        <v>5</v>
      </c>
      <c r="N86">
        <f>VLOOKUP($A86,ScionOutput!$A$3:$BL$215,63,FALSE)</f>
        <v>0.73</v>
      </c>
      <c r="O86" t="b">
        <f t="shared" si="9"/>
        <v>1</v>
      </c>
      <c r="P86">
        <f>VLOOKUP($A86,Outcomes!$B$3:$I$209,8,FALSE)</f>
        <v>12</v>
      </c>
      <c r="Q86">
        <f t="shared" si="10"/>
        <v>1</v>
      </c>
      <c r="R86">
        <f>VLOOKUP($A86,Outcomes!$B$3:$I$209,5,FALSE)</f>
        <v>7</v>
      </c>
      <c r="S86">
        <f>VLOOKUP($A86,Outcomes!$B$3:$I$209,6,FALSE)</f>
        <v>5</v>
      </c>
      <c r="T86">
        <f>VLOOKUP($A86,Outcomes!$B$3:$I$209,7,FALSE)</f>
        <v>-2</v>
      </c>
      <c r="U86" t="str">
        <f t="shared" si="11"/>
        <v>HomFave</v>
      </c>
      <c r="V86" s="5">
        <f t="shared" si="12"/>
        <v>0</v>
      </c>
      <c r="W86">
        <f t="shared" si="8"/>
        <v>100</v>
      </c>
      <c r="X86">
        <f t="shared" si="13"/>
        <v>0</v>
      </c>
      <c r="Y86">
        <f t="shared" si="14"/>
        <v>-100</v>
      </c>
      <c r="Z86" s="2">
        <f t="shared" si="15"/>
        <v>-1</v>
      </c>
      <c r="AA86" t="str">
        <f>VLOOKUP($A86,ScionOutput!$A$3:$BL$215,64,FALSE)</f>
        <v xml:space="preserve">823617. Play determined by LineStatEns and StatOnlyEns agreement. </v>
      </c>
    </row>
    <row r="87" spans="1:27" x14ac:dyDescent="0.2">
      <c r="A87">
        <v>824997</v>
      </c>
      <c r="B87" s="3">
        <f>VLOOKUP($A87,ScionOutput!$A$3:$BL$215,3,FALSE)</f>
        <v>46185</v>
      </c>
      <c r="C87">
        <f>VLOOKUP($A87,ScionOutput!$A$3:$BL$215,22,FALSE)</f>
        <v>20</v>
      </c>
      <c r="D87" t="str">
        <f>VLOOKUP($A87,ScionOutput!$A$3:$BL$215,23,FALSE)</f>
        <v>OAK</v>
      </c>
      <c r="E87">
        <f>VLOOKUP($A87,ScionOutput!$A$3:$BL$215,6,FALSE)</f>
        <v>8</v>
      </c>
      <c r="F87" t="str">
        <f>VLOOKUP($A87,ScionOutput!$A$3:$BL$215,7,FALSE)</f>
        <v>COL</v>
      </c>
      <c r="G87">
        <f>VLOOKUP($A87,ScionOutput!$A$3:$BL$215,26,FALSE)</f>
        <v>-207</v>
      </c>
      <c r="H87">
        <f>VLOOKUP($A87,ScionOutput!$A$3:$BL$215,10,FALSE)</f>
        <v>188</v>
      </c>
      <c r="I87" s="4" t="str">
        <f>VLOOKUP($A87,ScionOutput!$A$3:$BL$215,45,FALSE)</f>
        <v>HomFave</v>
      </c>
      <c r="J87" s="4">
        <f>VLOOKUP($A87,ScionOutput!$A$3:$BL$215,46,FALSE)</f>
        <v>0</v>
      </c>
      <c r="K87" t="str">
        <f>VLOOKUP($A87,ScionOutput!$A$3:$BL$215,58,FALSE)</f>
        <v>No Play</v>
      </c>
      <c r="L87">
        <f>VLOOKUP($A87,ScionOutput!$A$3:$BL$215,59,FALSE)</f>
        <v>0</v>
      </c>
      <c r="M87">
        <f>VLOOKUP($A87,ScionOutput!$A$3:$BL$215,62,FALSE)</f>
        <v>0</v>
      </c>
      <c r="N87">
        <f>VLOOKUP($A87,ScionOutput!$A$3:$BL$215,63,FALSE)</f>
        <v>0</v>
      </c>
      <c r="O87" t="b">
        <f t="shared" si="9"/>
        <v>0</v>
      </c>
      <c r="P87">
        <f>VLOOKUP($A87,Outcomes!$B$3:$I$209,8,FALSE)</f>
        <v>10</v>
      </c>
      <c r="Q87">
        <f t="shared" si="10"/>
        <v>1</v>
      </c>
      <c r="R87">
        <f>VLOOKUP($A87,Outcomes!$B$3:$I$209,5,FALSE)</f>
        <v>6</v>
      </c>
      <c r="S87">
        <f>VLOOKUP($A87,Outcomes!$B$3:$I$209,6,FALSE)</f>
        <v>4</v>
      </c>
      <c r="T87">
        <f>VLOOKUP($A87,Outcomes!$B$3:$I$209,7,FALSE)</f>
        <v>-2</v>
      </c>
      <c r="U87" t="str">
        <f t="shared" si="11"/>
        <v>HomFave</v>
      </c>
      <c r="V87" s="5" t="str">
        <f t="shared" si="12"/>
        <v/>
      </c>
      <c r="W87" t="str">
        <f t="shared" si="8"/>
        <v/>
      </c>
      <c r="X87" t="str">
        <f t="shared" si="13"/>
        <v/>
      </c>
      <c r="Y87" t="str">
        <f t="shared" si="14"/>
        <v/>
      </c>
      <c r="Z87" s="2" t="str">
        <f t="shared" si="15"/>
        <v/>
      </c>
      <c r="AA87" t="str">
        <f>VLOOKUP($A87,ScionOutput!$A$3:$BL$215,64,FALSE)</f>
        <v xml:space="preserve">824997. V_SP is Null, team-based avg used. NoPlay as V_SP is Null. </v>
      </c>
    </row>
    <row r="88" spans="1:27" x14ac:dyDescent="0.2">
      <c r="A88">
        <v>823370</v>
      </c>
      <c r="B88" s="3">
        <f>VLOOKUP($A88,ScionOutput!$A$3:$BL$215,3,FALSE)</f>
        <v>46185</v>
      </c>
      <c r="C88">
        <f>VLOOKUP($A88,ScionOutput!$A$3:$BL$215,22,FALSE)</f>
        <v>22</v>
      </c>
      <c r="D88" t="str">
        <f>VLOOKUP($A88,ScionOutput!$A$3:$BL$215,23,FALSE)</f>
        <v>PIT</v>
      </c>
      <c r="E88">
        <f>VLOOKUP($A88,ScionOutput!$A$3:$BL$215,6,FALSE)</f>
        <v>11</v>
      </c>
      <c r="F88" t="str">
        <f>VLOOKUP($A88,ScionOutput!$A$3:$BL$215,7,FALSE)</f>
        <v>FLO</v>
      </c>
      <c r="G88">
        <f>VLOOKUP($A88,ScionOutput!$A$3:$BL$215,26,FALSE)</f>
        <v>-137</v>
      </c>
      <c r="H88">
        <f>VLOOKUP($A88,ScionOutput!$A$3:$BL$215,10,FALSE)</f>
        <v>127</v>
      </c>
      <c r="I88" s="4" t="str">
        <f>VLOOKUP($A88,ScionOutput!$A$3:$BL$215,45,FALSE)</f>
        <v>HomFave</v>
      </c>
      <c r="J88" s="4">
        <f>VLOOKUP($A88,ScionOutput!$A$3:$BL$215,46,FALSE)</f>
        <v>0</v>
      </c>
      <c r="K88" t="str">
        <f>VLOOKUP($A88,ScionOutput!$A$3:$BL$215,58,FALSE)</f>
        <v>No Play</v>
      </c>
      <c r="L88">
        <f>VLOOKUP($A88,ScionOutput!$A$3:$BL$215,59,FALSE)</f>
        <v>0</v>
      </c>
      <c r="M88">
        <f>VLOOKUP($A88,ScionOutput!$A$3:$BL$215,62,FALSE)</f>
        <v>0</v>
      </c>
      <c r="N88">
        <f>VLOOKUP($A88,ScionOutput!$A$3:$BL$215,63,FALSE)</f>
        <v>0</v>
      </c>
      <c r="O88" t="b">
        <f t="shared" si="9"/>
        <v>0</v>
      </c>
      <c r="P88">
        <f>VLOOKUP($A88,Outcomes!$B$3:$I$209,8,FALSE)</f>
        <v>11</v>
      </c>
      <c r="Q88">
        <f t="shared" si="10"/>
        <v>-1</v>
      </c>
      <c r="R88">
        <f>VLOOKUP($A88,Outcomes!$B$3:$I$209,5,FALSE)</f>
        <v>3</v>
      </c>
      <c r="S88">
        <f>VLOOKUP($A88,Outcomes!$B$3:$I$209,6,FALSE)</f>
        <v>8</v>
      </c>
      <c r="T88">
        <f>VLOOKUP($A88,Outcomes!$B$3:$I$209,7,FALSE)</f>
        <v>5</v>
      </c>
      <c r="U88" t="str">
        <f t="shared" si="11"/>
        <v>VisDog</v>
      </c>
      <c r="V88" s="5" t="str">
        <f t="shared" si="12"/>
        <v/>
      </c>
      <c r="W88" t="str">
        <f t="shared" si="8"/>
        <v/>
      </c>
      <c r="X88" t="str">
        <f t="shared" si="13"/>
        <v/>
      </c>
      <c r="Y88" t="str">
        <f t="shared" si="14"/>
        <v/>
      </c>
      <c r="Z88" s="2" t="str">
        <f t="shared" si="15"/>
        <v/>
      </c>
      <c r="AA88" t="str">
        <f>VLOOKUP($A88,ScionOutput!$A$3:$BL$215,64,FALSE)</f>
        <v xml:space="preserve">823370. LineStatEns probability points gap does not exceed threshold (no edge found)! StatOnlyEns probability points gap does not exceed threshold (no edge found)! No play due to strategy constraints. </v>
      </c>
    </row>
    <row r="89" spans="1:27" x14ac:dyDescent="0.2">
      <c r="A89">
        <v>823211</v>
      </c>
      <c r="B89" s="3">
        <f>VLOOKUP($A89,ScionOutput!$A$3:$BL$215,3,FALSE)</f>
        <v>46185</v>
      </c>
      <c r="C89">
        <f>VLOOKUP($A89,ScionOutput!$A$3:$BL$215,22,FALSE)</f>
        <v>25</v>
      </c>
      <c r="D89" t="str">
        <f>VLOOKUP($A89,ScionOutput!$A$3:$BL$215,23,FALSE)</f>
        <v>SF</v>
      </c>
      <c r="E89">
        <f>VLOOKUP($A89,ScionOutput!$A$3:$BL$215,6,FALSE)</f>
        <v>5</v>
      </c>
      <c r="F89" t="str">
        <f>VLOOKUP($A89,ScionOutput!$A$3:$BL$215,7,FALSE)</f>
        <v>CHC</v>
      </c>
      <c r="G89">
        <f>VLOOKUP($A89,ScionOutput!$A$3:$BL$215,26,FALSE)</f>
        <v>-120</v>
      </c>
      <c r="H89">
        <f>VLOOKUP($A89,ScionOutput!$A$3:$BL$215,10,FALSE)</f>
        <v>111</v>
      </c>
      <c r="I89" s="4" t="str">
        <f>VLOOKUP($A89,ScionOutput!$A$3:$BL$215,45,FALSE)</f>
        <v>HomFave</v>
      </c>
      <c r="J89" s="4">
        <f>VLOOKUP($A89,ScionOutput!$A$3:$BL$215,46,FALSE)</f>
        <v>0</v>
      </c>
      <c r="K89" t="str">
        <f>VLOOKUP($A89,ScionOutput!$A$3:$BL$215,58,FALSE)</f>
        <v>No Play</v>
      </c>
      <c r="L89">
        <f>VLOOKUP($A89,ScionOutput!$A$3:$BL$215,59,FALSE)</f>
        <v>0</v>
      </c>
      <c r="M89">
        <f>VLOOKUP($A89,ScionOutput!$A$3:$BL$215,62,FALSE)</f>
        <v>0</v>
      </c>
      <c r="N89">
        <f>VLOOKUP($A89,ScionOutput!$A$3:$BL$215,63,FALSE)</f>
        <v>0</v>
      </c>
      <c r="O89" t="b">
        <f t="shared" si="9"/>
        <v>0</v>
      </c>
      <c r="P89">
        <f>VLOOKUP($A89,Outcomes!$B$3:$I$209,8,FALSE)</f>
        <v>6</v>
      </c>
      <c r="Q89">
        <f t="shared" si="10"/>
        <v>-1</v>
      </c>
      <c r="R89">
        <f>VLOOKUP($A89,Outcomes!$B$3:$I$209,5,FALSE)</f>
        <v>1</v>
      </c>
      <c r="S89">
        <f>VLOOKUP($A89,Outcomes!$B$3:$I$209,6,FALSE)</f>
        <v>5</v>
      </c>
      <c r="T89">
        <f>VLOOKUP($A89,Outcomes!$B$3:$I$209,7,FALSE)</f>
        <v>4</v>
      </c>
      <c r="U89" t="str">
        <f t="shared" si="11"/>
        <v>VisDog</v>
      </c>
      <c r="V89" s="5" t="str">
        <f t="shared" si="12"/>
        <v/>
      </c>
      <c r="W89" t="str">
        <f t="shared" si="8"/>
        <v/>
      </c>
      <c r="X89" t="str">
        <f t="shared" si="13"/>
        <v/>
      </c>
      <c r="Y89" t="str">
        <f t="shared" si="14"/>
        <v/>
      </c>
      <c r="Z89" s="2" t="str">
        <f t="shared" si="15"/>
        <v/>
      </c>
      <c r="AA89" t="str">
        <f>VLOOKUP($A89,ScionOutput!$A$3:$BL$215,64,FALSE)</f>
        <v xml:space="preserve">823211. LineStatEns probability points gap does not exceed threshold (no edge found)! No play due to strategy constraints. </v>
      </c>
    </row>
    <row r="90" spans="1:27" x14ac:dyDescent="0.2">
      <c r="A90">
        <v>822803</v>
      </c>
      <c r="B90" s="3">
        <f>VLOOKUP($A90,ScionOutput!$A$3:$BL$215,3,FALSE)</f>
        <v>46185</v>
      </c>
      <c r="C90">
        <f>VLOOKUP($A90,ScionOutput!$A$3:$BL$215,22,FALSE)</f>
        <v>29</v>
      </c>
      <c r="D90" t="str">
        <f>VLOOKUP($A90,ScionOutput!$A$3:$BL$215,23,FALSE)</f>
        <v>TOR</v>
      </c>
      <c r="E90">
        <f>VLOOKUP($A90,ScionOutput!$A$3:$BL$215,6,FALSE)</f>
        <v>19</v>
      </c>
      <c r="F90" t="str">
        <f>VLOOKUP($A90,ScionOutput!$A$3:$BL$215,7,FALSE)</f>
        <v>NYY</v>
      </c>
      <c r="G90">
        <f>VLOOKUP($A90,ScionOutput!$A$3:$BL$215,26,FALSE)</f>
        <v>-108</v>
      </c>
      <c r="H90">
        <f>VLOOKUP($A90,ScionOutput!$A$3:$BL$215,10,FALSE)</f>
        <v>100</v>
      </c>
      <c r="I90" s="4" t="str">
        <f>VLOOKUP($A90,ScionOutput!$A$3:$BL$215,45,FALSE)</f>
        <v>VisDog</v>
      </c>
      <c r="J90" s="4">
        <f>VLOOKUP($A90,ScionOutput!$A$3:$BL$215,46,FALSE)</f>
        <v>1</v>
      </c>
      <c r="K90" t="str">
        <f>VLOOKUP($A90,ScionOutput!$A$3:$BL$215,58,FALSE)</f>
        <v>VisDog</v>
      </c>
      <c r="L90">
        <f>VLOOKUP($A90,ScionOutput!$A$3:$BL$215,59,FALSE)</f>
        <v>-2.9430000000000001E-2</v>
      </c>
      <c r="M90">
        <f>VLOOKUP($A90,ScionOutput!$A$3:$BL$215,62,FALSE)</f>
        <v>5</v>
      </c>
      <c r="N90">
        <f>VLOOKUP($A90,ScionOutput!$A$3:$BL$215,63,FALSE)</f>
        <v>0.8</v>
      </c>
      <c r="O90" t="b">
        <f t="shared" si="9"/>
        <v>1</v>
      </c>
      <c r="P90">
        <f>VLOOKUP($A90,Outcomes!$B$3:$I$209,8,FALSE)</f>
        <v>13</v>
      </c>
      <c r="Q90">
        <f t="shared" si="10"/>
        <v>1</v>
      </c>
      <c r="R90">
        <f>VLOOKUP($A90,Outcomes!$B$3:$I$209,5,FALSE)</f>
        <v>8</v>
      </c>
      <c r="S90">
        <f>VLOOKUP($A90,Outcomes!$B$3:$I$209,6,FALSE)</f>
        <v>5</v>
      </c>
      <c r="T90">
        <f>VLOOKUP($A90,Outcomes!$B$3:$I$209,7,FALSE)</f>
        <v>-3</v>
      </c>
      <c r="U90" t="str">
        <f t="shared" si="11"/>
        <v>HomFave</v>
      </c>
      <c r="V90" s="5">
        <f t="shared" si="12"/>
        <v>0</v>
      </c>
      <c r="W90">
        <f t="shared" si="8"/>
        <v>100</v>
      </c>
      <c r="X90">
        <f t="shared" si="13"/>
        <v>0</v>
      </c>
      <c r="Y90">
        <f t="shared" si="14"/>
        <v>-100</v>
      </c>
      <c r="Z90" s="2">
        <f t="shared" si="15"/>
        <v>-1</v>
      </c>
      <c r="AA90" t="str">
        <f>VLOOKUP($A90,ScionOutput!$A$3:$BL$215,64,FALSE)</f>
        <v xml:space="preserve">822803. Play determined by LineStatEns and StatOnlyEns agreement. </v>
      </c>
    </row>
    <row r="91" spans="1:27" x14ac:dyDescent="0.2">
      <c r="A91">
        <v>824828</v>
      </c>
      <c r="B91" s="3">
        <f>VLOOKUP($A91,ScionOutput!$A$3:$BL$215,3,FALSE)</f>
        <v>46186</v>
      </c>
      <c r="C91">
        <f>VLOOKUP($A91,ScionOutput!$A$3:$BL$215,22,FALSE)</f>
        <v>2</v>
      </c>
      <c r="D91" t="str">
        <f>VLOOKUP($A91,ScionOutput!$A$3:$BL$215,23,FALSE)</f>
        <v>BAL</v>
      </c>
      <c r="E91">
        <f>VLOOKUP($A91,ScionOutput!$A$3:$BL$215,6,FALSE)</f>
        <v>23</v>
      </c>
      <c r="F91" t="str">
        <f>VLOOKUP($A91,ScionOutput!$A$3:$BL$215,7,FALSE)</f>
        <v>SD</v>
      </c>
      <c r="G91">
        <f>VLOOKUP($A91,ScionOutput!$A$3:$BL$215,26,FALSE)</f>
        <v>-116</v>
      </c>
      <c r="H91">
        <f>VLOOKUP($A91,ScionOutput!$A$3:$BL$215,10,FALSE)</f>
        <v>107</v>
      </c>
      <c r="I91" s="4" t="str">
        <f>VLOOKUP($A91,ScionOutput!$A$3:$BL$215,45,FALSE)</f>
        <v>HomFave</v>
      </c>
      <c r="J91" s="4">
        <f>VLOOKUP($A91,ScionOutput!$A$3:$BL$215,46,FALSE)</f>
        <v>0</v>
      </c>
      <c r="K91" t="str">
        <f>VLOOKUP($A91,ScionOutput!$A$3:$BL$215,58,FALSE)</f>
        <v>No Play</v>
      </c>
      <c r="L91">
        <f>VLOOKUP($A91,ScionOutput!$A$3:$BL$215,59,FALSE)</f>
        <v>0</v>
      </c>
      <c r="M91">
        <f>VLOOKUP($A91,ScionOutput!$A$3:$BL$215,62,FALSE)</f>
        <v>0</v>
      </c>
      <c r="N91">
        <f>VLOOKUP($A91,ScionOutput!$A$3:$BL$215,63,FALSE)</f>
        <v>0</v>
      </c>
      <c r="O91" t="b">
        <f t="shared" si="9"/>
        <v>0</v>
      </c>
      <c r="P91">
        <f>VLOOKUP($A91,Outcomes!$B$3:$I$209,8,FALSE)</f>
        <v>12</v>
      </c>
      <c r="Q91">
        <f t="shared" si="10"/>
        <v>-1</v>
      </c>
      <c r="R91">
        <f>VLOOKUP($A91,Outcomes!$B$3:$I$209,5,FALSE)</f>
        <v>3</v>
      </c>
      <c r="S91">
        <f>VLOOKUP($A91,Outcomes!$B$3:$I$209,6,FALSE)</f>
        <v>9</v>
      </c>
      <c r="T91">
        <f>VLOOKUP($A91,Outcomes!$B$3:$I$209,7,FALSE)</f>
        <v>6</v>
      </c>
      <c r="U91" t="str">
        <f t="shared" si="11"/>
        <v>VisDog</v>
      </c>
      <c r="V91" s="5" t="str">
        <f t="shared" si="12"/>
        <v/>
      </c>
      <c r="W91" t="str">
        <f t="shared" si="8"/>
        <v/>
      </c>
      <c r="X91" t="str">
        <f t="shared" si="13"/>
        <v/>
      </c>
      <c r="Y91" t="str">
        <f t="shared" si="14"/>
        <v/>
      </c>
      <c r="Z91" s="2" t="str">
        <f t="shared" si="15"/>
        <v/>
      </c>
      <c r="AA91" t="str">
        <f>VLOOKUP($A91,ScionOutput!$A$3:$BL$215,64,FALSE)</f>
        <v xml:space="preserve">824828. LineStatEns probability points gap does not exceed threshold (no edge found)! StatOnlyEns probability points gap does not exceed threshold (no edge found)! No play due to strategy constraints. </v>
      </c>
    </row>
    <row r="92" spans="1:27" x14ac:dyDescent="0.2">
      <c r="A92">
        <v>824749</v>
      </c>
      <c r="B92" s="3">
        <f>VLOOKUP($A92,ScionOutput!$A$3:$BL$215,3,FALSE)</f>
        <v>46186</v>
      </c>
      <c r="C92">
        <f>VLOOKUP($A92,ScionOutput!$A$3:$BL$215,22,FALSE)</f>
        <v>3</v>
      </c>
      <c r="D92" t="str">
        <f>VLOOKUP($A92,ScionOutput!$A$3:$BL$215,23,FALSE)</f>
        <v>BOS</v>
      </c>
      <c r="E92">
        <f>VLOOKUP($A92,ScionOutput!$A$3:$BL$215,6,FALSE)</f>
        <v>28</v>
      </c>
      <c r="F92" t="str">
        <f>VLOOKUP($A92,ScionOutput!$A$3:$BL$215,7,FALSE)</f>
        <v>TEX</v>
      </c>
      <c r="G92">
        <f>VLOOKUP($A92,ScionOutput!$A$3:$BL$215,26,FALSE)</f>
        <v>-111</v>
      </c>
      <c r="H92">
        <f>VLOOKUP($A92,ScionOutput!$A$3:$BL$215,10,FALSE)</f>
        <v>102</v>
      </c>
      <c r="I92" s="4" t="str">
        <f>VLOOKUP($A92,ScionOutput!$A$3:$BL$215,45,FALSE)</f>
        <v>HomFave</v>
      </c>
      <c r="J92" s="4">
        <f>VLOOKUP($A92,ScionOutput!$A$3:$BL$215,46,FALSE)</f>
        <v>0</v>
      </c>
      <c r="K92" t="str">
        <f>VLOOKUP($A92,ScionOutput!$A$3:$BL$215,58,FALSE)</f>
        <v>No Play</v>
      </c>
      <c r="L92">
        <f>VLOOKUP($A92,ScionOutput!$A$3:$BL$215,59,FALSE)</f>
        <v>0</v>
      </c>
      <c r="M92">
        <f>VLOOKUP($A92,ScionOutput!$A$3:$BL$215,62,FALSE)</f>
        <v>0</v>
      </c>
      <c r="N92">
        <f>VLOOKUP($A92,ScionOutput!$A$3:$BL$215,63,FALSE)</f>
        <v>0</v>
      </c>
      <c r="O92" t="b">
        <f t="shared" si="9"/>
        <v>0</v>
      </c>
      <c r="P92">
        <f>VLOOKUP($A92,Outcomes!$B$3:$I$209,8,FALSE)</f>
        <v>9</v>
      </c>
      <c r="Q92">
        <f t="shared" si="10"/>
        <v>1</v>
      </c>
      <c r="R92">
        <f>VLOOKUP($A92,Outcomes!$B$3:$I$209,5,FALSE)</f>
        <v>6</v>
      </c>
      <c r="S92">
        <f>VLOOKUP($A92,Outcomes!$B$3:$I$209,6,FALSE)</f>
        <v>3</v>
      </c>
      <c r="T92">
        <f>VLOOKUP($A92,Outcomes!$B$3:$I$209,7,FALSE)</f>
        <v>-3</v>
      </c>
      <c r="U92" t="str">
        <f t="shared" si="11"/>
        <v>HomFave</v>
      </c>
      <c r="V92" s="5" t="str">
        <f t="shared" si="12"/>
        <v/>
      </c>
      <c r="W92" t="str">
        <f t="shared" si="8"/>
        <v/>
      </c>
      <c r="X92" t="str">
        <f t="shared" si="13"/>
        <v/>
      </c>
      <c r="Y92" t="str">
        <f t="shared" si="14"/>
        <v/>
      </c>
      <c r="Z92" s="2" t="str">
        <f t="shared" si="15"/>
        <v/>
      </c>
      <c r="AA92" t="str">
        <f>VLOOKUP($A92,ScionOutput!$A$3:$BL$215,64,FALSE)</f>
        <v xml:space="preserve">824749. LineStatEns probability points gap does not exceed threshold (no edge found)! StatOnlyEns probability points gap does not exceed threshold (no edge found)! No play due to strategy constraints. </v>
      </c>
    </row>
    <row r="93" spans="1:27" x14ac:dyDescent="0.2">
      <c r="A93">
        <v>824019</v>
      </c>
      <c r="B93" s="3">
        <f>VLOOKUP($A93,ScionOutput!$A$3:$BL$215,3,FALSE)</f>
        <v>46186</v>
      </c>
      <c r="C93">
        <f>VLOOKUP($A93,ScionOutput!$A$3:$BL$215,22,FALSE)</f>
        <v>4</v>
      </c>
      <c r="D93" t="str">
        <f>VLOOKUP($A93,ScionOutput!$A$3:$BL$215,23,FALSE)</f>
        <v>LAA</v>
      </c>
      <c r="E93">
        <f>VLOOKUP($A93,ScionOutput!$A$3:$BL$215,6,FALSE)</f>
        <v>27</v>
      </c>
      <c r="F93" t="str">
        <f>VLOOKUP($A93,ScionOutput!$A$3:$BL$215,7,FALSE)</f>
        <v>TB</v>
      </c>
      <c r="G93">
        <f>VLOOKUP($A93,ScionOutput!$A$3:$BL$215,26,FALSE)</f>
        <v>102</v>
      </c>
      <c r="H93">
        <f>VLOOKUP($A93,ScionOutput!$A$3:$BL$215,10,FALSE)</f>
        <v>-110</v>
      </c>
      <c r="I93" s="4" t="str">
        <f>VLOOKUP($A93,ScionOutput!$A$3:$BL$215,45,FALSE)</f>
        <v>VisFave</v>
      </c>
      <c r="J93" s="4">
        <f>VLOOKUP($A93,ScionOutput!$A$3:$BL$215,46,FALSE)</f>
        <v>0</v>
      </c>
      <c r="K93" t="str">
        <f>VLOOKUP($A93,ScionOutput!$A$3:$BL$215,58,FALSE)</f>
        <v>No Play</v>
      </c>
      <c r="L93">
        <f>VLOOKUP($A93,ScionOutput!$A$3:$BL$215,59,FALSE)</f>
        <v>0</v>
      </c>
      <c r="M93">
        <f>VLOOKUP($A93,ScionOutput!$A$3:$BL$215,62,FALSE)</f>
        <v>0</v>
      </c>
      <c r="N93">
        <f>VLOOKUP($A93,ScionOutput!$A$3:$BL$215,63,FALSE)</f>
        <v>0</v>
      </c>
      <c r="O93" t="b">
        <f t="shared" si="9"/>
        <v>0</v>
      </c>
      <c r="P93">
        <f>VLOOKUP($A93,Outcomes!$B$3:$I$209,8,FALSE)</f>
        <v>8</v>
      </c>
      <c r="Q93">
        <f t="shared" si="10"/>
        <v>1</v>
      </c>
      <c r="R93">
        <f>VLOOKUP($A93,Outcomes!$B$3:$I$209,5,FALSE)</f>
        <v>8</v>
      </c>
      <c r="S93">
        <f>VLOOKUP($A93,Outcomes!$B$3:$I$209,6,FALSE)</f>
        <v>0</v>
      </c>
      <c r="T93">
        <f>VLOOKUP($A93,Outcomes!$B$3:$I$209,7,FALSE)</f>
        <v>-8</v>
      </c>
      <c r="U93" t="str">
        <f t="shared" si="11"/>
        <v>HomDog</v>
      </c>
      <c r="V93" s="5" t="str">
        <f t="shared" si="12"/>
        <v/>
      </c>
      <c r="W93" t="str">
        <f t="shared" si="8"/>
        <v/>
      </c>
      <c r="X93" t="str">
        <f t="shared" si="13"/>
        <v/>
      </c>
      <c r="Y93" t="str">
        <f t="shared" si="14"/>
        <v/>
      </c>
      <c r="Z93" s="2" t="str">
        <f t="shared" si="15"/>
        <v/>
      </c>
      <c r="AA93" t="str">
        <f>VLOOKUP($A93,ScionOutput!$A$3:$BL$215,64,FALSE)</f>
        <v xml:space="preserve">824019. VF plays are disallowed. No play due to strategy constraints. </v>
      </c>
    </row>
    <row r="94" spans="1:27" x14ac:dyDescent="0.2">
      <c r="A94">
        <v>824508</v>
      </c>
      <c r="B94" s="3">
        <f>VLOOKUP($A94,ScionOutput!$A$3:$BL$215,3,FALSE)</f>
        <v>46186</v>
      </c>
      <c r="C94">
        <f>VLOOKUP($A94,ScionOutput!$A$3:$BL$215,22,FALSE)</f>
        <v>6</v>
      </c>
      <c r="D94" t="str">
        <f>VLOOKUP($A94,ScionOutput!$A$3:$BL$215,23,FALSE)</f>
        <v>CIN</v>
      </c>
      <c r="E94">
        <f>VLOOKUP($A94,ScionOutput!$A$3:$BL$215,6,FALSE)</f>
        <v>1</v>
      </c>
      <c r="F94" t="str">
        <f>VLOOKUP($A94,ScionOutput!$A$3:$BL$215,7,FALSE)</f>
        <v>ARZ</v>
      </c>
      <c r="G94">
        <f>VLOOKUP($A94,ScionOutput!$A$3:$BL$215,26,FALSE)</f>
        <v>136</v>
      </c>
      <c r="H94">
        <f>VLOOKUP($A94,ScionOutput!$A$3:$BL$215,10,FALSE)</f>
        <v>-148</v>
      </c>
      <c r="I94" s="4" t="str">
        <f>VLOOKUP($A94,ScionOutput!$A$3:$BL$215,45,FALSE)</f>
        <v>VisFave</v>
      </c>
      <c r="J94" s="4">
        <f>VLOOKUP($A94,ScionOutput!$A$3:$BL$215,46,FALSE)</f>
        <v>0</v>
      </c>
      <c r="K94" t="str">
        <f>VLOOKUP($A94,ScionOutput!$A$3:$BL$215,58,FALSE)</f>
        <v>No Play</v>
      </c>
      <c r="L94">
        <f>VLOOKUP($A94,ScionOutput!$A$3:$BL$215,59,FALSE)</f>
        <v>0</v>
      </c>
      <c r="M94">
        <f>VLOOKUP($A94,ScionOutput!$A$3:$BL$215,62,FALSE)</f>
        <v>0</v>
      </c>
      <c r="N94">
        <f>VLOOKUP($A94,ScionOutput!$A$3:$BL$215,63,FALSE)</f>
        <v>0</v>
      </c>
      <c r="O94" t="b">
        <f t="shared" si="9"/>
        <v>0</v>
      </c>
      <c r="P94">
        <f>VLOOKUP($A94,Outcomes!$B$3:$I$209,8,FALSE)</f>
        <v>3</v>
      </c>
      <c r="Q94">
        <f t="shared" si="10"/>
        <v>1</v>
      </c>
      <c r="R94">
        <f>VLOOKUP($A94,Outcomes!$B$3:$I$209,5,FALSE)</f>
        <v>2</v>
      </c>
      <c r="S94">
        <f>VLOOKUP($A94,Outcomes!$B$3:$I$209,6,FALSE)</f>
        <v>1</v>
      </c>
      <c r="T94">
        <f>VLOOKUP($A94,Outcomes!$B$3:$I$209,7,FALSE)</f>
        <v>-1</v>
      </c>
      <c r="U94" t="str">
        <f t="shared" si="11"/>
        <v>HomDog</v>
      </c>
      <c r="V94" s="5" t="str">
        <f t="shared" si="12"/>
        <v/>
      </c>
      <c r="W94" t="str">
        <f t="shared" si="8"/>
        <v/>
      </c>
      <c r="X94" t="str">
        <f t="shared" si="13"/>
        <v/>
      </c>
      <c r="Y94" t="str">
        <f t="shared" si="14"/>
        <v/>
      </c>
      <c r="Z94" s="2" t="str">
        <f t="shared" si="15"/>
        <v/>
      </c>
      <c r="AA94" t="str">
        <f>VLOOKUP($A94,ScionOutput!$A$3:$BL$215,64,FALSE)</f>
        <v xml:space="preserve">824508. VF plays are disallowed. No play due to strategy constraints. </v>
      </c>
    </row>
    <row r="95" spans="1:27" x14ac:dyDescent="0.2">
      <c r="A95">
        <v>824426</v>
      </c>
      <c r="B95" s="3">
        <f>VLOOKUP($A95,ScionOutput!$A$3:$BL$215,3,FALSE)</f>
        <v>46186</v>
      </c>
      <c r="C95">
        <f>VLOOKUP($A95,ScionOutput!$A$3:$BL$215,22,FALSE)</f>
        <v>7</v>
      </c>
      <c r="D95" t="str">
        <f>VLOOKUP($A95,ScionOutput!$A$3:$BL$215,23,FALSE)</f>
        <v>CLE</v>
      </c>
      <c r="E95">
        <f>VLOOKUP($A95,ScionOutput!$A$3:$BL$215,6,FALSE)</f>
        <v>10</v>
      </c>
      <c r="F95" t="str">
        <f>VLOOKUP($A95,ScionOutput!$A$3:$BL$215,7,FALSE)</f>
        <v>DET</v>
      </c>
      <c r="G95">
        <f>VLOOKUP($A95,ScionOutput!$A$3:$BL$215,26,FALSE)</f>
        <v>121</v>
      </c>
      <c r="H95">
        <f>VLOOKUP($A95,ScionOutput!$A$3:$BL$215,10,FALSE)</f>
        <v>-131</v>
      </c>
      <c r="I95" s="4" t="str">
        <f>VLOOKUP($A95,ScionOutput!$A$3:$BL$215,45,FALSE)</f>
        <v>VisFave</v>
      </c>
      <c r="J95" s="4">
        <f>VLOOKUP($A95,ScionOutput!$A$3:$BL$215,46,FALSE)</f>
        <v>0</v>
      </c>
      <c r="K95" t="str">
        <f>VLOOKUP($A95,ScionOutput!$A$3:$BL$215,58,FALSE)</f>
        <v>No Play</v>
      </c>
      <c r="L95">
        <f>VLOOKUP($A95,ScionOutput!$A$3:$BL$215,59,FALSE)</f>
        <v>0</v>
      </c>
      <c r="M95">
        <f>VLOOKUP($A95,ScionOutput!$A$3:$BL$215,62,FALSE)</f>
        <v>0</v>
      </c>
      <c r="N95">
        <f>VLOOKUP($A95,ScionOutput!$A$3:$BL$215,63,FALSE)</f>
        <v>0</v>
      </c>
      <c r="O95" t="b">
        <f t="shared" si="9"/>
        <v>0</v>
      </c>
      <c r="P95">
        <f>VLOOKUP($A95,Outcomes!$B$3:$I$209,8,FALSE)</f>
        <v>4</v>
      </c>
      <c r="Q95">
        <f t="shared" si="10"/>
        <v>1</v>
      </c>
      <c r="R95">
        <f>VLOOKUP($A95,Outcomes!$B$3:$I$209,5,FALSE)</f>
        <v>3</v>
      </c>
      <c r="S95">
        <f>VLOOKUP($A95,Outcomes!$B$3:$I$209,6,FALSE)</f>
        <v>1</v>
      </c>
      <c r="T95">
        <f>VLOOKUP($A95,Outcomes!$B$3:$I$209,7,FALSE)</f>
        <v>-2</v>
      </c>
      <c r="U95" t="str">
        <f t="shared" si="11"/>
        <v>HomDog</v>
      </c>
      <c r="V95" s="5" t="str">
        <f t="shared" si="12"/>
        <v/>
      </c>
      <c r="W95" t="str">
        <f t="shared" si="8"/>
        <v/>
      </c>
      <c r="X95" t="str">
        <f t="shared" si="13"/>
        <v/>
      </c>
      <c r="Y95" t="str">
        <f t="shared" si="14"/>
        <v/>
      </c>
      <c r="Z95" s="2" t="str">
        <f t="shared" si="15"/>
        <v/>
      </c>
      <c r="AA95" t="str">
        <f>VLOOKUP($A95,ScionOutput!$A$3:$BL$215,64,FALSE)</f>
        <v xml:space="preserve">824426. VF plays are disallowed. No play due to strategy constraints. </v>
      </c>
    </row>
    <row r="96" spans="1:27" x14ac:dyDescent="0.2">
      <c r="A96">
        <v>824587</v>
      </c>
      <c r="B96" s="3">
        <f>VLOOKUP($A96,ScionOutput!$A$3:$BL$215,3,FALSE)</f>
        <v>46186</v>
      </c>
      <c r="C96">
        <f>VLOOKUP($A96,ScionOutput!$A$3:$BL$215,22,FALSE)</f>
        <v>9</v>
      </c>
      <c r="D96" t="str">
        <f>VLOOKUP($A96,ScionOutput!$A$3:$BL$215,23,FALSE)</f>
        <v>CWS</v>
      </c>
      <c r="E96">
        <f>VLOOKUP($A96,ScionOutput!$A$3:$BL$215,6,FALSE)</f>
        <v>14</v>
      </c>
      <c r="F96" t="str">
        <f>VLOOKUP($A96,ScionOutput!$A$3:$BL$215,7,FALSE)</f>
        <v>LA</v>
      </c>
      <c r="G96">
        <f>VLOOKUP($A96,ScionOutput!$A$3:$BL$215,26,FALSE)</f>
        <v>185</v>
      </c>
      <c r="H96">
        <f>VLOOKUP($A96,ScionOutput!$A$3:$BL$215,10,FALSE)</f>
        <v>-203</v>
      </c>
      <c r="I96" s="4" t="str">
        <f>VLOOKUP($A96,ScionOutput!$A$3:$BL$215,45,FALSE)</f>
        <v>VisFave</v>
      </c>
      <c r="J96" s="4">
        <f>VLOOKUP($A96,ScionOutput!$A$3:$BL$215,46,FALSE)</f>
        <v>0</v>
      </c>
      <c r="K96" t="str">
        <f>VLOOKUP($A96,ScionOutput!$A$3:$BL$215,58,FALSE)</f>
        <v>No Play</v>
      </c>
      <c r="L96">
        <f>VLOOKUP($A96,ScionOutput!$A$3:$BL$215,59,FALSE)</f>
        <v>0</v>
      </c>
      <c r="M96">
        <f>VLOOKUP($A96,ScionOutput!$A$3:$BL$215,62,FALSE)</f>
        <v>0</v>
      </c>
      <c r="N96">
        <f>VLOOKUP($A96,ScionOutput!$A$3:$BL$215,63,FALSE)</f>
        <v>0</v>
      </c>
      <c r="O96" t="b">
        <f t="shared" si="9"/>
        <v>0</v>
      </c>
      <c r="P96">
        <f>VLOOKUP($A96,Outcomes!$B$3:$I$209,8,FALSE)</f>
        <v>8</v>
      </c>
      <c r="Q96">
        <f t="shared" si="10"/>
        <v>-1</v>
      </c>
      <c r="R96">
        <f>VLOOKUP($A96,Outcomes!$B$3:$I$209,5,FALSE)</f>
        <v>1</v>
      </c>
      <c r="S96">
        <f>VLOOKUP($A96,Outcomes!$B$3:$I$209,6,FALSE)</f>
        <v>7</v>
      </c>
      <c r="T96">
        <f>VLOOKUP($A96,Outcomes!$B$3:$I$209,7,FALSE)</f>
        <v>6</v>
      </c>
      <c r="U96" t="str">
        <f t="shared" si="11"/>
        <v>VisFave</v>
      </c>
      <c r="V96" s="5" t="str">
        <f t="shared" si="12"/>
        <v/>
      </c>
      <c r="W96" t="str">
        <f t="shared" si="8"/>
        <v/>
      </c>
      <c r="X96" t="str">
        <f t="shared" si="13"/>
        <v/>
      </c>
      <c r="Y96" t="str">
        <f t="shared" si="14"/>
        <v/>
      </c>
      <c r="Z96" s="2" t="str">
        <f t="shared" si="15"/>
        <v/>
      </c>
      <c r="AA96" t="str">
        <f>VLOOKUP($A96,ScionOutput!$A$3:$BL$215,64,FALSE)</f>
        <v xml:space="preserve">824587. LineStatEns is NoPlay as bookie-line outside range. StatOnlyEns is NoPlay as bookie-line outside range. No play due to strategy constraints. </v>
      </c>
    </row>
    <row r="97" spans="1:27" x14ac:dyDescent="0.2">
      <c r="A97">
        <v>824100</v>
      </c>
      <c r="B97" s="3">
        <f>VLOOKUP($A97,ScionOutput!$A$3:$BL$215,3,FALSE)</f>
        <v>46186</v>
      </c>
      <c r="C97">
        <f>VLOOKUP($A97,ScionOutput!$A$3:$BL$215,22,FALSE)</f>
        <v>13</v>
      </c>
      <c r="D97" t="str">
        <f>VLOOKUP($A97,ScionOutput!$A$3:$BL$215,23,FALSE)</f>
        <v>KC</v>
      </c>
      <c r="E97">
        <f>VLOOKUP($A97,ScionOutput!$A$3:$BL$215,6,FALSE)</f>
        <v>12</v>
      </c>
      <c r="F97" t="str">
        <f>VLOOKUP($A97,ScionOutput!$A$3:$BL$215,7,FALSE)</f>
        <v>HOU</v>
      </c>
      <c r="G97">
        <f>VLOOKUP($A97,ScionOutput!$A$3:$BL$215,26,FALSE)</f>
        <v>-121</v>
      </c>
      <c r="H97">
        <f>VLOOKUP($A97,ScionOutput!$A$3:$BL$215,10,FALSE)</f>
        <v>112</v>
      </c>
      <c r="I97" s="4" t="str">
        <f>VLOOKUP($A97,ScionOutput!$A$3:$BL$215,45,FALSE)</f>
        <v>VisDog</v>
      </c>
      <c r="J97" s="4">
        <f>VLOOKUP($A97,ScionOutput!$A$3:$BL$215,46,FALSE)</f>
        <v>1</v>
      </c>
      <c r="K97" t="str">
        <f>VLOOKUP($A97,ScionOutput!$A$3:$BL$215,58,FALSE)</f>
        <v>VisDog</v>
      </c>
      <c r="L97">
        <f>VLOOKUP($A97,ScionOutput!$A$3:$BL$215,59,FALSE)</f>
        <v>-5.7189999999999998E-2</v>
      </c>
      <c r="M97">
        <f>VLOOKUP($A97,ScionOutput!$A$3:$BL$215,62,FALSE)</f>
        <v>5</v>
      </c>
      <c r="N97">
        <f>VLOOKUP($A97,ScionOutput!$A$3:$BL$215,63,FALSE)</f>
        <v>0.67</v>
      </c>
      <c r="O97" t="b">
        <f t="shared" si="9"/>
        <v>1</v>
      </c>
      <c r="P97">
        <f>VLOOKUP($A97,Outcomes!$B$3:$I$209,8,FALSE)</f>
        <v>15</v>
      </c>
      <c r="Q97">
        <f t="shared" si="10"/>
        <v>-1</v>
      </c>
      <c r="R97">
        <f>VLOOKUP($A97,Outcomes!$B$3:$I$209,5,FALSE)</f>
        <v>7</v>
      </c>
      <c r="S97">
        <f>VLOOKUP($A97,Outcomes!$B$3:$I$209,6,FALSE)</f>
        <v>8</v>
      </c>
      <c r="T97">
        <f>VLOOKUP($A97,Outcomes!$B$3:$I$209,7,FALSE)</f>
        <v>1</v>
      </c>
      <c r="U97" t="str">
        <f t="shared" si="11"/>
        <v>VisDog</v>
      </c>
      <c r="V97" s="5">
        <f t="shared" si="12"/>
        <v>1</v>
      </c>
      <c r="W97">
        <f t="shared" si="8"/>
        <v>100</v>
      </c>
      <c r="X97">
        <f t="shared" si="13"/>
        <v>212</v>
      </c>
      <c r="Y97">
        <f t="shared" si="14"/>
        <v>112</v>
      </c>
      <c r="Z97" s="2">
        <f t="shared" si="15"/>
        <v>1.1200000000000001</v>
      </c>
      <c r="AA97" t="str">
        <f>VLOOKUP($A97,ScionOutput!$A$3:$BL$215,64,FALSE)</f>
        <v xml:space="preserve">824100. Play determined by LineStatEns and StatOnlyEns agreement. </v>
      </c>
    </row>
    <row r="98" spans="1:27" x14ac:dyDescent="0.2">
      <c r="A98">
        <v>823694</v>
      </c>
      <c r="B98" s="3">
        <f>VLOOKUP($A98,ScionOutput!$A$3:$BL$215,3,FALSE)</f>
        <v>46186</v>
      </c>
      <c r="C98">
        <f>VLOOKUP($A98,ScionOutput!$A$3:$BL$215,22,FALSE)</f>
        <v>15</v>
      </c>
      <c r="D98" t="str">
        <f>VLOOKUP($A98,ScionOutput!$A$3:$BL$215,23,FALSE)</f>
        <v>MIN</v>
      </c>
      <c r="E98">
        <f>VLOOKUP($A98,ScionOutput!$A$3:$BL$215,6,FALSE)</f>
        <v>26</v>
      </c>
      <c r="F98" t="str">
        <f>VLOOKUP($A98,ScionOutput!$A$3:$BL$215,7,FALSE)</f>
        <v>STL</v>
      </c>
      <c r="G98">
        <f>VLOOKUP($A98,ScionOutput!$A$3:$BL$215,26,FALSE)</f>
        <v>102</v>
      </c>
      <c r="H98">
        <f>VLOOKUP($A98,ScionOutput!$A$3:$BL$215,10,FALSE)</f>
        <v>-110</v>
      </c>
      <c r="I98" s="4" t="str">
        <f>VLOOKUP($A98,ScionOutput!$A$3:$BL$215,45,FALSE)</f>
        <v>HomDog</v>
      </c>
      <c r="J98" s="4">
        <f>VLOOKUP($A98,ScionOutput!$A$3:$BL$215,46,FALSE)</f>
        <v>1</v>
      </c>
      <c r="K98" t="str">
        <f>VLOOKUP($A98,ScionOutput!$A$3:$BL$215,58,FALSE)</f>
        <v>HomDog</v>
      </c>
      <c r="L98">
        <f>VLOOKUP($A98,ScionOutput!$A$3:$BL$215,59,FALSE)</f>
        <v>1.4109999999999999E-2</v>
      </c>
      <c r="M98">
        <f>VLOOKUP($A98,ScionOutput!$A$3:$BL$215,62,FALSE)</f>
        <v>5</v>
      </c>
      <c r="N98">
        <f>VLOOKUP($A98,ScionOutput!$A$3:$BL$215,63,FALSE)</f>
        <v>0.53</v>
      </c>
      <c r="O98" t="b">
        <f t="shared" si="9"/>
        <v>1</v>
      </c>
      <c r="P98">
        <f>VLOOKUP($A98,Outcomes!$B$3:$I$209,8,FALSE)</f>
        <v>15</v>
      </c>
      <c r="Q98">
        <f t="shared" si="10"/>
        <v>-1</v>
      </c>
      <c r="R98">
        <f>VLOOKUP($A98,Outcomes!$B$3:$I$209,5,FALSE)</f>
        <v>6</v>
      </c>
      <c r="S98">
        <f>VLOOKUP($A98,Outcomes!$B$3:$I$209,6,FALSE)</f>
        <v>9</v>
      </c>
      <c r="T98">
        <f>VLOOKUP($A98,Outcomes!$B$3:$I$209,7,FALSE)</f>
        <v>3</v>
      </c>
      <c r="U98" t="str">
        <f t="shared" si="11"/>
        <v>VisFave</v>
      </c>
      <c r="V98" s="5">
        <f t="shared" si="12"/>
        <v>0</v>
      </c>
      <c r="W98">
        <f t="shared" si="8"/>
        <v>100</v>
      </c>
      <c r="X98">
        <f t="shared" si="13"/>
        <v>0</v>
      </c>
      <c r="Y98">
        <f t="shared" si="14"/>
        <v>-100</v>
      </c>
      <c r="Z98" s="2">
        <f t="shared" si="15"/>
        <v>-1</v>
      </c>
      <c r="AA98" t="str">
        <f>VLOOKUP($A98,ScionOutput!$A$3:$BL$215,64,FALSE)</f>
        <v xml:space="preserve">823694. Play determined by LineStatEns and StatOnlyEns agreement. </v>
      </c>
    </row>
    <row r="99" spans="1:27" x14ac:dyDescent="0.2">
      <c r="A99">
        <v>822725</v>
      </c>
      <c r="B99" s="3">
        <f>VLOOKUP($A99,ScionOutput!$A$3:$BL$215,3,FALSE)</f>
        <v>46186</v>
      </c>
      <c r="C99">
        <f>VLOOKUP($A99,ScionOutput!$A$3:$BL$215,22,FALSE)</f>
        <v>16</v>
      </c>
      <c r="D99" t="str">
        <f>VLOOKUP($A99,ScionOutput!$A$3:$BL$215,23,FALSE)</f>
        <v>WAS</v>
      </c>
      <c r="E99">
        <f>VLOOKUP($A99,ScionOutput!$A$3:$BL$215,6,FALSE)</f>
        <v>24</v>
      </c>
      <c r="F99" t="str">
        <f>VLOOKUP($A99,ScionOutput!$A$3:$BL$215,7,FALSE)</f>
        <v>SEA</v>
      </c>
      <c r="G99">
        <f>VLOOKUP($A99,ScionOutput!$A$3:$BL$215,26,FALSE)</f>
        <v>-116</v>
      </c>
      <c r="H99">
        <f>VLOOKUP($A99,ScionOutput!$A$3:$BL$215,10,FALSE)</f>
        <v>108</v>
      </c>
      <c r="I99" s="4" t="str">
        <f>VLOOKUP($A99,ScionOutput!$A$3:$BL$215,45,FALSE)</f>
        <v>VisDog</v>
      </c>
      <c r="J99" s="4">
        <f>VLOOKUP($A99,ScionOutput!$A$3:$BL$215,46,FALSE)</f>
        <v>1</v>
      </c>
      <c r="K99" t="str">
        <f>VLOOKUP($A99,ScionOutput!$A$3:$BL$215,58,FALSE)</f>
        <v>VisDog</v>
      </c>
      <c r="L99">
        <f>VLOOKUP($A99,ScionOutput!$A$3:$BL$215,59,FALSE)</f>
        <v>-4.7640000000000002E-2</v>
      </c>
      <c r="M99">
        <f>VLOOKUP($A99,ScionOutput!$A$3:$BL$215,62,FALSE)</f>
        <v>5</v>
      </c>
      <c r="N99">
        <f>VLOOKUP($A99,ScionOutput!$A$3:$BL$215,63,FALSE)</f>
        <v>0.73</v>
      </c>
      <c r="O99" t="b">
        <f t="shared" si="9"/>
        <v>1</v>
      </c>
      <c r="P99">
        <f>VLOOKUP($A99,Outcomes!$B$3:$I$209,8,FALSE)</f>
        <v>11</v>
      </c>
      <c r="Q99">
        <f t="shared" si="10"/>
        <v>1</v>
      </c>
      <c r="R99">
        <f>VLOOKUP($A99,Outcomes!$B$3:$I$209,5,FALSE)</f>
        <v>8</v>
      </c>
      <c r="S99">
        <f>VLOOKUP($A99,Outcomes!$B$3:$I$209,6,FALSE)</f>
        <v>3</v>
      </c>
      <c r="T99">
        <f>VLOOKUP($A99,Outcomes!$B$3:$I$209,7,FALSE)</f>
        <v>-5</v>
      </c>
      <c r="U99" t="str">
        <f t="shared" si="11"/>
        <v>HomFave</v>
      </c>
      <c r="V99" s="5">
        <f t="shared" si="12"/>
        <v>0</v>
      </c>
      <c r="W99">
        <f t="shared" si="8"/>
        <v>100</v>
      </c>
      <c r="X99">
        <f t="shared" si="13"/>
        <v>0</v>
      </c>
      <c r="Y99">
        <f t="shared" si="14"/>
        <v>-100</v>
      </c>
      <c r="Z99" s="2">
        <f t="shared" si="15"/>
        <v>-1</v>
      </c>
      <c r="AA99" t="str">
        <f>VLOOKUP($A99,ScionOutput!$A$3:$BL$215,64,FALSE)</f>
        <v xml:space="preserve">822725. Play determined by LineStatEns and StatOnlyEns agreement. </v>
      </c>
    </row>
    <row r="100" spans="1:27" x14ac:dyDescent="0.2">
      <c r="A100">
        <v>823776</v>
      </c>
      <c r="B100" s="3">
        <f>VLOOKUP($A100,ScionOutput!$A$3:$BL$215,3,FALSE)</f>
        <v>46186</v>
      </c>
      <c r="C100">
        <f>VLOOKUP($A100,ScionOutput!$A$3:$BL$215,22,FALSE)</f>
        <v>17</v>
      </c>
      <c r="D100" t="str">
        <f>VLOOKUP($A100,ScionOutput!$A$3:$BL$215,23,FALSE)</f>
        <v>MLW</v>
      </c>
      <c r="E100">
        <f>VLOOKUP($A100,ScionOutput!$A$3:$BL$215,6,FALSE)</f>
        <v>21</v>
      </c>
      <c r="F100" t="str">
        <f>VLOOKUP($A100,ScionOutput!$A$3:$BL$215,7,FALSE)</f>
        <v>PHI</v>
      </c>
      <c r="G100">
        <f>VLOOKUP($A100,ScionOutput!$A$3:$BL$215,26,FALSE)</f>
        <v>-163</v>
      </c>
      <c r="H100">
        <f>VLOOKUP($A100,ScionOutput!$A$3:$BL$215,10,FALSE)</f>
        <v>150</v>
      </c>
      <c r="I100" s="4" t="str">
        <f>VLOOKUP($A100,ScionOutput!$A$3:$BL$215,45,FALSE)</f>
        <v>HomFave</v>
      </c>
      <c r="J100" s="4">
        <f>VLOOKUP($A100,ScionOutput!$A$3:$BL$215,46,FALSE)</f>
        <v>0</v>
      </c>
      <c r="K100" t="str">
        <f>VLOOKUP($A100,ScionOutput!$A$3:$BL$215,58,FALSE)</f>
        <v>No Play</v>
      </c>
      <c r="L100">
        <f>VLOOKUP($A100,ScionOutput!$A$3:$BL$215,59,FALSE)</f>
        <v>0</v>
      </c>
      <c r="M100">
        <f>VLOOKUP($A100,ScionOutput!$A$3:$BL$215,62,FALSE)</f>
        <v>0</v>
      </c>
      <c r="N100">
        <f>VLOOKUP($A100,ScionOutput!$A$3:$BL$215,63,FALSE)</f>
        <v>0</v>
      </c>
      <c r="O100" t="b">
        <f t="shared" si="9"/>
        <v>0</v>
      </c>
      <c r="P100">
        <f>VLOOKUP($A100,Outcomes!$B$3:$I$209,8,FALSE)</f>
        <v>17</v>
      </c>
      <c r="Q100">
        <f t="shared" si="10"/>
        <v>-1</v>
      </c>
      <c r="R100">
        <f>VLOOKUP($A100,Outcomes!$B$3:$I$209,5,FALSE)</f>
        <v>8</v>
      </c>
      <c r="S100">
        <f>VLOOKUP($A100,Outcomes!$B$3:$I$209,6,FALSE)</f>
        <v>9</v>
      </c>
      <c r="T100">
        <f>VLOOKUP($A100,Outcomes!$B$3:$I$209,7,FALSE)</f>
        <v>1</v>
      </c>
      <c r="U100" t="str">
        <f t="shared" si="11"/>
        <v>VisDog</v>
      </c>
      <c r="V100" s="5" t="str">
        <f t="shared" si="12"/>
        <v/>
      </c>
      <c r="W100" t="str">
        <f t="shared" si="8"/>
        <v/>
      </c>
      <c r="X100" t="str">
        <f t="shared" si="13"/>
        <v/>
      </c>
      <c r="Y100" t="str">
        <f t="shared" si="14"/>
        <v/>
      </c>
      <c r="Z100" s="2" t="str">
        <f t="shared" si="15"/>
        <v/>
      </c>
      <c r="AA100" t="str">
        <f>VLOOKUP($A100,ScionOutput!$A$3:$BL$215,64,FALSE)</f>
        <v xml:space="preserve">823776. LineStatEns is NoPlay as bookie-line outside range. StatOnlyEns is NoPlay as bookie-line outside range. No play due to strategy constraints. </v>
      </c>
    </row>
    <row r="101" spans="1:27" x14ac:dyDescent="0.2">
      <c r="A101">
        <v>823616</v>
      </c>
      <c r="B101" s="3">
        <f>VLOOKUP($A101,ScionOutput!$A$3:$BL$215,3,FALSE)</f>
        <v>46186</v>
      </c>
      <c r="C101">
        <f>VLOOKUP($A101,ScionOutput!$A$3:$BL$215,22,FALSE)</f>
        <v>18</v>
      </c>
      <c r="D101" t="str">
        <f>VLOOKUP($A101,ScionOutput!$A$3:$BL$215,23,FALSE)</f>
        <v>NYM</v>
      </c>
      <c r="E101">
        <f>VLOOKUP($A101,ScionOutput!$A$3:$BL$215,6,FALSE)</f>
        <v>0</v>
      </c>
      <c r="F101" t="str">
        <f>VLOOKUP($A101,ScionOutput!$A$3:$BL$215,7,FALSE)</f>
        <v>ATL</v>
      </c>
      <c r="G101">
        <f>VLOOKUP($A101,ScionOutput!$A$3:$BL$215,26,FALSE)</f>
        <v>-114</v>
      </c>
      <c r="H101">
        <f>VLOOKUP($A101,ScionOutput!$A$3:$BL$215,10,FALSE)</f>
        <v>105</v>
      </c>
      <c r="I101" s="4" t="str">
        <f>VLOOKUP($A101,ScionOutput!$A$3:$BL$215,45,FALSE)</f>
        <v>HomFave</v>
      </c>
      <c r="J101" s="4">
        <f>VLOOKUP($A101,ScionOutput!$A$3:$BL$215,46,FALSE)</f>
        <v>0</v>
      </c>
      <c r="K101" t="str">
        <f>VLOOKUP($A101,ScionOutput!$A$3:$BL$215,58,FALSE)</f>
        <v>No Play</v>
      </c>
      <c r="L101">
        <f>VLOOKUP($A101,ScionOutput!$A$3:$BL$215,59,FALSE)</f>
        <v>0</v>
      </c>
      <c r="M101">
        <f>VLOOKUP($A101,ScionOutput!$A$3:$BL$215,62,FALSE)</f>
        <v>0</v>
      </c>
      <c r="N101">
        <f>VLOOKUP($A101,ScionOutput!$A$3:$BL$215,63,FALSE)</f>
        <v>0</v>
      </c>
      <c r="O101" t="b">
        <f t="shared" si="9"/>
        <v>0</v>
      </c>
      <c r="P101">
        <f>VLOOKUP($A101,Outcomes!$B$3:$I$209,8,FALSE)</f>
        <v>4</v>
      </c>
      <c r="Q101">
        <f t="shared" si="10"/>
        <v>-1</v>
      </c>
      <c r="R101">
        <f>VLOOKUP($A101,Outcomes!$B$3:$I$209,5,FALSE)</f>
        <v>1</v>
      </c>
      <c r="S101">
        <f>VLOOKUP($A101,Outcomes!$B$3:$I$209,6,FALSE)</f>
        <v>3</v>
      </c>
      <c r="T101">
        <f>VLOOKUP($A101,Outcomes!$B$3:$I$209,7,FALSE)</f>
        <v>2</v>
      </c>
      <c r="U101" t="str">
        <f t="shared" si="11"/>
        <v>VisDog</v>
      </c>
      <c r="V101" s="5" t="str">
        <f t="shared" si="12"/>
        <v/>
      </c>
      <c r="W101" t="str">
        <f t="shared" si="8"/>
        <v/>
      </c>
      <c r="X101" t="str">
        <f t="shared" si="13"/>
        <v/>
      </c>
      <c r="Y101" t="str">
        <f t="shared" si="14"/>
        <v/>
      </c>
      <c r="Z101" s="2" t="str">
        <f t="shared" si="15"/>
        <v/>
      </c>
      <c r="AA101" t="str">
        <f>VLOOKUP($A101,ScionOutput!$A$3:$BL$215,64,FALSE)</f>
        <v xml:space="preserve">823616. LineStatEns probability points gap does not exceed threshold (no edge found)! No play due to strategy constraints. </v>
      </c>
    </row>
    <row r="102" spans="1:27" x14ac:dyDescent="0.2">
      <c r="A102">
        <v>824995</v>
      </c>
      <c r="B102" s="3">
        <f>VLOOKUP($A102,ScionOutput!$A$3:$BL$215,3,FALSE)</f>
        <v>46186</v>
      </c>
      <c r="C102">
        <f>VLOOKUP($A102,ScionOutput!$A$3:$BL$215,22,FALSE)</f>
        <v>20</v>
      </c>
      <c r="D102" t="str">
        <f>VLOOKUP($A102,ScionOutput!$A$3:$BL$215,23,FALSE)</f>
        <v>OAK</v>
      </c>
      <c r="E102">
        <f>VLOOKUP($A102,ScionOutput!$A$3:$BL$215,6,FALSE)</f>
        <v>8</v>
      </c>
      <c r="F102" t="str">
        <f>VLOOKUP($A102,ScionOutput!$A$3:$BL$215,7,FALSE)</f>
        <v>COL</v>
      </c>
      <c r="G102">
        <f>VLOOKUP($A102,ScionOutput!$A$3:$BL$215,26,FALSE)</f>
        <v>-148</v>
      </c>
      <c r="H102">
        <f>VLOOKUP($A102,ScionOutput!$A$3:$BL$215,10,FALSE)</f>
        <v>136</v>
      </c>
      <c r="I102" s="4" t="str">
        <f>VLOOKUP($A102,ScionOutput!$A$3:$BL$215,45,FALSE)</f>
        <v>HomFave</v>
      </c>
      <c r="J102" s="4">
        <f>VLOOKUP($A102,ScionOutput!$A$3:$BL$215,46,FALSE)</f>
        <v>0</v>
      </c>
      <c r="K102" t="str">
        <f>VLOOKUP($A102,ScionOutput!$A$3:$BL$215,58,FALSE)</f>
        <v>No Play</v>
      </c>
      <c r="L102">
        <f>VLOOKUP($A102,ScionOutput!$A$3:$BL$215,59,FALSE)</f>
        <v>0</v>
      </c>
      <c r="M102">
        <f>VLOOKUP($A102,ScionOutput!$A$3:$BL$215,62,FALSE)</f>
        <v>0</v>
      </c>
      <c r="N102">
        <f>VLOOKUP($A102,ScionOutput!$A$3:$BL$215,63,FALSE)</f>
        <v>0</v>
      </c>
      <c r="O102" t="b">
        <f t="shared" si="9"/>
        <v>0</v>
      </c>
      <c r="P102">
        <f>VLOOKUP($A102,Outcomes!$B$3:$I$209,8,FALSE)</f>
        <v>12</v>
      </c>
      <c r="Q102">
        <f t="shared" si="10"/>
        <v>1</v>
      </c>
      <c r="R102">
        <f>VLOOKUP($A102,Outcomes!$B$3:$I$209,5,FALSE)</f>
        <v>7</v>
      </c>
      <c r="S102">
        <f>VLOOKUP($A102,Outcomes!$B$3:$I$209,6,FALSE)</f>
        <v>5</v>
      </c>
      <c r="T102">
        <f>VLOOKUP($A102,Outcomes!$B$3:$I$209,7,FALSE)</f>
        <v>-2</v>
      </c>
      <c r="U102" t="str">
        <f t="shared" si="11"/>
        <v>HomFave</v>
      </c>
      <c r="V102" s="5" t="str">
        <f t="shared" si="12"/>
        <v/>
      </c>
      <c r="W102" t="str">
        <f t="shared" si="8"/>
        <v/>
      </c>
      <c r="X102" t="str">
        <f t="shared" si="13"/>
        <v/>
      </c>
      <c r="Y102" t="str">
        <f t="shared" si="14"/>
        <v/>
      </c>
      <c r="Z102" s="2" t="str">
        <f t="shared" si="15"/>
        <v/>
      </c>
      <c r="AA102" t="str">
        <f>VLOOKUP($A102,ScionOutput!$A$3:$BL$215,64,FALSE)</f>
        <v xml:space="preserve">824995. H_SP is Null, team-based avg used. NoPlay as H_SP is Null. </v>
      </c>
    </row>
    <row r="103" spans="1:27" x14ac:dyDescent="0.2">
      <c r="A103">
        <v>823369</v>
      </c>
      <c r="B103" s="3">
        <f>VLOOKUP($A103,ScionOutput!$A$3:$BL$215,3,FALSE)</f>
        <v>46186</v>
      </c>
      <c r="C103">
        <f>VLOOKUP($A103,ScionOutput!$A$3:$BL$215,22,FALSE)</f>
        <v>22</v>
      </c>
      <c r="D103" t="str">
        <f>VLOOKUP($A103,ScionOutput!$A$3:$BL$215,23,FALSE)</f>
        <v>PIT</v>
      </c>
      <c r="E103">
        <f>VLOOKUP($A103,ScionOutput!$A$3:$BL$215,6,FALSE)</f>
        <v>11</v>
      </c>
      <c r="F103" t="str">
        <f>VLOOKUP($A103,ScionOutput!$A$3:$BL$215,7,FALSE)</f>
        <v>FLO</v>
      </c>
      <c r="G103">
        <f>VLOOKUP($A103,ScionOutput!$A$3:$BL$215,26,FALSE)</f>
        <v>-110</v>
      </c>
      <c r="H103">
        <f>VLOOKUP($A103,ScionOutput!$A$3:$BL$215,10,FALSE)</f>
        <v>102</v>
      </c>
      <c r="I103" s="4" t="str">
        <f>VLOOKUP($A103,ScionOutput!$A$3:$BL$215,45,FALSE)</f>
        <v>VisDog</v>
      </c>
      <c r="J103" s="4">
        <f>VLOOKUP($A103,ScionOutput!$A$3:$BL$215,46,FALSE)</f>
        <v>1</v>
      </c>
      <c r="K103" t="str">
        <f>VLOOKUP($A103,ScionOutput!$A$3:$BL$215,58,FALSE)</f>
        <v>VisDog</v>
      </c>
      <c r="L103">
        <f>VLOOKUP($A103,ScionOutput!$A$3:$BL$215,59,FALSE)</f>
        <v>-2.4109999999999999E-2</v>
      </c>
      <c r="M103">
        <f>VLOOKUP($A103,ScionOutput!$A$3:$BL$215,62,FALSE)</f>
        <v>5</v>
      </c>
      <c r="N103">
        <f>VLOOKUP($A103,ScionOutput!$A$3:$BL$215,63,FALSE)</f>
        <v>0.6</v>
      </c>
      <c r="O103" t="b">
        <f t="shared" si="9"/>
        <v>1</v>
      </c>
      <c r="P103">
        <f>VLOOKUP($A103,Outcomes!$B$3:$I$209,8,FALSE)</f>
        <v>5</v>
      </c>
      <c r="Q103">
        <f t="shared" si="10"/>
        <v>1</v>
      </c>
      <c r="R103">
        <f>VLOOKUP($A103,Outcomes!$B$3:$I$209,5,FALSE)</f>
        <v>3</v>
      </c>
      <c r="S103">
        <f>VLOOKUP($A103,Outcomes!$B$3:$I$209,6,FALSE)</f>
        <v>2</v>
      </c>
      <c r="T103">
        <f>VLOOKUP($A103,Outcomes!$B$3:$I$209,7,FALSE)</f>
        <v>-1</v>
      </c>
      <c r="U103" t="str">
        <f t="shared" si="11"/>
        <v>HomFave</v>
      </c>
      <c r="V103" s="5">
        <f t="shared" si="12"/>
        <v>0</v>
      </c>
      <c r="W103">
        <f t="shared" si="8"/>
        <v>100</v>
      </c>
      <c r="X103">
        <f t="shared" si="13"/>
        <v>0</v>
      </c>
      <c r="Y103">
        <f t="shared" si="14"/>
        <v>-100</v>
      </c>
      <c r="Z103" s="2">
        <f t="shared" si="15"/>
        <v>-1</v>
      </c>
      <c r="AA103" t="str">
        <f>VLOOKUP($A103,ScionOutput!$A$3:$BL$215,64,FALSE)</f>
        <v xml:space="preserve">823369. Play determined by LineStatEns and StatOnlyEns agreement. </v>
      </c>
    </row>
    <row r="104" spans="1:27" x14ac:dyDescent="0.2">
      <c r="A104">
        <v>823213</v>
      </c>
      <c r="B104" s="3">
        <f>VLOOKUP($A104,ScionOutput!$A$3:$BL$215,3,FALSE)</f>
        <v>46186</v>
      </c>
      <c r="C104">
        <f>VLOOKUP($A104,ScionOutput!$A$3:$BL$215,22,FALSE)</f>
        <v>25</v>
      </c>
      <c r="D104" t="str">
        <f>VLOOKUP($A104,ScionOutput!$A$3:$BL$215,23,FALSE)</f>
        <v>SF</v>
      </c>
      <c r="E104">
        <f>VLOOKUP($A104,ScionOutput!$A$3:$BL$215,6,FALSE)</f>
        <v>5</v>
      </c>
      <c r="F104" t="str">
        <f>VLOOKUP($A104,ScionOutput!$A$3:$BL$215,7,FALSE)</f>
        <v>CHC</v>
      </c>
      <c r="G104">
        <f>VLOOKUP($A104,ScionOutput!$A$3:$BL$215,26,FALSE)</f>
        <v>105</v>
      </c>
      <c r="H104">
        <f>VLOOKUP($A104,ScionOutput!$A$3:$BL$215,10,FALSE)</f>
        <v>-114</v>
      </c>
      <c r="I104" s="4" t="str">
        <f>VLOOKUP($A104,ScionOutput!$A$3:$BL$215,45,FALSE)</f>
        <v>VisFave</v>
      </c>
      <c r="J104" s="4">
        <f>VLOOKUP($A104,ScionOutput!$A$3:$BL$215,46,FALSE)</f>
        <v>0</v>
      </c>
      <c r="K104" t="str">
        <f>VLOOKUP($A104,ScionOutput!$A$3:$BL$215,58,FALSE)</f>
        <v>No Play</v>
      </c>
      <c r="L104">
        <f>VLOOKUP($A104,ScionOutput!$A$3:$BL$215,59,FALSE)</f>
        <v>0</v>
      </c>
      <c r="M104">
        <f>VLOOKUP($A104,ScionOutput!$A$3:$BL$215,62,FALSE)</f>
        <v>0</v>
      </c>
      <c r="N104">
        <f>VLOOKUP($A104,ScionOutput!$A$3:$BL$215,63,FALSE)</f>
        <v>0</v>
      </c>
      <c r="O104" t="b">
        <f t="shared" si="9"/>
        <v>0</v>
      </c>
      <c r="P104">
        <f>VLOOKUP($A104,Outcomes!$B$3:$I$209,8,FALSE)</f>
        <v>7</v>
      </c>
      <c r="Q104">
        <f t="shared" si="10"/>
        <v>-1</v>
      </c>
      <c r="R104">
        <f>VLOOKUP($A104,Outcomes!$B$3:$I$209,5,FALSE)</f>
        <v>1</v>
      </c>
      <c r="S104">
        <f>VLOOKUP($A104,Outcomes!$B$3:$I$209,6,FALSE)</f>
        <v>6</v>
      </c>
      <c r="T104">
        <f>VLOOKUP($A104,Outcomes!$B$3:$I$209,7,FALSE)</f>
        <v>5</v>
      </c>
      <c r="U104" t="str">
        <f t="shared" si="11"/>
        <v>VisFave</v>
      </c>
      <c r="V104" s="5" t="str">
        <f t="shared" si="12"/>
        <v/>
      </c>
      <c r="W104" t="str">
        <f t="shared" si="8"/>
        <v/>
      </c>
      <c r="X104" t="str">
        <f t="shared" si="13"/>
        <v/>
      </c>
      <c r="Y104" t="str">
        <f t="shared" si="14"/>
        <v/>
      </c>
      <c r="Z104" s="2" t="str">
        <f t="shared" si="15"/>
        <v/>
      </c>
      <c r="AA104" t="str">
        <f>VLOOKUP($A104,ScionOutput!$A$3:$BL$215,64,FALSE)</f>
        <v xml:space="preserve">823213. VF plays are disallowed. No play due to strategy constraints. </v>
      </c>
    </row>
    <row r="105" spans="1:27" x14ac:dyDescent="0.2">
      <c r="A105">
        <v>822802</v>
      </c>
      <c r="B105" s="3">
        <f>VLOOKUP($A105,ScionOutput!$A$3:$BL$215,3,FALSE)</f>
        <v>46186</v>
      </c>
      <c r="C105">
        <f>VLOOKUP($A105,ScionOutput!$A$3:$BL$215,22,FALSE)</f>
        <v>29</v>
      </c>
      <c r="D105" t="str">
        <f>VLOOKUP($A105,ScionOutput!$A$3:$BL$215,23,FALSE)</f>
        <v>TOR</v>
      </c>
      <c r="E105">
        <f>VLOOKUP($A105,ScionOutput!$A$3:$BL$215,6,FALSE)</f>
        <v>19</v>
      </c>
      <c r="F105" t="str">
        <f>VLOOKUP($A105,ScionOutput!$A$3:$BL$215,7,FALSE)</f>
        <v>NYY</v>
      </c>
      <c r="G105">
        <f>VLOOKUP($A105,ScionOutput!$A$3:$BL$215,26,FALSE)</f>
        <v>105</v>
      </c>
      <c r="H105">
        <f>VLOOKUP($A105,ScionOutput!$A$3:$BL$215,10,FALSE)</f>
        <v>-114</v>
      </c>
      <c r="I105" s="4" t="str">
        <f>VLOOKUP($A105,ScionOutput!$A$3:$BL$215,45,FALSE)</f>
        <v>VisFave</v>
      </c>
      <c r="J105" s="4">
        <f>VLOOKUP($A105,ScionOutput!$A$3:$BL$215,46,FALSE)</f>
        <v>0</v>
      </c>
      <c r="K105" t="str">
        <f>VLOOKUP($A105,ScionOutput!$A$3:$BL$215,58,FALSE)</f>
        <v>No Play</v>
      </c>
      <c r="L105">
        <f>VLOOKUP($A105,ScionOutput!$A$3:$BL$215,59,FALSE)</f>
        <v>0</v>
      </c>
      <c r="M105">
        <f>VLOOKUP($A105,ScionOutput!$A$3:$BL$215,62,FALSE)</f>
        <v>0</v>
      </c>
      <c r="N105">
        <f>VLOOKUP($A105,ScionOutput!$A$3:$BL$215,63,FALSE)</f>
        <v>0</v>
      </c>
      <c r="O105" t="b">
        <f t="shared" si="9"/>
        <v>0</v>
      </c>
      <c r="P105">
        <f>VLOOKUP($A105,Outcomes!$B$3:$I$209,8,FALSE)</f>
        <v>4</v>
      </c>
      <c r="Q105">
        <f t="shared" si="10"/>
        <v>-1</v>
      </c>
      <c r="R105">
        <f>VLOOKUP($A105,Outcomes!$B$3:$I$209,5,FALSE)</f>
        <v>1</v>
      </c>
      <c r="S105">
        <f>VLOOKUP($A105,Outcomes!$B$3:$I$209,6,FALSE)</f>
        <v>3</v>
      </c>
      <c r="T105">
        <f>VLOOKUP($A105,Outcomes!$B$3:$I$209,7,FALSE)</f>
        <v>2</v>
      </c>
      <c r="U105" t="str">
        <f t="shared" si="11"/>
        <v>VisFave</v>
      </c>
      <c r="V105" s="5" t="str">
        <f t="shared" si="12"/>
        <v/>
      </c>
      <c r="W105" t="str">
        <f t="shared" si="8"/>
        <v/>
      </c>
      <c r="X105" t="str">
        <f t="shared" si="13"/>
        <v/>
      </c>
      <c r="Y105" t="str">
        <f t="shared" si="14"/>
        <v/>
      </c>
      <c r="Z105" s="2" t="str">
        <f t="shared" si="15"/>
        <v/>
      </c>
      <c r="AA105" t="str">
        <f>VLOOKUP($A105,ScionOutput!$A$3:$BL$215,64,FALSE)</f>
        <v xml:space="preserve">822802. VF plays are disallowed. No play due to strategy constraints. </v>
      </c>
    </row>
    <row r="106" spans="1:27" x14ac:dyDescent="0.2">
      <c r="A106">
        <v>824823</v>
      </c>
      <c r="B106" s="3">
        <f>VLOOKUP($A106,ScionOutput!$A$3:$BL$215,3,FALSE)</f>
        <v>46187</v>
      </c>
      <c r="C106">
        <f>VLOOKUP($A106,ScionOutput!$A$3:$BL$215,22,FALSE)</f>
        <v>2</v>
      </c>
      <c r="D106" t="str">
        <f>VLOOKUP($A106,ScionOutput!$A$3:$BL$215,23,FALSE)</f>
        <v>BAL</v>
      </c>
      <c r="E106">
        <f>VLOOKUP($A106,ScionOutput!$A$3:$BL$215,6,FALSE)</f>
        <v>23</v>
      </c>
      <c r="F106" t="str">
        <f>VLOOKUP($A106,ScionOutput!$A$3:$BL$215,7,FALSE)</f>
        <v>SD</v>
      </c>
      <c r="G106">
        <f>VLOOKUP($A106,ScionOutput!$A$3:$BL$215,26,FALSE)</f>
        <v>-134</v>
      </c>
      <c r="H106">
        <f>VLOOKUP($A106,ScionOutput!$A$3:$BL$215,10,FALSE)</f>
        <v>123</v>
      </c>
      <c r="I106" s="4" t="str">
        <f>VLOOKUP($A106,ScionOutput!$A$3:$BL$215,45,FALSE)</f>
        <v>HomFave</v>
      </c>
      <c r="J106" s="4">
        <f>VLOOKUP($A106,ScionOutput!$A$3:$BL$215,46,FALSE)</f>
        <v>0</v>
      </c>
      <c r="K106" t="str">
        <f>VLOOKUP($A106,ScionOutput!$A$3:$BL$215,58,FALSE)</f>
        <v>No Play</v>
      </c>
      <c r="L106">
        <f>VLOOKUP($A106,ScionOutput!$A$3:$BL$215,59,FALSE)</f>
        <v>0</v>
      </c>
      <c r="M106">
        <f>VLOOKUP($A106,ScionOutput!$A$3:$BL$215,62,FALSE)</f>
        <v>0</v>
      </c>
      <c r="N106">
        <f>VLOOKUP($A106,ScionOutput!$A$3:$BL$215,63,FALSE)</f>
        <v>0</v>
      </c>
      <c r="O106" t="b">
        <f t="shared" si="9"/>
        <v>0</v>
      </c>
      <c r="P106">
        <f>VLOOKUP($A106,Outcomes!$B$3:$I$209,8,FALSE)</f>
        <v>7</v>
      </c>
      <c r="Q106">
        <f t="shared" si="10"/>
        <v>-1</v>
      </c>
      <c r="R106">
        <f>VLOOKUP($A106,Outcomes!$B$3:$I$209,5,FALSE)</f>
        <v>2</v>
      </c>
      <c r="S106">
        <f>VLOOKUP($A106,Outcomes!$B$3:$I$209,6,FALSE)</f>
        <v>5</v>
      </c>
      <c r="T106">
        <f>VLOOKUP($A106,Outcomes!$B$3:$I$209,7,FALSE)</f>
        <v>3</v>
      </c>
      <c r="U106" t="str">
        <f t="shared" si="11"/>
        <v>VisDog</v>
      </c>
      <c r="V106" s="5" t="str">
        <f t="shared" si="12"/>
        <v/>
      </c>
      <c r="W106" t="str">
        <f t="shared" si="8"/>
        <v/>
      </c>
      <c r="X106" t="str">
        <f t="shared" si="13"/>
        <v/>
      </c>
      <c r="Y106" t="str">
        <f t="shared" si="14"/>
        <v/>
      </c>
      <c r="Z106" s="2" t="str">
        <f t="shared" si="15"/>
        <v/>
      </c>
      <c r="AA106" t="str">
        <f>VLOOKUP($A106,ScionOutput!$A$3:$BL$215,64,FALSE)</f>
        <v xml:space="preserve">824823. LineStatEns probability points gap does not exceed threshold (no edge found)! StatOnlyEns probability points gap does not exceed threshold (no edge found)! No play due to strategy constraints. </v>
      </c>
    </row>
    <row r="107" spans="1:27" x14ac:dyDescent="0.2">
      <c r="A107">
        <v>824751</v>
      </c>
      <c r="B107" s="3">
        <f>VLOOKUP($A107,ScionOutput!$A$3:$BL$215,3,FALSE)</f>
        <v>46187</v>
      </c>
      <c r="C107">
        <f>VLOOKUP($A107,ScionOutput!$A$3:$BL$215,22,FALSE)</f>
        <v>3</v>
      </c>
      <c r="D107" t="str">
        <f>VLOOKUP($A107,ScionOutput!$A$3:$BL$215,23,FALSE)</f>
        <v>BOS</v>
      </c>
      <c r="E107">
        <f>VLOOKUP($A107,ScionOutput!$A$3:$BL$215,6,FALSE)</f>
        <v>28</v>
      </c>
      <c r="F107" t="str">
        <f>VLOOKUP($A107,ScionOutput!$A$3:$BL$215,7,FALSE)</f>
        <v>TEX</v>
      </c>
      <c r="G107">
        <f>VLOOKUP($A107,ScionOutput!$A$3:$BL$215,26,FALSE)</f>
        <v>-107</v>
      </c>
      <c r="H107">
        <f>VLOOKUP($A107,ScionOutput!$A$3:$BL$215,10,FALSE)</f>
        <v>-101</v>
      </c>
      <c r="I107" s="4" t="str">
        <f>VLOOKUP($A107,ScionOutput!$A$3:$BL$215,45,FALSE)</f>
        <v>VisDog</v>
      </c>
      <c r="J107" s="4">
        <f>VLOOKUP($A107,ScionOutput!$A$3:$BL$215,46,FALSE)</f>
        <v>1</v>
      </c>
      <c r="K107" t="str">
        <f>VLOOKUP($A107,ScionOutput!$A$3:$BL$215,58,FALSE)</f>
        <v>VisDog</v>
      </c>
      <c r="L107">
        <f>VLOOKUP($A107,ScionOutput!$A$3:$BL$215,59,FALSE)</f>
        <v>-1.7069999999999998E-2</v>
      </c>
      <c r="M107">
        <f>VLOOKUP($A107,ScionOutput!$A$3:$BL$215,62,FALSE)</f>
        <v>3</v>
      </c>
      <c r="N107">
        <f>VLOOKUP($A107,ScionOutput!$A$3:$BL$215,63,FALSE)</f>
        <v>0.6</v>
      </c>
      <c r="O107" t="b">
        <f t="shared" si="9"/>
        <v>0</v>
      </c>
      <c r="P107">
        <f>VLOOKUP($A107,Outcomes!$B$3:$I$209,8,FALSE)</f>
        <v>10</v>
      </c>
      <c r="Q107">
        <f t="shared" si="10"/>
        <v>-1</v>
      </c>
      <c r="R107">
        <f>VLOOKUP($A107,Outcomes!$B$3:$I$209,5,FALSE)</f>
        <v>4</v>
      </c>
      <c r="S107">
        <f>VLOOKUP($A107,Outcomes!$B$3:$I$209,6,FALSE)</f>
        <v>6</v>
      </c>
      <c r="T107">
        <f>VLOOKUP($A107,Outcomes!$B$3:$I$209,7,FALSE)</f>
        <v>2</v>
      </c>
      <c r="U107" t="str">
        <f t="shared" si="11"/>
        <v>VisDog</v>
      </c>
      <c r="V107" s="5">
        <f t="shared" si="12"/>
        <v>1</v>
      </c>
      <c r="W107">
        <f t="shared" si="8"/>
        <v>101</v>
      </c>
      <c r="X107">
        <f t="shared" si="13"/>
        <v>201</v>
      </c>
      <c r="Y107">
        <f t="shared" si="14"/>
        <v>100</v>
      </c>
      <c r="Z107" s="2">
        <f t="shared" si="15"/>
        <v>0.99009900990099009</v>
      </c>
      <c r="AA107" t="str">
        <f>VLOOKUP($A107,ScionOutput!$A$3:$BL$215,64,FALSE)</f>
        <v xml:space="preserve">824751. StatOnlyEns probability points gap does not exceed threshold (no edge found)! Play determined by LineStatEns only. </v>
      </c>
    </row>
    <row r="108" spans="1:27" x14ac:dyDescent="0.2">
      <c r="A108">
        <v>824021</v>
      </c>
      <c r="B108" s="3">
        <f>VLOOKUP($A108,ScionOutput!$A$3:$BL$215,3,FALSE)</f>
        <v>46187</v>
      </c>
      <c r="C108">
        <f>VLOOKUP($A108,ScionOutput!$A$3:$BL$215,22,FALSE)</f>
        <v>4</v>
      </c>
      <c r="D108" t="str">
        <f>VLOOKUP($A108,ScionOutput!$A$3:$BL$215,23,FALSE)</f>
        <v>LAA</v>
      </c>
      <c r="E108">
        <f>VLOOKUP($A108,ScionOutput!$A$3:$BL$215,6,FALSE)</f>
        <v>27</v>
      </c>
      <c r="F108" t="str">
        <f>VLOOKUP($A108,ScionOutput!$A$3:$BL$215,7,FALSE)</f>
        <v>TB</v>
      </c>
      <c r="G108">
        <f>VLOOKUP($A108,ScionOutput!$A$3:$BL$215,26,FALSE)</f>
        <v>106</v>
      </c>
      <c r="H108">
        <f>VLOOKUP($A108,ScionOutput!$A$3:$BL$215,10,FALSE)</f>
        <v>-115</v>
      </c>
      <c r="I108" s="4" t="str">
        <f>VLOOKUP($A108,ScionOutput!$A$3:$BL$215,45,FALSE)</f>
        <v>VisFave</v>
      </c>
      <c r="J108" s="4">
        <f>VLOOKUP($A108,ScionOutput!$A$3:$BL$215,46,FALSE)</f>
        <v>0</v>
      </c>
      <c r="K108" t="str">
        <f>VLOOKUP($A108,ScionOutput!$A$3:$BL$215,58,FALSE)</f>
        <v>No Play</v>
      </c>
      <c r="L108">
        <f>VLOOKUP($A108,ScionOutput!$A$3:$BL$215,59,FALSE)</f>
        <v>0</v>
      </c>
      <c r="M108">
        <f>VLOOKUP($A108,ScionOutput!$A$3:$BL$215,62,FALSE)</f>
        <v>0</v>
      </c>
      <c r="N108">
        <f>VLOOKUP($A108,ScionOutput!$A$3:$BL$215,63,FALSE)</f>
        <v>0</v>
      </c>
      <c r="O108" t="b">
        <f t="shared" si="9"/>
        <v>0</v>
      </c>
      <c r="P108">
        <f>VLOOKUP($A108,Outcomes!$B$3:$I$209,8,FALSE)</f>
        <v>11</v>
      </c>
      <c r="Q108">
        <f t="shared" si="10"/>
        <v>-1</v>
      </c>
      <c r="R108">
        <f>VLOOKUP($A108,Outcomes!$B$3:$I$209,5,FALSE)</f>
        <v>3</v>
      </c>
      <c r="S108">
        <f>VLOOKUP($A108,Outcomes!$B$3:$I$209,6,FALSE)</f>
        <v>8</v>
      </c>
      <c r="T108">
        <f>VLOOKUP($A108,Outcomes!$B$3:$I$209,7,FALSE)</f>
        <v>5</v>
      </c>
      <c r="U108" t="str">
        <f t="shared" si="11"/>
        <v>VisFave</v>
      </c>
      <c r="V108" s="5" t="str">
        <f t="shared" si="12"/>
        <v/>
      </c>
      <c r="W108" t="str">
        <f t="shared" si="8"/>
        <v/>
      </c>
      <c r="X108" t="str">
        <f t="shared" si="13"/>
        <v/>
      </c>
      <c r="Y108" t="str">
        <f t="shared" si="14"/>
        <v/>
      </c>
      <c r="Z108" s="2" t="str">
        <f t="shared" si="15"/>
        <v/>
      </c>
      <c r="AA108" t="str">
        <f>VLOOKUP($A108,ScionOutput!$A$3:$BL$215,64,FALSE)</f>
        <v xml:space="preserve">824021. V_SP is Null, team-based avg used. NoPlay as V_SP is Null. </v>
      </c>
    </row>
    <row r="109" spans="1:27" x14ac:dyDescent="0.2">
      <c r="A109">
        <v>824506</v>
      </c>
      <c r="B109" s="3">
        <f>VLOOKUP($A109,ScionOutput!$A$3:$BL$215,3,FALSE)</f>
        <v>46187</v>
      </c>
      <c r="C109">
        <f>VLOOKUP($A109,ScionOutput!$A$3:$BL$215,22,FALSE)</f>
        <v>6</v>
      </c>
      <c r="D109" t="str">
        <f>VLOOKUP($A109,ScionOutput!$A$3:$BL$215,23,FALSE)</f>
        <v>CIN</v>
      </c>
      <c r="E109">
        <f>VLOOKUP($A109,ScionOutput!$A$3:$BL$215,6,FALSE)</f>
        <v>1</v>
      </c>
      <c r="F109" t="str">
        <f>VLOOKUP($A109,ScionOutput!$A$3:$BL$215,7,FALSE)</f>
        <v>ARZ</v>
      </c>
      <c r="G109">
        <f>VLOOKUP($A109,ScionOutput!$A$3:$BL$215,26,FALSE)</f>
        <v>-101</v>
      </c>
      <c r="H109">
        <f>VLOOKUP($A109,ScionOutput!$A$3:$BL$215,10,FALSE)</f>
        <v>-107</v>
      </c>
      <c r="I109" s="4" t="str">
        <f>VLOOKUP($A109,ScionOutput!$A$3:$BL$215,45,FALSE)</f>
        <v>VisFave</v>
      </c>
      <c r="J109" s="4">
        <f>VLOOKUP($A109,ScionOutput!$A$3:$BL$215,46,FALSE)</f>
        <v>0</v>
      </c>
      <c r="K109" t="str">
        <f>VLOOKUP($A109,ScionOutput!$A$3:$BL$215,58,FALSE)</f>
        <v>No Play</v>
      </c>
      <c r="L109">
        <f>VLOOKUP($A109,ScionOutput!$A$3:$BL$215,59,FALSE)</f>
        <v>0</v>
      </c>
      <c r="M109">
        <f>VLOOKUP($A109,ScionOutput!$A$3:$BL$215,62,FALSE)</f>
        <v>0</v>
      </c>
      <c r="N109">
        <f>VLOOKUP($A109,ScionOutput!$A$3:$BL$215,63,FALSE)</f>
        <v>0</v>
      </c>
      <c r="O109" t="b">
        <f t="shared" si="9"/>
        <v>0</v>
      </c>
      <c r="P109">
        <f>VLOOKUP($A109,Outcomes!$B$3:$I$209,8,FALSE)</f>
        <v>8</v>
      </c>
      <c r="Q109">
        <f t="shared" si="10"/>
        <v>-1</v>
      </c>
      <c r="R109">
        <f>VLOOKUP($A109,Outcomes!$B$3:$I$209,5,FALSE)</f>
        <v>3</v>
      </c>
      <c r="S109">
        <f>VLOOKUP($A109,Outcomes!$B$3:$I$209,6,FALSE)</f>
        <v>5</v>
      </c>
      <c r="T109">
        <f>VLOOKUP($A109,Outcomes!$B$3:$I$209,7,FALSE)</f>
        <v>2</v>
      </c>
      <c r="U109" t="str">
        <f t="shared" si="11"/>
        <v>VisFave</v>
      </c>
      <c r="V109" s="5" t="str">
        <f t="shared" si="12"/>
        <v/>
      </c>
      <c r="W109" t="str">
        <f t="shared" si="8"/>
        <v/>
      </c>
      <c r="X109" t="str">
        <f t="shared" si="13"/>
        <v/>
      </c>
      <c r="Y109" t="str">
        <f t="shared" si="14"/>
        <v/>
      </c>
      <c r="Z109" s="2" t="str">
        <f t="shared" si="15"/>
        <v/>
      </c>
      <c r="AA109" t="str">
        <f>VLOOKUP($A109,ScionOutput!$A$3:$BL$215,64,FALSE)</f>
        <v xml:space="preserve">824506. VF plays are disallowed. No play due to strategy constraints. </v>
      </c>
    </row>
    <row r="110" spans="1:27" x14ac:dyDescent="0.2">
      <c r="A110">
        <v>824586</v>
      </c>
      <c r="B110" s="3">
        <f>VLOOKUP($A110,ScionOutput!$A$3:$BL$215,3,FALSE)</f>
        <v>46187</v>
      </c>
      <c r="C110">
        <f>VLOOKUP($A110,ScionOutput!$A$3:$BL$215,22,FALSE)</f>
        <v>9</v>
      </c>
      <c r="D110" t="str">
        <f>VLOOKUP($A110,ScionOutput!$A$3:$BL$215,23,FALSE)</f>
        <v>CWS</v>
      </c>
      <c r="E110">
        <f>VLOOKUP($A110,ScionOutput!$A$3:$BL$215,6,FALSE)</f>
        <v>14</v>
      </c>
      <c r="F110" t="str">
        <f>VLOOKUP($A110,ScionOutput!$A$3:$BL$215,7,FALSE)</f>
        <v>LA</v>
      </c>
      <c r="G110">
        <f>VLOOKUP($A110,ScionOutput!$A$3:$BL$215,26,FALSE)</f>
        <v>171</v>
      </c>
      <c r="H110">
        <f>VLOOKUP($A110,ScionOutput!$A$3:$BL$215,10,FALSE)</f>
        <v>-188</v>
      </c>
      <c r="I110" s="4" t="str">
        <f>VLOOKUP($A110,ScionOutput!$A$3:$BL$215,45,FALSE)</f>
        <v>VisFave</v>
      </c>
      <c r="J110" s="4">
        <f>VLOOKUP($A110,ScionOutput!$A$3:$BL$215,46,FALSE)</f>
        <v>0</v>
      </c>
      <c r="K110" t="str">
        <f>VLOOKUP($A110,ScionOutput!$A$3:$BL$215,58,FALSE)</f>
        <v>No Play</v>
      </c>
      <c r="L110">
        <f>VLOOKUP($A110,ScionOutput!$A$3:$BL$215,59,FALSE)</f>
        <v>0</v>
      </c>
      <c r="M110">
        <f>VLOOKUP($A110,ScionOutput!$A$3:$BL$215,62,FALSE)</f>
        <v>0</v>
      </c>
      <c r="N110">
        <f>VLOOKUP($A110,ScionOutput!$A$3:$BL$215,63,FALSE)</f>
        <v>0</v>
      </c>
      <c r="O110" t="b">
        <f t="shared" si="9"/>
        <v>0</v>
      </c>
      <c r="P110">
        <f>VLOOKUP($A110,Outcomes!$B$3:$I$209,8,FALSE)</f>
        <v>10</v>
      </c>
      <c r="Q110">
        <f t="shared" si="10"/>
        <v>1</v>
      </c>
      <c r="R110">
        <f>VLOOKUP($A110,Outcomes!$B$3:$I$209,5,FALSE)</f>
        <v>6</v>
      </c>
      <c r="S110">
        <f>VLOOKUP($A110,Outcomes!$B$3:$I$209,6,FALSE)</f>
        <v>4</v>
      </c>
      <c r="T110">
        <f>VLOOKUP($A110,Outcomes!$B$3:$I$209,7,FALSE)</f>
        <v>-2</v>
      </c>
      <c r="U110" t="str">
        <f t="shared" si="11"/>
        <v>HomDog</v>
      </c>
      <c r="V110" s="5" t="str">
        <f t="shared" si="12"/>
        <v/>
      </c>
      <c r="W110" t="str">
        <f t="shared" si="8"/>
        <v/>
      </c>
      <c r="X110" t="str">
        <f t="shared" si="13"/>
        <v/>
      </c>
      <c r="Y110" t="str">
        <f t="shared" si="14"/>
        <v/>
      </c>
      <c r="Z110" s="2" t="str">
        <f t="shared" si="15"/>
        <v/>
      </c>
      <c r="AA110" t="str">
        <f>VLOOKUP($A110,ScionOutput!$A$3:$BL$215,64,FALSE)</f>
        <v xml:space="preserve">824586. LineStatEns is NoPlay as bookie-line outside range. StatOnlyEns is NoPlay as bookie-line outside range. No play due to strategy constraints. </v>
      </c>
    </row>
    <row r="111" spans="1:27" x14ac:dyDescent="0.2">
      <c r="A111">
        <v>824099</v>
      </c>
      <c r="B111" s="3">
        <f>VLOOKUP($A111,ScionOutput!$A$3:$BL$215,3,FALSE)</f>
        <v>46187</v>
      </c>
      <c r="C111">
        <f>VLOOKUP($A111,ScionOutput!$A$3:$BL$215,22,FALSE)</f>
        <v>13</v>
      </c>
      <c r="D111" t="str">
        <f>VLOOKUP($A111,ScionOutput!$A$3:$BL$215,23,FALSE)</f>
        <v>KC</v>
      </c>
      <c r="E111">
        <f>VLOOKUP($A111,ScionOutput!$A$3:$BL$215,6,FALSE)</f>
        <v>12</v>
      </c>
      <c r="F111" t="str">
        <f>VLOOKUP($A111,ScionOutput!$A$3:$BL$215,7,FALSE)</f>
        <v>HOU</v>
      </c>
      <c r="G111">
        <f>VLOOKUP($A111,ScionOutput!$A$3:$BL$215,26,FALSE)</f>
        <v>-116</v>
      </c>
      <c r="H111">
        <f>VLOOKUP($A111,ScionOutput!$A$3:$BL$215,10,FALSE)</f>
        <v>107</v>
      </c>
      <c r="I111" s="4" t="str">
        <f>VLOOKUP($A111,ScionOutput!$A$3:$BL$215,45,FALSE)</f>
        <v>VisDog</v>
      </c>
      <c r="J111" s="4">
        <f>VLOOKUP($A111,ScionOutput!$A$3:$BL$215,46,FALSE)</f>
        <v>1</v>
      </c>
      <c r="K111" t="str">
        <f>VLOOKUP($A111,ScionOutput!$A$3:$BL$215,58,FALSE)</f>
        <v>VisDog</v>
      </c>
      <c r="L111">
        <f>VLOOKUP($A111,ScionOutput!$A$3:$BL$215,59,FALSE)</f>
        <v>-4.6440000000000002E-2</v>
      </c>
      <c r="M111">
        <f>VLOOKUP($A111,ScionOutput!$A$3:$BL$215,62,FALSE)</f>
        <v>3</v>
      </c>
      <c r="N111">
        <f>VLOOKUP($A111,ScionOutput!$A$3:$BL$215,63,FALSE)</f>
        <v>0.73</v>
      </c>
      <c r="O111" t="b">
        <f t="shared" si="9"/>
        <v>0</v>
      </c>
      <c r="P111">
        <f>VLOOKUP($A111,Outcomes!$B$3:$I$209,8,FALSE)</f>
        <v>4</v>
      </c>
      <c r="Q111">
        <f t="shared" si="10"/>
        <v>1</v>
      </c>
      <c r="R111">
        <f>VLOOKUP($A111,Outcomes!$B$3:$I$209,5,FALSE)</f>
        <v>4</v>
      </c>
      <c r="S111">
        <f>VLOOKUP($A111,Outcomes!$B$3:$I$209,6,FALSE)</f>
        <v>0</v>
      </c>
      <c r="T111">
        <f>VLOOKUP($A111,Outcomes!$B$3:$I$209,7,FALSE)</f>
        <v>-4</v>
      </c>
      <c r="U111" t="str">
        <f t="shared" si="11"/>
        <v>HomFave</v>
      </c>
      <c r="V111" s="5">
        <f t="shared" si="12"/>
        <v>0</v>
      </c>
      <c r="W111">
        <f t="shared" si="8"/>
        <v>100</v>
      </c>
      <c r="X111">
        <f t="shared" si="13"/>
        <v>0</v>
      </c>
      <c r="Y111">
        <f t="shared" si="14"/>
        <v>-100</v>
      </c>
      <c r="Z111" s="2">
        <f t="shared" si="15"/>
        <v>-1</v>
      </c>
      <c r="AA111" t="str">
        <f>VLOOKUP($A111,ScionOutput!$A$3:$BL$215,64,FALSE)</f>
        <v xml:space="preserve">824099. StatOnlyEns probability points gap does not exceed threshold (no edge found)! Play determined by LineStatEns only. </v>
      </c>
    </row>
    <row r="112" spans="1:27" x14ac:dyDescent="0.2">
      <c r="A112">
        <v>823693</v>
      </c>
      <c r="B112" s="3">
        <f>VLOOKUP($A112,ScionOutput!$A$3:$BL$215,3,FALSE)</f>
        <v>46187</v>
      </c>
      <c r="C112">
        <f>VLOOKUP($A112,ScionOutput!$A$3:$BL$215,22,FALSE)</f>
        <v>15</v>
      </c>
      <c r="D112" t="str">
        <f>VLOOKUP($A112,ScionOutput!$A$3:$BL$215,23,FALSE)</f>
        <v>MIN</v>
      </c>
      <c r="E112">
        <f>VLOOKUP($A112,ScionOutput!$A$3:$BL$215,6,FALSE)</f>
        <v>26</v>
      </c>
      <c r="F112" t="str">
        <f>VLOOKUP($A112,ScionOutput!$A$3:$BL$215,7,FALSE)</f>
        <v>STL</v>
      </c>
      <c r="G112">
        <f>VLOOKUP($A112,ScionOutput!$A$3:$BL$215,26,FALSE)</f>
        <v>-108</v>
      </c>
      <c r="H112">
        <f>VLOOKUP($A112,ScionOutput!$A$3:$BL$215,10,FALSE)</f>
        <v>100</v>
      </c>
      <c r="I112" s="4" t="str">
        <f>VLOOKUP($A112,ScionOutput!$A$3:$BL$215,45,FALSE)</f>
        <v>HomFave</v>
      </c>
      <c r="J112" s="4">
        <f>VLOOKUP($A112,ScionOutput!$A$3:$BL$215,46,FALSE)</f>
        <v>0</v>
      </c>
      <c r="K112" t="str">
        <f>VLOOKUP($A112,ScionOutput!$A$3:$BL$215,58,FALSE)</f>
        <v>No Play</v>
      </c>
      <c r="L112">
        <f>VLOOKUP($A112,ScionOutput!$A$3:$BL$215,59,FALSE)</f>
        <v>0</v>
      </c>
      <c r="M112">
        <f>VLOOKUP($A112,ScionOutput!$A$3:$BL$215,62,FALSE)</f>
        <v>0</v>
      </c>
      <c r="N112">
        <f>VLOOKUP($A112,ScionOutput!$A$3:$BL$215,63,FALSE)</f>
        <v>0</v>
      </c>
      <c r="O112" t="b">
        <f t="shared" si="9"/>
        <v>0</v>
      </c>
      <c r="P112">
        <f>VLOOKUP($A112,Outcomes!$B$3:$I$209,8,FALSE)</f>
        <v>9</v>
      </c>
      <c r="Q112">
        <f t="shared" si="10"/>
        <v>1</v>
      </c>
      <c r="R112">
        <f>VLOOKUP($A112,Outcomes!$B$3:$I$209,5,FALSE)</f>
        <v>5</v>
      </c>
      <c r="S112">
        <f>VLOOKUP($A112,Outcomes!$B$3:$I$209,6,FALSE)</f>
        <v>4</v>
      </c>
      <c r="T112">
        <f>VLOOKUP($A112,Outcomes!$B$3:$I$209,7,FALSE)</f>
        <v>-1</v>
      </c>
      <c r="U112" t="str">
        <f t="shared" si="11"/>
        <v>HomFave</v>
      </c>
      <c r="V112" s="5" t="str">
        <f t="shared" si="12"/>
        <v/>
      </c>
      <c r="W112" t="str">
        <f t="shared" si="8"/>
        <v/>
      </c>
      <c r="X112" t="str">
        <f t="shared" si="13"/>
        <v/>
      </c>
      <c r="Y112" t="str">
        <f t="shared" si="14"/>
        <v/>
      </c>
      <c r="Z112" s="2" t="str">
        <f t="shared" si="15"/>
        <v/>
      </c>
      <c r="AA112" t="str">
        <f>VLOOKUP($A112,ScionOutput!$A$3:$BL$215,64,FALSE)</f>
        <v xml:space="preserve">823693. LineStatEns probability points gap does not exceed threshold (no edge found)! StatOnlyEns probability points gap does not exceed threshold (no edge found)! No play due to strategy constraints. </v>
      </c>
    </row>
    <row r="113" spans="1:27" x14ac:dyDescent="0.2">
      <c r="A113">
        <v>822722</v>
      </c>
      <c r="B113" s="3">
        <f>VLOOKUP($A113,ScionOutput!$A$3:$BL$215,3,FALSE)</f>
        <v>46187</v>
      </c>
      <c r="C113">
        <f>VLOOKUP($A113,ScionOutput!$A$3:$BL$215,22,FALSE)</f>
        <v>16</v>
      </c>
      <c r="D113" t="str">
        <f>VLOOKUP($A113,ScionOutput!$A$3:$BL$215,23,FALSE)</f>
        <v>WAS</v>
      </c>
      <c r="E113">
        <f>VLOOKUP($A113,ScionOutput!$A$3:$BL$215,6,FALSE)</f>
        <v>24</v>
      </c>
      <c r="F113" t="str">
        <f>VLOOKUP($A113,ScionOutput!$A$3:$BL$215,7,FALSE)</f>
        <v>SEA</v>
      </c>
      <c r="G113">
        <f>VLOOKUP($A113,ScionOutput!$A$3:$BL$215,26,FALSE)</f>
        <v>119</v>
      </c>
      <c r="H113">
        <f>VLOOKUP($A113,ScionOutput!$A$3:$BL$215,10,FALSE)</f>
        <v>-129</v>
      </c>
      <c r="I113" s="4" t="str">
        <f>VLOOKUP($A113,ScionOutput!$A$3:$BL$215,45,FALSE)</f>
        <v>VisFave</v>
      </c>
      <c r="J113" s="4">
        <f>VLOOKUP($A113,ScionOutput!$A$3:$BL$215,46,FALSE)</f>
        <v>0</v>
      </c>
      <c r="K113" t="str">
        <f>VLOOKUP($A113,ScionOutput!$A$3:$BL$215,58,FALSE)</f>
        <v>No Play</v>
      </c>
      <c r="L113">
        <f>VLOOKUP($A113,ScionOutput!$A$3:$BL$215,59,FALSE)</f>
        <v>0</v>
      </c>
      <c r="M113">
        <f>VLOOKUP($A113,ScionOutput!$A$3:$BL$215,62,FALSE)</f>
        <v>0</v>
      </c>
      <c r="N113">
        <f>VLOOKUP($A113,ScionOutput!$A$3:$BL$215,63,FALSE)</f>
        <v>0</v>
      </c>
      <c r="O113" t="b">
        <f t="shared" si="9"/>
        <v>0</v>
      </c>
      <c r="P113">
        <f>VLOOKUP($A113,Outcomes!$B$3:$I$209,8,FALSE)</f>
        <v>11</v>
      </c>
      <c r="Q113">
        <f t="shared" si="10"/>
        <v>1</v>
      </c>
      <c r="R113">
        <f>VLOOKUP($A113,Outcomes!$B$3:$I$209,5,FALSE)</f>
        <v>10</v>
      </c>
      <c r="S113">
        <f>VLOOKUP($A113,Outcomes!$B$3:$I$209,6,FALSE)</f>
        <v>1</v>
      </c>
      <c r="T113">
        <f>VLOOKUP($A113,Outcomes!$B$3:$I$209,7,FALSE)</f>
        <v>-9</v>
      </c>
      <c r="U113" t="str">
        <f t="shared" si="11"/>
        <v>HomDog</v>
      </c>
      <c r="V113" s="5" t="str">
        <f t="shared" si="12"/>
        <v/>
      </c>
      <c r="W113" t="str">
        <f t="shared" si="8"/>
        <v/>
      </c>
      <c r="X113" t="str">
        <f t="shared" si="13"/>
        <v/>
      </c>
      <c r="Y113" t="str">
        <f t="shared" si="14"/>
        <v/>
      </c>
      <c r="Z113" s="2" t="str">
        <f t="shared" si="15"/>
        <v/>
      </c>
      <c r="AA113" t="str">
        <f>VLOOKUP($A113,ScionOutput!$A$3:$BL$215,64,FALSE)</f>
        <v xml:space="preserve">822722. VF plays are disallowed. No play due to strategy constraints. </v>
      </c>
    </row>
    <row r="114" spans="1:27" x14ac:dyDescent="0.2">
      <c r="A114">
        <v>823777</v>
      </c>
      <c r="B114" s="3">
        <f>VLOOKUP($A114,ScionOutput!$A$3:$BL$215,3,FALSE)</f>
        <v>46187</v>
      </c>
      <c r="C114">
        <f>VLOOKUP($A114,ScionOutput!$A$3:$BL$215,22,FALSE)</f>
        <v>17</v>
      </c>
      <c r="D114" t="str">
        <f>VLOOKUP($A114,ScionOutput!$A$3:$BL$215,23,FALSE)</f>
        <v>MLW</v>
      </c>
      <c r="E114">
        <f>VLOOKUP($A114,ScionOutput!$A$3:$BL$215,6,FALSE)</f>
        <v>21</v>
      </c>
      <c r="F114" t="str">
        <f>VLOOKUP($A114,ScionOutput!$A$3:$BL$215,7,FALSE)</f>
        <v>PHI</v>
      </c>
      <c r="G114">
        <f>VLOOKUP($A114,ScionOutput!$A$3:$BL$215,26,FALSE)</f>
        <v>113</v>
      </c>
      <c r="H114">
        <f>VLOOKUP($A114,ScionOutput!$A$3:$BL$215,10,FALSE)</f>
        <v>-122</v>
      </c>
      <c r="I114" s="4" t="str">
        <f>VLOOKUP($A114,ScionOutput!$A$3:$BL$215,45,FALSE)</f>
        <v>VisFave</v>
      </c>
      <c r="J114" s="4">
        <f>VLOOKUP($A114,ScionOutput!$A$3:$BL$215,46,FALSE)</f>
        <v>0</v>
      </c>
      <c r="K114" t="str">
        <f>VLOOKUP($A114,ScionOutput!$A$3:$BL$215,58,FALSE)</f>
        <v>No Play</v>
      </c>
      <c r="L114">
        <f>VLOOKUP($A114,ScionOutput!$A$3:$BL$215,59,FALSE)</f>
        <v>0</v>
      </c>
      <c r="M114">
        <f>VLOOKUP($A114,ScionOutput!$A$3:$BL$215,62,FALSE)</f>
        <v>0</v>
      </c>
      <c r="N114">
        <f>VLOOKUP($A114,ScionOutput!$A$3:$BL$215,63,FALSE)</f>
        <v>0</v>
      </c>
      <c r="O114" t="b">
        <f t="shared" si="9"/>
        <v>0</v>
      </c>
      <c r="P114">
        <f>VLOOKUP($A114,Outcomes!$B$3:$I$209,8,FALSE)</f>
        <v>4</v>
      </c>
      <c r="Q114">
        <f t="shared" si="10"/>
        <v>1</v>
      </c>
      <c r="R114">
        <f>VLOOKUP($A114,Outcomes!$B$3:$I$209,5,FALSE)</f>
        <v>4</v>
      </c>
      <c r="S114">
        <f>VLOOKUP($A114,Outcomes!$B$3:$I$209,6,FALSE)</f>
        <v>0</v>
      </c>
      <c r="T114">
        <f>VLOOKUP($A114,Outcomes!$B$3:$I$209,7,FALSE)</f>
        <v>-4</v>
      </c>
      <c r="U114" t="str">
        <f t="shared" si="11"/>
        <v>HomDog</v>
      </c>
      <c r="V114" s="5" t="str">
        <f t="shared" si="12"/>
        <v/>
      </c>
      <c r="W114" t="str">
        <f t="shared" si="8"/>
        <v/>
      </c>
      <c r="X114" t="str">
        <f t="shared" si="13"/>
        <v/>
      </c>
      <c r="Y114" t="str">
        <f t="shared" si="14"/>
        <v/>
      </c>
      <c r="Z114" s="2" t="str">
        <f t="shared" si="15"/>
        <v/>
      </c>
      <c r="AA114" t="str">
        <f>VLOOKUP($A114,ScionOutput!$A$3:$BL$215,64,FALSE)</f>
        <v xml:space="preserve">823777. VF plays are disallowed. No play due to strategy constraints. </v>
      </c>
    </row>
    <row r="115" spans="1:27" x14ac:dyDescent="0.2">
      <c r="A115">
        <v>823615</v>
      </c>
      <c r="B115" s="3">
        <f>VLOOKUP($A115,ScionOutput!$A$3:$BL$215,3,FALSE)</f>
        <v>46187</v>
      </c>
      <c r="C115">
        <f>VLOOKUP($A115,ScionOutput!$A$3:$BL$215,22,FALSE)</f>
        <v>18</v>
      </c>
      <c r="D115" t="str">
        <f>VLOOKUP($A115,ScionOutput!$A$3:$BL$215,23,FALSE)</f>
        <v>NYM</v>
      </c>
      <c r="E115">
        <f>VLOOKUP($A115,ScionOutput!$A$3:$BL$215,6,FALSE)</f>
        <v>0</v>
      </c>
      <c r="F115" t="str">
        <f>VLOOKUP($A115,ScionOutput!$A$3:$BL$215,7,FALSE)</f>
        <v>ATL</v>
      </c>
      <c r="G115">
        <f>VLOOKUP($A115,ScionOutput!$A$3:$BL$215,26,FALSE)</f>
        <v>-122</v>
      </c>
      <c r="H115">
        <f>VLOOKUP($A115,ScionOutput!$A$3:$BL$215,10,FALSE)</f>
        <v>113</v>
      </c>
      <c r="I115" s="4" t="str">
        <f>VLOOKUP($A115,ScionOutput!$A$3:$BL$215,45,FALSE)</f>
        <v>HomFave</v>
      </c>
      <c r="J115" s="4">
        <f>VLOOKUP($A115,ScionOutput!$A$3:$BL$215,46,FALSE)</f>
        <v>0</v>
      </c>
      <c r="K115" t="str">
        <f>VLOOKUP($A115,ScionOutput!$A$3:$BL$215,58,FALSE)</f>
        <v>No Play</v>
      </c>
      <c r="L115">
        <f>VLOOKUP($A115,ScionOutput!$A$3:$BL$215,59,FALSE)</f>
        <v>0</v>
      </c>
      <c r="M115">
        <f>VLOOKUP($A115,ScionOutput!$A$3:$BL$215,62,FALSE)</f>
        <v>0</v>
      </c>
      <c r="N115">
        <f>VLOOKUP($A115,ScionOutput!$A$3:$BL$215,63,FALSE)</f>
        <v>0</v>
      </c>
      <c r="O115" t="b">
        <f t="shared" si="9"/>
        <v>0</v>
      </c>
      <c r="P115">
        <f>VLOOKUP($A115,Outcomes!$B$3:$I$209,8,FALSE)</f>
        <v>9</v>
      </c>
      <c r="Q115">
        <f t="shared" si="10"/>
        <v>1</v>
      </c>
      <c r="R115">
        <f>VLOOKUP($A115,Outcomes!$B$3:$I$209,5,FALSE)</f>
        <v>8</v>
      </c>
      <c r="S115">
        <f>VLOOKUP($A115,Outcomes!$B$3:$I$209,6,FALSE)</f>
        <v>1</v>
      </c>
      <c r="T115">
        <f>VLOOKUP($A115,Outcomes!$B$3:$I$209,7,FALSE)</f>
        <v>-7</v>
      </c>
      <c r="U115" t="str">
        <f t="shared" si="11"/>
        <v>HomFave</v>
      </c>
      <c r="V115" s="5" t="str">
        <f t="shared" si="12"/>
        <v/>
      </c>
      <c r="W115" t="str">
        <f t="shared" si="8"/>
        <v/>
      </c>
      <c r="X115" t="str">
        <f t="shared" si="13"/>
        <v/>
      </c>
      <c r="Y115" t="str">
        <f t="shared" si="14"/>
        <v/>
      </c>
      <c r="Z115" s="2" t="str">
        <f t="shared" si="15"/>
        <v/>
      </c>
      <c r="AA115" t="str">
        <f>VLOOKUP($A115,ScionOutput!$A$3:$BL$215,64,FALSE)</f>
        <v xml:space="preserve">823615. LineStatEns probability points gap does not exceed threshold (no edge found)! No play due to strategy constraints. </v>
      </c>
    </row>
    <row r="116" spans="1:27" x14ac:dyDescent="0.2">
      <c r="A116">
        <v>824994</v>
      </c>
      <c r="B116" s="3">
        <f>VLOOKUP($A116,ScionOutput!$A$3:$BL$215,3,FALSE)</f>
        <v>46187</v>
      </c>
      <c r="C116">
        <f>VLOOKUP($A116,ScionOutput!$A$3:$BL$215,22,FALSE)</f>
        <v>20</v>
      </c>
      <c r="D116" t="str">
        <f>VLOOKUP($A116,ScionOutput!$A$3:$BL$215,23,FALSE)</f>
        <v>OAK</v>
      </c>
      <c r="E116">
        <f>VLOOKUP($A116,ScionOutput!$A$3:$BL$215,6,FALSE)</f>
        <v>8</v>
      </c>
      <c r="F116" t="str">
        <f>VLOOKUP($A116,ScionOutput!$A$3:$BL$215,7,FALSE)</f>
        <v>COL</v>
      </c>
      <c r="G116">
        <f>VLOOKUP($A116,ScionOutput!$A$3:$BL$215,26,FALSE)</f>
        <v>-188</v>
      </c>
      <c r="H116">
        <f>VLOOKUP($A116,ScionOutput!$A$3:$BL$215,10,FALSE)</f>
        <v>171</v>
      </c>
      <c r="I116" s="4" t="str">
        <f>VLOOKUP($A116,ScionOutput!$A$3:$BL$215,45,FALSE)</f>
        <v>HomFave</v>
      </c>
      <c r="J116" s="4">
        <f>VLOOKUP($A116,ScionOutput!$A$3:$BL$215,46,FALSE)</f>
        <v>0</v>
      </c>
      <c r="K116" t="str">
        <f>VLOOKUP($A116,ScionOutput!$A$3:$BL$215,58,FALSE)</f>
        <v>No Play</v>
      </c>
      <c r="L116">
        <f>VLOOKUP($A116,ScionOutput!$A$3:$BL$215,59,FALSE)</f>
        <v>0</v>
      </c>
      <c r="M116">
        <f>VLOOKUP($A116,ScionOutput!$A$3:$BL$215,62,FALSE)</f>
        <v>0</v>
      </c>
      <c r="N116">
        <f>VLOOKUP($A116,ScionOutput!$A$3:$BL$215,63,FALSE)</f>
        <v>0</v>
      </c>
      <c r="O116" t="b">
        <f t="shared" si="9"/>
        <v>0</v>
      </c>
      <c r="P116">
        <f>VLOOKUP($A116,Outcomes!$B$3:$I$209,8,FALSE)</f>
        <v>32</v>
      </c>
      <c r="Q116">
        <f t="shared" si="10"/>
        <v>-1</v>
      </c>
      <c r="R116">
        <f>VLOOKUP($A116,Outcomes!$B$3:$I$209,5,FALSE)</f>
        <v>9</v>
      </c>
      <c r="S116">
        <f>VLOOKUP($A116,Outcomes!$B$3:$I$209,6,FALSE)</f>
        <v>23</v>
      </c>
      <c r="T116">
        <f>VLOOKUP($A116,Outcomes!$B$3:$I$209,7,FALSE)</f>
        <v>14</v>
      </c>
      <c r="U116" t="str">
        <f t="shared" si="11"/>
        <v>VisDog</v>
      </c>
      <c r="V116" s="5" t="str">
        <f t="shared" si="12"/>
        <v/>
      </c>
      <c r="W116" t="str">
        <f t="shared" si="8"/>
        <v/>
      </c>
      <c r="X116" t="str">
        <f t="shared" si="13"/>
        <v/>
      </c>
      <c r="Y116" t="str">
        <f t="shared" si="14"/>
        <v/>
      </c>
      <c r="Z116" s="2" t="str">
        <f t="shared" si="15"/>
        <v/>
      </c>
      <c r="AA116" t="str">
        <f>VLOOKUP($A116,ScionOutput!$A$3:$BL$215,64,FALSE)</f>
        <v xml:space="preserve">824994. LineStatEns is NoPlay as bookie-line outside range. StatOnlyEns is NoPlay as bookie-line outside range. No play due to strategy constraints. </v>
      </c>
    </row>
    <row r="117" spans="1:27" x14ac:dyDescent="0.2">
      <c r="A117">
        <v>823368</v>
      </c>
      <c r="B117" s="3">
        <f>VLOOKUP($A117,ScionOutput!$A$3:$BL$215,3,FALSE)</f>
        <v>46187</v>
      </c>
      <c r="C117">
        <f>VLOOKUP($A117,ScionOutput!$A$3:$BL$215,22,FALSE)</f>
        <v>22</v>
      </c>
      <c r="D117" t="str">
        <f>VLOOKUP($A117,ScionOutput!$A$3:$BL$215,23,FALSE)</f>
        <v>PIT</v>
      </c>
      <c r="E117">
        <f>VLOOKUP($A117,ScionOutput!$A$3:$BL$215,6,FALSE)</f>
        <v>11</v>
      </c>
      <c r="F117" t="str">
        <f>VLOOKUP($A117,ScionOutput!$A$3:$BL$215,7,FALSE)</f>
        <v>FLO</v>
      </c>
      <c r="G117">
        <f>VLOOKUP($A117,ScionOutput!$A$3:$BL$215,26,FALSE)</f>
        <v>-150</v>
      </c>
      <c r="H117">
        <f>VLOOKUP($A117,ScionOutput!$A$3:$BL$215,10,FALSE)</f>
        <v>138</v>
      </c>
      <c r="I117" s="4" t="str">
        <f>VLOOKUP($A117,ScionOutput!$A$3:$BL$215,45,FALSE)</f>
        <v>HomFave</v>
      </c>
      <c r="J117" s="4">
        <f>VLOOKUP($A117,ScionOutput!$A$3:$BL$215,46,FALSE)</f>
        <v>0</v>
      </c>
      <c r="K117" t="str">
        <f>VLOOKUP($A117,ScionOutput!$A$3:$BL$215,58,FALSE)</f>
        <v>No Play</v>
      </c>
      <c r="L117">
        <f>VLOOKUP($A117,ScionOutput!$A$3:$BL$215,59,FALSE)</f>
        <v>0</v>
      </c>
      <c r="M117">
        <f>VLOOKUP($A117,ScionOutput!$A$3:$BL$215,62,FALSE)</f>
        <v>0</v>
      </c>
      <c r="N117">
        <f>VLOOKUP($A117,ScionOutput!$A$3:$BL$215,63,FALSE)</f>
        <v>0</v>
      </c>
      <c r="O117" t="b">
        <f t="shared" si="9"/>
        <v>0</v>
      </c>
      <c r="P117">
        <f>VLOOKUP($A117,Outcomes!$B$3:$I$209,8,FALSE)</f>
        <v>6</v>
      </c>
      <c r="Q117">
        <f t="shared" si="10"/>
        <v>-1</v>
      </c>
      <c r="R117">
        <f>VLOOKUP($A117,Outcomes!$B$3:$I$209,5,FALSE)</f>
        <v>2</v>
      </c>
      <c r="S117">
        <f>VLOOKUP($A117,Outcomes!$B$3:$I$209,6,FALSE)</f>
        <v>4</v>
      </c>
      <c r="T117">
        <f>VLOOKUP($A117,Outcomes!$B$3:$I$209,7,FALSE)</f>
        <v>2</v>
      </c>
      <c r="U117" t="str">
        <f t="shared" si="11"/>
        <v>VisDog</v>
      </c>
      <c r="V117" s="5" t="str">
        <f t="shared" si="12"/>
        <v/>
      </c>
      <c r="W117" t="str">
        <f t="shared" si="8"/>
        <v/>
      </c>
      <c r="X117" t="str">
        <f t="shared" si="13"/>
        <v/>
      </c>
      <c r="Y117" t="str">
        <f t="shared" si="14"/>
        <v/>
      </c>
      <c r="Z117" s="2" t="str">
        <f t="shared" si="15"/>
        <v/>
      </c>
      <c r="AA117" t="str">
        <f>VLOOKUP($A117,ScionOutput!$A$3:$BL$215,64,FALSE)</f>
        <v xml:space="preserve">823368. LineStatEns probability points gap does not exceed threshold (no edge found)! No play due to strategy constraints. </v>
      </c>
    </row>
    <row r="118" spans="1:27" x14ac:dyDescent="0.2">
      <c r="A118">
        <v>823212</v>
      </c>
      <c r="B118" s="3">
        <f>VLOOKUP($A118,ScionOutput!$A$3:$BL$215,3,FALSE)</f>
        <v>46187</v>
      </c>
      <c r="C118">
        <f>VLOOKUP($A118,ScionOutput!$A$3:$BL$215,22,FALSE)</f>
        <v>25</v>
      </c>
      <c r="D118" t="str">
        <f>VLOOKUP($A118,ScionOutput!$A$3:$BL$215,23,FALSE)</f>
        <v>SF</v>
      </c>
      <c r="E118">
        <f>VLOOKUP($A118,ScionOutput!$A$3:$BL$215,6,FALSE)</f>
        <v>5</v>
      </c>
      <c r="F118" t="str">
        <f>VLOOKUP($A118,ScionOutput!$A$3:$BL$215,7,FALSE)</f>
        <v>CHC</v>
      </c>
      <c r="G118">
        <f>VLOOKUP($A118,ScionOutput!$A$3:$BL$215,26,FALSE)</f>
        <v>-124</v>
      </c>
      <c r="H118">
        <f>VLOOKUP($A118,ScionOutput!$A$3:$BL$215,10,FALSE)</f>
        <v>115</v>
      </c>
      <c r="I118" s="4" t="str">
        <f>VLOOKUP($A118,ScionOutput!$A$3:$BL$215,45,FALSE)</f>
        <v>HomFave</v>
      </c>
      <c r="J118" s="4">
        <f>VLOOKUP($A118,ScionOutput!$A$3:$BL$215,46,FALSE)</f>
        <v>0</v>
      </c>
      <c r="K118" t="str">
        <f>VLOOKUP($A118,ScionOutput!$A$3:$BL$215,58,FALSE)</f>
        <v>No Play</v>
      </c>
      <c r="L118">
        <f>VLOOKUP($A118,ScionOutput!$A$3:$BL$215,59,FALSE)</f>
        <v>0</v>
      </c>
      <c r="M118">
        <f>VLOOKUP($A118,ScionOutput!$A$3:$BL$215,62,FALSE)</f>
        <v>0</v>
      </c>
      <c r="N118">
        <f>VLOOKUP($A118,ScionOutput!$A$3:$BL$215,63,FALSE)</f>
        <v>0</v>
      </c>
      <c r="O118" t="b">
        <f t="shared" si="9"/>
        <v>0</v>
      </c>
      <c r="P118">
        <f>VLOOKUP($A118,Outcomes!$B$3:$I$209,8,FALSE)</f>
        <v>6</v>
      </c>
      <c r="Q118">
        <f t="shared" si="10"/>
        <v>1</v>
      </c>
      <c r="R118">
        <f>VLOOKUP($A118,Outcomes!$B$3:$I$209,5,FALSE)</f>
        <v>5</v>
      </c>
      <c r="S118">
        <f>VLOOKUP($A118,Outcomes!$B$3:$I$209,6,FALSE)</f>
        <v>1</v>
      </c>
      <c r="T118">
        <f>VLOOKUP($A118,Outcomes!$B$3:$I$209,7,FALSE)</f>
        <v>-4</v>
      </c>
      <c r="U118" t="str">
        <f t="shared" si="11"/>
        <v>HomFave</v>
      </c>
      <c r="V118" s="5" t="str">
        <f t="shared" si="12"/>
        <v/>
      </c>
      <c r="W118" t="str">
        <f t="shared" si="8"/>
        <v/>
      </c>
      <c r="X118" t="str">
        <f t="shared" si="13"/>
        <v/>
      </c>
      <c r="Y118" t="str">
        <f t="shared" si="14"/>
        <v/>
      </c>
      <c r="Z118" s="2" t="str">
        <f t="shared" si="15"/>
        <v/>
      </c>
      <c r="AA118" t="str">
        <f>VLOOKUP($A118,ScionOutput!$A$3:$BL$215,64,FALSE)</f>
        <v xml:space="preserve">823212. V_SP is Null, team-based avg used. NoPlay as V_SP is Null. </v>
      </c>
    </row>
    <row r="119" spans="1:27" x14ac:dyDescent="0.2">
      <c r="A119">
        <v>822801</v>
      </c>
      <c r="B119" s="3">
        <f>VLOOKUP($A119,ScionOutput!$A$3:$BL$215,3,FALSE)</f>
        <v>46187</v>
      </c>
      <c r="C119">
        <f>VLOOKUP($A119,ScionOutput!$A$3:$BL$215,22,FALSE)</f>
        <v>29</v>
      </c>
      <c r="D119" t="str">
        <f>VLOOKUP($A119,ScionOutput!$A$3:$BL$215,23,FALSE)</f>
        <v>TOR</v>
      </c>
      <c r="E119">
        <f>VLOOKUP($A119,ScionOutput!$A$3:$BL$215,6,FALSE)</f>
        <v>19</v>
      </c>
      <c r="F119" t="str">
        <f>VLOOKUP($A119,ScionOutput!$A$3:$BL$215,7,FALSE)</f>
        <v>NYY</v>
      </c>
      <c r="G119">
        <f>VLOOKUP($A119,ScionOutput!$A$3:$BL$215,26,FALSE)</f>
        <v>112</v>
      </c>
      <c r="H119">
        <f>VLOOKUP($A119,ScionOutput!$A$3:$BL$215,10,FALSE)</f>
        <v>-121</v>
      </c>
      <c r="I119" s="4" t="str">
        <f>VLOOKUP($A119,ScionOutput!$A$3:$BL$215,45,FALSE)</f>
        <v>VisFave</v>
      </c>
      <c r="J119" s="4">
        <f>VLOOKUP($A119,ScionOutput!$A$3:$BL$215,46,FALSE)</f>
        <v>0</v>
      </c>
      <c r="K119" t="str">
        <f>VLOOKUP($A119,ScionOutput!$A$3:$BL$215,58,FALSE)</f>
        <v>No Play</v>
      </c>
      <c r="L119">
        <f>VLOOKUP($A119,ScionOutput!$A$3:$BL$215,59,FALSE)</f>
        <v>0</v>
      </c>
      <c r="M119">
        <f>VLOOKUP($A119,ScionOutput!$A$3:$BL$215,62,FALSE)</f>
        <v>0</v>
      </c>
      <c r="N119">
        <f>VLOOKUP($A119,ScionOutput!$A$3:$BL$215,63,FALSE)</f>
        <v>0</v>
      </c>
      <c r="O119" t="b">
        <f t="shared" si="9"/>
        <v>0</v>
      </c>
      <c r="P119">
        <f>VLOOKUP($A119,Outcomes!$B$3:$I$209,8,FALSE)</f>
        <v>11</v>
      </c>
      <c r="Q119">
        <f t="shared" si="10"/>
        <v>-1</v>
      </c>
      <c r="R119">
        <f>VLOOKUP($A119,Outcomes!$B$3:$I$209,5,FALSE)</f>
        <v>3</v>
      </c>
      <c r="S119">
        <f>VLOOKUP($A119,Outcomes!$B$3:$I$209,6,FALSE)</f>
        <v>8</v>
      </c>
      <c r="T119">
        <f>VLOOKUP($A119,Outcomes!$B$3:$I$209,7,FALSE)</f>
        <v>5</v>
      </c>
      <c r="U119" t="str">
        <f t="shared" si="11"/>
        <v>VisFave</v>
      </c>
      <c r="V119" s="5" t="str">
        <f t="shared" si="12"/>
        <v/>
      </c>
      <c r="W119" t="str">
        <f t="shared" si="8"/>
        <v/>
      </c>
      <c r="X119" t="str">
        <f t="shared" si="13"/>
        <v/>
      </c>
      <c r="Y119" t="str">
        <f t="shared" si="14"/>
        <v/>
      </c>
      <c r="Z119" s="2" t="str">
        <f t="shared" si="15"/>
        <v/>
      </c>
      <c r="AA119" t="str">
        <f>VLOOKUP($A119,ScionOutput!$A$3:$BL$215,64,FALSE)</f>
        <v xml:space="preserve">822801. VF plays are disallowed. No play due to strategy constraints. </v>
      </c>
    </row>
    <row r="120" spans="1:27" x14ac:dyDescent="0.2">
      <c r="A120">
        <v>825071</v>
      </c>
      <c r="B120" s="3">
        <f>VLOOKUP($A120,ScionOutput!$A$3:$BL$215,3,FALSE)</f>
        <v>46188</v>
      </c>
      <c r="C120">
        <f>VLOOKUP($A120,ScionOutput!$A$3:$BL$215,22,FALSE)</f>
        <v>1</v>
      </c>
      <c r="D120" t="str">
        <f>VLOOKUP($A120,ScionOutput!$A$3:$BL$215,23,FALSE)</f>
        <v>ARZ</v>
      </c>
      <c r="E120">
        <f>VLOOKUP($A120,ScionOutput!$A$3:$BL$215,6,FALSE)</f>
        <v>4</v>
      </c>
      <c r="F120" t="str">
        <f>VLOOKUP($A120,ScionOutput!$A$3:$BL$215,7,FALSE)</f>
        <v>LAA</v>
      </c>
      <c r="G120">
        <f>VLOOKUP($A120,ScionOutput!$A$3:$BL$215,26,FALSE)</f>
        <v>-125</v>
      </c>
      <c r="H120">
        <f>VLOOKUP($A120,ScionOutput!$A$3:$BL$215,10,FALSE)</f>
        <v>116</v>
      </c>
      <c r="I120" s="4" t="str">
        <f>VLOOKUP($A120,ScionOutput!$A$3:$BL$215,45,FALSE)</f>
        <v>HomFave</v>
      </c>
      <c r="J120" s="4">
        <f>VLOOKUP($A120,ScionOutput!$A$3:$BL$215,46,FALSE)</f>
        <v>0</v>
      </c>
      <c r="K120" t="str">
        <f>VLOOKUP($A120,ScionOutput!$A$3:$BL$215,58,FALSE)</f>
        <v>No Play</v>
      </c>
      <c r="L120">
        <f>VLOOKUP($A120,ScionOutput!$A$3:$BL$215,59,FALSE)</f>
        <v>0</v>
      </c>
      <c r="M120">
        <f>VLOOKUP($A120,ScionOutput!$A$3:$BL$215,62,FALSE)</f>
        <v>0</v>
      </c>
      <c r="N120">
        <f>VLOOKUP($A120,ScionOutput!$A$3:$BL$215,63,FALSE)</f>
        <v>0</v>
      </c>
      <c r="O120" t="b">
        <f t="shared" si="9"/>
        <v>0</v>
      </c>
      <c r="P120">
        <f>VLOOKUP($A120,Outcomes!$B$3:$I$209,8,FALSE)</f>
        <v>7</v>
      </c>
      <c r="Q120">
        <f t="shared" si="10"/>
        <v>1</v>
      </c>
      <c r="R120">
        <f>VLOOKUP($A120,Outcomes!$B$3:$I$209,5,FALSE)</f>
        <v>4</v>
      </c>
      <c r="S120">
        <f>VLOOKUP($A120,Outcomes!$B$3:$I$209,6,FALSE)</f>
        <v>3</v>
      </c>
      <c r="T120">
        <f>VLOOKUP($A120,Outcomes!$B$3:$I$209,7,FALSE)</f>
        <v>-1</v>
      </c>
      <c r="U120" t="str">
        <f t="shared" si="11"/>
        <v>HomFave</v>
      </c>
      <c r="V120" s="5" t="str">
        <f t="shared" si="12"/>
        <v/>
      </c>
      <c r="W120" t="str">
        <f t="shared" si="8"/>
        <v/>
      </c>
      <c r="X120" t="str">
        <f t="shared" si="13"/>
        <v/>
      </c>
      <c r="Y120" t="str">
        <f t="shared" si="14"/>
        <v/>
      </c>
      <c r="Z120" s="2" t="str">
        <f t="shared" si="15"/>
        <v/>
      </c>
      <c r="AA120" t="str">
        <f>VLOOKUP($A120,ScionOutput!$A$3:$BL$215,64,FALSE)</f>
        <v xml:space="preserve">825071. LineStatEns probability points gap does not exceed threshold (no edge found)! StatOnlyEns probability points gap does not exceed threshold (no edge found)! No play due to strategy constraints. </v>
      </c>
    </row>
    <row r="121" spans="1:27" x14ac:dyDescent="0.2">
      <c r="A121">
        <v>824666</v>
      </c>
      <c r="B121" s="3">
        <f>VLOOKUP($A121,ScionOutput!$A$3:$BL$215,3,FALSE)</f>
        <v>46188</v>
      </c>
      <c r="C121">
        <f>VLOOKUP($A121,ScionOutput!$A$3:$BL$215,22,FALSE)</f>
        <v>5</v>
      </c>
      <c r="D121" t="str">
        <f>VLOOKUP($A121,ScionOutput!$A$3:$BL$215,23,FALSE)</f>
        <v>CHC</v>
      </c>
      <c r="E121">
        <f>VLOOKUP($A121,ScionOutput!$A$3:$BL$215,6,FALSE)</f>
        <v>8</v>
      </c>
      <c r="F121" t="str">
        <f>VLOOKUP($A121,ScionOutput!$A$3:$BL$215,7,FALSE)</f>
        <v>COL</v>
      </c>
      <c r="G121">
        <f>VLOOKUP($A121,ScionOutput!$A$3:$BL$215,26,FALSE)</f>
        <v>-205</v>
      </c>
      <c r="H121">
        <f>VLOOKUP($A121,ScionOutput!$A$3:$BL$215,10,FALSE)</f>
        <v>186</v>
      </c>
      <c r="I121" s="4" t="str">
        <f>VLOOKUP($A121,ScionOutput!$A$3:$BL$215,45,FALSE)</f>
        <v>HomFave</v>
      </c>
      <c r="J121" s="4">
        <f>VLOOKUP($A121,ScionOutput!$A$3:$BL$215,46,FALSE)</f>
        <v>0</v>
      </c>
      <c r="K121" t="str">
        <f>VLOOKUP($A121,ScionOutput!$A$3:$BL$215,58,FALSE)</f>
        <v>No Play</v>
      </c>
      <c r="L121">
        <f>VLOOKUP($A121,ScionOutput!$A$3:$BL$215,59,FALSE)</f>
        <v>0</v>
      </c>
      <c r="M121">
        <f>VLOOKUP($A121,ScionOutput!$A$3:$BL$215,62,FALSE)</f>
        <v>0</v>
      </c>
      <c r="N121">
        <f>VLOOKUP($A121,ScionOutput!$A$3:$BL$215,63,FALSE)</f>
        <v>0</v>
      </c>
      <c r="O121" t="b">
        <f t="shared" si="9"/>
        <v>0</v>
      </c>
      <c r="P121">
        <f>VLOOKUP($A121,Outcomes!$B$3:$I$209,8,FALSE)</f>
        <v>9</v>
      </c>
      <c r="Q121">
        <f t="shared" si="10"/>
        <v>1</v>
      </c>
      <c r="R121">
        <f>VLOOKUP($A121,Outcomes!$B$3:$I$209,5,FALSE)</f>
        <v>5</v>
      </c>
      <c r="S121">
        <f>VLOOKUP($A121,Outcomes!$B$3:$I$209,6,FALSE)</f>
        <v>4</v>
      </c>
      <c r="T121">
        <f>VLOOKUP($A121,Outcomes!$B$3:$I$209,7,FALSE)</f>
        <v>-1</v>
      </c>
      <c r="U121" t="str">
        <f t="shared" si="11"/>
        <v>HomFave</v>
      </c>
      <c r="V121" s="5" t="str">
        <f t="shared" si="12"/>
        <v/>
      </c>
      <c r="W121" t="str">
        <f t="shared" si="8"/>
        <v/>
      </c>
      <c r="X121" t="str">
        <f t="shared" si="13"/>
        <v/>
      </c>
      <c r="Y121" t="str">
        <f t="shared" si="14"/>
        <v/>
      </c>
      <c r="Z121" s="2" t="str">
        <f t="shared" si="15"/>
        <v/>
      </c>
      <c r="AA121" t="str">
        <f>VLOOKUP($A121,ScionOutput!$A$3:$BL$215,64,FALSE)</f>
        <v xml:space="preserve">824666. LineStatEns is NoPlay as bookie-line outside range. StatOnlyEns is NoPlay as bookie-line outside range. No play due to strategy constraints. </v>
      </c>
    </row>
    <row r="122" spans="1:27" x14ac:dyDescent="0.2">
      <c r="A122">
        <v>824505</v>
      </c>
      <c r="B122" s="3">
        <f>VLOOKUP($A122,ScionOutput!$A$3:$BL$215,3,FALSE)</f>
        <v>46188</v>
      </c>
      <c r="C122">
        <f>VLOOKUP($A122,ScionOutput!$A$3:$BL$215,22,FALSE)</f>
        <v>6</v>
      </c>
      <c r="D122" t="str">
        <f>VLOOKUP($A122,ScionOutput!$A$3:$BL$215,23,FALSE)</f>
        <v>CIN</v>
      </c>
      <c r="E122">
        <f>VLOOKUP($A122,ScionOutput!$A$3:$BL$215,6,FALSE)</f>
        <v>18</v>
      </c>
      <c r="F122" t="str">
        <f>VLOOKUP($A122,ScionOutput!$A$3:$BL$215,7,FALSE)</f>
        <v>NYM</v>
      </c>
      <c r="G122">
        <f>VLOOKUP($A122,ScionOutput!$A$3:$BL$215,26,FALSE)</f>
        <v>-131</v>
      </c>
      <c r="H122">
        <f>VLOOKUP($A122,ScionOutput!$A$3:$BL$215,10,FALSE)</f>
        <v>121</v>
      </c>
      <c r="I122" s="4" t="str">
        <f>VLOOKUP($A122,ScionOutput!$A$3:$BL$215,45,FALSE)</f>
        <v>HomFave</v>
      </c>
      <c r="J122" s="4">
        <f>VLOOKUP($A122,ScionOutput!$A$3:$BL$215,46,FALSE)</f>
        <v>0</v>
      </c>
      <c r="K122" t="str">
        <f>VLOOKUP($A122,ScionOutput!$A$3:$BL$215,58,FALSE)</f>
        <v>No Play</v>
      </c>
      <c r="L122">
        <f>VLOOKUP($A122,ScionOutput!$A$3:$BL$215,59,FALSE)</f>
        <v>0</v>
      </c>
      <c r="M122">
        <f>VLOOKUP($A122,ScionOutput!$A$3:$BL$215,62,FALSE)</f>
        <v>0</v>
      </c>
      <c r="N122">
        <f>VLOOKUP($A122,ScionOutput!$A$3:$BL$215,63,FALSE)</f>
        <v>0</v>
      </c>
      <c r="O122" t="b">
        <f t="shared" si="9"/>
        <v>0</v>
      </c>
      <c r="P122">
        <f>VLOOKUP($A122,Outcomes!$B$3:$I$209,8,FALSE)</f>
        <v>12</v>
      </c>
      <c r="Q122">
        <f t="shared" si="10"/>
        <v>1</v>
      </c>
      <c r="R122">
        <f>VLOOKUP($A122,Outcomes!$B$3:$I$209,5,FALSE)</f>
        <v>12</v>
      </c>
      <c r="S122">
        <f>VLOOKUP($A122,Outcomes!$B$3:$I$209,6,FALSE)</f>
        <v>0</v>
      </c>
      <c r="T122">
        <f>VLOOKUP($A122,Outcomes!$B$3:$I$209,7,FALSE)</f>
        <v>-12</v>
      </c>
      <c r="U122" t="str">
        <f t="shared" si="11"/>
        <v>HomFave</v>
      </c>
      <c r="V122" s="5" t="str">
        <f t="shared" si="12"/>
        <v/>
      </c>
      <c r="W122" t="str">
        <f t="shared" si="8"/>
        <v/>
      </c>
      <c r="X122" t="str">
        <f t="shared" si="13"/>
        <v/>
      </c>
      <c r="Y122" t="str">
        <f t="shared" si="14"/>
        <v/>
      </c>
      <c r="Z122" s="2" t="str">
        <f t="shared" si="15"/>
        <v/>
      </c>
      <c r="AA122" t="str">
        <f>VLOOKUP($A122,ScionOutput!$A$3:$BL$215,64,FALSE)</f>
        <v xml:space="preserve">824505. LineStatEns probability points gap does not exceed threshold (no edge found)! StatOnlyEns probability points gap does not exceed threshold (no edge found)! No play due to strategy constraints. </v>
      </c>
    </row>
    <row r="123" spans="1:27" x14ac:dyDescent="0.2">
      <c r="A123">
        <v>824181</v>
      </c>
      <c r="B123" s="3">
        <f>VLOOKUP($A123,ScionOutput!$A$3:$BL$215,3,FALSE)</f>
        <v>46188</v>
      </c>
      <c r="C123">
        <f>VLOOKUP($A123,ScionOutput!$A$3:$BL$215,22,FALSE)</f>
        <v>12</v>
      </c>
      <c r="D123" t="str">
        <f>VLOOKUP($A123,ScionOutput!$A$3:$BL$215,23,FALSE)</f>
        <v>HOU</v>
      </c>
      <c r="E123">
        <f>VLOOKUP($A123,ScionOutput!$A$3:$BL$215,6,FALSE)</f>
        <v>10</v>
      </c>
      <c r="F123" t="str">
        <f>VLOOKUP($A123,ScionOutput!$A$3:$BL$215,7,FALSE)</f>
        <v>DET</v>
      </c>
      <c r="G123">
        <f>VLOOKUP($A123,ScionOutput!$A$3:$BL$215,26,FALSE)</f>
        <v>-114</v>
      </c>
      <c r="H123">
        <f>VLOOKUP($A123,ScionOutput!$A$3:$BL$215,10,FALSE)</f>
        <v>106</v>
      </c>
      <c r="I123" s="4" t="str">
        <f>VLOOKUP($A123,ScionOutput!$A$3:$BL$215,45,FALSE)</f>
        <v>VisDog</v>
      </c>
      <c r="J123" s="4">
        <f>VLOOKUP($A123,ScionOutput!$A$3:$BL$215,46,FALSE)</f>
        <v>1</v>
      </c>
      <c r="K123" t="str">
        <f>VLOOKUP($A123,ScionOutput!$A$3:$BL$215,58,FALSE)</f>
        <v>VisDog</v>
      </c>
      <c r="L123">
        <f>VLOOKUP($A123,ScionOutput!$A$3:$BL$215,59,FALSE)</f>
        <v>-3.322E-2</v>
      </c>
      <c r="M123">
        <f>VLOOKUP($A123,ScionOutput!$A$3:$BL$215,62,FALSE)</f>
        <v>5</v>
      </c>
      <c r="N123">
        <f>VLOOKUP($A123,ScionOutput!$A$3:$BL$215,63,FALSE)</f>
        <v>0.8</v>
      </c>
      <c r="O123" t="b">
        <f t="shared" si="9"/>
        <v>1</v>
      </c>
      <c r="P123">
        <f>VLOOKUP($A123,Outcomes!$B$3:$I$209,8,FALSE)</f>
        <v>12</v>
      </c>
      <c r="Q123">
        <f t="shared" si="10"/>
        <v>-1</v>
      </c>
      <c r="R123">
        <f>VLOOKUP($A123,Outcomes!$B$3:$I$209,5,FALSE)</f>
        <v>3</v>
      </c>
      <c r="S123">
        <f>VLOOKUP($A123,Outcomes!$B$3:$I$209,6,FALSE)</f>
        <v>9</v>
      </c>
      <c r="T123">
        <f>VLOOKUP($A123,Outcomes!$B$3:$I$209,7,FALSE)</f>
        <v>6</v>
      </c>
      <c r="U123" t="str">
        <f t="shared" si="11"/>
        <v>VisDog</v>
      </c>
      <c r="V123" s="5">
        <f t="shared" si="12"/>
        <v>1</v>
      </c>
      <c r="W123">
        <f t="shared" si="8"/>
        <v>100</v>
      </c>
      <c r="X123">
        <f t="shared" si="13"/>
        <v>206</v>
      </c>
      <c r="Y123">
        <f t="shared" si="14"/>
        <v>106</v>
      </c>
      <c r="Z123" s="2">
        <f t="shared" si="15"/>
        <v>1.06</v>
      </c>
      <c r="AA123" t="str">
        <f>VLOOKUP($A123,ScionOutput!$A$3:$BL$215,64,FALSE)</f>
        <v xml:space="preserve">824181. Play determined by LineStatEns and StatOnlyEns agreement. </v>
      </c>
    </row>
    <row r="124" spans="1:27" x14ac:dyDescent="0.2">
      <c r="A124">
        <v>823938</v>
      </c>
      <c r="B124" s="3">
        <f>VLOOKUP($A124,ScionOutput!$A$3:$BL$215,3,FALSE)</f>
        <v>46188</v>
      </c>
      <c r="C124">
        <f>VLOOKUP($A124,ScionOutput!$A$3:$BL$215,22,FALSE)</f>
        <v>14</v>
      </c>
      <c r="D124" t="str">
        <f>VLOOKUP($A124,ScionOutput!$A$3:$BL$215,23,FALSE)</f>
        <v>LA</v>
      </c>
      <c r="E124">
        <f>VLOOKUP($A124,ScionOutput!$A$3:$BL$215,6,FALSE)</f>
        <v>27</v>
      </c>
      <c r="F124" t="str">
        <f>VLOOKUP($A124,ScionOutput!$A$3:$BL$215,7,FALSE)</f>
        <v>TB</v>
      </c>
      <c r="G124">
        <f>VLOOKUP($A124,ScionOutput!$A$3:$BL$215,26,FALSE)</f>
        <v>-172</v>
      </c>
      <c r="H124">
        <f>VLOOKUP($A124,ScionOutput!$A$3:$BL$215,10,FALSE)</f>
        <v>158</v>
      </c>
      <c r="I124" s="4" t="str">
        <f>VLOOKUP($A124,ScionOutput!$A$3:$BL$215,45,FALSE)</f>
        <v>HomFave</v>
      </c>
      <c r="J124" s="4">
        <f>VLOOKUP($A124,ScionOutput!$A$3:$BL$215,46,FALSE)</f>
        <v>0</v>
      </c>
      <c r="K124" t="str">
        <f>VLOOKUP($A124,ScionOutput!$A$3:$BL$215,58,FALSE)</f>
        <v>No Play</v>
      </c>
      <c r="L124">
        <f>VLOOKUP($A124,ScionOutput!$A$3:$BL$215,59,FALSE)</f>
        <v>0</v>
      </c>
      <c r="M124">
        <f>VLOOKUP($A124,ScionOutput!$A$3:$BL$215,62,FALSE)</f>
        <v>0</v>
      </c>
      <c r="N124">
        <f>VLOOKUP($A124,ScionOutput!$A$3:$BL$215,63,FALSE)</f>
        <v>0</v>
      </c>
      <c r="O124" t="b">
        <f t="shared" si="9"/>
        <v>0</v>
      </c>
      <c r="P124">
        <f>VLOOKUP($A124,Outcomes!$B$3:$I$209,8,FALSE)</f>
        <v>7</v>
      </c>
      <c r="Q124">
        <f t="shared" si="10"/>
        <v>1</v>
      </c>
      <c r="R124">
        <f>VLOOKUP($A124,Outcomes!$B$3:$I$209,5,FALSE)</f>
        <v>4</v>
      </c>
      <c r="S124">
        <f>VLOOKUP($A124,Outcomes!$B$3:$I$209,6,FALSE)</f>
        <v>3</v>
      </c>
      <c r="T124">
        <f>VLOOKUP($A124,Outcomes!$B$3:$I$209,7,FALSE)</f>
        <v>-1</v>
      </c>
      <c r="U124" t="str">
        <f t="shared" si="11"/>
        <v>HomFave</v>
      </c>
      <c r="V124" s="5" t="str">
        <f t="shared" si="12"/>
        <v/>
      </c>
      <c r="W124" t="str">
        <f t="shared" si="8"/>
        <v/>
      </c>
      <c r="X124" t="str">
        <f t="shared" si="13"/>
        <v/>
      </c>
      <c r="Y124" t="str">
        <f t="shared" si="14"/>
        <v/>
      </c>
      <c r="Z124" s="2" t="str">
        <f t="shared" si="15"/>
        <v/>
      </c>
      <c r="AA124" t="str">
        <f>VLOOKUP($A124,ScionOutput!$A$3:$BL$215,64,FALSE)</f>
        <v xml:space="preserve">823938. LineStatEns is NoPlay as bookie-line outside range. StatOnlyEns is NoPlay as bookie-line outside range. No play due to strategy constraints. </v>
      </c>
    </row>
    <row r="125" spans="1:27" x14ac:dyDescent="0.2">
      <c r="A125">
        <v>822724</v>
      </c>
      <c r="B125" s="3">
        <f>VLOOKUP($A125,ScionOutput!$A$3:$BL$215,3,FALSE)</f>
        <v>46188</v>
      </c>
      <c r="C125">
        <f>VLOOKUP($A125,ScionOutput!$A$3:$BL$215,22,FALSE)</f>
        <v>16</v>
      </c>
      <c r="D125" t="str">
        <f>VLOOKUP($A125,ScionOutput!$A$3:$BL$215,23,FALSE)</f>
        <v>WAS</v>
      </c>
      <c r="E125">
        <f>VLOOKUP($A125,ScionOutput!$A$3:$BL$215,6,FALSE)</f>
        <v>13</v>
      </c>
      <c r="F125" t="str">
        <f>VLOOKUP($A125,ScionOutput!$A$3:$BL$215,7,FALSE)</f>
        <v>KC</v>
      </c>
      <c r="G125">
        <f>VLOOKUP($A125,ScionOutput!$A$3:$BL$215,26,FALSE)</f>
        <v>-127</v>
      </c>
      <c r="H125">
        <f>VLOOKUP($A125,ScionOutput!$A$3:$BL$215,10,FALSE)</f>
        <v>118</v>
      </c>
      <c r="I125" s="4" t="str">
        <f>VLOOKUP($A125,ScionOutput!$A$3:$BL$215,45,FALSE)</f>
        <v>HomFave</v>
      </c>
      <c r="J125" s="4">
        <f>VLOOKUP($A125,ScionOutput!$A$3:$BL$215,46,FALSE)</f>
        <v>0</v>
      </c>
      <c r="K125" t="str">
        <f>VLOOKUP($A125,ScionOutput!$A$3:$BL$215,58,FALSE)</f>
        <v>No Play</v>
      </c>
      <c r="L125">
        <f>VLOOKUP($A125,ScionOutput!$A$3:$BL$215,59,FALSE)</f>
        <v>0</v>
      </c>
      <c r="M125">
        <f>VLOOKUP($A125,ScionOutput!$A$3:$BL$215,62,FALSE)</f>
        <v>0</v>
      </c>
      <c r="N125">
        <f>VLOOKUP($A125,ScionOutput!$A$3:$BL$215,63,FALSE)</f>
        <v>0</v>
      </c>
      <c r="O125" t="b">
        <f t="shared" si="9"/>
        <v>0</v>
      </c>
      <c r="P125">
        <f>VLOOKUP($A125,Outcomes!$B$3:$I$209,8,FALSE)</f>
        <v>10</v>
      </c>
      <c r="Q125">
        <f t="shared" si="10"/>
        <v>1</v>
      </c>
      <c r="R125">
        <f>VLOOKUP($A125,Outcomes!$B$3:$I$209,5,FALSE)</f>
        <v>7</v>
      </c>
      <c r="S125">
        <f>VLOOKUP($A125,Outcomes!$B$3:$I$209,6,FALSE)</f>
        <v>3</v>
      </c>
      <c r="T125">
        <f>VLOOKUP($A125,Outcomes!$B$3:$I$209,7,FALSE)</f>
        <v>-4</v>
      </c>
      <c r="U125" t="str">
        <f t="shared" si="11"/>
        <v>HomFave</v>
      </c>
      <c r="V125" s="5" t="str">
        <f t="shared" si="12"/>
        <v/>
      </c>
      <c r="W125" t="str">
        <f t="shared" si="8"/>
        <v/>
      </c>
      <c r="X125" t="str">
        <f t="shared" si="13"/>
        <v/>
      </c>
      <c r="Y125" t="str">
        <f t="shared" si="14"/>
        <v/>
      </c>
      <c r="Z125" s="2" t="str">
        <f t="shared" si="15"/>
        <v/>
      </c>
      <c r="AA125" t="str">
        <f>VLOOKUP($A125,ScionOutput!$A$3:$BL$215,64,FALSE)</f>
        <v xml:space="preserve">822724. V_SP is Null, team-based avg used. NoPlay as V_SP is Null. </v>
      </c>
    </row>
    <row r="126" spans="1:27" x14ac:dyDescent="0.2">
      <c r="A126">
        <v>824993</v>
      </c>
      <c r="B126" s="3">
        <f>VLOOKUP($A126,ScionOutput!$A$3:$BL$215,3,FALSE)</f>
        <v>46188</v>
      </c>
      <c r="C126">
        <f>VLOOKUP($A126,ScionOutput!$A$3:$BL$215,22,FALSE)</f>
        <v>20</v>
      </c>
      <c r="D126" t="str">
        <f>VLOOKUP($A126,ScionOutput!$A$3:$BL$215,23,FALSE)</f>
        <v>OAK</v>
      </c>
      <c r="E126">
        <f>VLOOKUP($A126,ScionOutput!$A$3:$BL$215,6,FALSE)</f>
        <v>22</v>
      </c>
      <c r="F126" t="str">
        <f>VLOOKUP($A126,ScionOutput!$A$3:$BL$215,7,FALSE)</f>
        <v>PIT</v>
      </c>
      <c r="G126">
        <f>VLOOKUP($A126,ScionOutput!$A$3:$BL$215,26,FALSE)</f>
        <v>-116</v>
      </c>
      <c r="H126">
        <f>VLOOKUP($A126,ScionOutput!$A$3:$BL$215,10,FALSE)</f>
        <v>107</v>
      </c>
      <c r="I126" s="4" t="str">
        <f>VLOOKUP($A126,ScionOutput!$A$3:$BL$215,45,FALSE)</f>
        <v>HomFave</v>
      </c>
      <c r="J126" s="4">
        <f>VLOOKUP($A126,ScionOutput!$A$3:$BL$215,46,FALSE)</f>
        <v>1</v>
      </c>
      <c r="K126" t="str">
        <f>VLOOKUP($A126,ScionOutput!$A$3:$BL$215,58,FALSE)</f>
        <v>HomFave</v>
      </c>
      <c r="L126">
        <f>VLOOKUP($A126,ScionOutput!$A$3:$BL$215,59,FALSE)</f>
        <v>1.3559999999999999E-2</v>
      </c>
      <c r="M126">
        <f>VLOOKUP($A126,ScionOutput!$A$3:$BL$215,62,FALSE)</f>
        <v>1</v>
      </c>
      <c r="N126">
        <f>VLOOKUP($A126,ScionOutput!$A$3:$BL$215,63,FALSE)</f>
        <v>1</v>
      </c>
      <c r="O126" t="b">
        <f t="shared" si="9"/>
        <v>1</v>
      </c>
      <c r="P126">
        <f>VLOOKUP($A126,Outcomes!$B$3:$I$209,8,FALSE)</f>
        <v>13</v>
      </c>
      <c r="Q126">
        <f t="shared" si="10"/>
        <v>1</v>
      </c>
      <c r="R126">
        <f>VLOOKUP($A126,Outcomes!$B$3:$I$209,5,FALSE)</f>
        <v>11</v>
      </c>
      <c r="S126">
        <f>VLOOKUP($A126,Outcomes!$B$3:$I$209,6,FALSE)</f>
        <v>2</v>
      </c>
      <c r="T126">
        <f>VLOOKUP($A126,Outcomes!$B$3:$I$209,7,FALSE)</f>
        <v>-9</v>
      </c>
      <c r="U126" t="str">
        <f t="shared" si="11"/>
        <v>HomFave</v>
      </c>
      <c r="V126" s="5">
        <f t="shared" si="12"/>
        <v>1</v>
      </c>
      <c r="W126">
        <f t="shared" si="8"/>
        <v>116</v>
      </c>
      <c r="X126">
        <f t="shared" si="13"/>
        <v>216</v>
      </c>
      <c r="Y126">
        <f t="shared" si="14"/>
        <v>100</v>
      </c>
      <c r="Z126" s="2">
        <f t="shared" si="15"/>
        <v>0.86206896551724133</v>
      </c>
      <c r="AA126" t="str">
        <f>VLOOKUP($A126,ScionOutput!$A$3:$BL$215,64,FALSE)</f>
        <v xml:space="preserve">824993. Play determined by LineStatEns and StatOnlyEns agreement. </v>
      </c>
    </row>
    <row r="127" spans="1:27" x14ac:dyDescent="0.2">
      <c r="A127">
        <v>823452</v>
      </c>
      <c r="B127" s="3">
        <f>VLOOKUP($A127,ScionOutput!$A$3:$BL$215,3,FALSE)</f>
        <v>46188</v>
      </c>
      <c r="C127">
        <f>VLOOKUP($A127,ScionOutput!$A$3:$BL$215,22,FALSE)</f>
        <v>21</v>
      </c>
      <c r="D127" t="str">
        <f>VLOOKUP($A127,ScionOutput!$A$3:$BL$215,23,FALSE)</f>
        <v>PHI</v>
      </c>
      <c r="E127">
        <f>VLOOKUP($A127,ScionOutput!$A$3:$BL$215,6,FALSE)</f>
        <v>11</v>
      </c>
      <c r="F127" t="str">
        <f>VLOOKUP($A127,ScionOutput!$A$3:$BL$215,7,FALSE)</f>
        <v>FLO</v>
      </c>
      <c r="G127">
        <f>VLOOKUP($A127,ScionOutput!$A$3:$BL$215,26,FALSE)</f>
        <v>-186</v>
      </c>
      <c r="H127">
        <f>VLOOKUP($A127,ScionOutput!$A$3:$BL$215,10,FALSE)</f>
        <v>170</v>
      </c>
      <c r="I127" s="4" t="str">
        <f>VLOOKUP($A127,ScionOutput!$A$3:$BL$215,45,FALSE)</f>
        <v>HomFave</v>
      </c>
      <c r="J127" s="4">
        <f>VLOOKUP($A127,ScionOutput!$A$3:$BL$215,46,FALSE)</f>
        <v>0</v>
      </c>
      <c r="K127" t="str">
        <f>VLOOKUP($A127,ScionOutput!$A$3:$BL$215,58,FALSE)</f>
        <v>No Play</v>
      </c>
      <c r="L127">
        <f>VLOOKUP($A127,ScionOutput!$A$3:$BL$215,59,FALSE)</f>
        <v>0</v>
      </c>
      <c r="M127">
        <f>VLOOKUP($A127,ScionOutput!$A$3:$BL$215,62,FALSE)</f>
        <v>0</v>
      </c>
      <c r="N127">
        <f>VLOOKUP($A127,ScionOutput!$A$3:$BL$215,63,FALSE)</f>
        <v>0</v>
      </c>
      <c r="O127" t="b">
        <f t="shared" si="9"/>
        <v>0</v>
      </c>
      <c r="P127">
        <f>VLOOKUP($A127,Outcomes!$B$3:$I$209,8,FALSE)</f>
        <v>7</v>
      </c>
      <c r="Q127">
        <f t="shared" si="10"/>
        <v>1</v>
      </c>
      <c r="R127">
        <f>VLOOKUP($A127,Outcomes!$B$3:$I$209,5,FALSE)</f>
        <v>7</v>
      </c>
      <c r="S127">
        <f>VLOOKUP($A127,Outcomes!$B$3:$I$209,6,FALSE)</f>
        <v>0</v>
      </c>
      <c r="T127">
        <f>VLOOKUP($A127,Outcomes!$B$3:$I$209,7,FALSE)</f>
        <v>-7</v>
      </c>
      <c r="U127" t="str">
        <f t="shared" si="11"/>
        <v>HomFave</v>
      </c>
      <c r="V127" s="5" t="str">
        <f t="shared" si="12"/>
        <v/>
      </c>
      <c r="W127" t="str">
        <f t="shared" si="8"/>
        <v/>
      </c>
      <c r="X127" t="str">
        <f t="shared" si="13"/>
        <v/>
      </c>
      <c r="Y127" t="str">
        <f t="shared" si="14"/>
        <v/>
      </c>
      <c r="Z127" s="2" t="str">
        <f t="shared" si="15"/>
        <v/>
      </c>
      <c r="AA127" t="str">
        <f>VLOOKUP($A127,ScionOutput!$A$3:$BL$215,64,FALSE)</f>
        <v xml:space="preserve">823452. LineStatEns is NoPlay as bookie-line outside range. StatOnlyEns is NoPlay as bookie-line outside range. No play due to strategy constraints. </v>
      </c>
    </row>
    <row r="128" spans="1:27" x14ac:dyDescent="0.2">
      <c r="A128">
        <v>823046</v>
      </c>
      <c r="B128" s="3">
        <f>VLOOKUP($A128,ScionOutput!$A$3:$BL$215,3,FALSE)</f>
        <v>46188</v>
      </c>
      <c r="C128">
        <f>VLOOKUP($A128,ScionOutput!$A$3:$BL$215,22,FALSE)</f>
        <v>26</v>
      </c>
      <c r="D128" t="str">
        <f>VLOOKUP($A128,ScionOutput!$A$3:$BL$215,23,FALSE)</f>
        <v>STL</v>
      </c>
      <c r="E128">
        <f>VLOOKUP($A128,ScionOutput!$A$3:$BL$215,6,FALSE)</f>
        <v>23</v>
      </c>
      <c r="F128" t="str">
        <f>VLOOKUP($A128,ScionOutput!$A$3:$BL$215,7,FALSE)</f>
        <v>SD</v>
      </c>
      <c r="G128">
        <f>VLOOKUP($A128,ScionOutput!$A$3:$BL$215,26,FALSE)</f>
        <v>-159</v>
      </c>
      <c r="H128">
        <f>VLOOKUP($A128,ScionOutput!$A$3:$BL$215,10,FALSE)</f>
        <v>146</v>
      </c>
      <c r="I128" s="4" t="str">
        <f>VLOOKUP($A128,ScionOutput!$A$3:$BL$215,45,FALSE)</f>
        <v>HomFave</v>
      </c>
      <c r="J128" s="4">
        <f>VLOOKUP($A128,ScionOutput!$A$3:$BL$215,46,FALSE)</f>
        <v>0</v>
      </c>
      <c r="K128" t="str">
        <f>VLOOKUP($A128,ScionOutput!$A$3:$BL$215,58,FALSE)</f>
        <v>No Play</v>
      </c>
      <c r="L128">
        <f>VLOOKUP($A128,ScionOutput!$A$3:$BL$215,59,FALSE)</f>
        <v>0</v>
      </c>
      <c r="M128">
        <f>VLOOKUP($A128,ScionOutput!$A$3:$BL$215,62,FALSE)</f>
        <v>0</v>
      </c>
      <c r="N128">
        <f>VLOOKUP($A128,ScionOutput!$A$3:$BL$215,63,FALSE)</f>
        <v>0</v>
      </c>
      <c r="O128" t="b">
        <f t="shared" si="9"/>
        <v>0</v>
      </c>
      <c r="P128">
        <f>VLOOKUP($A128,Outcomes!$B$3:$I$209,8,FALSE)</f>
        <v>3</v>
      </c>
      <c r="Q128">
        <f t="shared" si="10"/>
        <v>1</v>
      </c>
      <c r="R128">
        <f>VLOOKUP($A128,Outcomes!$B$3:$I$209,5,FALSE)</f>
        <v>3</v>
      </c>
      <c r="S128">
        <f>VLOOKUP($A128,Outcomes!$B$3:$I$209,6,FALSE)</f>
        <v>0</v>
      </c>
      <c r="T128">
        <f>VLOOKUP($A128,Outcomes!$B$3:$I$209,7,FALSE)</f>
        <v>-3</v>
      </c>
      <c r="U128" t="str">
        <f t="shared" si="11"/>
        <v>HomFave</v>
      </c>
      <c r="V128" s="5" t="str">
        <f t="shared" si="12"/>
        <v/>
      </c>
      <c r="W128" t="str">
        <f t="shared" si="8"/>
        <v/>
      </c>
      <c r="X128" t="str">
        <f t="shared" si="13"/>
        <v/>
      </c>
      <c r="Y128" t="str">
        <f t="shared" si="14"/>
        <v/>
      </c>
      <c r="Z128" s="2" t="str">
        <f t="shared" si="15"/>
        <v/>
      </c>
      <c r="AA128" t="str">
        <f>VLOOKUP($A128,ScionOutput!$A$3:$BL$215,64,FALSE)</f>
        <v xml:space="preserve">823046. LineStatEns is NoPlay as bookie-line outside range. StatOnlyEns is NoPlay as bookie-line outside range. No play due to strategy constraints. </v>
      </c>
    </row>
    <row r="129" spans="1:27" x14ac:dyDescent="0.2">
      <c r="A129">
        <v>822887</v>
      </c>
      <c r="B129" s="3">
        <f>VLOOKUP($A129,ScionOutput!$A$3:$BL$215,3,FALSE)</f>
        <v>46188</v>
      </c>
      <c r="C129">
        <f>VLOOKUP($A129,ScionOutput!$A$3:$BL$215,22,FALSE)</f>
        <v>28</v>
      </c>
      <c r="D129" t="str">
        <f>VLOOKUP($A129,ScionOutput!$A$3:$BL$215,23,FALSE)</f>
        <v>TEX</v>
      </c>
      <c r="E129">
        <f>VLOOKUP($A129,ScionOutput!$A$3:$BL$215,6,FALSE)</f>
        <v>15</v>
      </c>
      <c r="F129" t="str">
        <f>VLOOKUP($A129,ScionOutput!$A$3:$BL$215,7,FALSE)</f>
        <v>MIN</v>
      </c>
      <c r="G129">
        <f>VLOOKUP($A129,ScionOutput!$A$3:$BL$215,26,FALSE)</f>
        <v>-150</v>
      </c>
      <c r="H129">
        <f>VLOOKUP($A129,ScionOutput!$A$3:$BL$215,10,FALSE)</f>
        <v>138</v>
      </c>
      <c r="I129" s="4" t="str">
        <f>VLOOKUP($A129,ScionOutput!$A$3:$BL$215,45,FALSE)</f>
        <v>HomFave</v>
      </c>
      <c r="J129" s="4">
        <f>VLOOKUP($A129,ScionOutput!$A$3:$BL$215,46,FALSE)</f>
        <v>0</v>
      </c>
      <c r="K129" t="str">
        <f>VLOOKUP($A129,ScionOutput!$A$3:$BL$215,58,FALSE)</f>
        <v>No Play</v>
      </c>
      <c r="L129">
        <f>VLOOKUP($A129,ScionOutput!$A$3:$BL$215,59,FALSE)</f>
        <v>0</v>
      </c>
      <c r="M129">
        <f>VLOOKUP($A129,ScionOutput!$A$3:$BL$215,62,FALSE)</f>
        <v>0</v>
      </c>
      <c r="N129">
        <f>VLOOKUP($A129,ScionOutput!$A$3:$BL$215,63,FALSE)</f>
        <v>0</v>
      </c>
      <c r="O129" t="b">
        <f t="shared" si="9"/>
        <v>0</v>
      </c>
      <c r="P129">
        <f>VLOOKUP($A129,Outcomes!$B$3:$I$209,8,FALSE)</f>
        <v>6</v>
      </c>
      <c r="Q129">
        <f t="shared" si="10"/>
        <v>-1</v>
      </c>
      <c r="R129">
        <f>VLOOKUP($A129,Outcomes!$B$3:$I$209,5,FALSE)</f>
        <v>2</v>
      </c>
      <c r="S129">
        <f>VLOOKUP($A129,Outcomes!$B$3:$I$209,6,FALSE)</f>
        <v>4</v>
      </c>
      <c r="T129">
        <f>VLOOKUP($A129,Outcomes!$B$3:$I$209,7,FALSE)</f>
        <v>2</v>
      </c>
      <c r="U129" t="str">
        <f t="shared" si="11"/>
        <v>VisDog</v>
      </c>
      <c r="V129" s="5" t="str">
        <f t="shared" si="12"/>
        <v/>
      </c>
      <c r="W129" t="str">
        <f t="shared" si="8"/>
        <v/>
      </c>
      <c r="X129" t="str">
        <f t="shared" si="13"/>
        <v/>
      </c>
      <c r="Y129" t="str">
        <f t="shared" si="14"/>
        <v/>
      </c>
      <c r="Z129" s="2" t="str">
        <f t="shared" si="15"/>
        <v/>
      </c>
      <c r="AA129" t="str">
        <f>VLOOKUP($A129,ScionOutput!$A$3:$BL$215,64,FALSE)</f>
        <v xml:space="preserve">822887. LineStatEns probability points gap does not exceed threshold (no edge found)! StatOnlyEns probability points gap does not exceed threshold (no edge found)! No play due to strategy constraints. </v>
      </c>
    </row>
    <row r="130" spans="1:27" x14ac:dyDescent="0.2">
      <c r="A130">
        <v>824912</v>
      </c>
      <c r="B130" s="3">
        <f>VLOOKUP($A130,ScionOutput!$A$3:$BL$215,3,FALSE)</f>
        <v>46189</v>
      </c>
      <c r="C130">
        <f>VLOOKUP($A130,ScionOutput!$A$3:$BL$215,22,FALSE)</f>
        <v>0</v>
      </c>
      <c r="D130" t="str">
        <f>VLOOKUP($A130,ScionOutput!$A$3:$BL$215,23,FALSE)</f>
        <v>ATL</v>
      </c>
      <c r="E130">
        <f>VLOOKUP($A130,ScionOutput!$A$3:$BL$215,6,FALSE)</f>
        <v>25</v>
      </c>
      <c r="F130" t="str">
        <f>VLOOKUP($A130,ScionOutput!$A$3:$BL$215,7,FALSE)</f>
        <v>SF</v>
      </c>
      <c r="G130">
        <f>VLOOKUP($A130,ScionOutput!$A$3:$BL$215,26,FALSE)</f>
        <v>-169</v>
      </c>
      <c r="H130">
        <f>VLOOKUP($A130,ScionOutput!$A$3:$BL$215,10,FALSE)</f>
        <v>154</v>
      </c>
      <c r="I130" s="4" t="str">
        <f>VLOOKUP($A130,ScionOutput!$A$3:$BL$215,45,FALSE)</f>
        <v>HomFave</v>
      </c>
      <c r="J130" s="4">
        <f>VLOOKUP($A130,ScionOutput!$A$3:$BL$215,46,FALSE)</f>
        <v>0</v>
      </c>
      <c r="K130" t="str">
        <f>VLOOKUP($A130,ScionOutput!$A$3:$BL$215,58,FALSE)</f>
        <v>No Play</v>
      </c>
      <c r="L130">
        <f>VLOOKUP($A130,ScionOutput!$A$3:$BL$215,59,FALSE)</f>
        <v>0</v>
      </c>
      <c r="M130">
        <f>VLOOKUP($A130,ScionOutput!$A$3:$BL$215,62,FALSE)</f>
        <v>0</v>
      </c>
      <c r="N130">
        <f>VLOOKUP($A130,ScionOutput!$A$3:$BL$215,63,FALSE)</f>
        <v>0</v>
      </c>
      <c r="O130" t="b">
        <f t="shared" si="9"/>
        <v>0</v>
      </c>
      <c r="P130">
        <f>VLOOKUP($A130,Outcomes!$B$3:$I$209,8,FALSE)</f>
        <v>9</v>
      </c>
      <c r="Q130">
        <f t="shared" si="10"/>
        <v>-1</v>
      </c>
      <c r="R130">
        <f>VLOOKUP($A130,Outcomes!$B$3:$I$209,5,FALSE)</f>
        <v>2</v>
      </c>
      <c r="S130">
        <f>VLOOKUP($A130,Outcomes!$B$3:$I$209,6,FALSE)</f>
        <v>7</v>
      </c>
      <c r="T130">
        <f>VLOOKUP($A130,Outcomes!$B$3:$I$209,7,FALSE)</f>
        <v>5</v>
      </c>
      <c r="U130" t="str">
        <f t="shared" si="11"/>
        <v>VisDog</v>
      </c>
      <c r="V130" s="5" t="str">
        <f t="shared" si="12"/>
        <v/>
      </c>
      <c r="W130" t="str">
        <f t="shared" ref="W130:W193" si="16">IF(V130="","",IF(G130&lt;H130,IF(K130="HomFave",ABS(G130),IF(H130&lt;0,ABS(H130),100)),IF(K130="VisFave",ABS(H130),IF(G130&lt;0,ABS(G130),100))))</f>
        <v/>
      </c>
      <c r="X130" t="str">
        <f t="shared" si="13"/>
        <v/>
      </c>
      <c r="Y130" t="str">
        <f t="shared" si="14"/>
        <v/>
      </c>
      <c r="Z130" s="2" t="str">
        <f t="shared" si="15"/>
        <v/>
      </c>
      <c r="AA130" t="str">
        <f>VLOOKUP($A130,ScionOutput!$A$3:$BL$215,64,FALSE)</f>
        <v xml:space="preserve">824912. LineStatEns is NoPlay as bookie-line outside range. StatOnlyEns is NoPlay as bookie-line outside range. No play due to strategy constraints. </v>
      </c>
    </row>
    <row r="131" spans="1:27" x14ac:dyDescent="0.2">
      <c r="A131">
        <v>825070</v>
      </c>
      <c r="B131" s="3">
        <f>VLOOKUP($A131,ScionOutput!$A$3:$BL$215,3,FALSE)</f>
        <v>46189</v>
      </c>
      <c r="C131">
        <f>VLOOKUP($A131,ScionOutput!$A$3:$BL$215,22,FALSE)</f>
        <v>1</v>
      </c>
      <c r="D131" t="str">
        <f>VLOOKUP($A131,ScionOutput!$A$3:$BL$215,23,FALSE)</f>
        <v>ARZ</v>
      </c>
      <c r="E131">
        <f>VLOOKUP($A131,ScionOutput!$A$3:$BL$215,6,FALSE)</f>
        <v>4</v>
      </c>
      <c r="F131" t="str">
        <f>VLOOKUP($A131,ScionOutput!$A$3:$BL$215,7,FALSE)</f>
        <v>LAA</v>
      </c>
      <c r="G131">
        <f>VLOOKUP($A131,ScionOutput!$A$3:$BL$215,26,FALSE)</f>
        <v>-101</v>
      </c>
      <c r="H131">
        <f>VLOOKUP($A131,ScionOutput!$A$3:$BL$215,10,FALSE)</f>
        <v>-107</v>
      </c>
      <c r="I131" s="4" t="str">
        <f>VLOOKUP($A131,ScionOutput!$A$3:$BL$215,45,FALSE)</f>
        <v>VisFave</v>
      </c>
      <c r="J131" s="4">
        <f>VLOOKUP($A131,ScionOutput!$A$3:$BL$215,46,FALSE)</f>
        <v>0</v>
      </c>
      <c r="K131" t="str">
        <f>VLOOKUP($A131,ScionOutput!$A$3:$BL$215,58,FALSE)</f>
        <v>No Play</v>
      </c>
      <c r="L131">
        <f>VLOOKUP($A131,ScionOutput!$A$3:$BL$215,59,FALSE)</f>
        <v>0</v>
      </c>
      <c r="M131">
        <f>VLOOKUP($A131,ScionOutput!$A$3:$BL$215,62,FALSE)</f>
        <v>0</v>
      </c>
      <c r="N131">
        <f>VLOOKUP($A131,ScionOutput!$A$3:$BL$215,63,FALSE)</f>
        <v>0</v>
      </c>
      <c r="O131" t="b">
        <f t="shared" ref="O131:O194" si="17">ISNUMBER(SEARCH("Play determined by LineStatEns and StatOnlyEns agreement", AA131))</f>
        <v>0</v>
      </c>
      <c r="P131">
        <f>VLOOKUP($A131,Outcomes!$B$3:$I$209,8,FALSE)</f>
        <v>7</v>
      </c>
      <c r="Q131">
        <f t="shared" ref="Q131:Q194" si="18">IF(R131&gt;S131,1,IF(R131&lt;S131,-1,0))</f>
        <v>-1</v>
      </c>
      <c r="R131">
        <f>VLOOKUP($A131,Outcomes!$B$3:$I$209,5,FALSE)</f>
        <v>0</v>
      </c>
      <c r="S131">
        <f>VLOOKUP($A131,Outcomes!$B$3:$I$209,6,FALSE)</f>
        <v>7</v>
      </c>
      <c r="T131">
        <f>VLOOKUP($A131,Outcomes!$B$3:$I$209,7,FALSE)</f>
        <v>7</v>
      </c>
      <c r="U131" t="str">
        <f t="shared" ref="U131:U194" si="19">IF(T131=0,"Push",IF(G131&lt;H131,IF(T131&lt;0,"HomFave","VisDog"),IF(T131&gt;0,"VisFave","HomDog")))</f>
        <v>VisFave</v>
      </c>
      <c r="V131" s="5" t="str">
        <f t="shared" ref="V131:V194" si="20">IF(OR(T131=0,I131="No Play",J131&lt;&gt;1),"",IF(U131=I131,1,0))</f>
        <v/>
      </c>
      <c r="W131" t="str">
        <f t="shared" si="16"/>
        <v/>
      </c>
      <c r="X131" t="str">
        <f t="shared" ref="X131:X194" si="21">IF(V131="","",IF(V131=0,0,IF(G131&lt;H131,IF(K131="HomFave",W131+100,IF(H131&lt;0,100+W131,W131+ABS(H131))),IF(K131="VisFave",W131+100,IF(G131&lt;0,100+W131,W131+ABS(G131))))))</f>
        <v/>
      </c>
      <c r="Y131" t="str">
        <f t="shared" ref="Y131:Y194" si="22">IF(V131="","",X131-W131)</f>
        <v/>
      </c>
      <c r="Z131" s="2" t="str">
        <f t="shared" ref="Z131:Z194" si="23">IF(V131="","",Y131/W131)</f>
        <v/>
      </c>
      <c r="AA131" t="str">
        <f>VLOOKUP($A131,ScionOutput!$A$3:$BL$215,64,FALSE)</f>
        <v xml:space="preserve">825070. VF plays are disallowed. No play due to strategy constraints. </v>
      </c>
    </row>
    <row r="132" spans="1:27" x14ac:dyDescent="0.2">
      <c r="A132">
        <v>824750</v>
      </c>
      <c r="B132" s="3">
        <f>VLOOKUP($A132,ScionOutput!$A$3:$BL$215,3,FALSE)</f>
        <v>46189</v>
      </c>
      <c r="C132">
        <f>VLOOKUP($A132,ScionOutput!$A$3:$BL$215,22,FALSE)</f>
        <v>3</v>
      </c>
      <c r="D132" t="str">
        <f>VLOOKUP($A132,ScionOutput!$A$3:$BL$215,23,FALSE)</f>
        <v>BOS</v>
      </c>
      <c r="E132">
        <f>VLOOKUP($A132,ScionOutput!$A$3:$BL$215,6,FALSE)</f>
        <v>29</v>
      </c>
      <c r="F132" t="str">
        <f>VLOOKUP($A132,ScionOutput!$A$3:$BL$215,7,FALSE)</f>
        <v>TOR</v>
      </c>
      <c r="G132">
        <f>VLOOKUP($A132,ScionOutput!$A$3:$BL$215,26,FALSE)</f>
        <v>105</v>
      </c>
      <c r="H132">
        <f>VLOOKUP($A132,ScionOutput!$A$3:$BL$215,10,FALSE)</f>
        <v>-114</v>
      </c>
      <c r="I132" s="4" t="str">
        <f>VLOOKUP($A132,ScionOutput!$A$3:$BL$215,45,FALSE)</f>
        <v>VisFave</v>
      </c>
      <c r="J132" s="4">
        <f>VLOOKUP($A132,ScionOutput!$A$3:$BL$215,46,FALSE)</f>
        <v>0</v>
      </c>
      <c r="K132" t="str">
        <f>VLOOKUP($A132,ScionOutput!$A$3:$BL$215,58,FALSE)</f>
        <v>No Play</v>
      </c>
      <c r="L132">
        <f>VLOOKUP($A132,ScionOutput!$A$3:$BL$215,59,FALSE)</f>
        <v>0</v>
      </c>
      <c r="M132">
        <f>VLOOKUP($A132,ScionOutput!$A$3:$BL$215,62,FALSE)</f>
        <v>0</v>
      </c>
      <c r="N132">
        <f>VLOOKUP($A132,ScionOutput!$A$3:$BL$215,63,FALSE)</f>
        <v>0</v>
      </c>
      <c r="O132" t="b">
        <f t="shared" si="17"/>
        <v>0</v>
      </c>
      <c r="P132">
        <f>VLOOKUP($A132,Outcomes!$B$3:$I$209,8,FALSE)</f>
        <v>7</v>
      </c>
      <c r="Q132">
        <f t="shared" si="18"/>
        <v>-1</v>
      </c>
      <c r="R132">
        <f>VLOOKUP($A132,Outcomes!$B$3:$I$209,5,FALSE)</f>
        <v>1</v>
      </c>
      <c r="S132">
        <f>VLOOKUP($A132,Outcomes!$B$3:$I$209,6,FALSE)</f>
        <v>6</v>
      </c>
      <c r="T132">
        <f>VLOOKUP($A132,Outcomes!$B$3:$I$209,7,FALSE)</f>
        <v>5</v>
      </c>
      <c r="U132" t="str">
        <f t="shared" si="19"/>
        <v>VisFave</v>
      </c>
      <c r="V132" s="5" t="str">
        <f t="shared" si="20"/>
        <v/>
      </c>
      <c r="W132" t="str">
        <f t="shared" si="16"/>
        <v/>
      </c>
      <c r="X132" t="str">
        <f t="shared" si="21"/>
        <v/>
      </c>
      <c r="Y132" t="str">
        <f t="shared" si="22"/>
        <v/>
      </c>
      <c r="Z132" s="2" t="str">
        <f t="shared" si="23"/>
        <v/>
      </c>
      <c r="AA132" t="str">
        <f>VLOOKUP($A132,ScionOutput!$A$3:$BL$215,64,FALSE)</f>
        <v xml:space="preserve">824750. VF plays are disallowed. No play due to strategy constraints. </v>
      </c>
    </row>
    <row r="133" spans="1:27" x14ac:dyDescent="0.2">
      <c r="A133">
        <v>824667</v>
      </c>
      <c r="B133" s="3">
        <f>VLOOKUP($A133,ScionOutput!$A$3:$BL$215,3,FALSE)</f>
        <v>46189</v>
      </c>
      <c r="C133">
        <f>VLOOKUP($A133,ScionOutput!$A$3:$BL$215,22,FALSE)</f>
        <v>5</v>
      </c>
      <c r="D133" t="str">
        <f>VLOOKUP($A133,ScionOutput!$A$3:$BL$215,23,FALSE)</f>
        <v>CHC</v>
      </c>
      <c r="E133">
        <f>VLOOKUP($A133,ScionOutput!$A$3:$BL$215,6,FALSE)</f>
        <v>8</v>
      </c>
      <c r="F133" t="str">
        <f>VLOOKUP($A133,ScionOutput!$A$3:$BL$215,7,FALSE)</f>
        <v>COL</v>
      </c>
      <c r="G133">
        <f>VLOOKUP($A133,ScionOutput!$A$3:$BL$215,26,FALSE)</f>
        <v>-194</v>
      </c>
      <c r="H133">
        <f>VLOOKUP($A133,ScionOutput!$A$3:$BL$215,10,FALSE)</f>
        <v>176</v>
      </c>
      <c r="I133" s="4" t="str">
        <f>VLOOKUP($A133,ScionOutput!$A$3:$BL$215,45,FALSE)</f>
        <v>HomFave</v>
      </c>
      <c r="J133" s="4">
        <f>VLOOKUP($A133,ScionOutput!$A$3:$BL$215,46,FALSE)</f>
        <v>0</v>
      </c>
      <c r="K133" t="str">
        <f>VLOOKUP($A133,ScionOutput!$A$3:$BL$215,58,FALSE)</f>
        <v>No Play</v>
      </c>
      <c r="L133">
        <f>VLOOKUP($A133,ScionOutput!$A$3:$BL$215,59,FALSE)</f>
        <v>0</v>
      </c>
      <c r="M133">
        <f>VLOOKUP($A133,ScionOutput!$A$3:$BL$215,62,FALSE)</f>
        <v>0</v>
      </c>
      <c r="N133">
        <f>VLOOKUP($A133,ScionOutput!$A$3:$BL$215,63,FALSE)</f>
        <v>0</v>
      </c>
      <c r="O133" t="b">
        <f t="shared" si="17"/>
        <v>0</v>
      </c>
      <c r="P133">
        <f>VLOOKUP($A133,Outcomes!$B$3:$I$209,8,FALSE)</f>
        <v>7</v>
      </c>
      <c r="Q133">
        <f t="shared" si="18"/>
        <v>-1</v>
      </c>
      <c r="R133">
        <f>VLOOKUP($A133,Outcomes!$B$3:$I$209,5,FALSE)</f>
        <v>2</v>
      </c>
      <c r="S133">
        <f>VLOOKUP($A133,Outcomes!$B$3:$I$209,6,FALSE)</f>
        <v>5</v>
      </c>
      <c r="T133">
        <f>VLOOKUP($A133,Outcomes!$B$3:$I$209,7,FALSE)</f>
        <v>3</v>
      </c>
      <c r="U133" t="str">
        <f t="shared" si="19"/>
        <v>VisDog</v>
      </c>
      <c r="V133" s="5" t="str">
        <f t="shared" si="20"/>
        <v/>
      </c>
      <c r="W133" t="str">
        <f t="shared" si="16"/>
        <v/>
      </c>
      <c r="X133" t="str">
        <f t="shared" si="21"/>
        <v/>
      </c>
      <c r="Y133" t="str">
        <f t="shared" si="22"/>
        <v/>
      </c>
      <c r="Z133" s="2" t="str">
        <f t="shared" si="23"/>
        <v/>
      </c>
      <c r="AA133" t="str">
        <f>VLOOKUP($A133,ScionOutput!$A$3:$BL$215,64,FALSE)</f>
        <v xml:space="preserve">824667. LineStatEns is NoPlay as bookie-line outside range. StatOnlyEns is NoPlay as bookie-line outside range. No play due to strategy constraints. </v>
      </c>
    </row>
    <row r="134" spans="1:27" x14ac:dyDescent="0.2">
      <c r="A134">
        <v>824504</v>
      </c>
      <c r="B134" s="3">
        <f>VLOOKUP($A134,ScionOutput!$A$3:$BL$215,3,FALSE)</f>
        <v>46189</v>
      </c>
      <c r="C134">
        <f>VLOOKUP($A134,ScionOutput!$A$3:$BL$215,22,FALSE)</f>
        <v>6</v>
      </c>
      <c r="D134" t="str">
        <f>VLOOKUP($A134,ScionOutput!$A$3:$BL$215,23,FALSE)</f>
        <v>CIN</v>
      </c>
      <c r="E134">
        <f>VLOOKUP($A134,ScionOutput!$A$3:$BL$215,6,FALSE)</f>
        <v>18</v>
      </c>
      <c r="F134" t="str">
        <f>VLOOKUP($A134,ScionOutput!$A$3:$BL$215,7,FALSE)</f>
        <v>NYM</v>
      </c>
      <c r="G134">
        <f>VLOOKUP($A134,ScionOutput!$A$3:$BL$215,26,FALSE)</f>
        <v>107</v>
      </c>
      <c r="H134">
        <f>VLOOKUP($A134,ScionOutput!$A$3:$BL$215,10,FALSE)</f>
        <v>-115</v>
      </c>
      <c r="I134" s="4" t="str">
        <f>VLOOKUP($A134,ScionOutput!$A$3:$BL$215,45,FALSE)</f>
        <v>VisFave</v>
      </c>
      <c r="J134" s="4">
        <f>VLOOKUP($A134,ScionOutput!$A$3:$BL$215,46,FALSE)</f>
        <v>0</v>
      </c>
      <c r="K134" t="str">
        <f>VLOOKUP($A134,ScionOutput!$A$3:$BL$215,58,FALSE)</f>
        <v>No Play</v>
      </c>
      <c r="L134">
        <f>VLOOKUP($A134,ScionOutput!$A$3:$BL$215,59,FALSE)</f>
        <v>0</v>
      </c>
      <c r="M134">
        <f>VLOOKUP($A134,ScionOutput!$A$3:$BL$215,62,FALSE)</f>
        <v>0</v>
      </c>
      <c r="N134">
        <f>VLOOKUP($A134,ScionOutput!$A$3:$BL$215,63,FALSE)</f>
        <v>0</v>
      </c>
      <c r="O134" t="b">
        <f t="shared" si="17"/>
        <v>0</v>
      </c>
      <c r="P134">
        <f>VLOOKUP($A134,Outcomes!$B$3:$I$209,8,FALSE)</f>
        <v>8</v>
      </c>
      <c r="Q134">
        <f t="shared" si="18"/>
        <v>1</v>
      </c>
      <c r="R134">
        <f>VLOOKUP($A134,Outcomes!$B$3:$I$209,5,FALSE)</f>
        <v>5</v>
      </c>
      <c r="S134">
        <f>VLOOKUP($A134,Outcomes!$B$3:$I$209,6,FALSE)</f>
        <v>3</v>
      </c>
      <c r="T134">
        <f>VLOOKUP($A134,Outcomes!$B$3:$I$209,7,FALSE)</f>
        <v>-2</v>
      </c>
      <c r="U134" t="str">
        <f t="shared" si="19"/>
        <v>HomDog</v>
      </c>
      <c r="V134" s="5" t="str">
        <f t="shared" si="20"/>
        <v/>
      </c>
      <c r="W134" t="str">
        <f t="shared" si="16"/>
        <v/>
      </c>
      <c r="X134" t="str">
        <f t="shared" si="21"/>
        <v/>
      </c>
      <c r="Y134" t="str">
        <f t="shared" si="22"/>
        <v/>
      </c>
      <c r="Z134" s="2" t="str">
        <f t="shared" si="23"/>
        <v/>
      </c>
      <c r="AA134" t="str">
        <f>VLOOKUP($A134,ScionOutput!$A$3:$BL$215,64,FALSE)</f>
        <v xml:space="preserve">824504. VF plays are disallowed. No play due to strategy constraints. </v>
      </c>
    </row>
    <row r="135" spans="1:27" x14ac:dyDescent="0.2">
      <c r="A135">
        <v>824182</v>
      </c>
      <c r="B135" s="3">
        <f>VLOOKUP($A135,ScionOutput!$A$3:$BL$215,3,FALSE)</f>
        <v>46189</v>
      </c>
      <c r="C135">
        <f>VLOOKUP($A135,ScionOutput!$A$3:$BL$215,22,FALSE)</f>
        <v>12</v>
      </c>
      <c r="D135" t="str">
        <f>VLOOKUP($A135,ScionOutput!$A$3:$BL$215,23,FALSE)</f>
        <v>HOU</v>
      </c>
      <c r="E135">
        <f>VLOOKUP($A135,ScionOutput!$A$3:$BL$215,6,FALSE)</f>
        <v>10</v>
      </c>
      <c r="F135" t="str">
        <f>VLOOKUP($A135,ScionOutput!$A$3:$BL$215,7,FALSE)</f>
        <v>DET</v>
      </c>
      <c r="G135">
        <f>VLOOKUP($A135,ScionOutput!$A$3:$BL$215,26,FALSE)</f>
        <v>-167</v>
      </c>
      <c r="H135">
        <f>VLOOKUP($A135,ScionOutput!$A$3:$BL$215,10,FALSE)</f>
        <v>153</v>
      </c>
      <c r="I135" s="4" t="str">
        <f>VLOOKUP($A135,ScionOutput!$A$3:$BL$215,45,FALSE)</f>
        <v>HomFave</v>
      </c>
      <c r="J135" s="4">
        <f>VLOOKUP($A135,ScionOutput!$A$3:$BL$215,46,FALSE)</f>
        <v>0</v>
      </c>
      <c r="K135" t="str">
        <f>VLOOKUP($A135,ScionOutput!$A$3:$BL$215,58,FALSE)</f>
        <v>No Play</v>
      </c>
      <c r="L135">
        <f>VLOOKUP($A135,ScionOutput!$A$3:$BL$215,59,FALSE)</f>
        <v>0</v>
      </c>
      <c r="M135">
        <f>VLOOKUP($A135,ScionOutput!$A$3:$BL$215,62,FALSE)</f>
        <v>0</v>
      </c>
      <c r="N135">
        <f>VLOOKUP($A135,ScionOutput!$A$3:$BL$215,63,FALSE)</f>
        <v>0</v>
      </c>
      <c r="O135" t="b">
        <f t="shared" si="17"/>
        <v>0</v>
      </c>
      <c r="P135">
        <f>VLOOKUP($A135,Outcomes!$B$3:$I$209,8,FALSE)</f>
        <v>6</v>
      </c>
      <c r="Q135">
        <f t="shared" si="18"/>
        <v>1</v>
      </c>
      <c r="R135">
        <f>VLOOKUP($A135,Outcomes!$B$3:$I$209,5,FALSE)</f>
        <v>4</v>
      </c>
      <c r="S135">
        <f>VLOOKUP($A135,Outcomes!$B$3:$I$209,6,FALSE)</f>
        <v>2</v>
      </c>
      <c r="T135">
        <f>VLOOKUP($A135,Outcomes!$B$3:$I$209,7,FALSE)</f>
        <v>-2</v>
      </c>
      <c r="U135" t="str">
        <f t="shared" si="19"/>
        <v>HomFave</v>
      </c>
      <c r="V135" s="5" t="str">
        <f t="shared" si="20"/>
        <v/>
      </c>
      <c r="W135" t="str">
        <f t="shared" si="16"/>
        <v/>
      </c>
      <c r="X135" t="str">
        <f t="shared" si="21"/>
        <v/>
      </c>
      <c r="Y135" t="str">
        <f t="shared" si="22"/>
        <v/>
      </c>
      <c r="Z135" s="2" t="str">
        <f t="shared" si="23"/>
        <v/>
      </c>
      <c r="AA135" t="str">
        <f>VLOOKUP($A135,ScionOutput!$A$3:$BL$215,64,FALSE)</f>
        <v xml:space="preserve">824182. LineStatEns is NoPlay as bookie-line outside range. StatOnlyEns is NoPlay as bookie-line outside range. No play due to strategy constraints. </v>
      </c>
    </row>
    <row r="136" spans="1:27" x14ac:dyDescent="0.2">
      <c r="A136">
        <v>823939</v>
      </c>
      <c r="B136" s="3">
        <f>VLOOKUP($A136,ScionOutput!$A$3:$BL$215,3,FALSE)</f>
        <v>46189</v>
      </c>
      <c r="C136">
        <f>VLOOKUP($A136,ScionOutput!$A$3:$BL$215,22,FALSE)</f>
        <v>14</v>
      </c>
      <c r="D136" t="str">
        <f>VLOOKUP($A136,ScionOutput!$A$3:$BL$215,23,FALSE)</f>
        <v>LA</v>
      </c>
      <c r="E136">
        <f>VLOOKUP($A136,ScionOutput!$A$3:$BL$215,6,FALSE)</f>
        <v>27</v>
      </c>
      <c r="F136" t="str">
        <f>VLOOKUP($A136,ScionOutput!$A$3:$BL$215,7,FALSE)</f>
        <v>TB</v>
      </c>
      <c r="G136">
        <f>VLOOKUP($A136,ScionOutput!$A$3:$BL$215,26,FALSE)</f>
        <v>-144</v>
      </c>
      <c r="H136">
        <f>VLOOKUP($A136,ScionOutput!$A$3:$BL$215,10,FALSE)</f>
        <v>133</v>
      </c>
      <c r="I136" s="4" t="str">
        <f>VLOOKUP($A136,ScionOutput!$A$3:$BL$215,45,FALSE)</f>
        <v>HomFave</v>
      </c>
      <c r="J136" s="4">
        <f>VLOOKUP($A136,ScionOutput!$A$3:$BL$215,46,FALSE)</f>
        <v>0</v>
      </c>
      <c r="K136" t="str">
        <f>VLOOKUP($A136,ScionOutput!$A$3:$BL$215,58,FALSE)</f>
        <v>No Play</v>
      </c>
      <c r="L136">
        <f>VLOOKUP($A136,ScionOutput!$A$3:$BL$215,59,FALSE)</f>
        <v>0</v>
      </c>
      <c r="M136">
        <f>VLOOKUP($A136,ScionOutput!$A$3:$BL$215,62,FALSE)</f>
        <v>0</v>
      </c>
      <c r="N136">
        <f>VLOOKUP($A136,ScionOutput!$A$3:$BL$215,63,FALSE)</f>
        <v>0</v>
      </c>
      <c r="O136" t="b">
        <f t="shared" si="17"/>
        <v>0</v>
      </c>
      <c r="P136">
        <f>VLOOKUP($A136,Outcomes!$B$3:$I$209,8,FALSE)</f>
        <v>1</v>
      </c>
      <c r="Q136">
        <f t="shared" si="18"/>
        <v>1</v>
      </c>
      <c r="R136">
        <f>VLOOKUP($A136,Outcomes!$B$3:$I$209,5,FALSE)</f>
        <v>1</v>
      </c>
      <c r="S136">
        <f>VLOOKUP($A136,Outcomes!$B$3:$I$209,6,FALSE)</f>
        <v>0</v>
      </c>
      <c r="T136">
        <f>VLOOKUP($A136,Outcomes!$B$3:$I$209,7,FALSE)</f>
        <v>-1</v>
      </c>
      <c r="U136" t="str">
        <f t="shared" si="19"/>
        <v>HomFave</v>
      </c>
      <c r="V136" s="5" t="str">
        <f t="shared" si="20"/>
        <v/>
      </c>
      <c r="W136" t="str">
        <f t="shared" si="16"/>
        <v/>
      </c>
      <c r="X136" t="str">
        <f t="shared" si="21"/>
        <v/>
      </c>
      <c r="Y136" t="str">
        <f t="shared" si="22"/>
        <v/>
      </c>
      <c r="Z136" s="2" t="str">
        <f t="shared" si="23"/>
        <v/>
      </c>
      <c r="AA136" t="str">
        <f>VLOOKUP($A136,ScionOutput!$A$3:$BL$215,64,FALSE)</f>
        <v xml:space="preserve">823939. LineStatEns probability points gap does not exceed threshold (no edge found)! StatOnlyEns probability points gap does not exceed threshold (no edge found)! No play due to strategy constraints. </v>
      </c>
    </row>
    <row r="137" spans="1:27" x14ac:dyDescent="0.2">
      <c r="A137">
        <v>822723</v>
      </c>
      <c r="B137" s="3">
        <f>VLOOKUP($A137,ScionOutput!$A$3:$BL$215,3,FALSE)</f>
        <v>46189</v>
      </c>
      <c r="C137">
        <f>VLOOKUP($A137,ScionOutput!$A$3:$BL$215,22,FALSE)</f>
        <v>16</v>
      </c>
      <c r="D137" t="str">
        <f>VLOOKUP($A137,ScionOutput!$A$3:$BL$215,23,FALSE)</f>
        <v>WAS</v>
      </c>
      <c r="E137">
        <f>VLOOKUP($A137,ScionOutput!$A$3:$BL$215,6,FALSE)</f>
        <v>13</v>
      </c>
      <c r="F137" t="str">
        <f>VLOOKUP($A137,ScionOutput!$A$3:$BL$215,7,FALSE)</f>
        <v>KC</v>
      </c>
      <c r="G137">
        <f>VLOOKUP($A137,ScionOutput!$A$3:$BL$215,26,FALSE)</f>
        <v>-131</v>
      </c>
      <c r="H137">
        <f>VLOOKUP($A137,ScionOutput!$A$3:$BL$215,10,FALSE)</f>
        <v>121</v>
      </c>
      <c r="I137" s="4" t="str">
        <f>VLOOKUP($A137,ScionOutput!$A$3:$BL$215,45,FALSE)</f>
        <v>HomFave</v>
      </c>
      <c r="J137" s="4">
        <f>VLOOKUP($A137,ScionOutput!$A$3:$BL$215,46,FALSE)</f>
        <v>0</v>
      </c>
      <c r="K137" t="str">
        <f>VLOOKUP($A137,ScionOutput!$A$3:$BL$215,58,FALSE)</f>
        <v>No Play</v>
      </c>
      <c r="L137">
        <f>VLOOKUP($A137,ScionOutput!$A$3:$BL$215,59,FALSE)</f>
        <v>0</v>
      </c>
      <c r="M137">
        <f>VLOOKUP($A137,ScionOutput!$A$3:$BL$215,62,FALSE)</f>
        <v>0</v>
      </c>
      <c r="N137">
        <f>VLOOKUP($A137,ScionOutput!$A$3:$BL$215,63,FALSE)</f>
        <v>0</v>
      </c>
      <c r="O137" t="b">
        <f t="shared" si="17"/>
        <v>0</v>
      </c>
      <c r="P137">
        <f>VLOOKUP($A137,Outcomes!$B$3:$I$209,8,FALSE)</f>
        <v>10</v>
      </c>
      <c r="Q137">
        <f t="shared" si="18"/>
        <v>1</v>
      </c>
      <c r="R137">
        <f>VLOOKUP($A137,Outcomes!$B$3:$I$209,5,FALSE)</f>
        <v>6</v>
      </c>
      <c r="S137">
        <f>VLOOKUP($A137,Outcomes!$B$3:$I$209,6,FALSE)</f>
        <v>4</v>
      </c>
      <c r="T137">
        <f>VLOOKUP($A137,Outcomes!$B$3:$I$209,7,FALSE)</f>
        <v>-2</v>
      </c>
      <c r="U137" t="str">
        <f t="shared" si="19"/>
        <v>HomFave</v>
      </c>
      <c r="V137" s="5" t="str">
        <f t="shared" si="20"/>
        <v/>
      </c>
      <c r="W137" t="str">
        <f t="shared" si="16"/>
        <v/>
      </c>
      <c r="X137" t="str">
        <f t="shared" si="21"/>
        <v/>
      </c>
      <c r="Y137" t="str">
        <f t="shared" si="22"/>
        <v/>
      </c>
      <c r="Z137" s="2" t="str">
        <f t="shared" si="23"/>
        <v/>
      </c>
      <c r="AA137" t="str">
        <f>VLOOKUP($A137,ScionOutput!$A$3:$BL$215,64,FALSE)</f>
        <v xml:space="preserve">822723. LineStatEns probability points gap does not exceed threshold (no edge found)! StatOnlyEns probability points gap does not exceed threshold (no edge found)! No play due to strategy constraints. </v>
      </c>
    </row>
    <row r="138" spans="1:27" x14ac:dyDescent="0.2">
      <c r="A138">
        <v>823775</v>
      </c>
      <c r="B138" s="3">
        <f>VLOOKUP($A138,ScionOutput!$A$3:$BL$215,3,FALSE)</f>
        <v>46189</v>
      </c>
      <c r="C138">
        <f>VLOOKUP($A138,ScionOutput!$A$3:$BL$215,22,FALSE)</f>
        <v>17</v>
      </c>
      <c r="D138" t="str">
        <f>VLOOKUP($A138,ScionOutput!$A$3:$BL$215,23,FALSE)</f>
        <v>MLW</v>
      </c>
      <c r="E138">
        <f>VLOOKUP($A138,ScionOutput!$A$3:$BL$215,6,FALSE)</f>
        <v>7</v>
      </c>
      <c r="F138" t="str">
        <f>VLOOKUP($A138,ScionOutput!$A$3:$BL$215,7,FALSE)</f>
        <v>CLE</v>
      </c>
      <c r="G138">
        <f>VLOOKUP($A138,ScionOutput!$A$3:$BL$215,26,FALSE)</f>
        <v>-151</v>
      </c>
      <c r="H138">
        <f>VLOOKUP($A138,ScionOutput!$A$3:$BL$215,10,FALSE)</f>
        <v>139</v>
      </c>
      <c r="I138" s="4" t="str">
        <f>VLOOKUP($A138,ScionOutput!$A$3:$BL$215,45,FALSE)</f>
        <v>VisDog</v>
      </c>
      <c r="J138" s="4">
        <f>VLOOKUP($A138,ScionOutput!$A$3:$BL$215,46,FALSE)</f>
        <v>0</v>
      </c>
      <c r="K138" t="str">
        <f>VLOOKUP($A138,ScionOutput!$A$3:$BL$215,58,FALSE)</f>
        <v>No Play</v>
      </c>
      <c r="L138">
        <f>VLOOKUP($A138,ScionOutput!$A$3:$BL$215,59,FALSE)</f>
        <v>0</v>
      </c>
      <c r="M138">
        <f>VLOOKUP($A138,ScionOutput!$A$3:$BL$215,62,FALSE)</f>
        <v>0</v>
      </c>
      <c r="N138">
        <f>VLOOKUP($A138,ScionOutput!$A$3:$BL$215,63,FALSE)</f>
        <v>0</v>
      </c>
      <c r="O138" t="b">
        <f t="shared" si="17"/>
        <v>0</v>
      </c>
      <c r="P138">
        <f>VLOOKUP($A138,Outcomes!$B$3:$I$209,8,FALSE)</f>
        <v>3</v>
      </c>
      <c r="Q138">
        <f t="shared" si="18"/>
        <v>1</v>
      </c>
      <c r="R138">
        <f>VLOOKUP($A138,Outcomes!$B$3:$I$209,5,FALSE)</f>
        <v>2</v>
      </c>
      <c r="S138">
        <f>VLOOKUP($A138,Outcomes!$B$3:$I$209,6,FALSE)</f>
        <v>1</v>
      </c>
      <c r="T138">
        <f>VLOOKUP($A138,Outcomes!$B$3:$I$209,7,FALSE)</f>
        <v>-1</v>
      </c>
      <c r="U138" t="str">
        <f t="shared" si="19"/>
        <v>HomFave</v>
      </c>
      <c r="V138" s="5" t="str">
        <f t="shared" si="20"/>
        <v/>
      </c>
      <c r="W138" t="str">
        <f t="shared" si="16"/>
        <v/>
      </c>
      <c r="X138" t="str">
        <f t="shared" si="21"/>
        <v/>
      </c>
      <c r="Y138" t="str">
        <f t="shared" si="22"/>
        <v/>
      </c>
      <c r="Z138" s="2" t="str">
        <f t="shared" si="23"/>
        <v/>
      </c>
      <c r="AA138" t="str">
        <f>VLOOKUP($A138,ScionOutput!$A$3:$BL$215,64,FALSE)</f>
        <v xml:space="preserve">823775. LineStatEns is NoPlay as bookie-line outside range. StatOnlyEns is NoPlay as bookie-line outside range. No play due to strategy constraints. </v>
      </c>
    </row>
    <row r="139" spans="1:27" x14ac:dyDescent="0.2">
      <c r="A139">
        <v>823535</v>
      </c>
      <c r="B139" s="3">
        <f>VLOOKUP($A139,ScionOutput!$A$3:$BL$215,3,FALSE)</f>
        <v>46189</v>
      </c>
      <c r="C139">
        <f>VLOOKUP($A139,ScionOutput!$A$3:$BL$215,22,FALSE)</f>
        <v>19</v>
      </c>
      <c r="D139" t="str">
        <f>VLOOKUP($A139,ScionOutput!$A$3:$BL$215,23,FALSE)</f>
        <v>NYY</v>
      </c>
      <c r="E139">
        <f>VLOOKUP($A139,ScionOutput!$A$3:$BL$215,6,FALSE)</f>
        <v>9</v>
      </c>
      <c r="F139" t="str">
        <f>VLOOKUP($A139,ScionOutput!$A$3:$BL$215,7,FALSE)</f>
        <v>CWS</v>
      </c>
      <c r="G139">
        <f>VLOOKUP($A139,ScionOutput!$A$3:$BL$215,26,FALSE)</f>
        <v>-138</v>
      </c>
      <c r="H139">
        <f>VLOOKUP($A139,ScionOutput!$A$3:$BL$215,10,FALSE)</f>
        <v>127</v>
      </c>
      <c r="I139" s="4" t="str">
        <f>VLOOKUP($A139,ScionOutput!$A$3:$BL$215,45,FALSE)</f>
        <v>HomFave</v>
      </c>
      <c r="J139" s="4">
        <f>VLOOKUP($A139,ScionOutput!$A$3:$BL$215,46,FALSE)</f>
        <v>0</v>
      </c>
      <c r="K139" t="str">
        <f>VLOOKUP($A139,ScionOutput!$A$3:$BL$215,58,FALSE)</f>
        <v>No Play</v>
      </c>
      <c r="L139">
        <f>VLOOKUP($A139,ScionOutput!$A$3:$BL$215,59,FALSE)</f>
        <v>0</v>
      </c>
      <c r="M139">
        <f>VLOOKUP($A139,ScionOutput!$A$3:$BL$215,62,FALSE)</f>
        <v>0</v>
      </c>
      <c r="N139">
        <f>VLOOKUP($A139,ScionOutput!$A$3:$BL$215,63,FALSE)</f>
        <v>0</v>
      </c>
      <c r="O139" t="b">
        <f t="shared" si="17"/>
        <v>0</v>
      </c>
      <c r="P139">
        <f>VLOOKUP($A139,Outcomes!$B$3:$I$209,8,FALSE)</f>
        <v>14</v>
      </c>
      <c r="Q139">
        <f t="shared" si="18"/>
        <v>1</v>
      </c>
      <c r="R139">
        <f>VLOOKUP($A139,Outcomes!$B$3:$I$209,5,FALSE)</f>
        <v>12</v>
      </c>
      <c r="S139">
        <f>VLOOKUP($A139,Outcomes!$B$3:$I$209,6,FALSE)</f>
        <v>2</v>
      </c>
      <c r="T139">
        <f>VLOOKUP($A139,Outcomes!$B$3:$I$209,7,FALSE)</f>
        <v>-10</v>
      </c>
      <c r="U139" t="str">
        <f t="shared" si="19"/>
        <v>HomFave</v>
      </c>
      <c r="V139" s="5" t="str">
        <f t="shared" si="20"/>
        <v/>
      </c>
      <c r="W139" t="str">
        <f t="shared" si="16"/>
        <v/>
      </c>
      <c r="X139" t="str">
        <f t="shared" si="21"/>
        <v/>
      </c>
      <c r="Y139" t="str">
        <f t="shared" si="22"/>
        <v/>
      </c>
      <c r="Z139" s="2" t="str">
        <f t="shared" si="23"/>
        <v/>
      </c>
      <c r="AA139" t="str">
        <f>VLOOKUP($A139,ScionOutput!$A$3:$BL$215,64,FALSE)</f>
        <v xml:space="preserve">823535. LineStatEns probability points gap does not exceed threshold (no edge found)! StatOnlyEns probability points gap does not exceed threshold (no edge found)! No play due to strategy constraints. </v>
      </c>
    </row>
    <row r="140" spans="1:27" x14ac:dyDescent="0.2">
      <c r="A140">
        <v>824991</v>
      </c>
      <c r="B140" s="3">
        <f>VLOOKUP($A140,ScionOutput!$A$3:$BL$215,3,FALSE)</f>
        <v>46189</v>
      </c>
      <c r="C140">
        <f>VLOOKUP($A140,ScionOutput!$A$3:$BL$215,22,FALSE)</f>
        <v>20</v>
      </c>
      <c r="D140" t="str">
        <f>VLOOKUP($A140,ScionOutput!$A$3:$BL$215,23,FALSE)</f>
        <v>OAK</v>
      </c>
      <c r="E140">
        <f>VLOOKUP($A140,ScionOutput!$A$3:$BL$215,6,FALSE)</f>
        <v>22</v>
      </c>
      <c r="F140" t="str">
        <f>VLOOKUP($A140,ScionOutput!$A$3:$BL$215,7,FALSE)</f>
        <v>PIT</v>
      </c>
      <c r="G140">
        <f>VLOOKUP($A140,ScionOutput!$A$3:$BL$215,26,FALSE)</f>
        <v>-137</v>
      </c>
      <c r="H140">
        <f>VLOOKUP($A140,ScionOutput!$A$3:$BL$215,10,FALSE)</f>
        <v>126</v>
      </c>
      <c r="I140" s="4" t="str">
        <f>VLOOKUP($A140,ScionOutput!$A$3:$BL$215,45,FALSE)</f>
        <v>HomFave</v>
      </c>
      <c r="J140" s="4">
        <f>VLOOKUP($A140,ScionOutput!$A$3:$BL$215,46,FALSE)</f>
        <v>0</v>
      </c>
      <c r="K140" t="str">
        <f>VLOOKUP($A140,ScionOutput!$A$3:$BL$215,58,FALSE)</f>
        <v>No Play</v>
      </c>
      <c r="L140">
        <f>VLOOKUP($A140,ScionOutput!$A$3:$BL$215,59,FALSE)</f>
        <v>0</v>
      </c>
      <c r="M140">
        <f>VLOOKUP($A140,ScionOutput!$A$3:$BL$215,62,FALSE)</f>
        <v>0</v>
      </c>
      <c r="N140">
        <f>VLOOKUP($A140,ScionOutput!$A$3:$BL$215,63,FALSE)</f>
        <v>0</v>
      </c>
      <c r="O140" t="b">
        <f t="shared" si="17"/>
        <v>0</v>
      </c>
      <c r="P140">
        <f>VLOOKUP($A140,Outcomes!$B$3:$I$209,8,FALSE)</f>
        <v>11</v>
      </c>
      <c r="Q140">
        <f t="shared" si="18"/>
        <v>-1</v>
      </c>
      <c r="R140">
        <f>VLOOKUP($A140,Outcomes!$B$3:$I$209,5,FALSE)</f>
        <v>5</v>
      </c>
      <c r="S140">
        <f>VLOOKUP($A140,Outcomes!$B$3:$I$209,6,FALSE)</f>
        <v>6</v>
      </c>
      <c r="T140">
        <f>VLOOKUP($A140,Outcomes!$B$3:$I$209,7,FALSE)</f>
        <v>1</v>
      </c>
      <c r="U140" t="str">
        <f t="shared" si="19"/>
        <v>VisDog</v>
      </c>
      <c r="V140" s="5" t="str">
        <f t="shared" si="20"/>
        <v/>
      </c>
      <c r="W140" t="str">
        <f t="shared" si="16"/>
        <v/>
      </c>
      <c r="X140" t="str">
        <f t="shared" si="21"/>
        <v/>
      </c>
      <c r="Y140" t="str">
        <f t="shared" si="22"/>
        <v/>
      </c>
      <c r="Z140" s="2" t="str">
        <f t="shared" si="23"/>
        <v/>
      </c>
      <c r="AA140" t="str">
        <f>VLOOKUP($A140,ScionOutput!$A$3:$BL$215,64,FALSE)</f>
        <v xml:space="preserve">824991. LineStatEns probability points gap does not exceed threshold (no edge found)! StatOnlyEns probability points gap does not exceed threshold (no edge found)! No play due to strategy constraints. </v>
      </c>
    </row>
    <row r="141" spans="1:27" x14ac:dyDescent="0.2">
      <c r="A141">
        <v>823451</v>
      </c>
      <c r="B141" s="3">
        <f>VLOOKUP($A141,ScionOutput!$A$3:$BL$215,3,FALSE)</f>
        <v>46189</v>
      </c>
      <c r="C141">
        <f>VLOOKUP($A141,ScionOutput!$A$3:$BL$215,22,FALSE)</f>
        <v>21</v>
      </c>
      <c r="D141" t="str">
        <f>VLOOKUP($A141,ScionOutput!$A$3:$BL$215,23,FALSE)</f>
        <v>PHI</v>
      </c>
      <c r="E141">
        <f>VLOOKUP($A141,ScionOutput!$A$3:$BL$215,6,FALSE)</f>
        <v>11</v>
      </c>
      <c r="F141" t="str">
        <f>VLOOKUP($A141,ScionOutput!$A$3:$BL$215,7,FALSE)</f>
        <v>FLO</v>
      </c>
      <c r="G141">
        <f>VLOOKUP($A141,ScionOutput!$A$3:$BL$215,26,FALSE)</f>
        <v>-165</v>
      </c>
      <c r="H141">
        <f>VLOOKUP($A141,ScionOutput!$A$3:$BL$215,10,FALSE)</f>
        <v>152</v>
      </c>
      <c r="I141" s="4" t="str">
        <f>VLOOKUP($A141,ScionOutput!$A$3:$BL$215,45,FALSE)</f>
        <v>HomFave</v>
      </c>
      <c r="J141" s="4">
        <f>VLOOKUP($A141,ScionOutput!$A$3:$BL$215,46,FALSE)</f>
        <v>0</v>
      </c>
      <c r="K141" t="str">
        <f>VLOOKUP($A141,ScionOutput!$A$3:$BL$215,58,FALSE)</f>
        <v>No Play</v>
      </c>
      <c r="L141">
        <f>VLOOKUP($A141,ScionOutput!$A$3:$BL$215,59,FALSE)</f>
        <v>0</v>
      </c>
      <c r="M141">
        <f>VLOOKUP($A141,ScionOutput!$A$3:$BL$215,62,FALSE)</f>
        <v>0</v>
      </c>
      <c r="N141">
        <f>VLOOKUP($A141,ScionOutput!$A$3:$BL$215,63,FALSE)</f>
        <v>0</v>
      </c>
      <c r="O141" t="b">
        <f t="shared" si="17"/>
        <v>0</v>
      </c>
      <c r="P141">
        <f>VLOOKUP($A141,Outcomes!$B$3:$I$209,8,FALSE)</f>
        <v>10</v>
      </c>
      <c r="Q141">
        <f t="shared" si="18"/>
        <v>1</v>
      </c>
      <c r="R141">
        <f>VLOOKUP($A141,Outcomes!$B$3:$I$209,5,FALSE)</f>
        <v>8</v>
      </c>
      <c r="S141">
        <f>VLOOKUP($A141,Outcomes!$B$3:$I$209,6,FALSE)</f>
        <v>2</v>
      </c>
      <c r="T141">
        <f>VLOOKUP($A141,Outcomes!$B$3:$I$209,7,FALSE)</f>
        <v>-6</v>
      </c>
      <c r="U141" t="str">
        <f t="shared" si="19"/>
        <v>HomFave</v>
      </c>
      <c r="V141" s="5" t="str">
        <f t="shared" si="20"/>
        <v/>
      </c>
      <c r="W141" t="str">
        <f t="shared" si="16"/>
        <v/>
      </c>
      <c r="X141" t="str">
        <f t="shared" si="21"/>
        <v/>
      </c>
      <c r="Y141" t="str">
        <f t="shared" si="22"/>
        <v/>
      </c>
      <c r="Z141" s="2" t="str">
        <f t="shared" si="23"/>
        <v/>
      </c>
      <c r="AA141" t="str">
        <f>VLOOKUP($A141,ScionOutput!$A$3:$BL$215,64,FALSE)</f>
        <v xml:space="preserve">823451. LineStatEns is NoPlay as bookie-line outside range. StatOnlyEns is NoPlay as bookie-line outside range. No play due to strategy constraints. </v>
      </c>
    </row>
    <row r="142" spans="1:27" x14ac:dyDescent="0.2">
      <c r="A142">
        <v>823128</v>
      </c>
      <c r="B142" s="3">
        <f>VLOOKUP($A142,ScionOutput!$A$3:$BL$215,3,FALSE)</f>
        <v>46189</v>
      </c>
      <c r="C142">
        <f>VLOOKUP($A142,ScionOutput!$A$3:$BL$215,22,FALSE)</f>
        <v>24</v>
      </c>
      <c r="D142" t="str">
        <f>VLOOKUP($A142,ScionOutput!$A$3:$BL$215,23,FALSE)</f>
        <v>SEA</v>
      </c>
      <c r="E142">
        <f>VLOOKUP($A142,ScionOutput!$A$3:$BL$215,6,FALSE)</f>
        <v>2</v>
      </c>
      <c r="F142" t="str">
        <f>VLOOKUP($A142,ScionOutput!$A$3:$BL$215,7,FALSE)</f>
        <v>BAL</v>
      </c>
      <c r="G142">
        <f>VLOOKUP($A142,ScionOutput!$A$3:$BL$215,26,FALSE)</f>
        <v>-151</v>
      </c>
      <c r="H142">
        <f>VLOOKUP($A142,ScionOutput!$A$3:$BL$215,10,FALSE)</f>
        <v>139</v>
      </c>
      <c r="I142" s="4" t="str">
        <f>VLOOKUP($A142,ScionOutput!$A$3:$BL$215,45,FALSE)</f>
        <v>HomFave</v>
      </c>
      <c r="J142" s="4">
        <f>VLOOKUP($A142,ScionOutput!$A$3:$BL$215,46,FALSE)</f>
        <v>0</v>
      </c>
      <c r="K142" t="str">
        <f>VLOOKUP($A142,ScionOutput!$A$3:$BL$215,58,FALSE)</f>
        <v>No Play</v>
      </c>
      <c r="L142">
        <f>VLOOKUP($A142,ScionOutput!$A$3:$BL$215,59,FALSE)</f>
        <v>0</v>
      </c>
      <c r="M142">
        <f>VLOOKUP($A142,ScionOutput!$A$3:$BL$215,62,FALSE)</f>
        <v>0</v>
      </c>
      <c r="N142">
        <f>VLOOKUP($A142,ScionOutput!$A$3:$BL$215,63,FALSE)</f>
        <v>0</v>
      </c>
      <c r="O142" t="b">
        <f t="shared" si="17"/>
        <v>0</v>
      </c>
      <c r="P142">
        <f>VLOOKUP($A142,Outcomes!$B$3:$I$209,8,FALSE)</f>
        <v>4</v>
      </c>
      <c r="Q142">
        <f t="shared" si="18"/>
        <v>1</v>
      </c>
      <c r="R142">
        <f>VLOOKUP($A142,Outcomes!$B$3:$I$209,5,FALSE)</f>
        <v>3</v>
      </c>
      <c r="S142">
        <f>VLOOKUP($A142,Outcomes!$B$3:$I$209,6,FALSE)</f>
        <v>1</v>
      </c>
      <c r="T142">
        <f>VLOOKUP($A142,Outcomes!$B$3:$I$209,7,FALSE)</f>
        <v>-2</v>
      </c>
      <c r="U142" t="str">
        <f t="shared" si="19"/>
        <v>HomFave</v>
      </c>
      <c r="V142" s="5" t="str">
        <f t="shared" si="20"/>
        <v/>
      </c>
      <c r="W142" t="str">
        <f t="shared" si="16"/>
        <v/>
      </c>
      <c r="X142" t="str">
        <f t="shared" si="21"/>
        <v/>
      </c>
      <c r="Y142" t="str">
        <f t="shared" si="22"/>
        <v/>
      </c>
      <c r="Z142" s="2" t="str">
        <f t="shared" si="23"/>
        <v/>
      </c>
      <c r="AA142" t="str">
        <f>VLOOKUP($A142,ScionOutput!$A$3:$BL$215,64,FALSE)</f>
        <v xml:space="preserve">823128. LineStatEns is NoPlay as bookie-line outside range. StatOnlyEns is NoPlay as bookie-line outside range. No play due to strategy constraints. </v>
      </c>
    </row>
    <row r="143" spans="1:27" x14ac:dyDescent="0.2">
      <c r="A143">
        <v>823045</v>
      </c>
      <c r="B143" s="3">
        <f>VLOOKUP($A143,ScionOutput!$A$3:$BL$215,3,FALSE)</f>
        <v>46189</v>
      </c>
      <c r="C143">
        <f>VLOOKUP($A143,ScionOutput!$A$3:$BL$215,22,FALSE)</f>
        <v>26</v>
      </c>
      <c r="D143" t="str">
        <f>VLOOKUP($A143,ScionOutput!$A$3:$BL$215,23,FALSE)</f>
        <v>STL</v>
      </c>
      <c r="E143">
        <f>VLOOKUP($A143,ScionOutput!$A$3:$BL$215,6,FALSE)</f>
        <v>23</v>
      </c>
      <c r="F143" t="str">
        <f>VLOOKUP($A143,ScionOutput!$A$3:$BL$215,7,FALSE)</f>
        <v>SD</v>
      </c>
      <c r="G143">
        <f>VLOOKUP($A143,ScionOutput!$A$3:$BL$215,26,FALSE)</f>
        <v>-113</v>
      </c>
      <c r="H143">
        <f>VLOOKUP($A143,ScionOutput!$A$3:$BL$215,10,FALSE)</f>
        <v>105</v>
      </c>
      <c r="I143" s="4" t="str">
        <f>VLOOKUP($A143,ScionOutput!$A$3:$BL$215,45,FALSE)</f>
        <v>HomFave</v>
      </c>
      <c r="J143" s="4">
        <f>VLOOKUP($A143,ScionOutput!$A$3:$BL$215,46,FALSE)</f>
        <v>1</v>
      </c>
      <c r="K143" t="str">
        <f>VLOOKUP($A143,ScionOutput!$A$3:$BL$215,58,FALSE)</f>
        <v>HomFave</v>
      </c>
      <c r="L143">
        <f>VLOOKUP($A143,ScionOutput!$A$3:$BL$215,59,FALSE)</f>
        <v>1.9029999999999998E-2</v>
      </c>
      <c r="M143">
        <f>VLOOKUP($A143,ScionOutput!$A$3:$BL$215,62,FALSE)</f>
        <v>3</v>
      </c>
      <c r="N143">
        <f>VLOOKUP($A143,ScionOutput!$A$3:$BL$215,63,FALSE)</f>
        <v>0.93</v>
      </c>
      <c r="O143" t="b">
        <f t="shared" si="17"/>
        <v>0</v>
      </c>
      <c r="P143">
        <f>VLOOKUP($A143,Outcomes!$B$3:$I$209,8,FALSE)</f>
        <v>5</v>
      </c>
      <c r="Q143">
        <f t="shared" si="18"/>
        <v>1</v>
      </c>
      <c r="R143">
        <f>VLOOKUP($A143,Outcomes!$B$3:$I$209,5,FALSE)</f>
        <v>3</v>
      </c>
      <c r="S143">
        <f>VLOOKUP($A143,Outcomes!$B$3:$I$209,6,FALSE)</f>
        <v>2</v>
      </c>
      <c r="T143">
        <f>VLOOKUP($A143,Outcomes!$B$3:$I$209,7,FALSE)</f>
        <v>-1</v>
      </c>
      <c r="U143" t="str">
        <f t="shared" si="19"/>
        <v>HomFave</v>
      </c>
      <c r="V143" s="5">
        <f t="shared" si="20"/>
        <v>1</v>
      </c>
      <c r="W143">
        <f t="shared" si="16"/>
        <v>113</v>
      </c>
      <c r="X143">
        <f t="shared" si="21"/>
        <v>213</v>
      </c>
      <c r="Y143">
        <f t="shared" si="22"/>
        <v>100</v>
      </c>
      <c r="Z143" s="2">
        <f t="shared" si="23"/>
        <v>0.88495575221238942</v>
      </c>
      <c r="AA143" t="str">
        <f>VLOOKUP($A143,ScionOutput!$A$3:$BL$215,64,FALSE)</f>
        <v xml:space="preserve">823045. StatOnlyEns probability points gap does not exceed threshold (no edge found)! Play determined by LineStatEns only. </v>
      </c>
    </row>
    <row r="144" spans="1:27" x14ac:dyDescent="0.2">
      <c r="A144">
        <v>822888</v>
      </c>
      <c r="B144" s="3">
        <f>VLOOKUP($A144,ScionOutput!$A$3:$BL$215,3,FALSE)</f>
        <v>46189</v>
      </c>
      <c r="C144">
        <f>VLOOKUP($A144,ScionOutput!$A$3:$BL$215,22,FALSE)</f>
        <v>28</v>
      </c>
      <c r="D144" t="str">
        <f>VLOOKUP($A144,ScionOutput!$A$3:$BL$215,23,FALSE)</f>
        <v>TEX</v>
      </c>
      <c r="E144">
        <f>VLOOKUP($A144,ScionOutput!$A$3:$BL$215,6,FALSE)</f>
        <v>15</v>
      </c>
      <c r="F144" t="str">
        <f>VLOOKUP($A144,ScionOutput!$A$3:$BL$215,7,FALSE)</f>
        <v>MIN</v>
      </c>
      <c r="G144">
        <f>VLOOKUP($A144,ScionOutput!$A$3:$BL$215,26,FALSE)</f>
        <v>-120</v>
      </c>
      <c r="H144">
        <f>VLOOKUP($A144,ScionOutput!$A$3:$BL$215,10,FALSE)</f>
        <v>111</v>
      </c>
      <c r="I144" s="4" t="str">
        <f>VLOOKUP($A144,ScionOutput!$A$3:$BL$215,45,FALSE)</f>
        <v>HomFave</v>
      </c>
      <c r="J144" s="4">
        <f>VLOOKUP($A144,ScionOutput!$A$3:$BL$215,46,FALSE)</f>
        <v>0</v>
      </c>
      <c r="K144" t="str">
        <f>VLOOKUP($A144,ScionOutput!$A$3:$BL$215,58,FALSE)</f>
        <v>No Play</v>
      </c>
      <c r="L144">
        <f>VLOOKUP($A144,ScionOutput!$A$3:$BL$215,59,FALSE)</f>
        <v>0</v>
      </c>
      <c r="M144">
        <f>VLOOKUP($A144,ScionOutput!$A$3:$BL$215,62,FALSE)</f>
        <v>0</v>
      </c>
      <c r="N144">
        <f>VLOOKUP($A144,ScionOutput!$A$3:$BL$215,63,FALSE)</f>
        <v>0</v>
      </c>
      <c r="O144" t="b">
        <f t="shared" si="17"/>
        <v>0</v>
      </c>
      <c r="P144">
        <f>VLOOKUP($A144,Outcomes!$B$3:$I$209,8,FALSE)</f>
        <v>14</v>
      </c>
      <c r="Q144">
        <f t="shared" si="18"/>
        <v>-1</v>
      </c>
      <c r="R144">
        <f>VLOOKUP($A144,Outcomes!$B$3:$I$209,5,FALSE)</f>
        <v>2</v>
      </c>
      <c r="S144">
        <f>VLOOKUP($A144,Outcomes!$B$3:$I$209,6,FALSE)</f>
        <v>12</v>
      </c>
      <c r="T144">
        <f>VLOOKUP($A144,Outcomes!$B$3:$I$209,7,FALSE)</f>
        <v>10</v>
      </c>
      <c r="U144" t="str">
        <f t="shared" si="19"/>
        <v>VisDog</v>
      </c>
      <c r="V144" s="5" t="str">
        <f t="shared" si="20"/>
        <v/>
      </c>
      <c r="W144" t="str">
        <f t="shared" si="16"/>
        <v/>
      </c>
      <c r="X144" t="str">
        <f t="shared" si="21"/>
        <v/>
      </c>
      <c r="Y144" t="str">
        <f t="shared" si="22"/>
        <v/>
      </c>
      <c r="Z144" s="2" t="str">
        <f t="shared" si="23"/>
        <v/>
      </c>
      <c r="AA144" t="str">
        <f>VLOOKUP($A144,ScionOutput!$A$3:$BL$215,64,FALSE)</f>
        <v xml:space="preserve">822888. LineStatEns probability points gap does not exceed threshold (no edge found)! StatOnlyEns probability points gap does not exceed threshold (no edge found)! No play due to strategy constraints. </v>
      </c>
    </row>
    <row r="145" spans="1:27" x14ac:dyDescent="0.2">
      <c r="A145">
        <v>824912</v>
      </c>
      <c r="B145" s="3">
        <f>VLOOKUP($A145,ScionOutput!$A$3:$BL$215,3,FALSE)</f>
        <v>46189</v>
      </c>
      <c r="C145">
        <f>VLOOKUP($A145,ScionOutput!$A$3:$BL$215,22,FALSE)</f>
        <v>0</v>
      </c>
      <c r="D145" t="str">
        <f>VLOOKUP($A145,ScionOutput!$A$3:$BL$215,23,FALSE)</f>
        <v>ATL</v>
      </c>
      <c r="E145">
        <f>VLOOKUP($A145,ScionOutput!$A$3:$BL$215,6,FALSE)</f>
        <v>25</v>
      </c>
      <c r="F145" t="str">
        <f>VLOOKUP($A145,ScionOutput!$A$3:$BL$215,7,FALSE)</f>
        <v>SF</v>
      </c>
      <c r="G145">
        <f>VLOOKUP($A145,ScionOutput!$A$3:$BL$215,26,FALSE)</f>
        <v>-169</v>
      </c>
      <c r="H145">
        <f>VLOOKUP($A145,ScionOutput!$A$3:$BL$215,10,FALSE)</f>
        <v>154</v>
      </c>
      <c r="I145" s="4" t="str">
        <f>VLOOKUP($A145,ScionOutput!$A$3:$BL$215,45,FALSE)</f>
        <v>HomFave</v>
      </c>
      <c r="J145" s="4">
        <f>VLOOKUP($A145,ScionOutput!$A$3:$BL$215,46,FALSE)</f>
        <v>0</v>
      </c>
      <c r="K145" t="str">
        <f>VLOOKUP($A145,ScionOutput!$A$3:$BL$215,58,FALSE)</f>
        <v>No Play</v>
      </c>
      <c r="L145">
        <f>VLOOKUP($A145,ScionOutput!$A$3:$BL$215,59,FALSE)</f>
        <v>0</v>
      </c>
      <c r="M145">
        <f>VLOOKUP($A145,ScionOutput!$A$3:$BL$215,62,FALSE)</f>
        <v>0</v>
      </c>
      <c r="N145">
        <f>VLOOKUP($A145,ScionOutput!$A$3:$BL$215,63,FALSE)</f>
        <v>0</v>
      </c>
      <c r="O145" t="b">
        <f t="shared" si="17"/>
        <v>0</v>
      </c>
      <c r="P145">
        <f>VLOOKUP($A145,Outcomes!$B$3:$I$209,8,FALSE)</f>
        <v>9</v>
      </c>
      <c r="Q145">
        <f t="shared" si="18"/>
        <v>-1</v>
      </c>
      <c r="R145">
        <f>VLOOKUP($A145,Outcomes!$B$3:$I$209,5,FALSE)</f>
        <v>2</v>
      </c>
      <c r="S145">
        <f>VLOOKUP($A145,Outcomes!$B$3:$I$209,6,FALSE)</f>
        <v>7</v>
      </c>
      <c r="T145">
        <f>VLOOKUP($A145,Outcomes!$B$3:$I$209,7,FALSE)</f>
        <v>5</v>
      </c>
      <c r="U145" t="str">
        <f t="shared" si="19"/>
        <v>VisDog</v>
      </c>
      <c r="V145" s="5" t="str">
        <f t="shared" si="20"/>
        <v/>
      </c>
      <c r="W145" t="str">
        <f t="shared" si="16"/>
        <v/>
      </c>
      <c r="X145" t="str">
        <f t="shared" si="21"/>
        <v/>
      </c>
      <c r="Y145" t="str">
        <f t="shared" si="22"/>
        <v/>
      </c>
      <c r="Z145" s="2" t="str">
        <f t="shared" si="23"/>
        <v/>
      </c>
      <c r="AA145" t="str">
        <f>VLOOKUP($A145,ScionOutput!$A$3:$BL$215,64,FALSE)</f>
        <v xml:space="preserve">824912. LineStatEns is NoPlay as bookie-line outside range. StatOnlyEns is NoPlay as bookie-line outside range. No play due to strategy constraints. </v>
      </c>
    </row>
    <row r="146" spans="1:27" x14ac:dyDescent="0.2">
      <c r="A146">
        <v>824913</v>
      </c>
      <c r="B146" s="3">
        <f>VLOOKUP($A146,ScionOutput!$A$3:$BL$215,3,FALSE)</f>
        <v>46190</v>
      </c>
      <c r="C146">
        <f>VLOOKUP($A146,ScionOutput!$A$3:$BL$215,22,FALSE)</f>
        <v>0</v>
      </c>
      <c r="D146" t="str">
        <f>VLOOKUP($A146,ScionOutput!$A$3:$BL$215,23,FALSE)</f>
        <v>ATL</v>
      </c>
      <c r="E146">
        <f>VLOOKUP($A146,ScionOutput!$A$3:$BL$215,6,FALSE)</f>
        <v>25</v>
      </c>
      <c r="F146" t="str">
        <f>VLOOKUP($A146,ScionOutput!$A$3:$BL$215,7,FALSE)</f>
        <v>SF</v>
      </c>
      <c r="G146">
        <f>VLOOKUP($A146,ScionOutput!$A$3:$BL$215,26,FALSE)</f>
        <v>-137</v>
      </c>
      <c r="H146">
        <f>VLOOKUP($A146,ScionOutput!$A$3:$BL$215,10,FALSE)</f>
        <v>124</v>
      </c>
      <c r="I146" s="4" t="str">
        <f>VLOOKUP($A146,ScionOutput!$A$3:$BL$215,45,FALSE)</f>
        <v>HomFave</v>
      </c>
      <c r="J146" s="4">
        <f>VLOOKUP($A146,ScionOutput!$A$3:$BL$215,46,FALSE)</f>
        <v>1</v>
      </c>
      <c r="K146" t="str">
        <f>VLOOKUP($A146,ScionOutput!$A$3:$BL$215,58,FALSE)</f>
        <v>HomFave</v>
      </c>
      <c r="L146">
        <f>VLOOKUP($A146,ScionOutput!$A$3:$BL$215,59,FALSE)</f>
        <v>1.576E-2</v>
      </c>
      <c r="M146">
        <f>VLOOKUP($A146,ScionOutput!$A$3:$BL$215,62,FALSE)</f>
        <v>3</v>
      </c>
      <c r="N146">
        <f>VLOOKUP($A146,ScionOutput!$A$3:$BL$215,63,FALSE)</f>
        <v>1</v>
      </c>
      <c r="O146" t="b">
        <f t="shared" si="17"/>
        <v>0</v>
      </c>
      <c r="P146">
        <f>VLOOKUP($A146,Outcomes!$B$3:$I$209,8,FALSE)</f>
        <v>12</v>
      </c>
      <c r="Q146">
        <f t="shared" si="18"/>
        <v>-1</v>
      </c>
      <c r="R146">
        <f>VLOOKUP($A146,Outcomes!$B$3:$I$209,5,FALSE)</f>
        <v>5</v>
      </c>
      <c r="S146">
        <f>VLOOKUP($A146,Outcomes!$B$3:$I$209,6,FALSE)</f>
        <v>7</v>
      </c>
      <c r="T146">
        <f>VLOOKUP($A146,Outcomes!$B$3:$I$209,7,FALSE)</f>
        <v>2</v>
      </c>
      <c r="U146" t="str">
        <f t="shared" si="19"/>
        <v>VisDog</v>
      </c>
      <c r="V146" s="5">
        <f t="shared" si="20"/>
        <v>0</v>
      </c>
      <c r="W146">
        <f t="shared" si="16"/>
        <v>137</v>
      </c>
      <c r="X146">
        <f t="shared" si="21"/>
        <v>0</v>
      </c>
      <c r="Y146">
        <f t="shared" si="22"/>
        <v>-137</v>
      </c>
      <c r="Z146" s="2">
        <f t="shared" si="23"/>
        <v>-1</v>
      </c>
      <c r="AA146" t="str">
        <f>VLOOKUP($A146,ScionOutput!$A$3:$BL$215,64,FALSE)</f>
        <v xml:space="preserve">824913. StatOnlyEns probability points gap does not exceed threshold (no edge found)! Play determined by LineStatEns only. </v>
      </c>
    </row>
    <row r="147" spans="1:27" x14ac:dyDescent="0.2">
      <c r="A147">
        <v>825072</v>
      </c>
      <c r="B147" s="3">
        <f>VLOOKUP($A147,ScionOutput!$A$3:$BL$215,3,FALSE)</f>
        <v>46190</v>
      </c>
      <c r="C147">
        <f>VLOOKUP($A147,ScionOutput!$A$3:$BL$215,22,FALSE)</f>
        <v>1</v>
      </c>
      <c r="D147" t="str">
        <f>VLOOKUP($A147,ScionOutput!$A$3:$BL$215,23,FALSE)</f>
        <v>ARZ</v>
      </c>
      <c r="E147">
        <f>VLOOKUP($A147,ScionOutput!$A$3:$BL$215,6,FALSE)</f>
        <v>4</v>
      </c>
      <c r="F147" t="str">
        <f>VLOOKUP($A147,ScionOutput!$A$3:$BL$215,7,FALSE)</f>
        <v>LAA</v>
      </c>
      <c r="G147">
        <f>VLOOKUP($A147,ScionOutput!$A$3:$BL$215,26,FALSE)</f>
        <v>-163</v>
      </c>
      <c r="H147">
        <f>VLOOKUP($A147,ScionOutput!$A$3:$BL$215,10,FALSE)</f>
        <v>146</v>
      </c>
      <c r="I147" s="4" t="str">
        <f>VLOOKUP($A147,ScionOutput!$A$3:$BL$215,45,FALSE)</f>
        <v>HomFave</v>
      </c>
      <c r="J147" s="4">
        <f>VLOOKUP($A147,ScionOutput!$A$3:$BL$215,46,FALSE)</f>
        <v>0</v>
      </c>
      <c r="K147" t="str">
        <f>VLOOKUP($A147,ScionOutput!$A$3:$BL$215,58,FALSE)</f>
        <v>No Play</v>
      </c>
      <c r="L147">
        <f>VLOOKUP($A147,ScionOutput!$A$3:$BL$215,59,FALSE)</f>
        <v>0</v>
      </c>
      <c r="M147">
        <f>VLOOKUP($A147,ScionOutput!$A$3:$BL$215,62,FALSE)</f>
        <v>0</v>
      </c>
      <c r="N147">
        <f>VLOOKUP($A147,ScionOutput!$A$3:$BL$215,63,FALSE)</f>
        <v>0</v>
      </c>
      <c r="O147" t="b">
        <f t="shared" si="17"/>
        <v>0</v>
      </c>
      <c r="P147">
        <f>VLOOKUP($A147,Outcomes!$B$3:$I$209,8,FALSE)</f>
        <v>9</v>
      </c>
      <c r="Q147">
        <f t="shared" si="18"/>
        <v>1</v>
      </c>
      <c r="R147">
        <f>VLOOKUP($A147,Outcomes!$B$3:$I$209,5,FALSE)</f>
        <v>8</v>
      </c>
      <c r="S147">
        <f>VLOOKUP($A147,Outcomes!$B$3:$I$209,6,FALSE)</f>
        <v>1</v>
      </c>
      <c r="T147">
        <f>VLOOKUP($A147,Outcomes!$B$3:$I$209,7,FALSE)</f>
        <v>-7</v>
      </c>
      <c r="U147" t="str">
        <f t="shared" si="19"/>
        <v>HomFave</v>
      </c>
      <c r="V147" s="5" t="str">
        <f t="shared" si="20"/>
        <v/>
      </c>
      <c r="W147" t="str">
        <f t="shared" si="16"/>
        <v/>
      </c>
      <c r="X147" t="str">
        <f t="shared" si="21"/>
        <v/>
      </c>
      <c r="Y147" t="str">
        <f t="shared" si="22"/>
        <v/>
      </c>
      <c r="Z147" s="2" t="str">
        <f t="shared" si="23"/>
        <v/>
      </c>
      <c r="AA147" t="str">
        <f>VLOOKUP($A147,ScionOutput!$A$3:$BL$215,64,FALSE)</f>
        <v xml:space="preserve">825072. LineStatEns is NoPlay as bookie-line outside range. StatOnlyEns is NoPlay as bookie-line outside range. No play due to strategy constraints. </v>
      </c>
    </row>
    <row r="148" spans="1:27" x14ac:dyDescent="0.2">
      <c r="A148">
        <v>824746</v>
      </c>
      <c r="B148" s="3">
        <f>VLOOKUP($A148,ScionOutput!$A$3:$BL$215,3,FALSE)</f>
        <v>46190</v>
      </c>
      <c r="C148">
        <f>VLOOKUP($A148,ScionOutput!$A$3:$BL$215,22,FALSE)</f>
        <v>3</v>
      </c>
      <c r="D148" t="str">
        <f>VLOOKUP($A148,ScionOutput!$A$3:$BL$215,23,FALSE)</f>
        <v>BOS</v>
      </c>
      <c r="E148">
        <f>VLOOKUP($A148,ScionOutput!$A$3:$BL$215,6,FALSE)</f>
        <v>29</v>
      </c>
      <c r="F148" t="str">
        <f>VLOOKUP($A148,ScionOutput!$A$3:$BL$215,7,FALSE)</f>
        <v>TOR</v>
      </c>
      <c r="G148">
        <f>VLOOKUP($A148,ScionOutput!$A$3:$BL$215,26,FALSE)</f>
        <v>-124</v>
      </c>
      <c r="H148">
        <f>VLOOKUP($A148,ScionOutput!$A$3:$BL$215,10,FALSE)</f>
        <v>112</v>
      </c>
      <c r="I148" s="4" t="str">
        <f>VLOOKUP($A148,ScionOutput!$A$3:$BL$215,45,FALSE)</f>
        <v>HomFave</v>
      </c>
      <c r="J148" s="4">
        <f>VLOOKUP($A148,ScionOutput!$A$3:$BL$215,46,FALSE)</f>
        <v>0</v>
      </c>
      <c r="K148" t="str">
        <f>VLOOKUP($A148,ScionOutput!$A$3:$BL$215,58,FALSE)</f>
        <v>No Play</v>
      </c>
      <c r="L148">
        <f>VLOOKUP($A148,ScionOutput!$A$3:$BL$215,59,FALSE)</f>
        <v>0</v>
      </c>
      <c r="M148">
        <f>VLOOKUP($A148,ScionOutput!$A$3:$BL$215,62,FALSE)</f>
        <v>0</v>
      </c>
      <c r="N148">
        <f>VLOOKUP($A148,ScionOutput!$A$3:$BL$215,63,FALSE)</f>
        <v>0</v>
      </c>
      <c r="O148" t="b">
        <f t="shared" si="17"/>
        <v>0</v>
      </c>
      <c r="P148">
        <f>VLOOKUP($A148,Outcomes!$B$3:$I$209,8,FALSE)</f>
        <v>3</v>
      </c>
      <c r="Q148">
        <f t="shared" si="18"/>
        <v>-1</v>
      </c>
      <c r="R148">
        <f>VLOOKUP($A148,Outcomes!$B$3:$I$209,5,FALSE)</f>
        <v>0</v>
      </c>
      <c r="S148">
        <f>VLOOKUP($A148,Outcomes!$B$3:$I$209,6,FALSE)</f>
        <v>3</v>
      </c>
      <c r="T148">
        <f>VLOOKUP($A148,Outcomes!$B$3:$I$209,7,FALSE)</f>
        <v>3</v>
      </c>
      <c r="U148" t="str">
        <f t="shared" si="19"/>
        <v>VisDog</v>
      </c>
      <c r="V148" s="5" t="str">
        <f t="shared" si="20"/>
        <v/>
      </c>
      <c r="W148" t="str">
        <f t="shared" si="16"/>
        <v/>
      </c>
      <c r="X148" t="str">
        <f t="shared" si="21"/>
        <v/>
      </c>
      <c r="Y148" t="str">
        <f t="shared" si="22"/>
        <v/>
      </c>
      <c r="Z148" s="2" t="str">
        <f t="shared" si="23"/>
        <v/>
      </c>
      <c r="AA148" t="str">
        <f>VLOOKUP($A148,ScionOutput!$A$3:$BL$215,64,FALSE)</f>
        <v xml:space="preserve">824746. LineStatEns probability points gap does not exceed threshold (no edge found)! No play due to strategy constraints. </v>
      </c>
    </row>
    <row r="149" spans="1:27" x14ac:dyDescent="0.2">
      <c r="A149">
        <v>824668</v>
      </c>
      <c r="B149" s="3">
        <f>VLOOKUP($A149,ScionOutput!$A$3:$BL$215,3,FALSE)</f>
        <v>46190</v>
      </c>
      <c r="C149">
        <f>VLOOKUP($A149,ScionOutput!$A$3:$BL$215,22,FALSE)</f>
        <v>5</v>
      </c>
      <c r="D149" t="str">
        <f>VLOOKUP($A149,ScionOutput!$A$3:$BL$215,23,FALSE)</f>
        <v>CHC</v>
      </c>
      <c r="E149">
        <f>VLOOKUP($A149,ScionOutput!$A$3:$BL$215,6,FALSE)</f>
        <v>8</v>
      </c>
      <c r="F149" t="str">
        <f>VLOOKUP($A149,ScionOutput!$A$3:$BL$215,7,FALSE)</f>
        <v>COL</v>
      </c>
      <c r="G149">
        <f>VLOOKUP($A149,ScionOutput!$A$3:$BL$215,26,FALSE)</f>
        <v>-180</v>
      </c>
      <c r="H149">
        <f>VLOOKUP($A149,ScionOutput!$A$3:$BL$215,10,FALSE)</f>
        <v>161</v>
      </c>
      <c r="I149" s="4" t="str">
        <f>VLOOKUP($A149,ScionOutput!$A$3:$BL$215,45,FALSE)</f>
        <v>HomFave</v>
      </c>
      <c r="J149" s="4">
        <f>VLOOKUP($A149,ScionOutput!$A$3:$BL$215,46,FALSE)</f>
        <v>0</v>
      </c>
      <c r="K149" t="str">
        <f>VLOOKUP($A149,ScionOutput!$A$3:$BL$215,58,FALSE)</f>
        <v>No Play</v>
      </c>
      <c r="L149">
        <f>VLOOKUP($A149,ScionOutput!$A$3:$BL$215,59,FALSE)</f>
        <v>0</v>
      </c>
      <c r="M149">
        <f>VLOOKUP($A149,ScionOutput!$A$3:$BL$215,62,FALSE)</f>
        <v>0</v>
      </c>
      <c r="N149">
        <f>VLOOKUP($A149,ScionOutput!$A$3:$BL$215,63,FALSE)</f>
        <v>0</v>
      </c>
      <c r="O149" t="b">
        <f t="shared" si="17"/>
        <v>0</v>
      </c>
      <c r="P149">
        <f>VLOOKUP($A149,Outcomes!$B$3:$I$209,8,FALSE)</f>
        <v>14</v>
      </c>
      <c r="Q149">
        <f t="shared" si="18"/>
        <v>1</v>
      </c>
      <c r="R149">
        <f>VLOOKUP($A149,Outcomes!$B$3:$I$209,5,FALSE)</f>
        <v>8</v>
      </c>
      <c r="S149">
        <f>VLOOKUP($A149,Outcomes!$B$3:$I$209,6,FALSE)</f>
        <v>6</v>
      </c>
      <c r="T149">
        <f>VLOOKUP($A149,Outcomes!$B$3:$I$209,7,FALSE)</f>
        <v>-2</v>
      </c>
      <c r="U149" t="str">
        <f t="shared" si="19"/>
        <v>HomFave</v>
      </c>
      <c r="V149" s="5" t="str">
        <f t="shared" si="20"/>
        <v/>
      </c>
      <c r="W149" t="str">
        <f t="shared" si="16"/>
        <v/>
      </c>
      <c r="X149" t="str">
        <f t="shared" si="21"/>
        <v/>
      </c>
      <c r="Y149" t="str">
        <f t="shared" si="22"/>
        <v/>
      </c>
      <c r="Z149" s="2" t="str">
        <f t="shared" si="23"/>
        <v/>
      </c>
      <c r="AA149" t="str">
        <f>VLOOKUP($A149,ScionOutput!$A$3:$BL$215,64,FALSE)</f>
        <v xml:space="preserve">824668. LineStatEns is NoPlay as bookie-line outside range. StatOnlyEns is NoPlay as bookie-line outside range. No play due to strategy constraints. </v>
      </c>
    </row>
    <row r="150" spans="1:27" x14ac:dyDescent="0.2">
      <c r="A150">
        <v>824503</v>
      </c>
      <c r="B150" s="3">
        <f>VLOOKUP($A150,ScionOutput!$A$3:$BL$215,3,FALSE)</f>
        <v>46190</v>
      </c>
      <c r="C150">
        <f>VLOOKUP($A150,ScionOutput!$A$3:$BL$215,22,FALSE)</f>
        <v>6</v>
      </c>
      <c r="D150" t="str">
        <f>VLOOKUP($A150,ScionOutput!$A$3:$BL$215,23,FALSE)</f>
        <v>CIN</v>
      </c>
      <c r="E150">
        <f>VLOOKUP($A150,ScionOutput!$A$3:$BL$215,6,FALSE)</f>
        <v>18</v>
      </c>
      <c r="F150" t="str">
        <f>VLOOKUP($A150,ScionOutput!$A$3:$BL$215,7,FALSE)</f>
        <v>NYM</v>
      </c>
      <c r="G150">
        <f>VLOOKUP($A150,ScionOutput!$A$3:$BL$215,26,FALSE)</f>
        <v>113</v>
      </c>
      <c r="H150">
        <f>VLOOKUP($A150,ScionOutput!$A$3:$BL$215,10,FALSE)</f>
        <v>-125</v>
      </c>
      <c r="I150" s="4" t="str">
        <f>VLOOKUP($A150,ScionOutput!$A$3:$BL$215,45,FALSE)</f>
        <v>VisFave</v>
      </c>
      <c r="J150" s="4">
        <f>VLOOKUP($A150,ScionOutput!$A$3:$BL$215,46,FALSE)</f>
        <v>0</v>
      </c>
      <c r="K150" t="str">
        <f>VLOOKUP($A150,ScionOutput!$A$3:$BL$215,58,FALSE)</f>
        <v>No Play</v>
      </c>
      <c r="L150">
        <f>VLOOKUP($A150,ScionOutput!$A$3:$BL$215,59,FALSE)</f>
        <v>0</v>
      </c>
      <c r="M150">
        <f>VLOOKUP($A150,ScionOutput!$A$3:$BL$215,62,FALSE)</f>
        <v>0</v>
      </c>
      <c r="N150">
        <f>VLOOKUP($A150,ScionOutput!$A$3:$BL$215,63,FALSE)</f>
        <v>0</v>
      </c>
      <c r="O150" t="b">
        <f t="shared" si="17"/>
        <v>0</v>
      </c>
      <c r="P150">
        <f>VLOOKUP($A150,Outcomes!$B$3:$I$209,8,FALSE)</f>
        <v>10</v>
      </c>
      <c r="Q150">
        <f t="shared" si="18"/>
        <v>-1</v>
      </c>
      <c r="R150">
        <f>VLOOKUP($A150,Outcomes!$B$3:$I$209,5,FALSE)</f>
        <v>1</v>
      </c>
      <c r="S150">
        <f>VLOOKUP($A150,Outcomes!$B$3:$I$209,6,FALSE)</f>
        <v>9</v>
      </c>
      <c r="T150">
        <f>VLOOKUP($A150,Outcomes!$B$3:$I$209,7,FALSE)</f>
        <v>8</v>
      </c>
      <c r="U150" t="str">
        <f t="shared" si="19"/>
        <v>VisFave</v>
      </c>
      <c r="V150" s="5" t="str">
        <f t="shared" si="20"/>
        <v/>
      </c>
      <c r="W150" t="str">
        <f t="shared" si="16"/>
        <v/>
      </c>
      <c r="X150" t="str">
        <f t="shared" si="21"/>
        <v/>
      </c>
      <c r="Y150" t="str">
        <f t="shared" si="22"/>
        <v/>
      </c>
      <c r="Z150" s="2" t="str">
        <f t="shared" si="23"/>
        <v/>
      </c>
      <c r="AA150" t="str">
        <f>VLOOKUP($A150,ScionOutput!$A$3:$BL$215,64,FALSE)</f>
        <v xml:space="preserve">824503. VF plays are disallowed. No play due to strategy constraints. </v>
      </c>
    </row>
    <row r="151" spans="1:27" x14ac:dyDescent="0.2">
      <c r="A151">
        <v>824178</v>
      </c>
      <c r="B151" s="3">
        <f>VLOOKUP($A151,ScionOutput!$A$3:$BL$215,3,FALSE)</f>
        <v>46190</v>
      </c>
      <c r="C151">
        <f>VLOOKUP($A151,ScionOutput!$A$3:$BL$215,22,FALSE)</f>
        <v>12</v>
      </c>
      <c r="D151" t="str">
        <f>VLOOKUP($A151,ScionOutput!$A$3:$BL$215,23,FALSE)</f>
        <v>HOU</v>
      </c>
      <c r="E151">
        <f>VLOOKUP($A151,ScionOutput!$A$3:$BL$215,6,FALSE)</f>
        <v>10</v>
      </c>
      <c r="F151" t="str">
        <f>VLOOKUP($A151,ScionOutput!$A$3:$BL$215,7,FALSE)</f>
        <v>DET</v>
      </c>
      <c r="G151">
        <f>VLOOKUP($A151,ScionOutput!$A$3:$BL$215,26,FALSE)</f>
        <v>-103</v>
      </c>
      <c r="H151">
        <f>VLOOKUP($A151,ScionOutput!$A$3:$BL$215,10,FALSE)</f>
        <v>-107</v>
      </c>
      <c r="I151" s="4" t="str">
        <f>VLOOKUP($A151,ScionOutput!$A$3:$BL$215,45,FALSE)</f>
        <v>VisFave</v>
      </c>
      <c r="J151" s="4">
        <f>VLOOKUP($A151,ScionOutput!$A$3:$BL$215,46,FALSE)</f>
        <v>0</v>
      </c>
      <c r="K151" t="str">
        <f>VLOOKUP($A151,ScionOutput!$A$3:$BL$215,58,FALSE)</f>
        <v>No Play</v>
      </c>
      <c r="L151">
        <f>VLOOKUP($A151,ScionOutput!$A$3:$BL$215,59,FALSE)</f>
        <v>0</v>
      </c>
      <c r="M151">
        <f>VLOOKUP($A151,ScionOutput!$A$3:$BL$215,62,FALSE)</f>
        <v>0</v>
      </c>
      <c r="N151">
        <f>VLOOKUP($A151,ScionOutput!$A$3:$BL$215,63,FALSE)</f>
        <v>0</v>
      </c>
      <c r="O151" t="b">
        <f t="shared" si="17"/>
        <v>0</v>
      </c>
      <c r="P151">
        <f>VLOOKUP($A151,Outcomes!$B$3:$I$209,8,FALSE)</f>
        <v>6</v>
      </c>
      <c r="Q151">
        <f t="shared" si="18"/>
        <v>1</v>
      </c>
      <c r="R151">
        <f>VLOOKUP($A151,Outcomes!$B$3:$I$209,5,FALSE)</f>
        <v>4</v>
      </c>
      <c r="S151">
        <f>VLOOKUP($A151,Outcomes!$B$3:$I$209,6,FALSE)</f>
        <v>2</v>
      </c>
      <c r="T151">
        <f>VLOOKUP($A151,Outcomes!$B$3:$I$209,7,FALSE)</f>
        <v>-2</v>
      </c>
      <c r="U151" t="str">
        <f t="shared" si="19"/>
        <v>HomDog</v>
      </c>
      <c r="V151" s="5" t="str">
        <f t="shared" si="20"/>
        <v/>
      </c>
      <c r="W151" t="str">
        <f t="shared" si="16"/>
        <v/>
      </c>
      <c r="X151" t="str">
        <f t="shared" si="21"/>
        <v/>
      </c>
      <c r="Y151" t="str">
        <f t="shared" si="22"/>
        <v/>
      </c>
      <c r="Z151" s="2" t="str">
        <f t="shared" si="23"/>
        <v/>
      </c>
      <c r="AA151" t="str">
        <f>VLOOKUP($A151,ScionOutput!$A$3:$BL$215,64,FALSE)</f>
        <v xml:space="preserve">824178. VF plays are disallowed. No play due to strategy constraints. </v>
      </c>
    </row>
    <row r="152" spans="1:27" x14ac:dyDescent="0.2">
      <c r="A152">
        <v>823940</v>
      </c>
      <c r="B152" s="3">
        <f>VLOOKUP($A152,ScionOutput!$A$3:$BL$215,3,FALSE)</f>
        <v>46190</v>
      </c>
      <c r="C152">
        <f>VLOOKUP($A152,ScionOutput!$A$3:$BL$215,22,FALSE)</f>
        <v>14</v>
      </c>
      <c r="D152" t="str">
        <f>VLOOKUP($A152,ScionOutput!$A$3:$BL$215,23,FALSE)</f>
        <v>LA</v>
      </c>
      <c r="E152">
        <f>VLOOKUP($A152,ScionOutput!$A$3:$BL$215,6,FALSE)</f>
        <v>27</v>
      </c>
      <c r="F152" t="str">
        <f>VLOOKUP($A152,ScionOutput!$A$3:$BL$215,7,FALSE)</f>
        <v>TB</v>
      </c>
      <c r="G152">
        <f>VLOOKUP($A152,ScionOutput!$A$3:$BL$215,26,FALSE)</f>
        <v>-181</v>
      </c>
      <c r="H152">
        <f>VLOOKUP($A152,ScionOutput!$A$3:$BL$215,10,FALSE)</f>
        <v>162</v>
      </c>
      <c r="I152" s="4" t="str">
        <f>VLOOKUP($A152,ScionOutput!$A$3:$BL$215,45,FALSE)</f>
        <v>HomFave</v>
      </c>
      <c r="J152" s="4">
        <f>VLOOKUP($A152,ScionOutput!$A$3:$BL$215,46,FALSE)</f>
        <v>0</v>
      </c>
      <c r="K152" t="str">
        <f>VLOOKUP($A152,ScionOutput!$A$3:$BL$215,58,FALSE)</f>
        <v>No Play</v>
      </c>
      <c r="L152">
        <f>VLOOKUP($A152,ScionOutput!$A$3:$BL$215,59,FALSE)</f>
        <v>0</v>
      </c>
      <c r="M152">
        <f>VLOOKUP($A152,ScionOutput!$A$3:$BL$215,62,FALSE)</f>
        <v>0</v>
      </c>
      <c r="N152">
        <f>VLOOKUP($A152,ScionOutput!$A$3:$BL$215,63,FALSE)</f>
        <v>0</v>
      </c>
      <c r="O152" t="b">
        <f t="shared" si="17"/>
        <v>0</v>
      </c>
      <c r="P152">
        <f>VLOOKUP($A152,Outcomes!$B$3:$I$209,8,FALSE)</f>
        <v>9</v>
      </c>
      <c r="Q152">
        <f t="shared" si="18"/>
        <v>1</v>
      </c>
      <c r="R152">
        <f>VLOOKUP($A152,Outcomes!$B$3:$I$209,5,FALSE)</f>
        <v>5</v>
      </c>
      <c r="S152">
        <f>VLOOKUP($A152,Outcomes!$B$3:$I$209,6,FALSE)</f>
        <v>4</v>
      </c>
      <c r="T152">
        <f>VLOOKUP($A152,Outcomes!$B$3:$I$209,7,FALSE)</f>
        <v>-1</v>
      </c>
      <c r="U152" t="str">
        <f t="shared" si="19"/>
        <v>HomFave</v>
      </c>
      <c r="V152" s="5" t="str">
        <f t="shared" si="20"/>
        <v/>
      </c>
      <c r="W152" t="str">
        <f t="shared" si="16"/>
        <v/>
      </c>
      <c r="X152" t="str">
        <f t="shared" si="21"/>
        <v/>
      </c>
      <c r="Y152" t="str">
        <f t="shared" si="22"/>
        <v/>
      </c>
      <c r="Z152" s="2" t="str">
        <f t="shared" si="23"/>
        <v/>
      </c>
      <c r="AA152" t="str">
        <f>VLOOKUP($A152,ScionOutput!$A$3:$BL$215,64,FALSE)</f>
        <v xml:space="preserve">823940. LineStatEns is NoPlay as bookie-line outside range. StatOnlyEns is NoPlay as bookie-line outside range. No play due to strategy constraints. </v>
      </c>
    </row>
    <row r="153" spans="1:27" x14ac:dyDescent="0.2">
      <c r="A153">
        <v>822721</v>
      </c>
      <c r="B153" s="3">
        <f>VLOOKUP($A153,ScionOutput!$A$3:$BL$215,3,FALSE)</f>
        <v>46190</v>
      </c>
      <c r="C153">
        <f>VLOOKUP($A153,ScionOutput!$A$3:$BL$215,22,FALSE)</f>
        <v>16</v>
      </c>
      <c r="D153" t="str">
        <f>VLOOKUP($A153,ScionOutput!$A$3:$BL$215,23,FALSE)</f>
        <v>WAS</v>
      </c>
      <c r="E153">
        <f>VLOOKUP($A153,ScionOutput!$A$3:$BL$215,6,FALSE)</f>
        <v>13</v>
      </c>
      <c r="F153" t="str">
        <f>VLOOKUP($A153,ScionOutput!$A$3:$BL$215,7,FALSE)</f>
        <v>KC</v>
      </c>
      <c r="G153">
        <f>VLOOKUP($A153,ScionOutput!$A$3:$BL$215,26,FALSE)</f>
        <v>-125</v>
      </c>
      <c r="H153">
        <f>VLOOKUP($A153,ScionOutput!$A$3:$BL$215,10,FALSE)</f>
        <v>113</v>
      </c>
      <c r="I153" s="4" t="str">
        <f>VLOOKUP($A153,ScionOutput!$A$3:$BL$215,45,FALSE)</f>
        <v>HomFave</v>
      </c>
      <c r="J153" s="4">
        <f>VLOOKUP($A153,ScionOutput!$A$3:$BL$215,46,FALSE)</f>
        <v>0</v>
      </c>
      <c r="K153" t="str">
        <f>VLOOKUP($A153,ScionOutput!$A$3:$BL$215,58,FALSE)</f>
        <v>No Play</v>
      </c>
      <c r="L153">
        <f>VLOOKUP($A153,ScionOutput!$A$3:$BL$215,59,FALSE)</f>
        <v>0</v>
      </c>
      <c r="M153">
        <f>VLOOKUP($A153,ScionOutput!$A$3:$BL$215,62,FALSE)</f>
        <v>0</v>
      </c>
      <c r="N153">
        <f>VLOOKUP($A153,ScionOutput!$A$3:$BL$215,63,FALSE)</f>
        <v>0</v>
      </c>
      <c r="O153" t="b">
        <f t="shared" si="17"/>
        <v>0</v>
      </c>
      <c r="P153">
        <f>VLOOKUP($A153,Outcomes!$B$3:$I$209,8,FALSE)</f>
        <v>8</v>
      </c>
      <c r="Q153">
        <f t="shared" si="18"/>
        <v>-1</v>
      </c>
      <c r="R153">
        <f>VLOOKUP($A153,Outcomes!$B$3:$I$209,5,FALSE)</f>
        <v>2</v>
      </c>
      <c r="S153">
        <f>VLOOKUP($A153,Outcomes!$B$3:$I$209,6,FALSE)</f>
        <v>6</v>
      </c>
      <c r="T153">
        <f>VLOOKUP($A153,Outcomes!$B$3:$I$209,7,FALSE)</f>
        <v>4</v>
      </c>
      <c r="U153" t="str">
        <f t="shared" si="19"/>
        <v>VisDog</v>
      </c>
      <c r="V153" s="5" t="str">
        <f t="shared" si="20"/>
        <v/>
      </c>
      <c r="W153" t="str">
        <f t="shared" si="16"/>
        <v/>
      </c>
      <c r="X153" t="str">
        <f t="shared" si="21"/>
        <v/>
      </c>
      <c r="Y153" t="str">
        <f t="shared" si="22"/>
        <v/>
      </c>
      <c r="Z153" s="2" t="str">
        <f t="shared" si="23"/>
        <v/>
      </c>
      <c r="AA153" t="str">
        <f>VLOOKUP($A153,ScionOutput!$A$3:$BL$215,64,FALSE)</f>
        <v xml:space="preserve">822721. LineStatEns probability points gap does not exceed threshold (no edge found)! StatOnlyEns probability points gap does not exceed threshold (no edge found)! No play due to strategy constraints. </v>
      </c>
    </row>
    <row r="154" spans="1:27" x14ac:dyDescent="0.2">
      <c r="A154">
        <v>823774</v>
      </c>
      <c r="B154" s="3">
        <f>VLOOKUP($A154,ScionOutput!$A$3:$BL$215,3,FALSE)</f>
        <v>46190</v>
      </c>
      <c r="C154">
        <f>VLOOKUP($A154,ScionOutput!$A$3:$BL$215,22,FALSE)</f>
        <v>17</v>
      </c>
      <c r="D154" t="str">
        <f>VLOOKUP($A154,ScionOutput!$A$3:$BL$215,23,FALSE)</f>
        <v>MLW</v>
      </c>
      <c r="E154">
        <f>VLOOKUP($A154,ScionOutput!$A$3:$BL$215,6,FALSE)</f>
        <v>7</v>
      </c>
      <c r="F154" t="str">
        <f>VLOOKUP($A154,ScionOutput!$A$3:$BL$215,7,FALSE)</f>
        <v>CLE</v>
      </c>
      <c r="G154">
        <f>VLOOKUP($A154,ScionOutput!$A$3:$BL$215,26,FALSE)</f>
        <v>-118</v>
      </c>
      <c r="H154">
        <f>VLOOKUP($A154,ScionOutput!$A$3:$BL$215,10,FALSE)</f>
        <v>107</v>
      </c>
      <c r="I154" s="4" t="str">
        <f>VLOOKUP($A154,ScionOutput!$A$3:$BL$215,45,FALSE)</f>
        <v>HomFave</v>
      </c>
      <c r="J154" s="4">
        <f>VLOOKUP($A154,ScionOutput!$A$3:$BL$215,46,FALSE)</f>
        <v>0</v>
      </c>
      <c r="K154" t="str">
        <f>VLOOKUP($A154,ScionOutput!$A$3:$BL$215,58,FALSE)</f>
        <v>No Play</v>
      </c>
      <c r="L154">
        <f>VLOOKUP($A154,ScionOutput!$A$3:$BL$215,59,FALSE)</f>
        <v>0</v>
      </c>
      <c r="M154">
        <f>VLOOKUP($A154,ScionOutput!$A$3:$BL$215,62,FALSE)</f>
        <v>0</v>
      </c>
      <c r="N154">
        <f>VLOOKUP($A154,ScionOutput!$A$3:$BL$215,63,FALSE)</f>
        <v>0</v>
      </c>
      <c r="O154" t="b">
        <f t="shared" si="17"/>
        <v>0</v>
      </c>
      <c r="P154">
        <f>VLOOKUP($A154,Outcomes!$B$3:$I$209,8,FALSE)</f>
        <v>13</v>
      </c>
      <c r="Q154">
        <f t="shared" si="18"/>
        <v>1</v>
      </c>
      <c r="R154">
        <f>VLOOKUP($A154,Outcomes!$B$3:$I$209,5,FALSE)</f>
        <v>9</v>
      </c>
      <c r="S154">
        <f>VLOOKUP($A154,Outcomes!$B$3:$I$209,6,FALSE)</f>
        <v>4</v>
      </c>
      <c r="T154">
        <f>VLOOKUP($A154,Outcomes!$B$3:$I$209,7,FALSE)</f>
        <v>-5</v>
      </c>
      <c r="U154" t="str">
        <f t="shared" si="19"/>
        <v>HomFave</v>
      </c>
      <c r="V154" s="5" t="str">
        <f t="shared" si="20"/>
        <v/>
      </c>
      <c r="W154" t="str">
        <f t="shared" si="16"/>
        <v/>
      </c>
      <c r="X154" t="str">
        <f t="shared" si="21"/>
        <v/>
      </c>
      <c r="Y154" t="str">
        <f t="shared" si="22"/>
        <v/>
      </c>
      <c r="Z154" s="2" t="str">
        <f t="shared" si="23"/>
        <v/>
      </c>
      <c r="AA154" t="str">
        <f>VLOOKUP($A154,ScionOutput!$A$3:$BL$215,64,FALSE)</f>
        <v xml:space="preserve">823774. LineStatEns probability points gap does not exceed threshold (no edge found)! No play due to strategy constraints. </v>
      </c>
    </row>
    <row r="155" spans="1:27" x14ac:dyDescent="0.2">
      <c r="A155">
        <v>823536</v>
      </c>
      <c r="B155" s="3">
        <f>VLOOKUP($A155,ScionOutput!$A$3:$BL$215,3,FALSE)</f>
        <v>46190</v>
      </c>
      <c r="C155">
        <f>VLOOKUP($A155,ScionOutput!$A$3:$BL$215,22,FALSE)</f>
        <v>19</v>
      </c>
      <c r="D155" t="str">
        <f>VLOOKUP($A155,ScionOutput!$A$3:$BL$215,23,FALSE)</f>
        <v>NYY</v>
      </c>
      <c r="E155">
        <f>VLOOKUP($A155,ScionOutput!$A$3:$BL$215,6,FALSE)</f>
        <v>9</v>
      </c>
      <c r="F155" t="str">
        <f>VLOOKUP($A155,ScionOutput!$A$3:$BL$215,7,FALSE)</f>
        <v>CWS</v>
      </c>
      <c r="G155">
        <f>VLOOKUP($A155,ScionOutput!$A$3:$BL$215,26,FALSE)</f>
        <v>-170</v>
      </c>
      <c r="H155">
        <f>VLOOKUP($A155,ScionOutput!$A$3:$BL$215,10,FALSE)</f>
        <v>153</v>
      </c>
      <c r="I155" s="4" t="str">
        <f>VLOOKUP($A155,ScionOutput!$A$3:$BL$215,45,FALSE)</f>
        <v>HomFave</v>
      </c>
      <c r="J155" s="4">
        <f>VLOOKUP($A155,ScionOutput!$A$3:$BL$215,46,FALSE)</f>
        <v>0</v>
      </c>
      <c r="K155" t="str">
        <f>VLOOKUP($A155,ScionOutput!$A$3:$BL$215,58,FALSE)</f>
        <v>No Play</v>
      </c>
      <c r="L155">
        <f>VLOOKUP($A155,ScionOutput!$A$3:$BL$215,59,FALSE)</f>
        <v>0</v>
      </c>
      <c r="M155">
        <f>VLOOKUP($A155,ScionOutput!$A$3:$BL$215,62,FALSE)</f>
        <v>0</v>
      </c>
      <c r="N155">
        <f>VLOOKUP($A155,ScionOutput!$A$3:$BL$215,63,FALSE)</f>
        <v>0</v>
      </c>
      <c r="O155" t="b">
        <f t="shared" si="17"/>
        <v>0</v>
      </c>
      <c r="P155">
        <f>VLOOKUP($A155,Outcomes!$B$3:$I$209,8,FALSE)</f>
        <v>15</v>
      </c>
      <c r="Q155">
        <f t="shared" si="18"/>
        <v>1</v>
      </c>
      <c r="R155">
        <f>VLOOKUP($A155,Outcomes!$B$3:$I$209,5,FALSE)</f>
        <v>10</v>
      </c>
      <c r="S155">
        <f>VLOOKUP($A155,Outcomes!$B$3:$I$209,6,FALSE)</f>
        <v>5</v>
      </c>
      <c r="T155">
        <f>VLOOKUP($A155,Outcomes!$B$3:$I$209,7,FALSE)</f>
        <v>-5</v>
      </c>
      <c r="U155" t="str">
        <f t="shared" si="19"/>
        <v>HomFave</v>
      </c>
      <c r="V155" s="5" t="str">
        <f t="shared" si="20"/>
        <v/>
      </c>
      <c r="W155" t="str">
        <f t="shared" si="16"/>
        <v/>
      </c>
      <c r="X155" t="str">
        <f t="shared" si="21"/>
        <v/>
      </c>
      <c r="Y155" t="str">
        <f t="shared" si="22"/>
        <v/>
      </c>
      <c r="Z155" s="2" t="str">
        <f t="shared" si="23"/>
        <v/>
      </c>
      <c r="AA155" t="str">
        <f>VLOOKUP($A155,ScionOutput!$A$3:$BL$215,64,FALSE)</f>
        <v xml:space="preserve">823536. LineStatEns is NoPlay as bookie-line outside range. StatOnlyEns is NoPlay as bookie-line outside range. No play due to strategy constraints. </v>
      </c>
    </row>
    <row r="156" spans="1:27" x14ac:dyDescent="0.2">
      <c r="A156">
        <v>824992</v>
      </c>
      <c r="B156" s="3">
        <f>VLOOKUP($A156,ScionOutput!$A$3:$BL$215,3,FALSE)</f>
        <v>46190</v>
      </c>
      <c r="C156">
        <f>VLOOKUP($A156,ScionOutput!$A$3:$BL$215,22,FALSE)</f>
        <v>20</v>
      </c>
      <c r="D156" t="str">
        <f>VLOOKUP($A156,ScionOutput!$A$3:$BL$215,23,FALSE)</f>
        <v>OAK</v>
      </c>
      <c r="E156">
        <f>VLOOKUP($A156,ScionOutput!$A$3:$BL$215,6,FALSE)</f>
        <v>22</v>
      </c>
      <c r="F156" t="str">
        <f>VLOOKUP($A156,ScionOutput!$A$3:$BL$215,7,FALSE)</f>
        <v>PIT</v>
      </c>
      <c r="G156">
        <f>VLOOKUP($A156,ScionOutput!$A$3:$BL$215,26,FALSE)</f>
        <v>104</v>
      </c>
      <c r="H156">
        <f>VLOOKUP($A156,ScionOutput!$A$3:$BL$215,10,FALSE)</f>
        <v>-114</v>
      </c>
      <c r="I156" s="4" t="str">
        <f>VLOOKUP($A156,ScionOutput!$A$3:$BL$215,45,FALSE)</f>
        <v>HomDog</v>
      </c>
      <c r="J156" s="4">
        <f>VLOOKUP($A156,ScionOutput!$A$3:$BL$215,46,FALSE)</f>
        <v>1</v>
      </c>
      <c r="K156" t="str">
        <f>VLOOKUP($A156,ScionOutput!$A$3:$BL$215,58,FALSE)</f>
        <v>HomDog</v>
      </c>
      <c r="L156">
        <f>VLOOKUP($A156,ScionOutput!$A$3:$BL$215,59,FALSE)</f>
        <v>2.078E-2</v>
      </c>
      <c r="M156">
        <f>VLOOKUP($A156,ScionOutput!$A$3:$BL$215,62,FALSE)</f>
        <v>5</v>
      </c>
      <c r="N156">
        <f>VLOOKUP($A156,ScionOutput!$A$3:$BL$215,63,FALSE)</f>
        <v>0.53</v>
      </c>
      <c r="O156" t="b">
        <f t="shared" si="17"/>
        <v>1</v>
      </c>
      <c r="P156">
        <f>VLOOKUP($A156,Outcomes!$B$3:$I$209,8,FALSE)</f>
        <v>16</v>
      </c>
      <c r="Q156">
        <f t="shared" si="18"/>
        <v>-1</v>
      </c>
      <c r="R156">
        <f>VLOOKUP($A156,Outcomes!$B$3:$I$209,5,FALSE)</f>
        <v>4</v>
      </c>
      <c r="S156">
        <f>VLOOKUP($A156,Outcomes!$B$3:$I$209,6,FALSE)</f>
        <v>12</v>
      </c>
      <c r="T156">
        <f>VLOOKUP($A156,Outcomes!$B$3:$I$209,7,FALSE)</f>
        <v>8</v>
      </c>
      <c r="U156" t="str">
        <f t="shared" si="19"/>
        <v>VisFave</v>
      </c>
      <c r="V156" s="5">
        <f t="shared" si="20"/>
        <v>0</v>
      </c>
      <c r="W156">
        <f t="shared" si="16"/>
        <v>100</v>
      </c>
      <c r="X156">
        <f t="shared" si="21"/>
        <v>0</v>
      </c>
      <c r="Y156">
        <f t="shared" si="22"/>
        <v>-100</v>
      </c>
      <c r="Z156" s="2">
        <f t="shared" si="23"/>
        <v>-1</v>
      </c>
      <c r="AA156" t="str">
        <f>VLOOKUP($A156,ScionOutput!$A$3:$BL$215,64,FALSE)</f>
        <v xml:space="preserve">824992. Play determined by LineStatEns and StatOnlyEns agreement. </v>
      </c>
    </row>
    <row r="157" spans="1:27" x14ac:dyDescent="0.2">
      <c r="A157">
        <v>823450</v>
      </c>
      <c r="B157" s="3">
        <f>VLOOKUP($A157,ScionOutput!$A$3:$BL$215,3,FALSE)</f>
        <v>46190</v>
      </c>
      <c r="C157">
        <f>VLOOKUP($A157,ScionOutput!$A$3:$BL$215,22,FALSE)</f>
        <v>21</v>
      </c>
      <c r="D157" t="str">
        <f>VLOOKUP($A157,ScionOutput!$A$3:$BL$215,23,FALSE)</f>
        <v>PHI</v>
      </c>
      <c r="E157">
        <f>VLOOKUP($A157,ScionOutput!$A$3:$BL$215,6,FALSE)</f>
        <v>11</v>
      </c>
      <c r="F157" t="str">
        <f>VLOOKUP($A157,ScionOutput!$A$3:$BL$215,7,FALSE)</f>
        <v>FLO</v>
      </c>
      <c r="G157">
        <f>VLOOKUP($A157,ScionOutput!$A$3:$BL$215,26,FALSE)</f>
        <v>-111</v>
      </c>
      <c r="H157">
        <f>VLOOKUP($A157,ScionOutput!$A$3:$BL$215,10,FALSE)</f>
        <v>100</v>
      </c>
      <c r="I157" s="4" t="str">
        <f>VLOOKUP($A157,ScionOutput!$A$3:$BL$215,45,FALSE)</f>
        <v>HomFave</v>
      </c>
      <c r="J157" s="4">
        <f>VLOOKUP($A157,ScionOutput!$A$3:$BL$215,46,FALSE)</f>
        <v>1</v>
      </c>
      <c r="K157" t="str">
        <f>VLOOKUP($A157,ScionOutput!$A$3:$BL$215,58,FALSE)</f>
        <v>HomFave</v>
      </c>
      <c r="L157">
        <f>VLOOKUP($A157,ScionOutput!$A$3:$BL$215,59,FALSE)</f>
        <v>7.3000000000000001E-3</v>
      </c>
      <c r="M157">
        <f>VLOOKUP($A157,ScionOutput!$A$3:$BL$215,62,FALSE)</f>
        <v>3</v>
      </c>
      <c r="N157">
        <f>VLOOKUP($A157,ScionOutput!$A$3:$BL$215,63,FALSE)</f>
        <v>0.93</v>
      </c>
      <c r="O157" t="b">
        <f t="shared" si="17"/>
        <v>0</v>
      </c>
      <c r="P157">
        <f>VLOOKUP($A157,Outcomes!$B$3:$I$209,8,FALSE)</f>
        <v>16</v>
      </c>
      <c r="Q157">
        <f t="shared" si="18"/>
        <v>-1</v>
      </c>
      <c r="R157">
        <f>VLOOKUP($A157,Outcomes!$B$3:$I$209,5,FALSE)</f>
        <v>4</v>
      </c>
      <c r="S157">
        <f>VLOOKUP($A157,Outcomes!$B$3:$I$209,6,FALSE)</f>
        <v>12</v>
      </c>
      <c r="T157">
        <f>VLOOKUP($A157,Outcomes!$B$3:$I$209,7,FALSE)</f>
        <v>8</v>
      </c>
      <c r="U157" t="str">
        <f t="shared" si="19"/>
        <v>VisDog</v>
      </c>
      <c r="V157" s="5">
        <f t="shared" si="20"/>
        <v>0</v>
      </c>
      <c r="W157">
        <f t="shared" si="16"/>
        <v>111</v>
      </c>
      <c r="X157">
        <f t="shared" si="21"/>
        <v>0</v>
      </c>
      <c r="Y157">
        <f t="shared" si="22"/>
        <v>-111</v>
      </c>
      <c r="Z157" s="2">
        <f t="shared" si="23"/>
        <v>-1</v>
      </c>
      <c r="AA157" t="str">
        <f>VLOOKUP($A157,ScionOutput!$A$3:$BL$215,64,FALSE)</f>
        <v xml:space="preserve">823450. StatOnlyEns probability points gap does not exceed threshold (no edge found)! Play determined by LineStatEns only. </v>
      </c>
    </row>
    <row r="158" spans="1:27" x14ac:dyDescent="0.2">
      <c r="A158">
        <v>823127</v>
      </c>
      <c r="B158" s="3">
        <f>VLOOKUP($A158,ScionOutput!$A$3:$BL$215,3,FALSE)</f>
        <v>46190</v>
      </c>
      <c r="C158">
        <f>VLOOKUP($A158,ScionOutput!$A$3:$BL$215,22,FALSE)</f>
        <v>24</v>
      </c>
      <c r="D158" t="str">
        <f>VLOOKUP($A158,ScionOutput!$A$3:$BL$215,23,FALSE)</f>
        <v>SEA</v>
      </c>
      <c r="E158">
        <f>VLOOKUP($A158,ScionOutput!$A$3:$BL$215,6,FALSE)</f>
        <v>2</v>
      </c>
      <c r="F158" t="str">
        <f>VLOOKUP($A158,ScionOutput!$A$3:$BL$215,7,FALSE)</f>
        <v>BAL</v>
      </c>
      <c r="G158">
        <f>VLOOKUP($A158,ScionOutput!$A$3:$BL$215,26,FALSE)</f>
        <v>-139</v>
      </c>
      <c r="H158">
        <f>VLOOKUP($A158,ScionOutput!$A$3:$BL$215,10,FALSE)</f>
        <v>126</v>
      </c>
      <c r="I158" s="4" t="str">
        <f>VLOOKUP($A158,ScionOutput!$A$3:$BL$215,45,FALSE)</f>
        <v>HomFave</v>
      </c>
      <c r="J158" s="4">
        <f>VLOOKUP($A158,ScionOutput!$A$3:$BL$215,46,FALSE)</f>
        <v>0</v>
      </c>
      <c r="K158" t="str">
        <f>VLOOKUP($A158,ScionOutput!$A$3:$BL$215,58,FALSE)</f>
        <v>No Play</v>
      </c>
      <c r="L158">
        <f>VLOOKUP($A158,ScionOutput!$A$3:$BL$215,59,FALSE)</f>
        <v>0</v>
      </c>
      <c r="M158">
        <f>VLOOKUP($A158,ScionOutput!$A$3:$BL$215,62,FALSE)</f>
        <v>0</v>
      </c>
      <c r="N158">
        <f>VLOOKUP($A158,ScionOutput!$A$3:$BL$215,63,FALSE)</f>
        <v>0</v>
      </c>
      <c r="O158" t="b">
        <f t="shared" si="17"/>
        <v>0</v>
      </c>
      <c r="P158">
        <f>VLOOKUP($A158,Outcomes!$B$3:$I$209,8,FALSE)</f>
        <v>8</v>
      </c>
      <c r="Q158">
        <f t="shared" si="18"/>
        <v>-1</v>
      </c>
      <c r="R158">
        <f>VLOOKUP($A158,Outcomes!$B$3:$I$209,5,FALSE)</f>
        <v>3</v>
      </c>
      <c r="S158">
        <f>VLOOKUP($A158,Outcomes!$B$3:$I$209,6,FALSE)</f>
        <v>5</v>
      </c>
      <c r="T158">
        <f>VLOOKUP($A158,Outcomes!$B$3:$I$209,7,FALSE)</f>
        <v>2</v>
      </c>
      <c r="U158" t="str">
        <f t="shared" si="19"/>
        <v>VisDog</v>
      </c>
      <c r="V158" s="5" t="str">
        <f t="shared" si="20"/>
        <v/>
      </c>
      <c r="W158" t="str">
        <f t="shared" si="16"/>
        <v/>
      </c>
      <c r="X158" t="str">
        <f t="shared" si="21"/>
        <v/>
      </c>
      <c r="Y158" t="str">
        <f t="shared" si="22"/>
        <v/>
      </c>
      <c r="Z158" s="2" t="str">
        <f t="shared" si="23"/>
        <v/>
      </c>
      <c r="AA158" t="str">
        <f>VLOOKUP($A158,ScionOutput!$A$3:$BL$215,64,FALSE)</f>
        <v xml:space="preserve">823127. LineStatEns probability points gap does not exceed threshold (no edge found)! StatOnlyEns probability points gap does not exceed threshold (no edge found)! No play due to strategy constraints. </v>
      </c>
    </row>
    <row r="159" spans="1:27" x14ac:dyDescent="0.2">
      <c r="A159">
        <v>823044</v>
      </c>
      <c r="B159" s="3">
        <f>VLOOKUP($A159,ScionOutput!$A$3:$BL$215,3,FALSE)</f>
        <v>46190</v>
      </c>
      <c r="C159">
        <f>VLOOKUP($A159,ScionOutput!$A$3:$BL$215,22,FALSE)</f>
        <v>26</v>
      </c>
      <c r="D159" t="str">
        <f>VLOOKUP($A159,ScionOutput!$A$3:$BL$215,23,FALSE)</f>
        <v>STL</v>
      </c>
      <c r="E159">
        <f>VLOOKUP($A159,ScionOutput!$A$3:$BL$215,6,FALSE)</f>
        <v>23</v>
      </c>
      <c r="F159" t="str">
        <f>VLOOKUP($A159,ScionOutput!$A$3:$BL$215,7,FALSE)</f>
        <v>SD</v>
      </c>
      <c r="G159">
        <f>VLOOKUP($A159,ScionOutput!$A$3:$BL$215,26,FALSE)</f>
        <v>-124</v>
      </c>
      <c r="H159">
        <f>VLOOKUP($A159,ScionOutput!$A$3:$BL$215,10,FALSE)</f>
        <v>112</v>
      </c>
      <c r="I159" s="4" t="str">
        <f>VLOOKUP($A159,ScionOutput!$A$3:$BL$215,45,FALSE)</f>
        <v>HomFave</v>
      </c>
      <c r="J159" s="4">
        <f>VLOOKUP($A159,ScionOutput!$A$3:$BL$215,46,FALSE)</f>
        <v>0</v>
      </c>
      <c r="K159" t="str">
        <f>VLOOKUP($A159,ScionOutput!$A$3:$BL$215,58,FALSE)</f>
        <v>No Play</v>
      </c>
      <c r="L159">
        <f>VLOOKUP($A159,ScionOutput!$A$3:$BL$215,59,FALSE)</f>
        <v>0</v>
      </c>
      <c r="M159">
        <f>VLOOKUP($A159,ScionOutput!$A$3:$BL$215,62,FALSE)</f>
        <v>0</v>
      </c>
      <c r="N159">
        <f>VLOOKUP($A159,ScionOutput!$A$3:$BL$215,63,FALSE)</f>
        <v>0</v>
      </c>
      <c r="O159" t="b">
        <f t="shared" si="17"/>
        <v>0</v>
      </c>
      <c r="P159">
        <f>VLOOKUP($A159,Outcomes!$B$3:$I$209,8,FALSE)</f>
        <v>7</v>
      </c>
      <c r="Q159">
        <f t="shared" si="18"/>
        <v>-1</v>
      </c>
      <c r="R159">
        <f>VLOOKUP($A159,Outcomes!$B$3:$I$209,5,FALSE)</f>
        <v>1</v>
      </c>
      <c r="S159">
        <f>VLOOKUP($A159,Outcomes!$B$3:$I$209,6,FALSE)</f>
        <v>6</v>
      </c>
      <c r="T159">
        <f>VLOOKUP($A159,Outcomes!$B$3:$I$209,7,FALSE)</f>
        <v>5</v>
      </c>
      <c r="U159" t="str">
        <f t="shared" si="19"/>
        <v>VisDog</v>
      </c>
      <c r="V159" s="5" t="str">
        <f t="shared" si="20"/>
        <v/>
      </c>
      <c r="W159" t="str">
        <f t="shared" si="16"/>
        <v/>
      </c>
      <c r="X159" t="str">
        <f t="shared" si="21"/>
        <v/>
      </c>
      <c r="Y159" t="str">
        <f t="shared" si="22"/>
        <v/>
      </c>
      <c r="Z159" s="2" t="str">
        <f t="shared" si="23"/>
        <v/>
      </c>
      <c r="AA159" t="str">
        <f>VLOOKUP($A159,ScionOutput!$A$3:$BL$215,64,FALSE)</f>
        <v xml:space="preserve">823044. LineStatEns probability points gap does not exceed threshold (no edge found)! StatOnlyEns probability points gap does not exceed threshold (no edge found)! No play due to strategy constraints. </v>
      </c>
    </row>
    <row r="160" spans="1:27" x14ac:dyDescent="0.2">
      <c r="A160">
        <v>824748</v>
      </c>
      <c r="B160" s="3">
        <f>VLOOKUP($A160,ScionOutput!$A$3:$BL$215,3,FALSE)</f>
        <v>46191</v>
      </c>
      <c r="C160">
        <f>VLOOKUP($A160,ScionOutput!$A$3:$BL$215,22,FALSE)</f>
        <v>3</v>
      </c>
      <c r="D160" t="str">
        <f>VLOOKUP($A160,ScionOutput!$A$3:$BL$215,23,FALSE)</f>
        <v>BOS</v>
      </c>
      <c r="E160">
        <f>VLOOKUP($A160,ScionOutput!$A$3:$BL$215,6,FALSE)</f>
        <v>29</v>
      </c>
      <c r="F160" t="str">
        <f>VLOOKUP($A160,ScionOutput!$A$3:$BL$215,7,FALSE)</f>
        <v>TOR</v>
      </c>
      <c r="G160">
        <f>VLOOKUP($A160,ScionOutput!$A$3:$BL$215,26,FALSE)</f>
        <v>-131</v>
      </c>
      <c r="H160">
        <f>VLOOKUP($A160,ScionOutput!$A$3:$BL$215,10,FALSE)</f>
        <v>120</v>
      </c>
      <c r="I160" s="4" t="str">
        <f>VLOOKUP($A160,ScionOutput!$A$3:$BL$215,45,FALSE)</f>
        <v>HomFave</v>
      </c>
      <c r="J160" s="4">
        <f>VLOOKUP($A160,ScionOutput!$A$3:$BL$215,46,FALSE)</f>
        <v>0</v>
      </c>
      <c r="K160" t="str">
        <f>VLOOKUP($A160,ScionOutput!$A$3:$BL$215,58,FALSE)</f>
        <v>No Play</v>
      </c>
      <c r="L160">
        <f>VLOOKUP($A160,ScionOutput!$A$3:$BL$215,59,FALSE)</f>
        <v>0</v>
      </c>
      <c r="M160">
        <f>VLOOKUP($A160,ScionOutput!$A$3:$BL$215,62,FALSE)</f>
        <v>0</v>
      </c>
      <c r="N160">
        <f>VLOOKUP($A160,ScionOutput!$A$3:$BL$215,63,FALSE)</f>
        <v>0</v>
      </c>
      <c r="O160" t="b">
        <f t="shared" si="17"/>
        <v>0</v>
      </c>
      <c r="P160">
        <f>VLOOKUP($A160,Outcomes!$B$3:$I$209,8,FALSE)</f>
        <v>7</v>
      </c>
      <c r="Q160">
        <f t="shared" si="18"/>
        <v>-1</v>
      </c>
      <c r="R160">
        <f>VLOOKUP($A160,Outcomes!$B$3:$I$209,5,FALSE)</f>
        <v>3</v>
      </c>
      <c r="S160">
        <f>VLOOKUP($A160,Outcomes!$B$3:$I$209,6,FALSE)</f>
        <v>4</v>
      </c>
      <c r="T160">
        <f>VLOOKUP($A160,Outcomes!$B$3:$I$209,7,FALSE)</f>
        <v>1</v>
      </c>
      <c r="U160" t="str">
        <f t="shared" si="19"/>
        <v>VisDog</v>
      </c>
      <c r="V160" s="5" t="str">
        <f t="shared" si="20"/>
        <v/>
      </c>
      <c r="W160" t="str">
        <f t="shared" si="16"/>
        <v/>
      </c>
      <c r="X160" t="str">
        <f t="shared" si="21"/>
        <v/>
      </c>
      <c r="Y160" t="str">
        <f t="shared" si="22"/>
        <v/>
      </c>
      <c r="Z160" s="2" t="str">
        <f t="shared" si="23"/>
        <v/>
      </c>
      <c r="AA160" t="str">
        <f>VLOOKUP($A160,ScionOutput!$A$3:$BL$215,64,FALSE)</f>
        <v xml:space="preserve">824748. LineStatEns probability points gap does not exceed threshold (no edge found)! No play due to strategy constraints. </v>
      </c>
    </row>
    <row r="161" spans="1:27" x14ac:dyDescent="0.2">
      <c r="A161">
        <v>824098</v>
      </c>
      <c r="B161" s="3">
        <f>VLOOKUP($A161,ScionOutput!$A$3:$BL$215,3,FALSE)</f>
        <v>46191</v>
      </c>
      <c r="C161">
        <f>VLOOKUP($A161,ScionOutput!$A$3:$BL$215,22,FALSE)</f>
        <v>13</v>
      </c>
      <c r="D161" t="str">
        <f>VLOOKUP($A161,ScionOutput!$A$3:$BL$215,23,FALSE)</f>
        <v>KC</v>
      </c>
      <c r="E161">
        <f>VLOOKUP($A161,ScionOutput!$A$3:$BL$215,6,FALSE)</f>
        <v>26</v>
      </c>
      <c r="F161" t="str">
        <f>VLOOKUP($A161,ScionOutput!$A$3:$BL$215,7,FALSE)</f>
        <v>STL</v>
      </c>
      <c r="G161">
        <f>VLOOKUP($A161,ScionOutput!$A$3:$BL$215,26,FALSE)</f>
        <v>-111</v>
      </c>
      <c r="H161">
        <f>VLOOKUP($A161,ScionOutput!$A$3:$BL$215,10,FALSE)</f>
        <v>103</v>
      </c>
      <c r="I161" s="4" t="str">
        <f>VLOOKUP($A161,ScionOutput!$A$3:$BL$215,45,FALSE)</f>
        <v>HomFave</v>
      </c>
      <c r="J161" s="4">
        <f>VLOOKUP($A161,ScionOutput!$A$3:$BL$215,46,FALSE)</f>
        <v>0</v>
      </c>
      <c r="K161" t="str">
        <f>VLOOKUP($A161,ScionOutput!$A$3:$BL$215,58,FALSE)</f>
        <v>No Play</v>
      </c>
      <c r="L161">
        <f>VLOOKUP($A161,ScionOutput!$A$3:$BL$215,59,FALSE)</f>
        <v>0</v>
      </c>
      <c r="M161">
        <f>VLOOKUP($A161,ScionOutput!$A$3:$BL$215,62,FALSE)</f>
        <v>0</v>
      </c>
      <c r="N161">
        <f>VLOOKUP($A161,ScionOutput!$A$3:$BL$215,63,FALSE)</f>
        <v>0</v>
      </c>
      <c r="O161" t="b">
        <f t="shared" si="17"/>
        <v>0</v>
      </c>
      <c r="P161">
        <f>VLOOKUP($A161,Outcomes!$B$3:$I$209,8,FALSE)</f>
        <v>20</v>
      </c>
      <c r="Q161">
        <f t="shared" si="18"/>
        <v>1</v>
      </c>
      <c r="R161">
        <f>VLOOKUP($A161,Outcomes!$B$3:$I$209,5,FALSE)</f>
        <v>14</v>
      </c>
      <c r="S161">
        <f>VLOOKUP($A161,Outcomes!$B$3:$I$209,6,FALSE)</f>
        <v>6</v>
      </c>
      <c r="T161">
        <f>VLOOKUP($A161,Outcomes!$B$3:$I$209,7,FALSE)</f>
        <v>-8</v>
      </c>
      <c r="U161" t="str">
        <f t="shared" si="19"/>
        <v>HomFave</v>
      </c>
      <c r="V161" s="5" t="str">
        <f t="shared" si="20"/>
        <v/>
      </c>
      <c r="W161" t="str">
        <f t="shared" si="16"/>
        <v/>
      </c>
      <c r="X161" t="str">
        <f t="shared" si="21"/>
        <v/>
      </c>
      <c r="Y161" t="str">
        <f t="shared" si="22"/>
        <v/>
      </c>
      <c r="Z161" s="2" t="str">
        <f t="shared" si="23"/>
        <v/>
      </c>
      <c r="AA161" t="str">
        <f>VLOOKUP($A161,ScionOutput!$A$3:$BL$215,64,FALSE)</f>
        <v xml:space="preserve">824098. LineStatEns probability points gap does not exceed threshold (no edge found)! No play due to strategy constraints. </v>
      </c>
    </row>
    <row r="162" spans="1:27" x14ac:dyDescent="0.2">
      <c r="A162">
        <v>823772</v>
      </c>
      <c r="B162" s="3">
        <f>VLOOKUP($A162,ScionOutput!$A$3:$BL$215,3,FALSE)</f>
        <v>46191</v>
      </c>
      <c r="C162">
        <f>VLOOKUP($A162,ScionOutput!$A$3:$BL$215,22,FALSE)</f>
        <v>17</v>
      </c>
      <c r="D162" t="str">
        <f>VLOOKUP($A162,ScionOutput!$A$3:$BL$215,23,FALSE)</f>
        <v>MLW</v>
      </c>
      <c r="E162">
        <f>VLOOKUP($A162,ScionOutput!$A$3:$BL$215,6,FALSE)</f>
        <v>7</v>
      </c>
      <c r="F162" t="str">
        <f>VLOOKUP($A162,ScionOutput!$A$3:$BL$215,7,FALSE)</f>
        <v>CLE</v>
      </c>
      <c r="G162">
        <f>VLOOKUP($A162,ScionOutput!$A$3:$BL$215,26,FALSE)</f>
        <v>-138</v>
      </c>
      <c r="H162">
        <f>VLOOKUP($A162,ScionOutput!$A$3:$BL$215,10,FALSE)</f>
        <v>127</v>
      </c>
      <c r="I162" s="4" t="str">
        <f>VLOOKUP($A162,ScionOutput!$A$3:$BL$215,45,FALSE)</f>
        <v>HomFave</v>
      </c>
      <c r="J162" s="4">
        <f>VLOOKUP($A162,ScionOutput!$A$3:$BL$215,46,FALSE)</f>
        <v>0</v>
      </c>
      <c r="K162" t="str">
        <f>VLOOKUP($A162,ScionOutput!$A$3:$BL$215,58,FALSE)</f>
        <v>No Play</v>
      </c>
      <c r="L162">
        <f>VLOOKUP($A162,ScionOutput!$A$3:$BL$215,59,FALSE)</f>
        <v>0</v>
      </c>
      <c r="M162">
        <f>VLOOKUP($A162,ScionOutput!$A$3:$BL$215,62,FALSE)</f>
        <v>0</v>
      </c>
      <c r="N162">
        <f>VLOOKUP($A162,ScionOutput!$A$3:$BL$215,63,FALSE)</f>
        <v>0</v>
      </c>
      <c r="O162" t="b">
        <f t="shared" si="17"/>
        <v>0</v>
      </c>
      <c r="P162">
        <f>VLOOKUP($A162,Outcomes!$B$3:$I$209,8,FALSE)</f>
        <v>6</v>
      </c>
      <c r="Q162">
        <f t="shared" si="18"/>
        <v>-1</v>
      </c>
      <c r="R162">
        <f>VLOOKUP($A162,Outcomes!$B$3:$I$209,5,FALSE)</f>
        <v>2</v>
      </c>
      <c r="S162">
        <f>VLOOKUP($A162,Outcomes!$B$3:$I$209,6,FALSE)</f>
        <v>4</v>
      </c>
      <c r="T162">
        <f>VLOOKUP($A162,Outcomes!$B$3:$I$209,7,FALSE)</f>
        <v>2</v>
      </c>
      <c r="U162" t="str">
        <f t="shared" si="19"/>
        <v>VisDog</v>
      </c>
      <c r="V162" s="5" t="str">
        <f t="shared" si="20"/>
        <v/>
      </c>
      <c r="W162" t="str">
        <f t="shared" si="16"/>
        <v/>
      </c>
      <c r="X162" t="str">
        <f t="shared" si="21"/>
        <v/>
      </c>
      <c r="Y162" t="str">
        <f t="shared" si="22"/>
        <v/>
      </c>
      <c r="Z162" s="2" t="str">
        <f t="shared" si="23"/>
        <v/>
      </c>
      <c r="AA162" t="str">
        <f>VLOOKUP($A162,ScionOutput!$A$3:$BL$215,64,FALSE)</f>
        <v xml:space="preserve">823772. LineStatEns probability points gap does not exceed threshold (no edge found)! StatOnlyEns probability points gap does not exceed threshold (no edge found)! No play due to strategy constraints. </v>
      </c>
    </row>
    <row r="163" spans="1:27" x14ac:dyDescent="0.2">
      <c r="A163">
        <v>823533</v>
      </c>
      <c r="B163" s="3">
        <f>VLOOKUP($A163,ScionOutput!$A$3:$BL$215,3,FALSE)</f>
        <v>46191</v>
      </c>
      <c r="C163">
        <f>VLOOKUP($A163,ScionOutput!$A$3:$BL$215,22,FALSE)</f>
        <v>19</v>
      </c>
      <c r="D163" t="str">
        <f>VLOOKUP($A163,ScionOutput!$A$3:$BL$215,23,FALSE)</f>
        <v>NYY</v>
      </c>
      <c r="E163">
        <f>VLOOKUP($A163,ScionOutput!$A$3:$BL$215,6,FALSE)</f>
        <v>9</v>
      </c>
      <c r="F163" t="str">
        <f>VLOOKUP($A163,ScionOutput!$A$3:$BL$215,7,FALSE)</f>
        <v>CWS</v>
      </c>
      <c r="G163">
        <f>VLOOKUP($A163,ScionOutput!$A$3:$BL$215,26,FALSE)</f>
        <v>-157</v>
      </c>
      <c r="H163">
        <f>VLOOKUP($A163,ScionOutput!$A$3:$BL$215,10,FALSE)</f>
        <v>144</v>
      </c>
      <c r="I163" s="4" t="str">
        <f>VLOOKUP($A163,ScionOutput!$A$3:$BL$215,45,FALSE)</f>
        <v>HomFave</v>
      </c>
      <c r="J163" s="4">
        <f>VLOOKUP($A163,ScionOutput!$A$3:$BL$215,46,FALSE)</f>
        <v>0</v>
      </c>
      <c r="K163" t="str">
        <f>VLOOKUP($A163,ScionOutput!$A$3:$BL$215,58,FALSE)</f>
        <v>No Play</v>
      </c>
      <c r="L163">
        <f>VLOOKUP($A163,ScionOutput!$A$3:$BL$215,59,FALSE)</f>
        <v>0</v>
      </c>
      <c r="M163">
        <f>VLOOKUP($A163,ScionOutput!$A$3:$BL$215,62,FALSE)</f>
        <v>0</v>
      </c>
      <c r="N163">
        <f>VLOOKUP($A163,ScionOutput!$A$3:$BL$215,63,FALSE)</f>
        <v>0</v>
      </c>
      <c r="O163" t="b">
        <f t="shared" si="17"/>
        <v>0</v>
      </c>
      <c r="P163">
        <f>VLOOKUP($A163,Outcomes!$B$3:$I$209,8,FALSE)</f>
        <v>6</v>
      </c>
      <c r="Q163">
        <f t="shared" si="18"/>
        <v>-1</v>
      </c>
      <c r="R163">
        <f>VLOOKUP($A163,Outcomes!$B$3:$I$209,5,FALSE)</f>
        <v>1</v>
      </c>
      <c r="S163">
        <f>VLOOKUP($A163,Outcomes!$B$3:$I$209,6,FALSE)</f>
        <v>5</v>
      </c>
      <c r="T163">
        <f>VLOOKUP($A163,Outcomes!$B$3:$I$209,7,FALSE)</f>
        <v>4</v>
      </c>
      <c r="U163" t="str">
        <f t="shared" si="19"/>
        <v>VisDog</v>
      </c>
      <c r="V163" s="5" t="str">
        <f t="shared" si="20"/>
        <v/>
      </c>
      <c r="W163" t="str">
        <f t="shared" si="16"/>
        <v/>
      </c>
      <c r="X163" t="str">
        <f t="shared" si="21"/>
        <v/>
      </c>
      <c r="Y163" t="str">
        <f t="shared" si="22"/>
        <v/>
      </c>
      <c r="Z163" s="2" t="str">
        <f t="shared" si="23"/>
        <v/>
      </c>
      <c r="AA163" t="str">
        <f>VLOOKUP($A163,ScionOutput!$A$3:$BL$215,64,FALSE)</f>
        <v xml:space="preserve">823533. LineStatEns is NoPlay as bookie-line outside range. StatOnlyEns is NoPlay as bookie-line outside range. No play due to strategy constraints. </v>
      </c>
    </row>
    <row r="164" spans="1:27" x14ac:dyDescent="0.2">
      <c r="A164">
        <v>824989</v>
      </c>
      <c r="B164" s="3">
        <f>VLOOKUP($A164,ScionOutput!$A$3:$BL$215,3,FALSE)</f>
        <v>46191</v>
      </c>
      <c r="C164">
        <f>VLOOKUP($A164,ScionOutput!$A$3:$BL$215,22,FALSE)</f>
        <v>20</v>
      </c>
      <c r="D164" t="str">
        <f>VLOOKUP($A164,ScionOutput!$A$3:$BL$215,23,FALSE)</f>
        <v>OAK</v>
      </c>
      <c r="E164">
        <f>VLOOKUP($A164,ScionOutput!$A$3:$BL$215,6,FALSE)</f>
        <v>4</v>
      </c>
      <c r="F164" t="str">
        <f>VLOOKUP($A164,ScionOutput!$A$3:$BL$215,7,FALSE)</f>
        <v>LAA</v>
      </c>
      <c r="G164">
        <f>VLOOKUP($A164,ScionOutput!$A$3:$BL$215,26,FALSE)</f>
        <v>-133</v>
      </c>
      <c r="H164">
        <f>VLOOKUP($A164,ScionOutput!$A$3:$BL$215,10,FALSE)</f>
        <v>123</v>
      </c>
      <c r="I164" s="4" t="str">
        <f>VLOOKUP($A164,ScionOutput!$A$3:$BL$215,45,FALSE)</f>
        <v>HomFave</v>
      </c>
      <c r="J164" s="4">
        <f>VLOOKUP($A164,ScionOutput!$A$3:$BL$215,46,FALSE)</f>
        <v>0</v>
      </c>
      <c r="K164" t="str">
        <f>VLOOKUP($A164,ScionOutput!$A$3:$BL$215,58,FALSE)</f>
        <v>No Play</v>
      </c>
      <c r="L164">
        <f>VLOOKUP($A164,ScionOutput!$A$3:$BL$215,59,FALSE)</f>
        <v>0</v>
      </c>
      <c r="M164">
        <f>VLOOKUP($A164,ScionOutput!$A$3:$BL$215,62,FALSE)</f>
        <v>0</v>
      </c>
      <c r="N164">
        <f>VLOOKUP($A164,ScionOutput!$A$3:$BL$215,63,FALSE)</f>
        <v>0</v>
      </c>
      <c r="O164" t="b">
        <f t="shared" si="17"/>
        <v>0</v>
      </c>
      <c r="P164">
        <f>VLOOKUP($A164,Outcomes!$B$3:$I$209,8,FALSE)</f>
        <v>5</v>
      </c>
      <c r="Q164">
        <f t="shared" si="18"/>
        <v>1</v>
      </c>
      <c r="R164">
        <f>VLOOKUP($A164,Outcomes!$B$3:$I$209,5,FALSE)</f>
        <v>5</v>
      </c>
      <c r="S164">
        <f>VLOOKUP($A164,Outcomes!$B$3:$I$209,6,FALSE)</f>
        <v>0</v>
      </c>
      <c r="T164">
        <f>VLOOKUP($A164,Outcomes!$B$3:$I$209,7,FALSE)</f>
        <v>-5</v>
      </c>
      <c r="U164" t="str">
        <f t="shared" si="19"/>
        <v>HomFave</v>
      </c>
      <c r="V164" s="5" t="str">
        <f t="shared" si="20"/>
        <v/>
      </c>
      <c r="W164" t="str">
        <f t="shared" si="16"/>
        <v/>
      </c>
      <c r="X164" t="str">
        <f t="shared" si="21"/>
        <v/>
      </c>
      <c r="Y164" t="str">
        <f t="shared" si="22"/>
        <v/>
      </c>
      <c r="Z164" s="2" t="str">
        <f t="shared" si="23"/>
        <v/>
      </c>
      <c r="AA164" t="str">
        <f>VLOOKUP($A164,ScionOutput!$A$3:$BL$215,64,FALSE)</f>
        <v xml:space="preserve">824989. LineStatEns probability points gap does not exceed threshold (no edge found)! No play due to strategy constraints. </v>
      </c>
    </row>
    <row r="165" spans="1:27" x14ac:dyDescent="0.2">
      <c r="A165">
        <v>823448</v>
      </c>
      <c r="B165" s="3">
        <f>VLOOKUP($A165,ScionOutput!$A$3:$BL$215,3,FALSE)</f>
        <v>46191</v>
      </c>
      <c r="C165">
        <f>VLOOKUP($A165,ScionOutput!$A$3:$BL$215,22,FALSE)</f>
        <v>21</v>
      </c>
      <c r="D165" t="str">
        <f>VLOOKUP($A165,ScionOutput!$A$3:$BL$215,23,FALSE)</f>
        <v>PHI</v>
      </c>
      <c r="E165">
        <f>VLOOKUP($A165,ScionOutput!$A$3:$BL$215,6,FALSE)</f>
        <v>18</v>
      </c>
      <c r="F165" t="str">
        <f>VLOOKUP($A165,ScionOutput!$A$3:$BL$215,7,FALSE)</f>
        <v>NYM</v>
      </c>
      <c r="G165">
        <f>VLOOKUP($A165,ScionOutput!$A$3:$BL$215,26,FALSE)</f>
        <v>-114</v>
      </c>
      <c r="H165">
        <f>VLOOKUP($A165,ScionOutput!$A$3:$BL$215,10,FALSE)</f>
        <v>105</v>
      </c>
      <c r="I165" s="4" t="str">
        <f>VLOOKUP($A165,ScionOutput!$A$3:$BL$215,45,FALSE)</f>
        <v>VisDog</v>
      </c>
      <c r="J165" s="4">
        <f>VLOOKUP($A165,ScionOutput!$A$3:$BL$215,46,FALSE)</f>
        <v>1</v>
      </c>
      <c r="K165" t="str">
        <f>VLOOKUP($A165,ScionOutput!$A$3:$BL$215,58,FALSE)</f>
        <v>VisDog</v>
      </c>
      <c r="L165">
        <f>VLOOKUP($A165,ScionOutput!$A$3:$BL$215,59,FALSE)</f>
        <v>-4.2000000000000003E-2</v>
      </c>
      <c r="M165">
        <f>VLOOKUP($A165,ScionOutput!$A$3:$BL$215,62,FALSE)</f>
        <v>3</v>
      </c>
      <c r="N165">
        <f>VLOOKUP($A165,ScionOutput!$A$3:$BL$215,63,FALSE)</f>
        <v>0.67</v>
      </c>
      <c r="O165" t="b">
        <f t="shared" si="17"/>
        <v>0</v>
      </c>
      <c r="P165">
        <f>VLOOKUP($A165,Outcomes!$B$3:$I$209,8,FALSE)</f>
        <v>10</v>
      </c>
      <c r="Q165">
        <f t="shared" si="18"/>
        <v>-1</v>
      </c>
      <c r="R165">
        <f>VLOOKUP($A165,Outcomes!$B$3:$I$209,5,FALSE)</f>
        <v>4</v>
      </c>
      <c r="S165">
        <f>VLOOKUP($A165,Outcomes!$B$3:$I$209,6,FALSE)</f>
        <v>6</v>
      </c>
      <c r="T165">
        <f>VLOOKUP($A165,Outcomes!$B$3:$I$209,7,FALSE)</f>
        <v>2</v>
      </c>
      <c r="U165" t="str">
        <f t="shared" si="19"/>
        <v>VisDog</v>
      </c>
      <c r="V165" s="5">
        <f t="shared" si="20"/>
        <v>1</v>
      </c>
      <c r="W165">
        <f t="shared" si="16"/>
        <v>100</v>
      </c>
      <c r="X165">
        <f t="shared" si="21"/>
        <v>205</v>
      </c>
      <c r="Y165">
        <f t="shared" si="22"/>
        <v>105</v>
      </c>
      <c r="Z165" s="2">
        <f t="shared" si="23"/>
        <v>1.05</v>
      </c>
      <c r="AA165" t="str">
        <f>VLOOKUP($A165,ScionOutput!$A$3:$BL$215,64,FALSE)</f>
        <v xml:space="preserve">823448. StatOnlyEns probability points gap does not exceed threshold (no edge found)! Play determined by LineStatEns only. </v>
      </c>
    </row>
    <row r="166" spans="1:27" x14ac:dyDescent="0.2">
      <c r="A166">
        <v>823125</v>
      </c>
      <c r="B166" s="3">
        <f>VLOOKUP($A166,ScionOutput!$A$3:$BL$215,3,FALSE)</f>
        <v>46191</v>
      </c>
      <c r="C166">
        <f>VLOOKUP($A166,ScionOutput!$A$3:$BL$215,22,FALSE)</f>
        <v>24</v>
      </c>
      <c r="D166" t="str">
        <f>VLOOKUP($A166,ScionOutput!$A$3:$BL$215,23,FALSE)</f>
        <v>SEA</v>
      </c>
      <c r="E166">
        <f>VLOOKUP($A166,ScionOutput!$A$3:$BL$215,6,FALSE)</f>
        <v>2</v>
      </c>
      <c r="F166" t="str">
        <f>VLOOKUP($A166,ScionOutput!$A$3:$BL$215,7,FALSE)</f>
        <v>BAL</v>
      </c>
      <c r="G166">
        <f>VLOOKUP($A166,ScionOutput!$A$3:$BL$215,26,FALSE)</f>
        <v>-133</v>
      </c>
      <c r="H166">
        <f>VLOOKUP($A166,ScionOutput!$A$3:$BL$215,10,FALSE)</f>
        <v>122</v>
      </c>
      <c r="I166" s="4" t="str">
        <f>VLOOKUP($A166,ScionOutput!$A$3:$BL$215,45,FALSE)</f>
        <v>HomFave</v>
      </c>
      <c r="J166" s="4">
        <f>VLOOKUP($A166,ScionOutput!$A$3:$BL$215,46,FALSE)</f>
        <v>0</v>
      </c>
      <c r="K166" t="str">
        <f>VLOOKUP($A166,ScionOutput!$A$3:$BL$215,58,FALSE)</f>
        <v>No Play</v>
      </c>
      <c r="L166">
        <f>VLOOKUP($A166,ScionOutput!$A$3:$BL$215,59,FALSE)</f>
        <v>0</v>
      </c>
      <c r="M166">
        <f>VLOOKUP($A166,ScionOutput!$A$3:$BL$215,62,FALSE)</f>
        <v>0</v>
      </c>
      <c r="N166">
        <f>VLOOKUP($A166,ScionOutput!$A$3:$BL$215,63,FALSE)</f>
        <v>0</v>
      </c>
      <c r="O166" t="b">
        <f t="shared" si="17"/>
        <v>0</v>
      </c>
      <c r="P166">
        <f>VLOOKUP($A166,Outcomes!$B$3:$I$209,8,FALSE)</f>
        <v>3</v>
      </c>
      <c r="Q166">
        <f t="shared" si="18"/>
        <v>1</v>
      </c>
      <c r="R166">
        <f>VLOOKUP($A166,Outcomes!$B$3:$I$209,5,FALSE)</f>
        <v>3</v>
      </c>
      <c r="S166">
        <f>VLOOKUP($A166,Outcomes!$B$3:$I$209,6,FALSE)</f>
        <v>0</v>
      </c>
      <c r="T166">
        <f>VLOOKUP($A166,Outcomes!$B$3:$I$209,7,FALSE)</f>
        <v>-3</v>
      </c>
      <c r="U166" t="str">
        <f t="shared" si="19"/>
        <v>HomFave</v>
      </c>
      <c r="V166" s="5" t="str">
        <f t="shared" si="20"/>
        <v/>
      </c>
      <c r="W166" t="str">
        <f t="shared" si="16"/>
        <v/>
      </c>
      <c r="X166" t="str">
        <f t="shared" si="21"/>
        <v/>
      </c>
      <c r="Y166" t="str">
        <f t="shared" si="22"/>
        <v/>
      </c>
      <c r="Z166" s="2" t="str">
        <f t="shared" si="23"/>
        <v/>
      </c>
      <c r="AA166" t="str">
        <f>VLOOKUP($A166,ScionOutput!$A$3:$BL$215,64,FALSE)</f>
        <v xml:space="preserve">823125. LineStatEns probability points gap does not exceed threshold (no edge found)! StatOnlyEns probability points gap does not exceed threshold (no edge found)! No play due to strategy constraints. </v>
      </c>
    </row>
    <row r="167" spans="1:27" x14ac:dyDescent="0.2">
      <c r="A167">
        <v>822889</v>
      </c>
      <c r="B167" s="3">
        <f>VLOOKUP($A167,ScionOutput!$A$3:$BL$215,3,FALSE)</f>
        <v>46191</v>
      </c>
      <c r="C167">
        <f>VLOOKUP($A167,ScionOutput!$A$3:$BL$215,22,FALSE)</f>
        <v>28</v>
      </c>
      <c r="D167" t="str">
        <f>VLOOKUP($A167,ScionOutput!$A$3:$BL$215,23,FALSE)</f>
        <v>TEX</v>
      </c>
      <c r="E167">
        <f>VLOOKUP($A167,ScionOutput!$A$3:$BL$215,6,FALSE)</f>
        <v>15</v>
      </c>
      <c r="F167" t="str">
        <f>VLOOKUP($A167,ScionOutput!$A$3:$BL$215,7,FALSE)</f>
        <v>MIN</v>
      </c>
      <c r="G167">
        <f>VLOOKUP($A167,ScionOutput!$A$3:$BL$215,26,FALSE)</f>
        <v>108</v>
      </c>
      <c r="H167">
        <f>VLOOKUP($A167,ScionOutput!$A$3:$BL$215,10,FALSE)</f>
        <v>-117</v>
      </c>
      <c r="I167" s="4" t="str">
        <f>VLOOKUP($A167,ScionOutput!$A$3:$BL$215,45,FALSE)</f>
        <v>VisFave</v>
      </c>
      <c r="J167" s="4">
        <f>VLOOKUP($A167,ScionOutput!$A$3:$BL$215,46,FALSE)</f>
        <v>0</v>
      </c>
      <c r="K167" t="str">
        <f>VLOOKUP($A167,ScionOutput!$A$3:$BL$215,58,FALSE)</f>
        <v>No Play</v>
      </c>
      <c r="L167">
        <f>VLOOKUP($A167,ScionOutput!$A$3:$BL$215,59,FALSE)</f>
        <v>0</v>
      </c>
      <c r="M167">
        <f>VLOOKUP($A167,ScionOutput!$A$3:$BL$215,62,FALSE)</f>
        <v>0</v>
      </c>
      <c r="N167">
        <f>VLOOKUP($A167,ScionOutput!$A$3:$BL$215,63,FALSE)</f>
        <v>0</v>
      </c>
      <c r="O167" t="b">
        <f t="shared" si="17"/>
        <v>0</v>
      </c>
      <c r="P167">
        <f>VLOOKUP($A167,Outcomes!$B$3:$I$209,8,FALSE)</f>
        <v>12</v>
      </c>
      <c r="Q167">
        <f t="shared" si="18"/>
        <v>-1</v>
      </c>
      <c r="R167">
        <f>VLOOKUP($A167,Outcomes!$B$3:$I$209,5,FALSE)</f>
        <v>3</v>
      </c>
      <c r="S167">
        <f>VLOOKUP($A167,Outcomes!$B$3:$I$209,6,FALSE)</f>
        <v>9</v>
      </c>
      <c r="T167">
        <f>VLOOKUP($A167,Outcomes!$B$3:$I$209,7,FALSE)</f>
        <v>6</v>
      </c>
      <c r="U167" t="str">
        <f t="shared" si="19"/>
        <v>VisFave</v>
      </c>
      <c r="V167" s="5" t="str">
        <f t="shared" si="20"/>
        <v/>
      </c>
      <c r="W167" t="str">
        <f t="shared" si="16"/>
        <v/>
      </c>
      <c r="X167" t="str">
        <f t="shared" si="21"/>
        <v/>
      </c>
      <c r="Y167" t="str">
        <f t="shared" si="22"/>
        <v/>
      </c>
      <c r="Z167" s="2" t="str">
        <f t="shared" si="23"/>
        <v/>
      </c>
      <c r="AA167" t="str">
        <f>VLOOKUP($A167,ScionOutput!$A$3:$BL$215,64,FALSE)</f>
        <v xml:space="preserve">822889. VF plays are disallowed. No play due to strategy constraints. </v>
      </c>
    </row>
    <row r="168" spans="1:27" x14ac:dyDescent="0.2">
      <c r="A168">
        <v>824910</v>
      </c>
      <c r="B168" s="3">
        <f>VLOOKUP($A168,ScionOutput!$A$3:$BL$215,3,FALSE)</f>
        <v>46192</v>
      </c>
      <c r="C168">
        <f>VLOOKUP($A168,ScionOutput!$A$3:$BL$215,22,FALSE)</f>
        <v>0</v>
      </c>
      <c r="D168" t="str">
        <f>VLOOKUP($A168,ScionOutput!$A$3:$BL$215,23,FALSE)</f>
        <v>ATL</v>
      </c>
      <c r="E168">
        <f>VLOOKUP($A168,ScionOutput!$A$3:$BL$215,6,FALSE)</f>
        <v>17</v>
      </c>
      <c r="F168" t="str">
        <f>VLOOKUP($A168,ScionOutput!$A$3:$BL$215,7,FALSE)</f>
        <v>MLW</v>
      </c>
      <c r="G168">
        <f>VLOOKUP($A168,ScionOutput!$A$3:$BL$215,26,FALSE)</f>
        <v>143</v>
      </c>
      <c r="H168">
        <f>VLOOKUP($A168,ScionOutput!$A$3:$BL$215,10,FALSE)</f>
        <v>-156</v>
      </c>
      <c r="I168" s="4" t="str">
        <f>VLOOKUP($A168,ScionOutput!$A$3:$BL$215,45,FALSE)</f>
        <v>VisFave</v>
      </c>
      <c r="J168" s="4">
        <f>VLOOKUP($A168,ScionOutput!$A$3:$BL$215,46,FALSE)</f>
        <v>0</v>
      </c>
      <c r="K168" t="str">
        <f>VLOOKUP($A168,ScionOutput!$A$3:$BL$215,58,FALSE)</f>
        <v>No Play</v>
      </c>
      <c r="L168">
        <f>VLOOKUP($A168,ScionOutput!$A$3:$BL$215,59,FALSE)</f>
        <v>0</v>
      </c>
      <c r="M168">
        <f>VLOOKUP($A168,ScionOutput!$A$3:$BL$215,62,FALSE)</f>
        <v>0</v>
      </c>
      <c r="N168">
        <f>VLOOKUP($A168,ScionOutput!$A$3:$BL$215,63,FALSE)</f>
        <v>0</v>
      </c>
      <c r="O168" t="b">
        <f t="shared" si="17"/>
        <v>0</v>
      </c>
      <c r="P168">
        <f>VLOOKUP($A168,Outcomes!$B$3:$I$209,8,FALSE)</f>
        <v>5</v>
      </c>
      <c r="Q168">
        <f t="shared" si="18"/>
        <v>1</v>
      </c>
      <c r="R168">
        <f>VLOOKUP($A168,Outcomes!$B$3:$I$209,5,FALSE)</f>
        <v>3</v>
      </c>
      <c r="S168">
        <f>VLOOKUP($A168,Outcomes!$B$3:$I$209,6,FALSE)</f>
        <v>2</v>
      </c>
      <c r="T168">
        <f>VLOOKUP($A168,Outcomes!$B$3:$I$209,7,FALSE)</f>
        <v>-1</v>
      </c>
      <c r="U168" t="str">
        <f t="shared" si="19"/>
        <v>HomDog</v>
      </c>
      <c r="V168" s="5" t="str">
        <f t="shared" si="20"/>
        <v/>
      </c>
      <c r="W168" t="str">
        <f t="shared" si="16"/>
        <v/>
      </c>
      <c r="X168" t="str">
        <f t="shared" si="21"/>
        <v/>
      </c>
      <c r="Y168" t="str">
        <f t="shared" si="22"/>
        <v/>
      </c>
      <c r="Z168" s="2" t="str">
        <f t="shared" si="23"/>
        <v/>
      </c>
      <c r="AA168" t="str">
        <f>VLOOKUP($A168,ScionOutput!$A$3:$BL$215,64,FALSE)</f>
        <v xml:space="preserve">824910. VF plays are disallowed. No play due to strategy constraints. </v>
      </c>
    </row>
    <row r="169" spans="1:27" x14ac:dyDescent="0.2">
      <c r="A169">
        <v>825069</v>
      </c>
      <c r="B169" s="3">
        <f>VLOOKUP($A169,ScionOutput!$A$3:$BL$215,3,FALSE)</f>
        <v>46192</v>
      </c>
      <c r="C169">
        <f>VLOOKUP($A169,ScionOutput!$A$3:$BL$215,22,FALSE)</f>
        <v>1</v>
      </c>
      <c r="D169" t="str">
        <f>VLOOKUP($A169,ScionOutput!$A$3:$BL$215,23,FALSE)</f>
        <v>ARZ</v>
      </c>
      <c r="E169">
        <f>VLOOKUP($A169,ScionOutput!$A$3:$BL$215,6,FALSE)</f>
        <v>15</v>
      </c>
      <c r="F169" t="str">
        <f>VLOOKUP($A169,ScionOutput!$A$3:$BL$215,7,FALSE)</f>
        <v>MIN</v>
      </c>
      <c r="G169">
        <f>VLOOKUP($A169,ScionOutput!$A$3:$BL$215,26,FALSE)</f>
        <v>-165</v>
      </c>
      <c r="H169">
        <f>VLOOKUP($A169,ScionOutput!$A$3:$BL$215,10,FALSE)</f>
        <v>152</v>
      </c>
      <c r="I169" s="4" t="str">
        <f>VLOOKUP($A169,ScionOutput!$A$3:$BL$215,45,FALSE)</f>
        <v>HomFave</v>
      </c>
      <c r="J169" s="4">
        <f>VLOOKUP($A169,ScionOutput!$A$3:$BL$215,46,FALSE)</f>
        <v>0</v>
      </c>
      <c r="K169" t="str">
        <f>VLOOKUP($A169,ScionOutput!$A$3:$BL$215,58,FALSE)</f>
        <v>No Play</v>
      </c>
      <c r="L169">
        <f>VLOOKUP($A169,ScionOutput!$A$3:$BL$215,59,FALSE)</f>
        <v>0</v>
      </c>
      <c r="M169">
        <f>VLOOKUP($A169,ScionOutput!$A$3:$BL$215,62,FALSE)</f>
        <v>0</v>
      </c>
      <c r="N169">
        <f>VLOOKUP($A169,ScionOutput!$A$3:$BL$215,63,FALSE)</f>
        <v>0</v>
      </c>
      <c r="O169" t="b">
        <f t="shared" si="17"/>
        <v>0</v>
      </c>
      <c r="P169">
        <f>VLOOKUP($A169,Outcomes!$B$3:$I$209,8,FALSE)</f>
        <v>14</v>
      </c>
      <c r="Q169">
        <f t="shared" si="18"/>
        <v>1</v>
      </c>
      <c r="R169">
        <f>VLOOKUP($A169,Outcomes!$B$3:$I$209,5,FALSE)</f>
        <v>9</v>
      </c>
      <c r="S169">
        <f>VLOOKUP($A169,Outcomes!$B$3:$I$209,6,FALSE)</f>
        <v>5</v>
      </c>
      <c r="T169">
        <f>VLOOKUP($A169,Outcomes!$B$3:$I$209,7,FALSE)</f>
        <v>-4</v>
      </c>
      <c r="U169" t="str">
        <f t="shared" si="19"/>
        <v>HomFave</v>
      </c>
      <c r="V169" s="5" t="str">
        <f t="shared" si="20"/>
        <v/>
      </c>
      <c r="W169" t="str">
        <f t="shared" si="16"/>
        <v/>
      </c>
      <c r="X169" t="str">
        <f t="shared" si="21"/>
        <v/>
      </c>
      <c r="Y169" t="str">
        <f t="shared" si="22"/>
        <v/>
      </c>
      <c r="Z169" s="2" t="str">
        <f t="shared" si="23"/>
        <v/>
      </c>
      <c r="AA169" t="str">
        <f>VLOOKUP($A169,ScionOutput!$A$3:$BL$215,64,FALSE)</f>
        <v xml:space="preserve">825069. LineStatEns is NoPlay as bookie-line outside range. StatOnlyEns is NoPlay as bookie-line outside range. No play due to strategy constraints. </v>
      </c>
    </row>
    <row r="170" spans="1:27" x14ac:dyDescent="0.2">
      <c r="A170">
        <v>824663</v>
      </c>
      <c r="B170" s="3">
        <f>VLOOKUP($A170,ScionOutput!$A$3:$BL$215,3,FALSE)</f>
        <v>46192</v>
      </c>
      <c r="C170">
        <f>VLOOKUP($A170,ScionOutput!$A$3:$BL$215,22,FALSE)</f>
        <v>5</v>
      </c>
      <c r="D170" t="str">
        <f>VLOOKUP($A170,ScionOutput!$A$3:$BL$215,23,FALSE)</f>
        <v>CHC</v>
      </c>
      <c r="E170">
        <f>VLOOKUP($A170,ScionOutput!$A$3:$BL$215,6,FALSE)</f>
        <v>29</v>
      </c>
      <c r="F170" t="str">
        <f>VLOOKUP($A170,ScionOutput!$A$3:$BL$215,7,FALSE)</f>
        <v>TOR</v>
      </c>
      <c r="G170">
        <f>VLOOKUP($A170,ScionOutput!$A$3:$BL$215,26,FALSE)</f>
        <v>-120</v>
      </c>
      <c r="H170">
        <f>VLOOKUP($A170,ScionOutput!$A$3:$BL$215,10,FALSE)</f>
        <v>111</v>
      </c>
      <c r="I170" s="4" t="str">
        <f>VLOOKUP($A170,ScionOutput!$A$3:$BL$215,45,FALSE)</f>
        <v>HomFave</v>
      </c>
      <c r="J170" s="4">
        <f>VLOOKUP($A170,ScionOutput!$A$3:$BL$215,46,FALSE)</f>
        <v>0</v>
      </c>
      <c r="K170" t="str">
        <f>VLOOKUP($A170,ScionOutput!$A$3:$BL$215,58,FALSE)</f>
        <v>No Play</v>
      </c>
      <c r="L170">
        <f>VLOOKUP($A170,ScionOutput!$A$3:$BL$215,59,FALSE)</f>
        <v>0</v>
      </c>
      <c r="M170">
        <f>VLOOKUP($A170,ScionOutput!$A$3:$BL$215,62,FALSE)</f>
        <v>0</v>
      </c>
      <c r="N170">
        <f>VLOOKUP($A170,ScionOutput!$A$3:$BL$215,63,FALSE)</f>
        <v>0</v>
      </c>
      <c r="O170" t="b">
        <f t="shared" si="17"/>
        <v>0</v>
      </c>
      <c r="P170">
        <f>VLOOKUP($A170,Outcomes!$B$3:$I$209,8,FALSE)</f>
        <v>18</v>
      </c>
      <c r="Q170">
        <f t="shared" si="18"/>
        <v>1</v>
      </c>
      <c r="R170">
        <f>VLOOKUP($A170,Outcomes!$B$3:$I$209,5,FALSE)</f>
        <v>16</v>
      </c>
      <c r="S170">
        <f>VLOOKUP($A170,Outcomes!$B$3:$I$209,6,FALSE)</f>
        <v>2</v>
      </c>
      <c r="T170">
        <f>VLOOKUP($A170,Outcomes!$B$3:$I$209,7,FALSE)</f>
        <v>-14</v>
      </c>
      <c r="U170" t="str">
        <f t="shared" si="19"/>
        <v>HomFave</v>
      </c>
      <c r="V170" s="5" t="str">
        <f t="shared" si="20"/>
        <v/>
      </c>
      <c r="W170" t="str">
        <f t="shared" si="16"/>
        <v/>
      </c>
      <c r="X170" t="str">
        <f t="shared" si="21"/>
        <v/>
      </c>
      <c r="Y170" t="str">
        <f t="shared" si="22"/>
        <v/>
      </c>
      <c r="Z170" s="2" t="str">
        <f t="shared" si="23"/>
        <v/>
      </c>
      <c r="AA170" t="str">
        <f>VLOOKUP($A170,ScionOutput!$A$3:$BL$215,64,FALSE)</f>
        <v xml:space="preserve">824663. LineStatEns probability points gap does not exceed threshold (no edge found)! StatOnlyEns probability points gap does not exceed threshold (no edge found)! No play due to strategy constraints. </v>
      </c>
    </row>
    <row r="171" spans="1:27" x14ac:dyDescent="0.2">
      <c r="A171">
        <v>824345</v>
      </c>
      <c r="B171" s="3">
        <f>VLOOKUP($A171,ScionOutput!$A$3:$BL$215,3,FALSE)</f>
        <v>46192</v>
      </c>
      <c r="C171">
        <f>VLOOKUP($A171,ScionOutput!$A$3:$BL$215,22,FALSE)</f>
        <v>8</v>
      </c>
      <c r="D171" t="str">
        <f>VLOOKUP($A171,ScionOutput!$A$3:$BL$215,23,FALSE)</f>
        <v>COL</v>
      </c>
      <c r="E171">
        <f>VLOOKUP($A171,ScionOutput!$A$3:$BL$215,6,FALSE)</f>
        <v>22</v>
      </c>
      <c r="F171" t="str">
        <f>VLOOKUP($A171,ScionOutput!$A$3:$BL$215,7,FALSE)</f>
        <v>PIT</v>
      </c>
      <c r="G171">
        <f>VLOOKUP($A171,ScionOutput!$A$3:$BL$215,26,FALSE)</f>
        <v>122</v>
      </c>
      <c r="H171">
        <f>VLOOKUP($A171,ScionOutput!$A$3:$BL$215,10,FALSE)</f>
        <v>-132</v>
      </c>
      <c r="I171" s="4" t="str">
        <f>VLOOKUP($A171,ScionOutput!$A$3:$BL$215,45,FALSE)</f>
        <v>VisFave</v>
      </c>
      <c r="J171" s="4">
        <f>VLOOKUP($A171,ScionOutput!$A$3:$BL$215,46,FALSE)</f>
        <v>0</v>
      </c>
      <c r="K171" t="str">
        <f>VLOOKUP($A171,ScionOutput!$A$3:$BL$215,58,FALSE)</f>
        <v>No Play</v>
      </c>
      <c r="L171">
        <f>VLOOKUP($A171,ScionOutput!$A$3:$BL$215,59,FALSE)</f>
        <v>0</v>
      </c>
      <c r="M171">
        <f>VLOOKUP($A171,ScionOutput!$A$3:$BL$215,62,FALSE)</f>
        <v>0</v>
      </c>
      <c r="N171">
        <f>VLOOKUP($A171,ScionOutput!$A$3:$BL$215,63,FALSE)</f>
        <v>0</v>
      </c>
      <c r="O171" t="b">
        <f t="shared" si="17"/>
        <v>0</v>
      </c>
      <c r="P171">
        <f>VLOOKUP($A171,Outcomes!$B$3:$I$209,8,FALSE)</f>
        <v>7</v>
      </c>
      <c r="Q171">
        <f t="shared" si="18"/>
        <v>1</v>
      </c>
      <c r="R171">
        <f>VLOOKUP($A171,Outcomes!$B$3:$I$209,5,FALSE)</f>
        <v>4</v>
      </c>
      <c r="S171">
        <f>VLOOKUP($A171,Outcomes!$B$3:$I$209,6,FALSE)</f>
        <v>3</v>
      </c>
      <c r="T171">
        <f>VLOOKUP($A171,Outcomes!$B$3:$I$209,7,FALSE)</f>
        <v>-1</v>
      </c>
      <c r="U171" t="str">
        <f t="shared" si="19"/>
        <v>HomDog</v>
      </c>
      <c r="V171" s="5" t="str">
        <f t="shared" si="20"/>
        <v/>
      </c>
      <c r="W171" t="str">
        <f t="shared" si="16"/>
        <v/>
      </c>
      <c r="X171" t="str">
        <f t="shared" si="21"/>
        <v/>
      </c>
      <c r="Y171" t="str">
        <f t="shared" si="22"/>
        <v/>
      </c>
      <c r="Z171" s="2" t="str">
        <f t="shared" si="23"/>
        <v/>
      </c>
      <c r="AA171" t="str">
        <f>VLOOKUP($A171,ScionOutput!$A$3:$BL$215,64,FALSE)</f>
        <v xml:space="preserve">824345. VF plays are disallowed. No play due to strategy constraints. </v>
      </c>
    </row>
    <row r="172" spans="1:27" x14ac:dyDescent="0.2">
      <c r="A172">
        <v>824264</v>
      </c>
      <c r="B172" s="3">
        <f>VLOOKUP($A172,ScionOutput!$A$3:$BL$215,3,FALSE)</f>
        <v>46192</v>
      </c>
      <c r="C172">
        <f>VLOOKUP($A172,ScionOutput!$A$3:$BL$215,22,FALSE)</f>
        <v>10</v>
      </c>
      <c r="D172" t="str">
        <f>VLOOKUP($A172,ScionOutput!$A$3:$BL$215,23,FALSE)</f>
        <v>DET</v>
      </c>
      <c r="E172">
        <f>VLOOKUP($A172,ScionOutput!$A$3:$BL$215,6,FALSE)</f>
        <v>9</v>
      </c>
      <c r="F172" t="str">
        <f>VLOOKUP($A172,ScionOutput!$A$3:$BL$215,7,FALSE)</f>
        <v>CWS</v>
      </c>
      <c r="G172">
        <f>VLOOKUP($A172,ScionOutput!$A$3:$BL$215,26,FALSE)</f>
        <v>-182</v>
      </c>
      <c r="H172">
        <f>VLOOKUP($A172,ScionOutput!$A$3:$BL$215,10,FALSE)</f>
        <v>166</v>
      </c>
      <c r="I172" s="4" t="str">
        <f>VLOOKUP($A172,ScionOutput!$A$3:$BL$215,45,FALSE)</f>
        <v>VisDog</v>
      </c>
      <c r="J172" s="4">
        <f>VLOOKUP($A172,ScionOutput!$A$3:$BL$215,46,FALSE)</f>
        <v>0</v>
      </c>
      <c r="K172" t="str">
        <f>VLOOKUP($A172,ScionOutput!$A$3:$BL$215,58,FALSE)</f>
        <v>No Play</v>
      </c>
      <c r="L172">
        <f>VLOOKUP($A172,ScionOutput!$A$3:$BL$215,59,FALSE)</f>
        <v>0</v>
      </c>
      <c r="M172">
        <f>VLOOKUP($A172,ScionOutput!$A$3:$BL$215,62,FALSE)</f>
        <v>0</v>
      </c>
      <c r="N172">
        <f>VLOOKUP($A172,ScionOutput!$A$3:$BL$215,63,FALSE)</f>
        <v>0</v>
      </c>
      <c r="O172" t="b">
        <f t="shared" si="17"/>
        <v>0</v>
      </c>
      <c r="P172">
        <f>VLOOKUP($A172,Outcomes!$B$3:$I$209,8,FALSE)</f>
        <v>7</v>
      </c>
      <c r="Q172">
        <f t="shared" si="18"/>
        <v>1</v>
      </c>
      <c r="R172">
        <f>VLOOKUP($A172,Outcomes!$B$3:$I$209,5,FALSE)</f>
        <v>4</v>
      </c>
      <c r="S172">
        <f>VLOOKUP($A172,Outcomes!$B$3:$I$209,6,FALSE)</f>
        <v>3</v>
      </c>
      <c r="T172">
        <f>VLOOKUP($A172,Outcomes!$B$3:$I$209,7,FALSE)</f>
        <v>-1</v>
      </c>
      <c r="U172" t="str">
        <f t="shared" si="19"/>
        <v>HomFave</v>
      </c>
      <c r="V172" s="5" t="str">
        <f t="shared" si="20"/>
        <v/>
      </c>
      <c r="W172" t="str">
        <f t="shared" si="16"/>
        <v/>
      </c>
      <c r="X172" t="str">
        <f t="shared" si="21"/>
        <v/>
      </c>
      <c r="Y172" t="str">
        <f t="shared" si="22"/>
        <v/>
      </c>
      <c r="Z172" s="2" t="str">
        <f t="shared" si="23"/>
        <v/>
      </c>
      <c r="AA172" t="str">
        <f>VLOOKUP($A172,ScionOutput!$A$3:$BL$215,64,FALSE)</f>
        <v xml:space="preserve">824264. LineStatEns is NoPlay as bookie-line outside range. StatOnlyEns is NoPlay as bookie-line outside range. No play due to strategy constraints. </v>
      </c>
    </row>
    <row r="173" spans="1:27" x14ac:dyDescent="0.2">
      <c r="A173">
        <v>823853</v>
      </c>
      <c r="B173" s="3">
        <f>VLOOKUP($A173,ScionOutput!$A$3:$BL$215,3,FALSE)</f>
        <v>46192</v>
      </c>
      <c r="C173">
        <f>VLOOKUP($A173,ScionOutput!$A$3:$BL$215,22,FALSE)</f>
        <v>11</v>
      </c>
      <c r="D173" t="str">
        <f>VLOOKUP($A173,ScionOutput!$A$3:$BL$215,23,FALSE)</f>
        <v>FLO</v>
      </c>
      <c r="E173">
        <f>VLOOKUP($A173,ScionOutput!$A$3:$BL$215,6,FALSE)</f>
        <v>25</v>
      </c>
      <c r="F173" t="str">
        <f>VLOOKUP($A173,ScionOutput!$A$3:$BL$215,7,FALSE)</f>
        <v>SF</v>
      </c>
      <c r="G173">
        <f>VLOOKUP($A173,ScionOutput!$A$3:$BL$215,26,FALSE)</f>
        <v>-111</v>
      </c>
      <c r="H173">
        <f>VLOOKUP($A173,ScionOutput!$A$3:$BL$215,10,FALSE)</f>
        <v>103</v>
      </c>
      <c r="I173" s="4" t="str">
        <f>VLOOKUP($A173,ScionOutput!$A$3:$BL$215,45,FALSE)</f>
        <v>HomFave</v>
      </c>
      <c r="J173" s="4">
        <f>VLOOKUP($A173,ScionOutput!$A$3:$BL$215,46,FALSE)</f>
        <v>0</v>
      </c>
      <c r="K173" t="str">
        <f>VLOOKUP($A173,ScionOutput!$A$3:$BL$215,58,FALSE)</f>
        <v>No Play</v>
      </c>
      <c r="L173">
        <f>VLOOKUP($A173,ScionOutput!$A$3:$BL$215,59,FALSE)</f>
        <v>0</v>
      </c>
      <c r="M173">
        <f>VLOOKUP($A173,ScionOutput!$A$3:$BL$215,62,FALSE)</f>
        <v>0</v>
      </c>
      <c r="N173">
        <f>VLOOKUP($A173,ScionOutput!$A$3:$BL$215,63,FALSE)</f>
        <v>0</v>
      </c>
      <c r="O173" t="b">
        <f t="shared" si="17"/>
        <v>0</v>
      </c>
      <c r="P173">
        <f>VLOOKUP($A173,Outcomes!$B$3:$I$209,8,FALSE)</f>
        <v>7</v>
      </c>
      <c r="Q173">
        <f t="shared" si="18"/>
        <v>1</v>
      </c>
      <c r="R173">
        <f>VLOOKUP($A173,Outcomes!$B$3:$I$209,5,FALSE)</f>
        <v>4</v>
      </c>
      <c r="S173">
        <f>VLOOKUP($A173,Outcomes!$B$3:$I$209,6,FALSE)</f>
        <v>3</v>
      </c>
      <c r="T173">
        <f>VLOOKUP($A173,Outcomes!$B$3:$I$209,7,FALSE)</f>
        <v>-1</v>
      </c>
      <c r="U173" t="str">
        <f t="shared" si="19"/>
        <v>HomFave</v>
      </c>
      <c r="V173" s="5" t="str">
        <f t="shared" si="20"/>
        <v/>
      </c>
      <c r="W173" t="str">
        <f t="shared" si="16"/>
        <v/>
      </c>
      <c r="X173" t="str">
        <f t="shared" si="21"/>
        <v/>
      </c>
      <c r="Y173" t="str">
        <f t="shared" si="22"/>
        <v/>
      </c>
      <c r="Z173" s="2" t="str">
        <f t="shared" si="23"/>
        <v/>
      </c>
      <c r="AA173" t="str">
        <f>VLOOKUP($A173,ScionOutput!$A$3:$BL$215,64,FALSE)</f>
        <v xml:space="preserve">823853. LineStatEns probability points gap does not exceed threshold (no edge found)! StatOnlyEns probability points gap does not exceed threshold (no edge found)! No play due to strategy constraints. </v>
      </c>
    </row>
    <row r="174" spans="1:27" x14ac:dyDescent="0.2">
      <c r="A174">
        <v>824179</v>
      </c>
      <c r="B174" s="3">
        <f>VLOOKUP($A174,ScionOutput!$A$3:$BL$215,3,FALSE)</f>
        <v>46192</v>
      </c>
      <c r="C174">
        <f>VLOOKUP($A174,ScionOutput!$A$3:$BL$215,22,FALSE)</f>
        <v>12</v>
      </c>
      <c r="D174" t="str">
        <f>VLOOKUP($A174,ScionOutput!$A$3:$BL$215,23,FALSE)</f>
        <v>HOU</v>
      </c>
      <c r="E174">
        <f>VLOOKUP($A174,ScionOutput!$A$3:$BL$215,6,FALSE)</f>
        <v>7</v>
      </c>
      <c r="F174" t="str">
        <f>VLOOKUP($A174,ScionOutput!$A$3:$BL$215,7,FALSE)</f>
        <v>CLE</v>
      </c>
      <c r="G174">
        <f>VLOOKUP($A174,ScionOutput!$A$3:$BL$215,26,FALSE)</f>
        <v>-121</v>
      </c>
      <c r="H174">
        <f>VLOOKUP($A174,ScionOutput!$A$3:$BL$215,10,FALSE)</f>
        <v>111</v>
      </c>
      <c r="I174" s="4" t="str">
        <f>VLOOKUP($A174,ScionOutput!$A$3:$BL$215,45,FALSE)</f>
        <v>VisDog</v>
      </c>
      <c r="J174" s="4">
        <f>VLOOKUP($A174,ScionOutput!$A$3:$BL$215,46,FALSE)</f>
        <v>1</v>
      </c>
      <c r="K174" t="str">
        <f>VLOOKUP($A174,ScionOutput!$A$3:$BL$215,58,FALSE)</f>
        <v>VisDog</v>
      </c>
      <c r="L174">
        <f>VLOOKUP($A174,ScionOutput!$A$3:$BL$215,59,FALSE)</f>
        <v>-5.602E-2</v>
      </c>
      <c r="M174">
        <f>VLOOKUP($A174,ScionOutput!$A$3:$BL$215,62,FALSE)</f>
        <v>5</v>
      </c>
      <c r="N174">
        <f>VLOOKUP($A174,ScionOutput!$A$3:$BL$215,63,FALSE)</f>
        <v>0.67</v>
      </c>
      <c r="O174" t="b">
        <f t="shared" si="17"/>
        <v>1</v>
      </c>
      <c r="P174">
        <f>VLOOKUP($A174,Outcomes!$B$3:$I$209,8,FALSE)</f>
        <v>12</v>
      </c>
      <c r="Q174">
        <f t="shared" si="18"/>
        <v>1</v>
      </c>
      <c r="R174">
        <f>VLOOKUP($A174,Outcomes!$B$3:$I$209,5,FALSE)</f>
        <v>9</v>
      </c>
      <c r="S174">
        <f>VLOOKUP($A174,Outcomes!$B$3:$I$209,6,FALSE)</f>
        <v>3</v>
      </c>
      <c r="T174">
        <f>VLOOKUP($A174,Outcomes!$B$3:$I$209,7,FALSE)</f>
        <v>-6</v>
      </c>
      <c r="U174" t="str">
        <f t="shared" si="19"/>
        <v>HomFave</v>
      </c>
      <c r="V174" s="5">
        <f t="shared" si="20"/>
        <v>0</v>
      </c>
      <c r="W174">
        <f t="shared" si="16"/>
        <v>100</v>
      </c>
      <c r="X174">
        <f t="shared" si="21"/>
        <v>0</v>
      </c>
      <c r="Y174">
        <f t="shared" si="22"/>
        <v>-100</v>
      </c>
      <c r="Z174" s="2">
        <f t="shared" si="23"/>
        <v>-1</v>
      </c>
      <c r="AA174" t="str">
        <f>VLOOKUP($A174,ScionOutput!$A$3:$BL$215,64,FALSE)</f>
        <v xml:space="preserve">824179. Play determined by LineStatEns and StatOnlyEns agreement. </v>
      </c>
    </row>
    <row r="175" spans="1:27" x14ac:dyDescent="0.2">
      <c r="A175">
        <v>824097</v>
      </c>
      <c r="B175" s="3">
        <f>VLOOKUP($A175,ScionOutput!$A$3:$BL$215,3,FALSE)</f>
        <v>46192</v>
      </c>
      <c r="C175">
        <f>VLOOKUP($A175,ScionOutput!$A$3:$BL$215,22,FALSE)</f>
        <v>13</v>
      </c>
      <c r="D175" t="str">
        <f>VLOOKUP($A175,ScionOutput!$A$3:$BL$215,23,FALSE)</f>
        <v>KC</v>
      </c>
      <c r="E175">
        <f>VLOOKUP($A175,ScionOutput!$A$3:$BL$215,6,FALSE)</f>
        <v>26</v>
      </c>
      <c r="F175" t="str">
        <f>VLOOKUP($A175,ScionOutput!$A$3:$BL$215,7,FALSE)</f>
        <v>STL</v>
      </c>
      <c r="G175">
        <f>VLOOKUP($A175,ScionOutput!$A$3:$BL$215,26,FALSE)</f>
        <v>105</v>
      </c>
      <c r="H175">
        <f>VLOOKUP($A175,ScionOutput!$A$3:$BL$215,10,FALSE)</f>
        <v>-114</v>
      </c>
      <c r="I175" s="4" t="str">
        <f>VLOOKUP($A175,ScionOutput!$A$3:$BL$215,45,FALSE)</f>
        <v>VisFave</v>
      </c>
      <c r="J175" s="4">
        <f>VLOOKUP($A175,ScionOutput!$A$3:$BL$215,46,FALSE)</f>
        <v>0</v>
      </c>
      <c r="K175" t="str">
        <f>VLOOKUP($A175,ScionOutput!$A$3:$BL$215,58,FALSE)</f>
        <v>No Play</v>
      </c>
      <c r="L175">
        <f>VLOOKUP($A175,ScionOutput!$A$3:$BL$215,59,FALSE)</f>
        <v>0</v>
      </c>
      <c r="M175">
        <f>VLOOKUP($A175,ScionOutput!$A$3:$BL$215,62,FALSE)</f>
        <v>0</v>
      </c>
      <c r="N175">
        <f>VLOOKUP($A175,ScionOutput!$A$3:$BL$215,63,FALSE)</f>
        <v>0</v>
      </c>
      <c r="O175" t="b">
        <f t="shared" si="17"/>
        <v>0</v>
      </c>
      <c r="P175">
        <f>VLOOKUP($A175,Outcomes!$B$3:$I$209,8,FALSE)</f>
        <v>11</v>
      </c>
      <c r="Q175">
        <f t="shared" si="18"/>
        <v>1</v>
      </c>
      <c r="R175">
        <f>VLOOKUP($A175,Outcomes!$B$3:$I$209,5,FALSE)</f>
        <v>6</v>
      </c>
      <c r="S175">
        <f>VLOOKUP($A175,Outcomes!$B$3:$I$209,6,FALSE)</f>
        <v>5</v>
      </c>
      <c r="T175">
        <f>VLOOKUP($A175,Outcomes!$B$3:$I$209,7,FALSE)</f>
        <v>-1</v>
      </c>
      <c r="U175" t="str">
        <f t="shared" si="19"/>
        <v>HomDog</v>
      </c>
      <c r="V175" s="5" t="str">
        <f t="shared" si="20"/>
        <v/>
      </c>
      <c r="W175" t="str">
        <f t="shared" si="16"/>
        <v/>
      </c>
      <c r="X175" t="str">
        <f t="shared" si="21"/>
        <v/>
      </c>
      <c r="Y175" t="str">
        <f t="shared" si="22"/>
        <v/>
      </c>
      <c r="Z175" s="2" t="str">
        <f t="shared" si="23"/>
        <v/>
      </c>
      <c r="AA175" t="str">
        <f>VLOOKUP($A175,ScionOutput!$A$3:$BL$215,64,FALSE)</f>
        <v xml:space="preserve">824097. VF plays are disallowed. No play due to strategy constraints. </v>
      </c>
    </row>
    <row r="176" spans="1:27" x14ac:dyDescent="0.2">
      <c r="A176">
        <v>823936</v>
      </c>
      <c r="B176" s="3">
        <f>VLOOKUP($A176,ScionOutput!$A$3:$BL$215,3,FALSE)</f>
        <v>46192</v>
      </c>
      <c r="C176">
        <f>VLOOKUP($A176,ScionOutput!$A$3:$BL$215,22,FALSE)</f>
        <v>14</v>
      </c>
      <c r="D176" t="str">
        <f>VLOOKUP($A176,ScionOutput!$A$3:$BL$215,23,FALSE)</f>
        <v>LA</v>
      </c>
      <c r="E176">
        <f>VLOOKUP($A176,ScionOutput!$A$3:$BL$215,6,FALSE)</f>
        <v>2</v>
      </c>
      <c r="F176" t="str">
        <f>VLOOKUP($A176,ScionOutput!$A$3:$BL$215,7,FALSE)</f>
        <v>BAL</v>
      </c>
      <c r="G176">
        <f>VLOOKUP($A176,ScionOutput!$A$3:$BL$215,26,FALSE)</f>
        <v>-206</v>
      </c>
      <c r="H176">
        <f>VLOOKUP($A176,ScionOutput!$A$3:$BL$215,10,FALSE)</f>
        <v>187</v>
      </c>
      <c r="I176" s="4" t="str">
        <f>VLOOKUP($A176,ScionOutput!$A$3:$BL$215,45,FALSE)</f>
        <v>HomFave</v>
      </c>
      <c r="J176" s="4">
        <f>VLOOKUP($A176,ScionOutput!$A$3:$BL$215,46,FALSE)</f>
        <v>0</v>
      </c>
      <c r="K176" t="str">
        <f>VLOOKUP($A176,ScionOutput!$A$3:$BL$215,58,FALSE)</f>
        <v>No Play</v>
      </c>
      <c r="L176">
        <f>VLOOKUP($A176,ScionOutput!$A$3:$BL$215,59,FALSE)</f>
        <v>0</v>
      </c>
      <c r="M176">
        <f>VLOOKUP($A176,ScionOutput!$A$3:$BL$215,62,FALSE)</f>
        <v>0</v>
      </c>
      <c r="N176">
        <f>VLOOKUP($A176,ScionOutput!$A$3:$BL$215,63,FALSE)</f>
        <v>0</v>
      </c>
      <c r="O176" t="b">
        <f t="shared" si="17"/>
        <v>0</v>
      </c>
      <c r="P176">
        <f>VLOOKUP($A176,Outcomes!$B$3:$I$209,8,FALSE)</f>
        <v>11</v>
      </c>
      <c r="Q176">
        <f t="shared" si="18"/>
        <v>1</v>
      </c>
      <c r="R176">
        <f>VLOOKUP($A176,Outcomes!$B$3:$I$209,5,FALSE)</f>
        <v>6</v>
      </c>
      <c r="S176">
        <f>VLOOKUP($A176,Outcomes!$B$3:$I$209,6,FALSE)</f>
        <v>5</v>
      </c>
      <c r="T176">
        <f>VLOOKUP($A176,Outcomes!$B$3:$I$209,7,FALSE)</f>
        <v>-1</v>
      </c>
      <c r="U176" t="str">
        <f t="shared" si="19"/>
        <v>HomFave</v>
      </c>
      <c r="V176" s="5" t="str">
        <f t="shared" si="20"/>
        <v/>
      </c>
      <c r="W176" t="str">
        <f t="shared" si="16"/>
        <v/>
      </c>
      <c r="X176" t="str">
        <f t="shared" si="21"/>
        <v/>
      </c>
      <c r="Y176" t="str">
        <f t="shared" si="22"/>
        <v/>
      </c>
      <c r="Z176" s="2" t="str">
        <f t="shared" si="23"/>
        <v/>
      </c>
      <c r="AA176" t="str">
        <f>VLOOKUP($A176,ScionOutput!$A$3:$BL$215,64,FALSE)</f>
        <v xml:space="preserve">823936. LineStatEns is NoPlay as bookie-line outside range. StatOnlyEns is NoPlay as bookie-line outside range. No play due to strategy constraints. </v>
      </c>
    </row>
    <row r="177" spans="1:27" x14ac:dyDescent="0.2">
      <c r="A177">
        <v>823534</v>
      </c>
      <c r="B177" s="3">
        <f>VLOOKUP($A177,ScionOutput!$A$3:$BL$215,3,FALSE)</f>
        <v>46192</v>
      </c>
      <c r="C177">
        <f>VLOOKUP($A177,ScionOutput!$A$3:$BL$215,22,FALSE)</f>
        <v>19</v>
      </c>
      <c r="D177" t="str">
        <f>VLOOKUP($A177,ScionOutput!$A$3:$BL$215,23,FALSE)</f>
        <v>NYY</v>
      </c>
      <c r="E177">
        <f>VLOOKUP($A177,ScionOutput!$A$3:$BL$215,6,FALSE)</f>
        <v>6</v>
      </c>
      <c r="F177" t="str">
        <f>VLOOKUP($A177,ScionOutput!$A$3:$BL$215,7,FALSE)</f>
        <v>CIN</v>
      </c>
      <c r="G177">
        <f>VLOOKUP($A177,ScionOutput!$A$3:$BL$215,26,FALSE)</f>
        <v>-269</v>
      </c>
      <c r="H177">
        <f>VLOOKUP($A177,ScionOutput!$A$3:$BL$215,10,FALSE)</f>
        <v>240</v>
      </c>
      <c r="I177" s="4" t="str">
        <f>VLOOKUP($A177,ScionOutput!$A$3:$BL$215,45,FALSE)</f>
        <v>HomFave</v>
      </c>
      <c r="J177" s="4">
        <f>VLOOKUP($A177,ScionOutput!$A$3:$BL$215,46,FALSE)</f>
        <v>0</v>
      </c>
      <c r="K177" t="str">
        <f>VLOOKUP($A177,ScionOutput!$A$3:$BL$215,58,FALSE)</f>
        <v>No Play</v>
      </c>
      <c r="L177">
        <f>VLOOKUP($A177,ScionOutput!$A$3:$BL$215,59,FALSE)</f>
        <v>0</v>
      </c>
      <c r="M177">
        <f>VLOOKUP($A177,ScionOutput!$A$3:$BL$215,62,FALSE)</f>
        <v>0</v>
      </c>
      <c r="N177">
        <f>VLOOKUP($A177,ScionOutput!$A$3:$BL$215,63,FALSE)</f>
        <v>0</v>
      </c>
      <c r="O177" t="b">
        <f t="shared" si="17"/>
        <v>0</v>
      </c>
      <c r="P177">
        <f>VLOOKUP($A177,Outcomes!$B$3:$I$209,8,FALSE)</f>
        <v>5</v>
      </c>
      <c r="Q177">
        <f t="shared" si="18"/>
        <v>1</v>
      </c>
      <c r="R177">
        <f>VLOOKUP($A177,Outcomes!$B$3:$I$209,5,FALSE)</f>
        <v>5</v>
      </c>
      <c r="S177">
        <f>VLOOKUP($A177,Outcomes!$B$3:$I$209,6,FALSE)</f>
        <v>0</v>
      </c>
      <c r="T177">
        <f>VLOOKUP($A177,Outcomes!$B$3:$I$209,7,FALSE)</f>
        <v>-5</v>
      </c>
      <c r="U177" t="str">
        <f t="shared" si="19"/>
        <v>HomFave</v>
      </c>
      <c r="V177" s="5" t="str">
        <f t="shared" si="20"/>
        <v/>
      </c>
      <c r="W177" t="str">
        <f t="shared" si="16"/>
        <v/>
      </c>
      <c r="X177" t="str">
        <f t="shared" si="21"/>
        <v/>
      </c>
      <c r="Y177" t="str">
        <f t="shared" si="22"/>
        <v/>
      </c>
      <c r="Z177" s="2" t="str">
        <f t="shared" si="23"/>
        <v/>
      </c>
      <c r="AA177" t="str">
        <f>VLOOKUP($A177,ScionOutput!$A$3:$BL$215,64,FALSE)</f>
        <v xml:space="preserve">823534. LineStatEns is NoPlay as bookie-line outside range. StatOnlyEns is NoPlay as bookie-line outside range. No play due to strategy constraints. </v>
      </c>
    </row>
    <row r="178" spans="1:27" x14ac:dyDescent="0.2">
      <c r="A178">
        <v>824990</v>
      </c>
      <c r="B178" s="3">
        <f>VLOOKUP($A178,ScionOutput!$A$3:$BL$215,3,FALSE)</f>
        <v>46192</v>
      </c>
      <c r="C178">
        <f>VLOOKUP($A178,ScionOutput!$A$3:$BL$215,22,FALSE)</f>
        <v>20</v>
      </c>
      <c r="D178" t="str">
        <f>VLOOKUP($A178,ScionOutput!$A$3:$BL$215,23,FALSE)</f>
        <v>OAK</v>
      </c>
      <c r="E178">
        <f>VLOOKUP($A178,ScionOutput!$A$3:$BL$215,6,FALSE)</f>
        <v>4</v>
      </c>
      <c r="F178" t="str">
        <f>VLOOKUP($A178,ScionOutput!$A$3:$BL$215,7,FALSE)</f>
        <v>LAA</v>
      </c>
      <c r="G178">
        <f>VLOOKUP($A178,ScionOutput!$A$3:$BL$215,26,FALSE)</f>
        <v>-153</v>
      </c>
      <c r="H178">
        <f>VLOOKUP($A178,ScionOutput!$A$3:$BL$215,10,FALSE)</f>
        <v>141</v>
      </c>
      <c r="I178" s="4" t="str">
        <f>VLOOKUP($A178,ScionOutput!$A$3:$BL$215,45,FALSE)</f>
        <v>HomFave</v>
      </c>
      <c r="J178" s="4">
        <f>VLOOKUP($A178,ScionOutput!$A$3:$BL$215,46,FALSE)</f>
        <v>0</v>
      </c>
      <c r="K178" t="str">
        <f>VLOOKUP($A178,ScionOutput!$A$3:$BL$215,58,FALSE)</f>
        <v>No Play</v>
      </c>
      <c r="L178">
        <f>VLOOKUP($A178,ScionOutput!$A$3:$BL$215,59,FALSE)</f>
        <v>0</v>
      </c>
      <c r="M178">
        <f>VLOOKUP($A178,ScionOutput!$A$3:$BL$215,62,FALSE)</f>
        <v>0</v>
      </c>
      <c r="N178">
        <f>VLOOKUP($A178,ScionOutput!$A$3:$BL$215,63,FALSE)</f>
        <v>0</v>
      </c>
      <c r="O178" t="b">
        <f t="shared" si="17"/>
        <v>0</v>
      </c>
      <c r="P178">
        <f>VLOOKUP($A178,Outcomes!$B$3:$I$209,8,FALSE)</f>
        <v>23</v>
      </c>
      <c r="Q178">
        <f t="shared" si="18"/>
        <v>1</v>
      </c>
      <c r="R178">
        <f>VLOOKUP($A178,Outcomes!$B$3:$I$209,5,FALSE)</f>
        <v>12</v>
      </c>
      <c r="S178">
        <f>VLOOKUP($A178,Outcomes!$B$3:$I$209,6,FALSE)</f>
        <v>11</v>
      </c>
      <c r="T178">
        <f>VLOOKUP($A178,Outcomes!$B$3:$I$209,7,FALSE)</f>
        <v>-1</v>
      </c>
      <c r="U178" t="str">
        <f t="shared" si="19"/>
        <v>HomFave</v>
      </c>
      <c r="V178" s="5" t="str">
        <f t="shared" si="20"/>
        <v/>
      </c>
      <c r="W178" t="str">
        <f t="shared" si="16"/>
        <v/>
      </c>
      <c r="X178" t="str">
        <f t="shared" si="21"/>
        <v/>
      </c>
      <c r="Y178" t="str">
        <f t="shared" si="22"/>
        <v/>
      </c>
      <c r="Z178" s="2" t="str">
        <f t="shared" si="23"/>
        <v/>
      </c>
      <c r="AA178" t="str">
        <f>VLOOKUP($A178,ScionOutput!$A$3:$BL$215,64,FALSE)</f>
        <v xml:space="preserve">824990. LineStatEns is NoPlay as bookie-line outside range. StatOnlyEns is NoPlay as bookie-line outside range. No play due to strategy constraints. </v>
      </c>
    </row>
    <row r="179" spans="1:27" x14ac:dyDescent="0.2">
      <c r="A179">
        <v>823124</v>
      </c>
      <c r="B179" s="3">
        <f>VLOOKUP($A179,ScionOutput!$A$3:$BL$215,3,FALSE)</f>
        <v>46192</v>
      </c>
      <c r="C179">
        <f>VLOOKUP($A179,ScionOutput!$A$3:$BL$215,22,FALSE)</f>
        <v>24</v>
      </c>
      <c r="D179" t="str">
        <f>VLOOKUP($A179,ScionOutput!$A$3:$BL$215,23,FALSE)</f>
        <v>SEA</v>
      </c>
      <c r="E179">
        <f>VLOOKUP($A179,ScionOutput!$A$3:$BL$215,6,FALSE)</f>
        <v>3</v>
      </c>
      <c r="F179" t="str">
        <f>VLOOKUP($A179,ScionOutput!$A$3:$BL$215,7,FALSE)</f>
        <v>BOS</v>
      </c>
      <c r="G179">
        <f>VLOOKUP($A179,ScionOutput!$A$3:$BL$215,26,FALSE)</f>
        <v>-108</v>
      </c>
      <c r="H179">
        <f>VLOOKUP($A179,ScionOutput!$A$3:$BL$215,10,FALSE)</f>
        <v>100</v>
      </c>
      <c r="I179" s="4" t="str">
        <f>VLOOKUP($A179,ScionOutput!$A$3:$BL$215,45,FALSE)</f>
        <v>VisDog</v>
      </c>
      <c r="J179" s="4">
        <f>VLOOKUP($A179,ScionOutput!$A$3:$BL$215,46,FALSE)</f>
        <v>1</v>
      </c>
      <c r="K179" t="str">
        <f>VLOOKUP($A179,ScionOutput!$A$3:$BL$215,58,FALSE)</f>
        <v>HomFave</v>
      </c>
      <c r="L179">
        <f>VLOOKUP($A179,ScionOutput!$A$3:$BL$215,59,FALSE)</f>
        <v>3.057E-2</v>
      </c>
      <c r="M179">
        <f>VLOOKUP($A179,ScionOutput!$A$3:$BL$215,62,FALSE)</f>
        <v>5</v>
      </c>
      <c r="N179">
        <f>VLOOKUP($A179,ScionOutput!$A$3:$BL$215,63,FALSE)</f>
        <v>0.98</v>
      </c>
      <c r="O179" t="b">
        <f t="shared" si="17"/>
        <v>0</v>
      </c>
      <c r="P179">
        <f>VLOOKUP($A179,Outcomes!$B$3:$I$209,8,FALSE)</f>
        <v>8</v>
      </c>
      <c r="Q179">
        <f t="shared" si="18"/>
        <v>-1</v>
      </c>
      <c r="R179">
        <f>VLOOKUP($A179,Outcomes!$B$3:$I$209,5,FALSE)</f>
        <v>2</v>
      </c>
      <c r="S179">
        <f>VLOOKUP($A179,Outcomes!$B$3:$I$209,6,FALSE)</f>
        <v>6</v>
      </c>
      <c r="T179">
        <f>VLOOKUP($A179,Outcomes!$B$3:$I$209,7,FALSE)</f>
        <v>4</v>
      </c>
      <c r="U179" t="str">
        <f t="shared" si="19"/>
        <v>VisDog</v>
      </c>
      <c r="V179" s="5">
        <f t="shared" si="20"/>
        <v>1</v>
      </c>
      <c r="W179">
        <f t="shared" si="16"/>
        <v>108</v>
      </c>
      <c r="X179">
        <f t="shared" si="21"/>
        <v>208</v>
      </c>
      <c r="Y179">
        <f t="shared" si="22"/>
        <v>100</v>
      </c>
      <c r="Z179" s="2">
        <f t="shared" si="23"/>
        <v>0.92592592592592593</v>
      </c>
      <c r="AA179" t="str">
        <f>VLOOKUP($A179,ScionOutput!$A$3:$BL$215,64,FALSE)</f>
        <v xml:space="preserve">823124. Play determined by StatOnlyEns when it disagrees with LineStatEns. </v>
      </c>
    </row>
    <row r="180" spans="1:27" x14ac:dyDescent="0.2">
      <c r="A180">
        <v>822966</v>
      </c>
      <c r="B180" s="3">
        <f>VLOOKUP($A180,ScionOutput!$A$3:$BL$215,3,FALSE)</f>
        <v>46192</v>
      </c>
      <c r="C180">
        <f>VLOOKUP($A180,ScionOutput!$A$3:$BL$215,22,FALSE)</f>
        <v>27</v>
      </c>
      <c r="D180" t="str">
        <f>VLOOKUP($A180,ScionOutput!$A$3:$BL$215,23,FALSE)</f>
        <v>TB</v>
      </c>
      <c r="E180">
        <f>VLOOKUP($A180,ScionOutput!$A$3:$BL$215,6,FALSE)</f>
        <v>16</v>
      </c>
      <c r="F180" t="str">
        <f>VLOOKUP($A180,ScionOutput!$A$3:$BL$215,7,FALSE)</f>
        <v>WAS</v>
      </c>
      <c r="G180">
        <f>VLOOKUP($A180,ScionOutput!$A$3:$BL$215,26,FALSE)</f>
        <v>-119</v>
      </c>
      <c r="H180">
        <f>VLOOKUP($A180,ScionOutput!$A$3:$BL$215,10,FALSE)</f>
        <v>110</v>
      </c>
      <c r="I180" s="4" t="str">
        <f>VLOOKUP($A180,ScionOutput!$A$3:$BL$215,45,FALSE)</f>
        <v>HomFave</v>
      </c>
      <c r="J180" s="4">
        <f>VLOOKUP($A180,ScionOutput!$A$3:$BL$215,46,FALSE)</f>
        <v>0</v>
      </c>
      <c r="K180" t="str">
        <f>VLOOKUP($A180,ScionOutput!$A$3:$BL$215,58,FALSE)</f>
        <v>No Play</v>
      </c>
      <c r="L180">
        <f>VLOOKUP($A180,ScionOutput!$A$3:$BL$215,59,FALSE)</f>
        <v>0</v>
      </c>
      <c r="M180">
        <f>VLOOKUP($A180,ScionOutput!$A$3:$BL$215,62,FALSE)</f>
        <v>0</v>
      </c>
      <c r="N180">
        <f>VLOOKUP($A180,ScionOutput!$A$3:$BL$215,63,FALSE)</f>
        <v>0</v>
      </c>
      <c r="O180" t="b">
        <f t="shared" si="17"/>
        <v>0</v>
      </c>
      <c r="P180">
        <f>VLOOKUP($A180,Outcomes!$B$3:$I$209,8,FALSE)</f>
        <v>7</v>
      </c>
      <c r="Q180">
        <f t="shared" si="18"/>
        <v>1</v>
      </c>
      <c r="R180">
        <f>VLOOKUP($A180,Outcomes!$B$3:$I$209,5,FALSE)</f>
        <v>5</v>
      </c>
      <c r="S180">
        <f>VLOOKUP($A180,Outcomes!$B$3:$I$209,6,FALSE)</f>
        <v>2</v>
      </c>
      <c r="T180">
        <f>VLOOKUP($A180,Outcomes!$B$3:$I$209,7,FALSE)</f>
        <v>-3</v>
      </c>
      <c r="U180" t="str">
        <f t="shared" si="19"/>
        <v>HomFave</v>
      </c>
      <c r="V180" s="5" t="str">
        <f t="shared" si="20"/>
        <v/>
      </c>
      <c r="W180" t="str">
        <f t="shared" si="16"/>
        <v/>
      </c>
      <c r="X180" t="str">
        <f t="shared" si="21"/>
        <v/>
      </c>
      <c r="Y180" t="str">
        <f t="shared" si="22"/>
        <v/>
      </c>
      <c r="Z180" s="2" t="str">
        <f t="shared" si="23"/>
        <v/>
      </c>
      <c r="AA180" t="str">
        <f>VLOOKUP($A180,ScionOutput!$A$3:$BL$215,64,FALSE)</f>
        <v xml:space="preserve">822966. LineStatEns probability points gap does not exceed threshold (no edge found)! StatOnlyEns probability points gap does not exceed threshold (no edge found)! No play due to strategy constraints. </v>
      </c>
    </row>
    <row r="181" spans="1:27" x14ac:dyDescent="0.2">
      <c r="A181">
        <v>822886</v>
      </c>
      <c r="B181" s="3">
        <f>VLOOKUP($A181,ScionOutput!$A$3:$BL$215,3,FALSE)</f>
        <v>46192</v>
      </c>
      <c r="C181">
        <f>VLOOKUP($A181,ScionOutput!$A$3:$BL$215,22,FALSE)</f>
        <v>28</v>
      </c>
      <c r="D181" t="str">
        <f>VLOOKUP($A181,ScionOutput!$A$3:$BL$215,23,FALSE)</f>
        <v>TEX</v>
      </c>
      <c r="E181">
        <f>VLOOKUP($A181,ScionOutput!$A$3:$BL$215,6,FALSE)</f>
        <v>23</v>
      </c>
      <c r="F181" t="str">
        <f>VLOOKUP($A181,ScionOutput!$A$3:$BL$215,7,FALSE)</f>
        <v>SD</v>
      </c>
      <c r="G181">
        <f>VLOOKUP($A181,ScionOutput!$A$3:$BL$215,26,FALSE)</f>
        <v>-154</v>
      </c>
      <c r="H181">
        <f>VLOOKUP($A181,ScionOutput!$A$3:$BL$215,10,FALSE)</f>
        <v>142</v>
      </c>
      <c r="I181" s="4" t="str">
        <f>VLOOKUP($A181,ScionOutput!$A$3:$BL$215,45,FALSE)</f>
        <v>HomFave</v>
      </c>
      <c r="J181" s="4">
        <f>VLOOKUP($A181,ScionOutput!$A$3:$BL$215,46,FALSE)</f>
        <v>0</v>
      </c>
      <c r="K181" t="str">
        <f>VLOOKUP($A181,ScionOutput!$A$3:$BL$215,58,FALSE)</f>
        <v>No Play</v>
      </c>
      <c r="L181">
        <f>VLOOKUP($A181,ScionOutput!$A$3:$BL$215,59,FALSE)</f>
        <v>0</v>
      </c>
      <c r="M181">
        <f>VLOOKUP($A181,ScionOutput!$A$3:$BL$215,62,FALSE)</f>
        <v>0</v>
      </c>
      <c r="N181">
        <f>VLOOKUP($A181,ScionOutput!$A$3:$BL$215,63,FALSE)</f>
        <v>0</v>
      </c>
      <c r="O181" t="b">
        <f t="shared" si="17"/>
        <v>0</v>
      </c>
      <c r="P181">
        <f>VLOOKUP($A181,Outcomes!$B$3:$I$209,8,FALSE)</f>
        <v>16</v>
      </c>
      <c r="Q181">
        <f t="shared" si="18"/>
        <v>1</v>
      </c>
      <c r="R181">
        <f>VLOOKUP($A181,Outcomes!$B$3:$I$209,5,FALSE)</f>
        <v>9</v>
      </c>
      <c r="S181">
        <f>VLOOKUP($A181,Outcomes!$B$3:$I$209,6,FALSE)</f>
        <v>7</v>
      </c>
      <c r="T181">
        <f>VLOOKUP($A181,Outcomes!$B$3:$I$209,7,FALSE)</f>
        <v>-2</v>
      </c>
      <c r="U181" t="str">
        <f t="shared" si="19"/>
        <v>HomFave</v>
      </c>
      <c r="V181" s="5" t="str">
        <f t="shared" si="20"/>
        <v/>
      </c>
      <c r="W181" t="str">
        <f t="shared" si="16"/>
        <v/>
      </c>
      <c r="X181" t="str">
        <f t="shared" si="21"/>
        <v/>
      </c>
      <c r="Y181" t="str">
        <f t="shared" si="22"/>
        <v/>
      </c>
      <c r="Z181" s="2" t="str">
        <f t="shared" si="23"/>
        <v/>
      </c>
      <c r="AA181" t="str">
        <f>VLOOKUP($A181,ScionOutput!$A$3:$BL$215,64,FALSE)</f>
        <v xml:space="preserve">822886. LineStatEns is NoPlay as bookie-line outside range. StatOnlyEns is NoPlay as bookie-line outside range. No play due to strategy constraints. </v>
      </c>
    </row>
    <row r="182" spans="1:27" x14ac:dyDescent="0.2">
      <c r="A182">
        <v>824909</v>
      </c>
      <c r="B182" s="3">
        <f>VLOOKUP($A182,ScionOutput!$A$3:$BL$215,3,FALSE)</f>
        <v>46193</v>
      </c>
      <c r="C182">
        <f>VLOOKUP($A182,ScionOutput!$A$3:$BL$215,22,FALSE)</f>
        <v>0</v>
      </c>
      <c r="D182" t="str">
        <f>VLOOKUP($A182,ScionOutput!$A$3:$BL$215,23,FALSE)</f>
        <v>ATL</v>
      </c>
      <c r="E182">
        <f>VLOOKUP($A182,ScionOutput!$A$3:$BL$215,6,FALSE)</f>
        <v>17</v>
      </c>
      <c r="F182" t="str">
        <f>VLOOKUP($A182,ScionOutput!$A$3:$BL$215,7,FALSE)</f>
        <v>MLW</v>
      </c>
      <c r="G182">
        <f>VLOOKUP($A182,ScionOutput!$A$3:$BL$215,26,FALSE)</f>
        <v>-128</v>
      </c>
      <c r="H182">
        <f>VLOOKUP($A182,ScionOutput!$A$3:$BL$215,10,FALSE)</f>
        <v>118</v>
      </c>
      <c r="I182" s="4" t="str">
        <f>VLOOKUP($A182,ScionOutput!$A$3:$BL$215,45,FALSE)</f>
        <v>HomFave</v>
      </c>
      <c r="J182" s="4">
        <f>VLOOKUP($A182,ScionOutput!$A$3:$BL$215,46,FALSE)</f>
        <v>0</v>
      </c>
      <c r="K182" t="str">
        <f>VLOOKUP($A182,ScionOutput!$A$3:$BL$215,58,FALSE)</f>
        <v>No Play</v>
      </c>
      <c r="L182">
        <f>VLOOKUP($A182,ScionOutput!$A$3:$BL$215,59,FALSE)</f>
        <v>0</v>
      </c>
      <c r="M182">
        <f>VLOOKUP($A182,ScionOutput!$A$3:$BL$215,62,FALSE)</f>
        <v>0</v>
      </c>
      <c r="N182">
        <f>VLOOKUP($A182,ScionOutput!$A$3:$BL$215,63,FALSE)</f>
        <v>0</v>
      </c>
      <c r="O182" t="b">
        <f t="shared" si="17"/>
        <v>0</v>
      </c>
      <c r="P182">
        <f>VLOOKUP($A182,Outcomes!$B$3:$I$209,8,FALSE)</f>
        <v>7</v>
      </c>
      <c r="Q182">
        <f t="shared" si="18"/>
        <v>1</v>
      </c>
      <c r="R182">
        <f>VLOOKUP($A182,Outcomes!$B$3:$I$209,5,FALSE)</f>
        <v>4</v>
      </c>
      <c r="S182">
        <f>VLOOKUP($A182,Outcomes!$B$3:$I$209,6,FALSE)</f>
        <v>3</v>
      </c>
      <c r="T182">
        <f>VLOOKUP($A182,Outcomes!$B$3:$I$209,7,FALSE)</f>
        <v>-1</v>
      </c>
      <c r="U182" t="str">
        <f t="shared" si="19"/>
        <v>HomFave</v>
      </c>
      <c r="V182" s="5" t="str">
        <f t="shared" si="20"/>
        <v/>
      </c>
      <c r="W182" t="str">
        <f t="shared" si="16"/>
        <v/>
      </c>
      <c r="X182" t="str">
        <f t="shared" si="21"/>
        <v/>
      </c>
      <c r="Y182" t="str">
        <f t="shared" si="22"/>
        <v/>
      </c>
      <c r="Z182" s="2" t="str">
        <f t="shared" si="23"/>
        <v/>
      </c>
      <c r="AA182" t="str">
        <f>VLOOKUP($A182,ScionOutput!$A$3:$BL$215,64,FALSE)</f>
        <v xml:space="preserve">824909. LineStatEns probability points gap does not exceed threshold (no edge found)! StatOnlyEns probability points gap does not exceed threshold (no edge found)! No play due to strategy constraints. </v>
      </c>
    </row>
    <row r="183" spans="1:27" x14ac:dyDescent="0.2">
      <c r="A183">
        <v>825068</v>
      </c>
      <c r="B183" s="3">
        <f>VLOOKUP($A183,ScionOutput!$A$3:$BL$215,3,FALSE)</f>
        <v>46193</v>
      </c>
      <c r="C183">
        <f>VLOOKUP($A183,ScionOutput!$A$3:$BL$215,22,FALSE)</f>
        <v>1</v>
      </c>
      <c r="D183" t="str">
        <f>VLOOKUP($A183,ScionOutput!$A$3:$BL$215,23,FALSE)</f>
        <v>ARZ</v>
      </c>
      <c r="E183">
        <f>VLOOKUP($A183,ScionOutput!$A$3:$BL$215,6,FALSE)</f>
        <v>15</v>
      </c>
      <c r="F183" t="str">
        <f>VLOOKUP($A183,ScionOutput!$A$3:$BL$215,7,FALSE)</f>
        <v>MIN</v>
      </c>
      <c r="G183">
        <f>VLOOKUP($A183,ScionOutput!$A$3:$BL$215,26,FALSE)</f>
        <v>-125</v>
      </c>
      <c r="H183">
        <f>VLOOKUP($A183,ScionOutput!$A$3:$BL$215,10,FALSE)</f>
        <v>115</v>
      </c>
      <c r="I183" s="4" t="str">
        <f>VLOOKUP($A183,ScionOutput!$A$3:$BL$215,45,FALSE)</f>
        <v>HomFave</v>
      </c>
      <c r="J183" s="4">
        <f>VLOOKUP($A183,ScionOutput!$A$3:$BL$215,46,FALSE)</f>
        <v>0</v>
      </c>
      <c r="K183" t="str">
        <f>VLOOKUP($A183,ScionOutput!$A$3:$BL$215,58,FALSE)</f>
        <v>No Play</v>
      </c>
      <c r="L183">
        <f>VLOOKUP($A183,ScionOutput!$A$3:$BL$215,59,FALSE)</f>
        <v>0</v>
      </c>
      <c r="M183">
        <f>VLOOKUP($A183,ScionOutput!$A$3:$BL$215,62,FALSE)</f>
        <v>0</v>
      </c>
      <c r="N183">
        <f>VLOOKUP($A183,ScionOutput!$A$3:$BL$215,63,FALSE)</f>
        <v>0</v>
      </c>
      <c r="O183" t="b">
        <f t="shared" si="17"/>
        <v>0</v>
      </c>
      <c r="P183">
        <f>VLOOKUP($A183,Outcomes!$B$3:$I$209,8,FALSE)</f>
        <v>24</v>
      </c>
      <c r="Q183">
        <f t="shared" si="18"/>
        <v>-1</v>
      </c>
      <c r="R183">
        <f>VLOOKUP($A183,Outcomes!$B$3:$I$209,5,FALSE)</f>
        <v>8</v>
      </c>
      <c r="S183">
        <f>VLOOKUP($A183,Outcomes!$B$3:$I$209,6,FALSE)</f>
        <v>16</v>
      </c>
      <c r="T183">
        <f>VLOOKUP($A183,Outcomes!$B$3:$I$209,7,FALSE)</f>
        <v>8</v>
      </c>
      <c r="U183" t="str">
        <f t="shared" si="19"/>
        <v>VisDog</v>
      </c>
      <c r="V183" s="5" t="str">
        <f t="shared" si="20"/>
        <v/>
      </c>
      <c r="W183" t="str">
        <f t="shared" si="16"/>
        <v/>
      </c>
      <c r="X183" t="str">
        <f t="shared" si="21"/>
        <v/>
      </c>
      <c r="Y183" t="str">
        <f t="shared" si="22"/>
        <v/>
      </c>
      <c r="Z183" s="2" t="str">
        <f t="shared" si="23"/>
        <v/>
      </c>
      <c r="AA183" t="str">
        <f>VLOOKUP($A183,ScionOutput!$A$3:$BL$215,64,FALSE)</f>
        <v xml:space="preserve">825068. LineStatEns probability points gap does not exceed threshold (no edge found)! StatOnlyEns probability points gap does not exceed threshold (no edge found)! No play due to strategy constraints. </v>
      </c>
    </row>
    <row r="184" spans="1:27" x14ac:dyDescent="0.2">
      <c r="A184">
        <v>824665</v>
      </c>
      <c r="B184" s="3">
        <f>VLOOKUP($A184,ScionOutput!$A$3:$BL$215,3,FALSE)</f>
        <v>46193</v>
      </c>
      <c r="C184">
        <f>VLOOKUP($A184,ScionOutput!$A$3:$BL$215,22,FALSE)</f>
        <v>5</v>
      </c>
      <c r="D184" t="str">
        <f>VLOOKUP($A184,ScionOutput!$A$3:$BL$215,23,FALSE)</f>
        <v>CHC</v>
      </c>
      <c r="E184">
        <f>VLOOKUP($A184,ScionOutput!$A$3:$BL$215,6,FALSE)</f>
        <v>29</v>
      </c>
      <c r="F184" t="str">
        <f>VLOOKUP($A184,ScionOutput!$A$3:$BL$215,7,FALSE)</f>
        <v>TOR</v>
      </c>
      <c r="G184">
        <f>VLOOKUP($A184,ScionOutput!$A$3:$BL$215,26,FALSE)</f>
        <v>-126</v>
      </c>
      <c r="H184">
        <f>VLOOKUP($A184,ScionOutput!$A$3:$BL$215,10,FALSE)</f>
        <v>116</v>
      </c>
      <c r="I184" s="4" t="str">
        <f>VLOOKUP($A184,ScionOutput!$A$3:$BL$215,45,FALSE)</f>
        <v>HomFave</v>
      </c>
      <c r="J184" s="4">
        <f>VLOOKUP($A184,ScionOutput!$A$3:$BL$215,46,FALSE)</f>
        <v>1</v>
      </c>
      <c r="K184" t="str">
        <f>VLOOKUP($A184,ScionOutput!$A$3:$BL$215,58,FALSE)</f>
        <v>HomFave</v>
      </c>
      <c r="L184">
        <f>VLOOKUP($A184,ScionOutput!$A$3:$BL$215,59,FALSE)</f>
        <v>1.367E-2</v>
      </c>
      <c r="M184">
        <f>VLOOKUP($A184,ScionOutput!$A$3:$BL$215,62,FALSE)</f>
        <v>1</v>
      </c>
      <c r="N184">
        <f>VLOOKUP($A184,ScionOutput!$A$3:$BL$215,63,FALSE)</f>
        <v>0.87</v>
      </c>
      <c r="O184" t="b">
        <f t="shared" si="17"/>
        <v>1</v>
      </c>
      <c r="P184">
        <f>VLOOKUP($A184,Outcomes!$B$3:$I$209,8,FALSE)</f>
        <v>14</v>
      </c>
      <c r="Q184">
        <f t="shared" si="18"/>
        <v>-1</v>
      </c>
      <c r="R184">
        <f>VLOOKUP($A184,Outcomes!$B$3:$I$209,5,FALSE)</f>
        <v>6</v>
      </c>
      <c r="S184">
        <f>VLOOKUP($A184,Outcomes!$B$3:$I$209,6,FALSE)</f>
        <v>8</v>
      </c>
      <c r="T184">
        <f>VLOOKUP($A184,Outcomes!$B$3:$I$209,7,FALSE)</f>
        <v>2</v>
      </c>
      <c r="U184" t="str">
        <f t="shared" si="19"/>
        <v>VisDog</v>
      </c>
      <c r="V184" s="5">
        <f t="shared" si="20"/>
        <v>0</v>
      </c>
      <c r="W184">
        <f t="shared" si="16"/>
        <v>126</v>
      </c>
      <c r="X184">
        <f t="shared" si="21"/>
        <v>0</v>
      </c>
      <c r="Y184">
        <f t="shared" si="22"/>
        <v>-126</v>
      </c>
      <c r="Z184" s="2">
        <f t="shared" si="23"/>
        <v>-1</v>
      </c>
      <c r="AA184" t="str">
        <f>VLOOKUP($A184,ScionOutput!$A$3:$BL$215,64,FALSE)</f>
        <v xml:space="preserve">824665. Play determined by LineStatEns and StatOnlyEns agreement. </v>
      </c>
    </row>
    <row r="185" spans="1:27" x14ac:dyDescent="0.2">
      <c r="A185">
        <v>824342</v>
      </c>
      <c r="B185" s="3">
        <f>VLOOKUP($A185,ScionOutput!$A$3:$BL$215,3,FALSE)</f>
        <v>46193</v>
      </c>
      <c r="C185">
        <f>VLOOKUP($A185,ScionOutput!$A$3:$BL$215,22,FALSE)</f>
        <v>8</v>
      </c>
      <c r="D185" t="str">
        <f>VLOOKUP($A185,ScionOutput!$A$3:$BL$215,23,FALSE)</f>
        <v>COL</v>
      </c>
      <c r="E185">
        <f>VLOOKUP($A185,ScionOutput!$A$3:$BL$215,6,FALSE)</f>
        <v>22</v>
      </c>
      <c r="F185" t="str">
        <f>VLOOKUP($A185,ScionOutput!$A$3:$BL$215,7,FALSE)</f>
        <v>PIT</v>
      </c>
      <c r="G185">
        <f>VLOOKUP($A185,ScionOutput!$A$3:$BL$215,26,FALSE)</f>
        <v>183</v>
      </c>
      <c r="H185">
        <f>VLOOKUP($A185,ScionOutput!$A$3:$BL$215,10,FALSE)</f>
        <v>-201</v>
      </c>
      <c r="I185" s="4" t="str">
        <f>VLOOKUP($A185,ScionOutput!$A$3:$BL$215,45,FALSE)</f>
        <v>VisFave</v>
      </c>
      <c r="J185" s="4">
        <f>VLOOKUP($A185,ScionOutput!$A$3:$BL$215,46,FALSE)</f>
        <v>0</v>
      </c>
      <c r="K185" t="str">
        <f>VLOOKUP($A185,ScionOutput!$A$3:$BL$215,58,FALSE)</f>
        <v>No Play</v>
      </c>
      <c r="L185">
        <f>VLOOKUP($A185,ScionOutput!$A$3:$BL$215,59,FALSE)</f>
        <v>0</v>
      </c>
      <c r="M185">
        <f>VLOOKUP($A185,ScionOutput!$A$3:$BL$215,62,FALSE)</f>
        <v>0</v>
      </c>
      <c r="N185">
        <f>VLOOKUP($A185,ScionOutput!$A$3:$BL$215,63,FALSE)</f>
        <v>0</v>
      </c>
      <c r="O185" t="b">
        <f t="shared" si="17"/>
        <v>0</v>
      </c>
      <c r="P185">
        <f>VLOOKUP($A185,Outcomes!$B$3:$I$209,8,FALSE)</f>
        <v>3</v>
      </c>
      <c r="Q185">
        <f t="shared" si="18"/>
        <v>1</v>
      </c>
      <c r="R185">
        <f>VLOOKUP($A185,Outcomes!$B$3:$I$209,5,FALSE)</f>
        <v>2</v>
      </c>
      <c r="S185">
        <f>VLOOKUP($A185,Outcomes!$B$3:$I$209,6,FALSE)</f>
        <v>1</v>
      </c>
      <c r="T185">
        <f>VLOOKUP($A185,Outcomes!$B$3:$I$209,7,FALSE)</f>
        <v>-1</v>
      </c>
      <c r="U185" t="str">
        <f t="shared" si="19"/>
        <v>HomDog</v>
      </c>
      <c r="V185" s="5" t="str">
        <f t="shared" si="20"/>
        <v/>
      </c>
      <c r="W185" t="str">
        <f t="shared" si="16"/>
        <v/>
      </c>
      <c r="X185" t="str">
        <f t="shared" si="21"/>
        <v/>
      </c>
      <c r="Y185" t="str">
        <f t="shared" si="22"/>
        <v/>
      </c>
      <c r="Z185" s="2" t="str">
        <f t="shared" si="23"/>
        <v/>
      </c>
      <c r="AA185" t="str">
        <f>VLOOKUP($A185,ScionOutput!$A$3:$BL$215,64,FALSE)</f>
        <v xml:space="preserve">824342. LineStatEns is NoPlay as bookie-line outside range. StatOnlyEns is NoPlay as bookie-line outside range. No play due to strategy constraints. </v>
      </c>
    </row>
    <row r="186" spans="1:27" x14ac:dyDescent="0.2">
      <c r="A186">
        <v>824263</v>
      </c>
      <c r="B186" s="3">
        <f>VLOOKUP($A186,ScionOutput!$A$3:$BL$215,3,FALSE)</f>
        <v>46193</v>
      </c>
      <c r="C186">
        <f>VLOOKUP($A186,ScionOutput!$A$3:$BL$215,22,FALSE)</f>
        <v>10</v>
      </c>
      <c r="D186" t="str">
        <f>VLOOKUP($A186,ScionOutput!$A$3:$BL$215,23,FALSE)</f>
        <v>DET</v>
      </c>
      <c r="E186">
        <f>VLOOKUP($A186,ScionOutput!$A$3:$BL$215,6,FALSE)</f>
        <v>9</v>
      </c>
      <c r="F186" t="str">
        <f>VLOOKUP($A186,ScionOutput!$A$3:$BL$215,7,FALSE)</f>
        <v>CWS</v>
      </c>
      <c r="G186">
        <f>VLOOKUP($A186,ScionOutput!$A$3:$BL$215,26,FALSE)</f>
        <v>-115</v>
      </c>
      <c r="H186">
        <f>VLOOKUP($A186,ScionOutput!$A$3:$BL$215,10,FALSE)</f>
        <v>106</v>
      </c>
      <c r="I186" s="4" t="str">
        <f>VLOOKUP($A186,ScionOutput!$A$3:$BL$215,45,FALSE)</f>
        <v>HomFave</v>
      </c>
      <c r="J186" s="4">
        <f>VLOOKUP($A186,ScionOutput!$A$3:$BL$215,46,FALSE)</f>
        <v>0</v>
      </c>
      <c r="K186" t="str">
        <f>VLOOKUP($A186,ScionOutput!$A$3:$BL$215,58,FALSE)</f>
        <v>No Play</v>
      </c>
      <c r="L186">
        <f>VLOOKUP($A186,ScionOutput!$A$3:$BL$215,59,FALSE)</f>
        <v>0</v>
      </c>
      <c r="M186">
        <f>VLOOKUP($A186,ScionOutput!$A$3:$BL$215,62,FALSE)</f>
        <v>0</v>
      </c>
      <c r="N186">
        <f>VLOOKUP($A186,ScionOutput!$A$3:$BL$215,63,FALSE)</f>
        <v>0</v>
      </c>
      <c r="O186" t="b">
        <f t="shared" si="17"/>
        <v>0</v>
      </c>
      <c r="P186">
        <f>VLOOKUP($A186,Outcomes!$B$3:$I$209,8,FALSE)</f>
        <v>5</v>
      </c>
      <c r="Q186">
        <f t="shared" si="18"/>
        <v>1</v>
      </c>
      <c r="R186">
        <f>VLOOKUP($A186,Outcomes!$B$3:$I$209,5,FALSE)</f>
        <v>4</v>
      </c>
      <c r="S186">
        <f>VLOOKUP($A186,Outcomes!$B$3:$I$209,6,FALSE)</f>
        <v>1</v>
      </c>
      <c r="T186">
        <f>VLOOKUP($A186,Outcomes!$B$3:$I$209,7,FALSE)</f>
        <v>-3</v>
      </c>
      <c r="U186" t="str">
        <f t="shared" si="19"/>
        <v>HomFave</v>
      </c>
      <c r="V186" s="5" t="str">
        <f t="shared" si="20"/>
        <v/>
      </c>
      <c r="W186" t="str">
        <f t="shared" si="16"/>
        <v/>
      </c>
      <c r="X186" t="str">
        <f t="shared" si="21"/>
        <v/>
      </c>
      <c r="Y186" t="str">
        <f t="shared" si="22"/>
        <v/>
      </c>
      <c r="Z186" s="2" t="str">
        <f t="shared" si="23"/>
        <v/>
      </c>
      <c r="AA186" t="str">
        <f>VLOOKUP($A186,ScionOutput!$A$3:$BL$215,64,FALSE)</f>
        <v xml:space="preserve">824263. V_SP is Null, team-based avg used. NoPlay as V_SP is Null. </v>
      </c>
    </row>
    <row r="187" spans="1:27" x14ac:dyDescent="0.2">
      <c r="A187">
        <v>823854</v>
      </c>
      <c r="B187" s="3">
        <f>VLOOKUP($A187,ScionOutput!$A$3:$BL$215,3,FALSE)</f>
        <v>46193</v>
      </c>
      <c r="C187">
        <f>VLOOKUP($A187,ScionOutput!$A$3:$BL$215,22,FALSE)</f>
        <v>11</v>
      </c>
      <c r="D187" t="str">
        <f>VLOOKUP($A187,ScionOutput!$A$3:$BL$215,23,FALSE)</f>
        <v>FLO</v>
      </c>
      <c r="E187">
        <f>VLOOKUP($A187,ScionOutput!$A$3:$BL$215,6,FALSE)</f>
        <v>25</v>
      </c>
      <c r="F187" t="str">
        <f>VLOOKUP($A187,ScionOutput!$A$3:$BL$215,7,FALSE)</f>
        <v>SF</v>
      </c>
      <c r="G187">
        <f>VLOOKUP($A187,ScionOutput!$A$3:$BL$215,26,FALSE)</f>
        <v>-137</v>
      </c>
      <c r="H187">
        <f>VLOOKUP($A187,ScionOutput!$A$3:$BL$215,10,FALSE)</f>
        <v>126</v>
      </c>
      <c r="I187" s="4" t="str">
        <f>VLOOKUP($A187,ScionOutput!$A$3:$BL$215,45,FALSE)</f>
        <v>HomFave</v>
      </c>
      <c r="J187" s="4">
        <f>VLOOKUP($A187,ScionOutput!$A$3:$BL$215,46,FALSE)</f>
        <v>0</v>
      </c>
      <c r="K187" t="str">
        <f>VLOOKUP($A187,ScionOutput!$A$3:$BL$215,58,FALSE)</f>
        <v>No Play</v>
      </c>
      <c r="L187">
        <f>VLOOKUP($A187,ScionOutput!$A$3:$BL$215,59,FALSE)</f>
        <v>0</v>
      </c>
      <c r="M187">
        <f>VLOOKUP($A187,ScionOutput!$A$3:$BL$215,62,FALSE)</f>
        <v>0</v>
      </c>
      <c r="N187">
        <f>VLOOKUP($A187,ScionOutput!$A$3:$BL$215,63,FALSE)</f>
        <v>0</v>
      </c>
      <c r="O187" t="b">
        <f t="shared" si="17"/>
        <v>0</v>
      </c>
      <c r="P187">
        <f>VLOOKUP($A187,Outcomes!$B$3:$I$209,8,FALSE)</f>
        <v>9</v>
      </c>
      <c r="Q187">
        <f t="shared" si="18"/>
        <v>1</v>
      </c>
      <c r="R187">
        <f>VLOOKUP($A187,Outcomes!$B$3:$I$209,5,FALSE)</f>
        <v>6</v>
      </c>
      <c r="S187">
        <f>VLOOKUP($A187,Outcomes!$B$3:$I$209,6,FALSE)</f>
        <v>3</v>
      </c>
      <c r="T187">
        <f>VLOOKUP($A187,Outcomes!$B$3:$I$209,7,FALSE)</f>
        <v>-3</v>
      </c>
      <c r="U187" t="str">
        <f t="shared" si="19"/>
        <v>HomFave</v>
      </c>
      <c r="V187" s="5" t="str">
        <f t="shared" si="20"/>
        <v/>
      </c>
      <c r="W187" t="str">
        <f t="shared" si="16"/>
        <v/>
      </c>
      <c r="X187" t="str">
        <f t="shared" si="21"/>
        <v/>
      </c>
      <c r="Y187" t="str">
        <f t="shared" si="22"/>
        <v/>
      </c>
      <c r="Z187" s="2" t="str">
        <f t="shared" si="23"/>
        <v/>
      </c>
      <c r="AA187" t="str">
        <f>VLOOKUP($A187,ScionOutput!$A$3:$BL$215,64,FALSE)</f>
        <v xml:space="preserve">823854. LineStatEns probability points gap does not exceed threshold (no edge found)! StatOnlyEns probability points gap does not exceed threshold (no edge found)! No play due to strategy constraints. </v>
      </c>
    </row>
    <row r="188" spans="1:27" x14ac:dyDescent="0.2">
      <c r="A188">
        <v>824180</v>
      </c>
      <c r="B188" s="3">
        <f>VLOOKUP($A188,ScionOutput!$A$3:$BL$215,3,FALSE)</f>
        <v>46193</v>
      </c>
      <c r="C188">
        <f>VLOOKUP($A188,ScionOutput!$A$3:$BL$215,22,FALSE)</f>
        <v>12</v>
      </c>
      <c r="D188" t="str">
        <f>VLOOKUP($A188,ScionOutput!$A$3:$BL$215,23,FALSE)</f>
        <v>HOU</v>
      </c>
      <c r="E188">
        <f>VLOOKUP($A188,ScionOutput!$A$3:$BL$215,6,FALSE)</f>
        <v>7</v>
      </c>
      <c r="F188" t="str">
        <f>VLOOKUP($A188,ScionOutput!$A$3:$BL$215,7,FALSE)</f>
        <v>CLE</v>
      </c>
      <c r="G188">
        <f>VLOOKUP($A188,ScionOutput!$A$3:$BL$215,26,FALSE)</f>
        <v>-139</v>
      </c>
      <c r="H188">
        <f>VLOOKUP($A188,ScionOutput!$A$3:$BL$215,10,FALSE)</f>
        <v>128</v>
      </c>
      <c r="I188" s="4" t="str">
        <f>VLOOKUP($A188,ScionOutput!$A$3:$BL$215,45,FALSE)</f>
        <v>HomFave</v>
      </c>
      <c r="J188" s="4">
        <f>VLOOKUP($A188,ScionOutput!$A$3:$BL$215,46,FALSE)</f>
        <v>0</v>
      </c>
      <c r="K188" t="str">
        <f>VLOOKUP($A188,ScionOutput!$A$3:$BL$215,58,FALSE)</f>
        <v>No Play</v>
      </c>
      <c r="L188">
        <f>VLOOKUP($A188,ScionOutput!$A$3:$BL$215,59,FALSE)</f>
        <v>0</v>
      </c>
      <c r="M188">
        <f>VLOOKUP($A188,ScionOutput!$A$3:$BL$215,62,FALSE)</f>
        <v>0</v>
      </c>
      <c r="N188">
        <f>VLOOKUP($A188,ScionOutput!$A$3:$BL$215,63,FALSE)</f>
        <v>0</v>
      </c>
      <c r="O188" t="b">
        <f t="shared" si="17"/>
        <v>0</v>
      </c>
      <c r="P188">
        <f>VLOOKUP($A188,Outcomes!$B$3:$I$209,8,FALSE)</f>
        <v>9</v>
      </c>
      <c r="Q188">
        <f t="shared" si="18"/>
        <v>-1</v>
      </c>
      <c r="R188">
        <f>VLOOKUP($A188,Outcomes!$B$3:$I$209,5,FALSE)</f>
        <v>1</v>
      </c>
      <c r="S188">
        <f>VLOOKUP($A188,Outcomes!$B$3:$I$209,6,FALSE)</f>
        <v>8</v>
      </c>
      <c r="T188">
        <f>VLOOKUP($A188,Outcomes!$B$3:$I$209,7,FALSE)</f>
        <v>7</v>
      </c>
      <c r="U188" t="str">
        <f t="shared" si="19"/>
        <v>VisDog</v>
      </c>
      <c r="V188" s="5" t="str">
        <f t="shared" si="20"/>
        <v/>
      </c>
      <c r="W188" t="str">
        <f t="shared" si="16"/>
        <v/>
      </c>
      <c r="X188" t="str">
        <f t="shared" si="21"/>
        <v/>
      </c>
      <c r="Y188" t="str">
        <f t="shared" si="22"/>
        <v/>
      </c>
      <c r="Z188" s="2" t="str">
        <f t="shared" si="23"/>
        <v/>
      </c>
      <c r="AA188" t="str">
        <f>VLOOKUP($A188,ScionOutput!$A$3:$BL$215,64,FALSE)</f>
        <v xml:space="preserve">824180. LineStatEns probability points gap does not exceed threshold (no edge found)! StatOnlyEns probability points gap does not exceed threshold (no edge found)! No play due to strategy constraints. </v>
      </c>
    </row>
    <row r="189" spans="1:27" x14ac:dyDescent="0.2">
      <c r="A189">
        <v>823937</v>
      </c>
      <c r="B189" s="3">
        <f>VLOOKUP($A189,ScionOutput!$A$3:$BL$215,3,FALSE)</f>
        <v>46193</v>
      </c>
      <c r="C189">
        <f>VLOOKUP($A189,ScionOutput!$A$3:$BL$215,22,FALSE)</f>
        <v>14</v>
      </c>
      <c r="D189" t="str">
        <f>VLOOKUP($A189,ScionOutput!$A$3:$BL$215,23,FALSE)</f>
        <v>LA</v>
      </c>
      <c r="E189">
        <f>VLOOKUP($A189,ScionOutput!$A$3:$BL$215,6,FALSE)</f>
        <v>2</v>
      </c>
      <c r="F189" t="str">
        <f>VLOOKUP($A189,ScionOutput!$A$3:$BL$215,7,FALSE)</f>
        <v>BAL</v>
      </c>
      <c r="G189">
        <f>VLOOKUP($A189,ScionOutput!$A$3:$BL$215,26,FALSE)</f>
        <v>-217</v>
      </c>
      <c r="H189">
        <f>VLOOKUP($A189,ScionOutput!$A$3:$BL$215,10,FALSE)</f>
        <v>196</v>
      </c>
      <c r="I189" s="4" t="str">
        <f>VLOOKUP($A189,ScionOutput!$A$3:$BL$215,45,FALSE)</f>
        <v>HomFave</v>
      </c>
      <c r="J189" s="4">
        <f>VLOOKUP($A189,ScionOutput!$A$3:$BL$215,46,FALSE)</f>
        <v>0</v>
      </c>
      <c r="K189" t="str">
        <f>VLOOKUP($A189,ScionOutput!$A$3:$BL$215,58,FALSE)</f>
        <v>No Play</v>
      </c>
      <c r="L189">
        <f>VLOOKUP($A189,ScionOutput!$A$3:$BL$215,59,FALSE)</f>
        <v>0</v>
      </c>
      <c r="M189">
        <f>VLOOKUP($A189,ScionOutput!$A$3:$BL$215,62,FALSE)</f>
        <v>0</v>
      </c>
      <c r="N189">
        <f>VLOOKUP($A189,ScionOutput!$A$3:$BL$215,63,FALSE)</f>
        <v>0</v>
      </c>
      <c r="O189" t="b">
        <f t="shared" si="17"/>
        <v>0</v>
      </c>
      <c r="P189">
        <f>VLOOKUP($A189,Outcomes!$B$3:$I$209,8,FALSE)</f>
        <v>5</v>
      </c>
      <c r="Q189">
        <f t="shared" si="18"/>
        <v>-1</v>
      </c>
      <c r="R189">
        <f>VLOOKUP($A189,Outcomes!$B$3:$I$209,5,FALSE)</f>
        <v>2</v>
      </c>
      <c r="S189">
        <f>VLOOKUP($A189,Outcomes!$B$3:$I$209,6,FALSE)</f>
        <v>3</v>
      </c>
      <c r="T189">
        <f>VLOOKUP($A189,Outcomes!$B$3:$I$209,7,FALSE)</f>
        <v>1</v>
      </c>
      <c r="U189" t="str">
        <f t="shared" si="19"/>
        <v>VisDog</v>
      </c>
      <c r="V189" s="5" t="str">
        <f t="shared" si="20"/>
        <v/>
      </c>
      <c r="W189" t="str">
        <f t="shared" si="16"/>
        <v/>
      </c>
      <c r="X189" t="str">
        <f t="shared" si="21"/>
        <v/>
      </c>
      <c r="Y189" t="str">
        <f t="shared" si="22"/>
        <v/>
      </c>
      <c r="Z189" s="2" t="str">
        <f t="shared" si="23"/>
        <v/>
      </c>
      <c r="AA189" t="str">
        <f>VLOOKUP($A189,ScionOutput!$A$3:$BL$215,64,FALSE)</f>
        <v xml:space="preserve">823937. LineStatEns is NoPlay as bookie-line outside range. StatOnlyEns is NoPlay as bookie-line outside range. No play due to strategy constraints. </v>
      </c>
    </row>
    <row r="190" spans="1:27" x14ac:dyDescent="0.2">
      <c r="A190">
        <v>823532</v>
      </c>
      <c r="B190" s="3">
        <f>VLOOKUP($A190,ScionOutput!$A$3:$BL$215,3,FALSE)</f>
        <v>46193</v>
      </c>
      <c r="C190">
        <f>VLOOKUP($A190,ScionOutput!$A$3:$BL$215,22,FALSE)</f>
        <v>19</v>
      </c>
      <c r="D190" t="str">
        <f>VLOOKUP($A190,ScionOutput!$A$3:$BL$215,23,FALSE)</f>
        <v>NYY</v>
      </c>
      <c r="E190">
        <f>VLOOKUP($A190,ScionOutput!$A$3:$BL$215,6,FALSE)</f>
        <v>6</v>
      </c>
      <c r="F190" t="str">
        <f>VLOOKUP($A190,ScionOutput!$A$3:$BL$215,7,FALSE)</f>
        <v>CIN</v>
      </c>
      <c r="G190">
        <f>VLOOKUP($A190,ScionOutput!$A$3:$BL$215,26,FALSE)</f>
        <v>-199</v>
      </c>
      <c r="H190">
        <f>VLOOKUP($A190,ScionOutput!$A$3:$BL$215,10,FALSE)</f>
        <v>181</v>
      </c>
      <c r="I190" s="4" t="str">
        <f>VLOOKUP($A190,ScionOutput!$A$3:$BL$215,45,FALSE)</f>
        <v>HomFave</v>
      </c>
      <c r="J190" s="4">
        <f>VLOOKUP($A190,ScionOutput!$A$3:$BL$215,46,FALSE)</f>
        <v>0</v>
      </c>
      <c r="K190" t="str">
        <f>VLOOKUP($A190,ScionOutput!$A$3:$BL$215,58,FALSE)</f>
        <v>No Play</v>
      </c>
      <c r="L190">
        <f>VLOOKUP($A190,ScionOutput!$A$3:$BL$215,59,FALSE)</f>
        <v>0</v>
      </c>
      <c r="M190">
        <f>VLOOKUP($A190,ScionOutput!$A$3:$BL$215,62,FALSE)</f>
        <v>0</v>
      </c>
      <c r="N190">
        <f>VLOOKUP($A190,ScionOutput!$A$3:$BL$215,63,FALSE)</f>
        <v>0</v>
      </c>
      <c r="O190" t="b">
        <f t="shared" si="17"/>
        <v>0</v>
      </c>
      <c r="P190">
        <f>VLOOKUP($A190,Outcomes!$B$3:$I$209,8,FALSE)</f>
        <v>12</v>
      </c>
      <c r="Q190">
        <f t="shared" si="18"/>
        <v>-1</v>
      </c>
      <c r="R190">
        <f>VLOOKUP($A190,Outcomes!$B$3:$I$209,5,FALSE)</f>
        <v>2</v>
      </c>
      <c r="S190">
        <f>VLOOKUP($A190,Outcomes!$B$3:$I$209,6,FALSE)</f>
        <v>10</v>
      </c>
      <c r="T190">
        <f>VLOOKUP($A190,Outcomes!$B$3:$I$209,7,FALSE)</f>
        <v>8</v>
      </c>
      <c r="U190" t="str">
        <f t="shared" si="19"/>
        <v>VisDog</v>
      </c>
      <c r="V190" s="5" t="str">
        <f t="shared" si="20"/>
        <v/>
      </c>
      <c r="W190" t="str">
        <f t="shared" si="16"/>
        <v/>
      </c>
      <c r="X190" t="str">
        <f t="shared" si="21"/>
        <v/>
      </c>
      <c r="Y190" t="str">
        <f t="shared" si="22"/>
        <v/>
      </c>
      <c r="Z190" s="2" t="str">
        <f t="shared" si="23"/>
        <v/>
      </c>
      <c r="AA190" t="str">
        <f>VLOOKUP($A190,ScionOutput!$A$3:$BL$215,64,FALSE)</f>
        <v xml:space="preserve">823532. LineStatEns is NoPlay as bookie-line outside range. StatOnlyEns is NoPlay as bookie-line outside range. No play due to strategy constraints. </v>
      </c>
    </row>
    <row r="191" spans="1:27" x14ac:dyDescent="0.2">
      <c r="A191">
        <v>824988</v>
      </c>
      <c r="B191" s="3">
        <f>VLOOKUP($A191,ScionOutput!$A$3:$BL$215,3,FALSE)</f>
        <v>46193</v>
      </c>
      <c r="C191">
        <f>VLOOKUP($A191,ScionOutput!$A$3:$BL$215,22,FALSE)</f>
        <v>20</v>
      </c>
      <c r="D191" t="str">
        <f>VLOOKUP($A191,ScionOutput!$A$3:$BL$215,23,FALSE)</f>
        <v>OAK</v>
      </c>
      <c r="E191">
        <f>VLOOKUP($A191,ScionOutput!$A$3:$BL$215,6,FALSE)</f>
        <v>4</v>
      </c>
      <c r="F191" t="str">
        <f>VLOOKUP($A191,ScionOutput!$A$3:$BL$215,7,FALSE)</f>
        <v>LAA</v>
      </c>
      <c r="G191">
        <f>VLOOKUP($A191,ScionOutput!$A$3:$BL$215,26,FALSE)</f>
        <v>-163</v>
      </c>
      <c r="H191">
        <f>VLOOKUP($A191,ScionOutput!$A$3:$BL$215,10,FALSE)</f>
        <v>149</v>
      </c>
      <c r="I191" s="4" t="str">
        <f>VLOOKUP($A191,ScionOutput!$A$3:$BL$215,45,FALSE)</f>
        <v>HomFave</v>
      </c>
      <c r="J191" s="4">
        <f>VLOOKUP($A191,ScionOutput!$A$3:$BL$215,46,FALSE)</f>
        <v>0</v>
      </c>
      <c r="K191" t="str">
        <f>VLOOKUP($A191,ScionOutput!$A$3:$BL$215,58,FALSE)</f>
        <v>No Play</v>
      </c>
      <c r="L191">
        <f>VLOOKUP($A191,ScionOutput!$A$3:$BL$215,59,FALSE)</f>
        <v>0</v>
      </c>
      <c r="M191">
        <f>VLOOKUP($A191,ScionOutput!$A$3:$BL$215,62,FALSE)</f>
        <v>0</v>
      </c>
      <c r="N191">
        <f>VLOOKUP($A191,ScionOutput!$A$3:$BL$215,63,FALSE)</f>
        <v>0</v>
      </c>
      <c r="O191" t="b">
        <f t="shared" si="17"/>
        <v>0</v>
      </c>
      <c r="P191">
        <f>VLOOKUP($A191,Outcomes!$B$3:$I$209,8,FALSE)</f>
        <v>7</v>
      </c>
      <c r="Q191">
        <f t="shared" si="18"/>
        <v>-1</v>
      </c>
      <c r="R191">
        <f>VLOOKUP($A191,Outcomes!$B$3:$I$209,5,FALSE)</f>
        <v>0</v>
      </c>
      <c r="S191">
        <f>VLOOKUP($A191,Outcomes!$B$3:$I$209,6,FALSE)</f>
        <v>7</v>
      </c>
      <c r="T191">
        <f>VLOOKUP($A191,Outcomes!$B$3:$I$209,7,FALSE)</f>
        <v>7</v>
      </c>
      <c r="U191" t="str">
        <f t="shared" si="19"/>
        <v>VisDog</v>
      </c>
      <c r="V191" s="5" t="str">
        <f t="shared" si="20"/>
        <v/>
      </c>
      <c r="W191" t="str">
        <f t="shared" si="16"/>
        <v/>
      </c>
      <c r="X191" t="str">
        <f t="shared" si="21"/>
        <v/>
      </c>
      <c r="Y191" t="str">
        <f t="shared" si="22"/>
        <v/>
      </c>
      <c r="Z191" s="2" t="str">
        <f t="shared" si="23"/>
        <v/>
      </c>
      <c r="AA191" t="str">
        <f>VLOOKUP($A191,ScionOutput!$A$3:$BL$215,64,FALSE)</f>
        <v xml:space="preserve">824988. LineStatEns is NoPlay as bookie-line outside range. StatOnlyEns is NoPlay as bookie-line outside range. No play due to strategy constraints. </v>
      </c>
    </row>
    <row r="192" spans="1:27" x14ac:dyDescent="0.2">
      <c r="A192">
        <v>823447</v>
      </c>
      <c r="B192" s="3">
        <f>VLOOKUP($A192,ScionOutput!$A$3:$BL$215,3,FALSE)</f>
        <v>46193</v>
      </c>
      <c r="C192">
        <f>VLOOKUP($A192,ScionOutput!$A$3:$BL$215,22,FALSE)</f>
        <v>21</v>
      </c>
      <c r="D192" t="str">
        <f>VLOOKUP($A192,ScionOutput!$A$3:$BL$215,23,FALSE)</f>
        <v>PHI</v>
      </c>
      <c r="E192">
        <f>VLOOKUP($A192,ScionOutput!$A$3:$BL$215,6,FALSE)</f>
        <v>18</v>
      </c>
      <c r="F192" t="str">
        <f>VLOOKUP($A192,ScionOutput!$A$3:$BL$215,7,FALSE)</f>
        <v>NYM</v>
      </c>
      <c r="G192">
        <f>VLOOKUP($A192,ScionOutput!$A$3:$BL$215,26,FALSE)</f>
        <v>-183</v>
      </c>
      <c r="H192">
        <f>VLOOKUP($A192,ScionOutput!$A$3:$BL$215,10,FALSE)</f>
        <v>167</v>
      </c>
      <c r="I192" s="4" t="str">
        <f>VLOOKUP($A192,ScionOutput!$A$3:$BL$215,45,FALSE)</f>
        <v>HomFave</v>
      </c>
      <c r="J192" s="4">
        <f>VLOOKUP($A192,ScionOutput!$A$3:$BL$215,46,FALSE)</f>
        <v>0</v>
      </c>
      <c r="K192" t="str">
        <f>VLOOKUP($A192,ScionOutput!$A$3:$BL$215,58,FALSE)</f>
        <v>No Play</v>
      </c>
      <c r="L192">
        <f>VLOOKUP($A192,ScionOutput!$A$3:$BL$215,59,FALSE)</f>
        <v>0</v>
      </c>
      <c r="M192">
        <f>VLOOKUP($A192,ScionOutput!$A$3:$BL$215,62,FALSE)</f>
        <v>0</v>
      </c>
      <c r="N192">
        <f>VLOOKUP($A192,ScionOutput!$A$3:$BL$215,63,FALSE)</f>
        <v>0</v>
      </c>
      <c r="O192" t="b">
        <f t="shared" si="17"/>
        <v>0</v>
      </c>
      <c r="P192">
        <f>VLOOKUP($A192,Outcomes!$B$3:$I$209,8,FALSE)</f>
        <v>18</v>
      </c>
      <c r="Q192">
        <f t="shared" si="18"/>
        <v>1</v>
      </c>
      <c r="R192">
        <f>VLOOKUP($A192,Outcomes!$B$3:$I$209,5,FALSE)</f>
        <v>15</v>
      </c>
      <c r="S192">
        <f>VLOOKUP($A192,Outcomes!$B$3:$I$209,6,FALSE)</f>
        <v>3</v>
      </c>
      <c r="T192">
        <f>VLOOKUP($A192,Outcomes!$B$3:$I$209,7,FALSE)</f>
        <v>-12</v>
      </c>
      <c r="U192" t="str">
        <f t="shared" si="19"/>
        <v>HomFave</v>
      </c>
      <c r="V192" s="5" t="str">
        <f t="shared" si="20"/>
        <v/>
      </c>
      <c r="W192" t="str">
        <f t="shared" si="16"/>
        <v/>
      </c>
      <c r="X192" t="str">
        <f t="shared" si="21"/>
        <v/>
      </c>
      <c r="Y192" t="str">
        <f t="shared" si="22"/>
        <v/>
      </c>
      <c r="Z192" s="2" t="str">
        <f t="shared" si="23"/>
        <v/>
      </c>
      <c r="AA192" t="str">
        <f>VLOOKUP($A192,ScionOutput!$A$3:$BL$215,64,FALSE)</f>
        <v xml:space="preserve">823447. LineStatEns is NoPlay as bookie-line outside range. StatOnlyEns is NoPlay as bookie-line outside range. No play due to strategy constraints. </v>
      </c>
    </row>
    <row r="193" spans="1:27" x14ac:dyDescent="0.2">
      <c r="A193">
        <v>823126</v>
      </c>
      <c r="B193" s="3">
        <f>VLOOKUP($A193,ScionOutput!$A$3:$BL$215,3,FALSE)</f>
        <v>46193</v>
      </c>
      <c r="C193">
        <f>VLOOKUP($A193,ScionOutput!$A$3:$BL$215,22,FALSE)</f>
        <v>24</v>
      </c>
      <c r="D193" t="str">
        <f>VLOOKUP($A193,ScionOutput!$A$3:$BL$215,23,FALSE)</f>
        <v>SEA</v>
      </c>
      <c r="E193">
        <f>VLOOKUP($A193,ScionOutput!$A$3:$BL$215,6,FALSE)</f>
        <v>3</v>
      </c>
      <c r="F193" t="str">
        <f>VLOOKUP($A193,ScionOutput!$A$3:$BL$215,7,FALSE)</f>
        <v>BOS</v>
      </c>
      <c r="G193">
        <f>VLOOKUP($A193,ScionOutput!$A$3:$BL$215,26,FALSE)</f>
        <v>-116</v>
      </c>
      <c r="H193">
        <f>VLOOKUP($A193,ScionOutput!$A$3:$BL$215,10,FALSE)</f>
        <v>107</v>
      </c>
      <c r="I193" s="4" t="str">
        <f>VLOOKUP($A193,ScionOutput!$A$3:$BL$215,45,FALSE)</f>
        <v>HomFave</v>
      </c>
      <c r="J193" s="4">
        <f>VLOOKUP($A193,ScionOutput!$A$3:$BL$215,46,FALSE)</f>
        <v>0</v>
      </c>
      <c r="K193" t="str">
        <f>VLOOKUP($A193,ScionOutput!$A$3:$BL$215,58,FALSE)</f>
        <v>No Play</v>
      </c>
      <c r="L193">
        <f>VLOOKUP($A193,ScionOutput!$A$3:$BL$215,59,FALSE)</f>
        <v>0</v>
      </c>
      <c r="M193">
        <f>VLOOKUP($A193,ScionOutput!$A$3:$BL$215,62,FALSE)</f>
        <v>0</v>
      </c>
      <c r="N193">
        <f>VLOOKUP($A193,ScionOutput!$A$3:$BL$215,63,FALSE)</f>
        <v>0</v>
      </c>
      <c r="O193" t="b">
        <f t="shared" si="17"/>
        <v>0</v>
      </c>
      <c r="P193">
        <f>VLOOKUP($A193,Outcomes!$B$3:$I$209,8,FALSE)</f>
        <v>6</v>
      </c>
      <c r="Q193">
        <f t="shared" si="18"/>
        <v>-1</v>
      </c>
      <c r="R193">
        <f>VLOOKUP($A193,Outcomes!$B$3:$I$209,5,FALSE)</f>
        <v>1</v>
      </c>
      <c r="S193">
        <f>VLOOKUP($A193,Outcomes!$B$3:$I$209,6,FALSE)</f>
        <v>5</v>
      </c>
      <c r="T193">
        <f>VLOOKUP($A193,Outcomes!$B$3:$I$209,7,FALSE)</f>
        <v>4</v>
      </c>
      <c r="U193" t="str">
        <f t="shared" si="19"/>
        <v>VisDog</v>
      </c>
      <c r="V193" s="5" t="str">
        <f t="shared" si="20"/>
        <v/>
      </c>
      <c r="W193" t="str">
        <f t="shared" si="16"/>
        <v/>
      </c>
      <c r="X193" t="str">
        <f t="shared" si="21"/>
        <v/>
      </c>
      <c r="Y193" t="str">
        <f t="shared" si="22"/>
        <v/>
      </c>
      <c r="Z193" s="2" t="str">
        <f t="shared" si="23"/>
        <v/>
      </c>
      <c r="AA193" t="str">
        <f>VLOOKUP($A193,ScionOutput!$A$3:$BL$215,64,FALSE)</f>
        <v xml:space="preserve">823126. LineStatEns probability points gap does not exceed threshold (no edge found)! StatOnlyEns probability points gap does not exceed threshold (no edge found)! No play due to strategy constraints. </v>
      </c>
    </row>
    <row r="194" spans="1:27" x14ac:dyDescent="0.2">
      <c r="A194">
        <v>822967</v>
      </c>
      <c r="B194" s="3">
        <f>VLOOKUP($A194,ScionOutput!$A$3:$BL$215,3,FALSE)</f>
        <v>46193</v>
      </c>
      <c r="C194">
        <f>VLOOKUP($A194,ScionOutput!$A$3:$BL$215,22,FALSE)</f>
        <v>27</v>
      </c>
      <c r="D194" t="str">
        <f>VLOOKUP($A194,ScionOutput!$A$3:$BL$215,23,FALSE)</f>
        <v>TB</v>
      </c>
      <c r="E194">
        <f>VLOOKUP($A194,ScionOutput!$A$3:$BL$215,6,FALSE)</f>
        <v>16</v>
      </c>
      <c r="F194" t="str">
        <f>VLOOKUP($A194,ScionOutput!$A$3:$BL$215,7,FALSE)</f>
        <v>WAS</v>
      </c>
      <c r="G194">
        <f>VLOOKUP($A194,ScionOutput!$A$3:$BL$215,26,FALSE)</f>
        <v>-117</v>
      </c>
      <c r="H194">
        <f>VLOOKUP($A194,ScionOutput!$A$3:$BL$215,10,FALSE)</f>
        <v>108</v>
      </c>
      <c r="I194" s="4" t="str">
        <f>VLOOKUP($A194,ScionOutput!$A$3:$BL$215,45,FALSE)</f>
        <v>HomFave</v>
      </c>
      <c r="J194" s="4">
        <f>VLOOKUP($A194,ScionOutput!$A$3:$BL$215,46,FALSE)</f>
        <v>0</v>
      </c>
      <c r="K194" t="str">
        <f>VLOOKUP($A194,ScionOutput!$A$3:$BL$215,58,FALSE)</f>
        <v>No Play</v>
      </c>
      <c r="L194">
        <f>VLOOKUP($A194,ScionOutput!$A$3:$BL$215,59,FALSE)</f>
        <v>0</v>
      </c>
      <c r="M194">
        <f>VLOOKUP($A194,ScionOutput!$A$3:$BL$215,62,FALSE)</f>
        <v>0</v>
      </c>
      <c r="N194">
        <f>VLOOKUP($A194,ScionOutput!$A$3:$BL$215,63,FALSE)</f>
        <v>0</v>
      </c>
      <c r="O194" t="b">
        <f t="shared" si="17"/>
        <v>0</v>
      </c>
      <c r="P194">
        <f>VLOOKUP($A194,Outcomes!$B$3:$I$209,8,FALSE)</f>
        <v>7</v>
      </c>
      <c r="Q194">
        <f t="shared" si="18"/>
        <v>-1</v>
      </c>
      <c r="R194">
        <f>VLOOKUP($A194,Outcomes!$B$3:$I$209,5,FALSE)</f>
        <v>3</v>
      </c>
      <c r="S194">
        <f>VLOOKUP($A194,Outcomes!$B$3:$I$209,6,FALSE)</f>
        <v>4</v>
      </c>
      <c r="T194">
        <f>VLOOKUP($A194,Outcomes!$B$3:$I$209,7,FALSE)</f>
        <v>1</v>
      </c>
      <c r="U194" t="str">
        <f t="shared" si="19"/>
        <v>VisDog</v>
      </c>
      <c r="V194" s="5" t="str">
        <f t="shared" si="20"/>
        <v/>
      </c>
      <c r="W194" t="str">
        <f t="shared" ref="W194:W209" si="24">IF(V194="","",IF(G194&lt;H194,IF(K194="HomFave",ABS(G194),IF(H194&lt;0,ABS(H194),100)),IF(K194="VisFave",ABS(H194),IF(G194&lt;0,ABS(G194),100))))</f>
        <v/>
      </c>
      <c r="X194" t="str">
        <f t="shared" si="21"/>
        <v/>
      </c>
      <c r="Y194" t="str">
        <f t="shared" si="22"/>
        <v/>
      </c>
      <c r="Z194" s="2" t="str">
        <f t="shared" si="23"/>
        <v/>
      </c>
      <c r="AA194" t="str">
        <f>VLOOKUP($A194,ScionOutput!$A$3:$BL$215,64,FALSE)</f>
        <v xml:space="preserve">822967. LineStatEns probability points gap does not exceed threshold (no edge found)! No play due to strategy constraints. </v>
      </c>
    </row>
    <row r="195" spans="1:27" x14ac:dyDescent="0.2">
      <c r="A195">
        <v>822885</v>
      </c>
      <c r="B195" s="3">
        <f>VLOOKUP($A195,ScionOutput!$A$3:$BL$215,3,FALSE)</f>
        <v>46193</v>
      </c>
      <c r="C195">
        <f>VLOOKUP($A195,ScionOutput!$A$3:$BL$215,22,FALSE)</f>
        <v>28</v>
      </c>
      <c r="D195" t="str">
        <f>VLOOKUP($A195,ScionOutput!$A$3:$BL$215,23,FALSE)</f>
        <v>TEX</v>
      </c>
      <c r="E195">
        <f>VLOOKUP($A195,ScionOutput!$A$3:$BL$215,6,FALSE)</f>
        <v>23</v>
      </c>
      <c r="F195" t="str">
        <f>VLOOKUP($A195,ScionOutput!$A$3:$BL$215,7,FALSE)</f>
        <v>SD</v>
      </c>
      <c r="G195">
        <f>VLOOKUP($A195,ScionOutput!$A$3:$BL$215,26,FALSE)</f>
        <v>-123</v>
      </c>
      <c r="H195">
        <f>VLOOKUP($A195,ScionOutput!$A$3:$BL$215,10,FALSE)</f>
        <v>114</v>
      </c>
      <c r="I195" s="4" t="str">
        <f>VLOOKUP($A195,ScionOutput!$A$3:$BL$215,45,FALSE)</f>
        <v>HomFave</v>
      </c>
      <c r="J195" s="4">
        <f>VLOOKUP($A195,ScionOutput!$A$3:$BL$215,46,FALSE)</f>
        <v>0</v>
      </c>
      <c r="K195" t="str">
        <f>VLOOKUP($A195,ScionOutput!$A$3:$BL$215,58,FALSE)</f>
        <v>No Play</v>
      </c>
      <c r="L195">
        <f>VLOOKUP($A195,ScionOutput!$A$3:$BL$215,59,FALSE)</f>
        <v>0</v>
      </c>
      <c r="M195">
        <f>VLOOKUP($A195,ScionOutput!$A$3:$BL$215,62,FALSE)</f>
        <v>0</v>
      </c>
      <c r="N195">
        <f>VLOOKUP($A195,ScionOutput!$A$3:$BL$215,63,FALSE)</f>
        <v>0</v>
      </c>
      <c r="O195" t="b">
        <f t="shared" ref="O195:O209" si="25">ISNUMBER(SEARCH("Play determined by LineStatEns and StatOnlyEns agreement", AA195))</f>
        <v>0</v>
      </c>
      <c r="P195">
        <f>VLOOKUP($A195,Outcomes!$B$3:$I$209,8,FALSE)</f>
        <v>10</v>
      </c>
      <c r="Q195">
        <f t="shared" ref="Q195:Q209" si="26">IF(R195&gt;S195,1,IF(R195&lt;S195,-1,0))</f>
        <v>-1</v>
      </c>
      <c r="R195">
        <f>VLOOKUP($A195,Outcomes!$B$3:$I$209,5,FALSE)</f>
        <v>4</v>
      </c>
      <c r="S195">
        <f>VLOOKUP($A195,Outcomes!$B$3:$I$209,6,FALSE)</f>
        <v>6</v>
      </c>
      <c r="T195">
        <f>VLOOKUP($A195,Outcomes!$B$3:$I$209,7,FALSE)</f>
        <v>2</v>
      </c>
      <c r="U195" t="str">
        <f t="shared" ref="U195:U209" si="27">IF(T195=0,"Push",IF(G195&lt;H195,IF(T195&lt;0,"HomFave","VisDog"),IF(T195&gt;0,"VisFave","HomDog")))</f>
        <v>VisDog</v>
      </c>
      <c r="V195" s="5" t="str">
        <f t="shared" ref="V195:V209" si="28">IF(OR(T195=0,I195="No Play",J195&lt;&gt;1),"",IF(U195=I195,1,0))</f>
        <v/>
      </c>
      <c r="W195" t="str">
        <f t="shared" si="24"/>
        <v/>
      </c>
      <c r="X195" t="str">
        <f t="shared" ref="X195:X209" si="29">IF(V195="","",IF(V195=0,0,IF(G195&lt;H195,IF(K195="HomFave",W195+100,IF(H195&lt;0,100+W195,W195+ABS(H195))),IF(K195="VisFave",W195+100,IF(G195&lt;0,100+W195,W195+ABS(G195))))))</f>
        <v/>
      </c>
      <c r="Y195" t="str">
        <f t="shared" ref="Y195:Y209" si="30">IF(V195="","",X195-W195)</f>
        <v/>
      </c>
      <c r="Z195" s="2" t="str">
        <f t="shared" ref="Z195:Z210" si="31">IF(V195="","",Y195/W195)</f>
        <v/>
      </c>
      <c r="AA195" t="str">
        <f>VLOOKUP($A195,ScionOutput!$A$3:$BL$215,64,FALSE)</f>
        <v xml:space="preserve">822885. LineStatEns probability points gap does not exceed threshold (no edge found)! StatOnlyEns probability points gap does not exceed threshold (no edge found)! No play due to strategy constraints. </v>
      </c>
    </row>
    <row r="196" spans="1:27" x14ac:dyDescent="0.2">
      <c r="A196">
        <v>824908</v>
      </c>
      <c r="B196" s="3">
        <f>VLOOKUP($A196,ScionOutput!$A$3:$BL$215,3,FALSE)</f>
        <v>46194</v>
      </c>
      <c r="C196">
        <f>VLOOKUP($A196,ScionOutput!$A$3:$BL$215,22,FALSE)</f>
        <v>0</v>
      </c>
      <c r="D196" t="str">
        <f>VLOOKUP($A196,ScionOutput!$A$3:$BL$215,23,FALSE)</f>
        <v>ATL</v>
      </c>
      <c r="E196">
        <f>VLOOKUP($A196,ScionOutput!$A$3:$BL$215,6,FALSE)</f>
        <v>17</v>
      </c>
      <c r="F196" t="str">
        <f>VLOOKUP($A196,ScionOutput!$A$3:$BL$215,7,FALSE)</f>
        <v>MLW</v>
      </c>
      <c r="G196">
        <f>VLOOKUP($A196,ScionOutput!$A$3:$BL$215,26,FALSE)</f>
        <v>-113</v>
      </c>
      <c r="H196">
        <f>VLOOKUP($A196,ScionOutput!$A$3:$BL$215,10,FALSE)</f>
        <v>105</v>
      </c>
      <c r="I196" s="4" t="str">
        <f>VLOOKUP($A196,ScionOutput!$A$3:$BL$215,45,FALSE)</f>
        <v>HomFave</v>
      </c>
      <c r="J196" s="4">
        <f>VLOOKUP($A196,ScionOutput!$A$3:$BL$215,46,FALSE)</f>
        <v>1</v>
      </c>
      <c r="K196" t="str">
        <f>VLOOKUP($A196,ScionOutput!$A$3:$BL$215,58,FALSE)</f>
        <v>HomFave</v>
      </c>
      <c r="L196">
        <f>VLOOKUP($A196,ScionOutput!$A$3:$BL$215,59,FALSE)</f>
        <v>4.9029999999999997E-2</v>
      </c>
      <c r="M196">
        <f>VLOOKUP($A196,ScionOutput!$A$3:$BL$215,62,FALSE)</f>
        <v>3</v>
      </c>
      <c r="N196">
        <f>VLOOKUP($A196,ScionOutput!$A$3:$BL$215,63,FALSE)</f>
        <v>1</v>
      </c>
      <c r="O196" t="b">
        <f t="shared" si="25"/>
        <v>0</v>
      </c>
      <c r="P196">
        <f>VLOOKUP($A196,Outcomes!$B$3:$I$209,8,FALSE)</f>
        <v>13</v>
      </c>
      <c r="Q196">
        <f t="shared" si="26"/>
        <v>-1</v>
      </c>
      <c r="R196">
        <f>VLOOKUP($A196,Outcomes!$B$3:$I$209,5,FALSE)</f>
        <v>4</v>
      </c>
      <c r="S196">
        <f>VLOOKUP($A196,Outcomes!$B$3:$I$209,6,FALSE)</f>
        <v>9</v>
      </c>
      <c r="T196">
        <f>VLOOKUP($A196,Outcomes!$B$3:$I$209,7,FALSE)</f>
        <v>5</v>
      </c>
      <c r="U196" t="str">
        <f t="shared" si="27"/>
        <v>VisDog</v>
      </c>
      <c r="V196" s="5">
        <f t="shared" si="28"/>
        <v>0</v>
      </c>
      <c r="W196">
        <f t="shared" si="24"/>
        <v>113</v>
      </c>
      <c r="X196">
        <f t="shared" si="29"/>
        <v>0</v>
      </c>
      <c r="Y196">
        <f t="shared" si="30"/>
        <v>-113</v>
      </c>
      <c r="Z196" s="2">
        <f t="shared" si="31"/>
        <v>-1</v>
      </c>
      <c r="AA196" t="str">
        <f>VLOOKUP($A196,ScionOutput!$A$3:$BL$215,64,FALSE)</f>
        <v xml:space="preserve">824908. StatOnlyEns probability points gap does not exceed threshold (no edge found)! Play determined by LineStatEns only. </v>
      </c>
    </row>
    <row r="197" spans="1:27" x14ac:dyDescent="0.2">
      <c r="A197">
        <v>825067</v>
      </c>
      <c r="B197" s="3">
        <f>VLOOKUP($A197,ScionOutput!$A$3:$BL$215,3,FALSE)</f>
        <v>46194</v>
      </c>
      <c r="C197">
        <f>VLOOKUP($A197,ScionOutput!$A$3:$BL$215,22,FALSE)</f>
        <v>1</v>
      </c>
      <c r="D197" t="str">
        <f>VLOOKUP($A197,ScionOutput!$A$3:$BL$215,23,FALSE)</f>
        <v>ARZ</v>
      </c>
      <c r="E197">
        <f>VLOOKUP($A197,ScionOutput!$A$3:$BL$215,6,FALSE)</f>
        <v>15</v>
      </c>
      <c r="F197" t="str">
        <f>VLOOKUP($A197,ScionOutput!$A$3:$BL$215,7,FALSE)</f>
        <v>MIN</v>
      </c>
      <c r="G197">
        <f>VLOOKUP($A197,ScionOutput!$A$3:$BL$215,26,FALSE)</f>
        <v>-126</v>
      </c>
      <c r="H197">
        <f>VLOOKUP($A197,ScionOutput!$A$3:$BL$215,10,FALSE)</f>
        <v>117</v>
      </c>
      <c r="I197" s="4" t="str">
        <f>VLOOKUP($A197,ScionOutput!$A$3:$BL$215,45,FALSE)</f>
        <v>HomFave</v>
      </c>
      <c r="J197" s="4">
        <f>VLOOKUP($A197,ScionOutput!$A$3:$BL$215,46,FALSE)</f>
        <v>0</v>
      </c>
      <c r="K197" t="str">
        <f>VLOOKUP($A197,ScionOutput!$A$3:$BL$215,58,FALSE)</f>
        <v>No Play</v>
      </c>
      <c r="L197">
        <f>VLOOKUP($A197,ScionOutput!$A$3:$BL$215,59,FALSE)</f>
        <v>0</v>
      </c>
      <c r="M197">
        <f>VLOOKUP($A197,ScionOutput!$A$3:$BL$215,62,FALSE)</f>
        <v>0</v>
      </c>
      <c r="N197">
        <f>VLOOKUP($A197,ScionOutput!$A$3:$BL$215,63,FALSE)</f>
        <v>0</v>
      </c>
      <c r="O197" t="b">
        <f t="shared" si="25"/>
        <v>0</v>
      </c>
      <c r="P197">
        <f>VLOOKUP($A197,Outcomes!$B$3:$I$209,8,FALSE)</f>
        <v>6</v>
      </c>
      <c r="Q197">
        <f t="shared" si="26"/>
        <v>-1</v>
      </c>
      <c r="R197">
        <f>VLOOKUP($A197,Outcomes!$B$3:$I$209,5,FALSE)</f>
        <v>2</v>
      </c>
      <c r="S197">
        <f>VLOOKUP($A197,Outcomes!$B$3:$I$209,6,FALSE)</f>
        <v>4</v>
      </c>
      <c r="T197">
        <f>VLOOKUP($A197,Outcomes!$B$3:$I$209,7,FALSE)</f>
        <v>2</v>
      </c>
      <c r="U197" t="str">
        <f t="shared" si="27"/>
        <v>VisDog</v>
      </c>
      <c r="V197" s="5" t="str">
        <f t="shared" si="28"/>
        <v/>
      </c>
      <c r="W197" t="str">
        <f t="shared" si="24"/>
        <v/>
      </c>
      <c r="X197" t="str">
        <f t="shared" si="29"/>
        <v/>
      </c>
      <c r="Y197" t="str">
        <f t="shared" si="30"/>
        <v/>
      </c>
      <c r="Z197" s="2" t="str">
        <f t="shared" si="31"/>
        <v/>
      </c>
      <c r="AA197" t="str">
        <f>VLOOKUP($A197,ScionOutput!$A$3:$BL$215,64,FALSE)</f>
        <v xml:space="preserve">825067. H_SP is Null, team-based avg used. NoPlay as H_SP is Null. </v>
      </c>
    </row>
    <row r="198" spans="1:27" x14ac:dyDescent="0.2">
      <c r="A198">
        <v>824343</v>
      </c>
      <c r="B198" s="3">
        <f>VLOOKUP($A198,ScionOutput!$A$3:$BL$215,3,FALSE)</f>
        <v>46194</v>
      </c>
      <c r="C198">
        <f>VLOOKUP($A198,ScionOutput!$A$3:$BL$215,22,FALSE)</f>
        <v>8</v>
      </c>
      <c r="D198" t="str">
        <f>VLOOKUP($A198,ScionOutput!$A$3:$BL$215,23,FALSE)</f>
        <v>COL</v>
      </c>
      <c r="E198">
        <f>VLOOKUP($A198,ScionOutput!$A$3:$BL$215,6,FALSE)</f>
        <v>22</v>
      </c>
      <c r="F198" t="str">
        <f>VLOOKUP($A198,ScionOutput!$A$3:$BL$215,7,FALSE)</f>
        <v>PIT</v>
      </c>
      <c r="G198">
        <f>VLOOKUP($A198,ScionOutput!$A$3:$BL$215,26,FALSE)</f>
        <v>130</v>
      </c>
      <c r="H198">
        <f>VLOOKUP($A198,ScionOutput!$A$3:$BL$215,10,FALSE)</f>
        <v>-141</v>
      </c>
      <c r="I198" s="4" t="str">
        <f>VLOOKUP($A198,ScionOutput!$A$3:$BL$215,45,FALSE)</f>
        <v>VisFave</v>
      </c>
      <c r="J198" s="4">
        <f>VLOOKUP($A198,ScionOutput!$A$3:$BL$215,46,FALSE)</f>
        <v>0</v>
      </c>
      <c r="K198" t="str">
        <f>VLOOKUP($A198,ScionOutput!$A$3:$BL$215,58,FALSE)</f>
        <v>No Play</v>
      </c>
      <c r="L198">
        <f>VLOOKUP($A198,ScionOutput!$A$3:$BL$215,59,FALSE)</f>
        <v>0</v>
      </c>
      <c r="M198">
        <f>VLOOKUP($A198,ScionOutput!$A$3:$BL$215,62,FALSE)</f>
        <v>0</v>
      </c>
      <c r="N198">
        <f>VLOOKUP($A198,ScionOutput!$A$3:$BL$215,63,FALSE)</f>
        <v>0</v>
      </c>
      <c r="O198" t="b">
        <f t="shared" si="25"/>
        <v>0</v>
      </c>
      <c r="P198">
        <f>VLOOKUP($A198,Outcomes!$B$3:$I$209,8,FALSE)</f>
        <v>14</v>
      </c>
      <c r="Q198">
        <f t="shared" si="26"/>
        <v>-1</v>
      </c>
      <c r="R198">
        <f>VLOOKUP($A198,Outcomes!$B$3:$I$209,5,FALSE)</f>
        <v>6</v>
      </c>
      <c r="S198">
        <f>VLOOKUP($A198,Outcomes!$B$3:$I$209,6,FALSE)</f>
        <v>8</v>
      </c>
      <c r="T198">
        <f>VLOOKUP($A198,Outcomes!$B$3:$I$209,7,FALSE)</f>
        <v>2</v>
      </c>
      <c r="U198" t="str">
        <f t="shared" si="27"/>
        <v>VisFave</v>
      </c>
      <c r="V198" s="5" t="str">
        <f t="shared" si="28"/>
        <v/>
      </c>
      <c r="W198" t="str">
        <f t="shared" si="24"/>
        <v/>
      </c>
      <c r="X198" t="str">
        <f t="shared" si="29"/>
        <v/>
      </c>
      <c r="Y198" t="str">
        <f t="shared" si="30"/>
        <v/>
      </c>
      <c r="Z198" s="2" t="str">
        <f t="shared" si="31"/>
        <v/>
      </c>
      <c r="AA198" t="str">
        <f>VLOOKUP($A198,ScionOutput!$A$3:$BL$215,64,FALSE)</f>
        <v xml:space="preserve">824343. VF plays are disallowed. No play due to strategy constraints. </v>
      </c>
    </row>
    <row r="199" spans="1:27" x14ac:dyDescent="0.2">
      <c r="A199">
        <v>824260</v>
      </c>
      <c r="B199" s="3">
        <f>VLOOKUP($A199,ScionOutput!$A$3:$BL$215,3,FALSE)</f>
        <v>46194</v>
      </c>
      <c r="C199">
        <f>VLOOKUP($A199,ScionOutput!$A$3:$BL$215,22,FALSE)</f>
        <v>10</v>
      </c>
      <c r="D199" t="str">
        <f>VLOOKUP($A199,ScionOutput!$A$3:$BL$215,23,FALSE)</f>
        <v>DET</v>
      </c>
      <c r="E199">
        <f>VLOOKUP($A199,ScionOutput!$A$3:$BL$215,6,FALSE)</f>
        <v>9</v>
      </c>
      <c r="F199" t="str">
        <f>VLOOKUP($A199,ScionOutput!$A$3:$BL$215,7,FALSE)</f>
        <v>CWS</v>
      </c>
      <c r="G199">
        <f>VLOOKUP($A199,ScionOutput!$A$3:$BL$215,26,FALSE)</f>
        <v>-114</v>
      </c>
      <c r="H199">
        <f>VLOOKUP($A199,ScionOutput!$A$3:$BL$215,10,FALSE)</f>
        <v>105</v>
      </c>
      <c r="I199" s="4" t="str">
        <f>VLOOKUP($A199,ScionOutput!$A$3:$BL$215,45,FALSE)</f>
        <v>VisDog</v>
      </c>
      <c r="J199" s="4">
        <f>VLOOKUP($A199,ScionOutput!$A$3:$BL$215,46,FALSE)</f>
        <v>1</v>
      </c>
      <c r="K199" t="str">
        <f>VLOOKUP($A199,ScionOutput!$A$3:$BL$215,58,FALSE)</f>
        <v>HomFave</v>
      </c>
      <c r="L199">
        <f>VLOOKUP($A199,ScionOutput!$A$3:$BL$215,59,FALSE)</f>
        <v>1.7999999999999999E-2</v>
      </c>
      <c r="M199">
        <f>VLOOKUP($A199,ScionOutput!$A$3:$BL$215,62,FALSE)</f>
        <v>5</v>
      </c>
      <c r="N199">
        <f>VLOOKUP($A199,ScionOutput!$A$3:$BL$215,63,FALSE)</f>
        <v>0.98</v>
      </c>
      <c r="O199" t="b">
        <f t="shared" si="25"/>
        <v>0</v>
      </c>
      <c r="P199">
        <f>VLOOKUP($A199,Outcomes!$B$3:$I$209,8,FALSE)</f>
        <v>9</v>
      </c>
      <c r="Q199">
        <f t="shared" si="26"/>
        <v>1</v>
      </c>
      <c r="R199">
        <f>VLOOKUP($A199,Outcomes!$B$3:$I$209,5,FALSE)</f>
        <v>5</v>
      </c>
      <c r="S199">
        <f>VLOOKUP($A199,Outcomes!$B$3:$I$209,6,FALSE)</f>
        <v>4</v>
      </c>
      <c r="T199">
        <f>VLOOKUP($A199,Outcomes!$B$3:$I$209,7,FALSE)</f>
        <v>-1</v>
      </c>
      <c r="U199" t="str">
        <f t="shared" si="27"/>
        <v>HomFave</v>
      </c>
      <c r="V199" s="5">
        <f t="shared" si="28"/>
        <v>0</v>
      </c>
      <c r="W199">
        <f t="shared" si="24"/>
        <v>114</v>
      </c>
      <c r="X199">
        <f t="shared" si="29"/>
        <v>0</v>
      </c>
      <c r="Y199">
        <f t="shared" si="30"/>
        <v>-114</v>
      </c>
      <c r="Z199" s="2">
        <f t="shared" si="31"/>
        <v>-1</v>
      </c>
      <c r="AA199" t="str">
        <f>VLOOKUP($A199,ScionOutput!$A$3:$BL$215,64,FALSE)</f>
        <v xml:space="preserve">824260. Play determined by StatOnlyEns when it disagrees with LineStatEns. </v>
      </c>
    </row>
    <row r="200" spans="1:27" x14ac:dyDescent="0.2">
      <c r="A200">
        <v>823852</v>
      </c>
      <c r="B200" s="3">
        <f>VLOOKUP($A200,ScionOutput!$A$3:$BL$215,3,FALSE)</f>
        <v>46194</v>
      </c>
      <c r="C200">
        <f>VLOOKUP($A200,ScionOutput!$A$3:$BL$215,22,FALSE)</f>
        <v>11</v>
      </c>
      <c r="D200" t="str">
        <f>VLOOKUP($A200,ScionOutput!$A$3:$BL$215,23,FALSE)</f>
        <v>FLO</v>
      </c>
      <c r="E200">
        <f>VLOOKUP($A200,ScionOutput!$A$3:$BL$215,6,FALSE)</f>
        <v>25</v>
      </c>
      <c r="F200" t="str">
        <f>VLOOKUP($A200,ScionOutput!$A$3:$BL$215,7,FALSE)</f>
        <v>SF</v>
      </c>
      <c r="G200">
        <f>VLOOKUP($A200,ScionOutput!$A$3:$BL$215,26,FALSE)</f>
        <v>124</v>
      </c>
      <c r="H200">
        <f>VLOOKUP($A200,ScionOutput!$A$3:$BL$215,10,FALSE)</f>
        <v>-134</v>
      </c>
      <c r="I200" s="4" t="str">
        <f>VLOOKUP($A200,ScionOutput!$A$3:$BL$215,45,FALSE)</f>
        <v>VisFave</v>
      </c>
      <c r="J200" s="4">
        <f>VLOOKUP($A200,ScionOutput!$A$3:$BL$215,46,FALSE)</f>
        <v>0</v>
      </c>
      <c r="K200" t="str">
        <f>VLOOKUP($A200,ScionOutput!$A$3:$BL$215,58,FALSE)</f>
        <v>No Play</v>
      </c>
      <c r="L200">
        <f>VLOOKUP($A200,ScionOutput!$A$3:$BL$215,59,FALSE)</f>
        <v>0</v>
      </c>
      <c r="M200">
        <f>VLOOKUP($A200,ScionOutput!$A$3:$BL$215,62,FALSE)</f>
        <v>0</v>
      </c>
      <c r="N200">
        <f>VLOOKUP($A200,ScionOutput!$A$3:$BL$215,63,FALSE)</f>
        <v>0</v>
      </c>
      <c r="O200" t="b">
        <f t="shared" si="25"/>
        <v>0</v>
      </c>
      <c r="P200">
        <f>VLOOKUP($A200,Outcomes!$B$3:$I$209,8,FALSE)</f>
        <v>3</v>
      </c>
      <c r="Q200">
        <f t="shared" si="26"/>
        <v>1</v>
      </c>
      <c r="R200">
        <f>VLOOKUP($A200,Outcomes!$B$3:$I$209,5,FALSE)</f>
        <v>2</v>
      </c>
      <c r="S200">
        <f>VLOOKUP($A200,Outcomes!$B$3:$I$209,6,FALSE)</f>
        <v>1</v>
      </c>
      <c r="T200">
        <f>VLOOKUP($A200,Outcomes!$B$3:$I$209,7,FALSE)</f>
        <v>-1</v>
      </c>
      <c r="U200" t="str">
        <f t="shared" si="27"/>
        <v>HomDog</v>
      </c>
      <c r="V200" s="5" t="str">
        <f t="shared" si="28"/>
        <v/>
      </c>
      <c r="W200" t="str">
        <f t="shared" si="24"/>
        <v/>
      </c>
      <c r="X200" t="str">
        <f t="shared" si="29"/>
        <v/>
      </c>
      <c r="Y200" t="str">
        <f t="shared" si="30"/>
        <v/>
      </c>
      <c r="Z200" s="2" t="str">
        <f t="shared" si="31"/>
        <v/>
      </c>
      <c r="AA200" t="str">
        <f>VLOOKUP($A200,ScionOutput!$A$3:$BL$215,64,FALSE)</f>
        <v xml:space="preserve">823852. VF plays are disallowed. No play due to strategy constraints. </v>
      </c>
    </row>
    <row r="201" spans="1:27" x14ac:dyDescent="0.2">
      <c r="A201">
        <v>824177</v>
      </c>
      <c r="B201" s="3">
        <f>VLOOKUP($A201,ScionOutput!$A$3:$BL$215,3,FALSE)</f>
        <v>46194</v>
      </c>
      <c r="C201">
        <f>VLOOKUP($A201,ScionOutput!$A$3:$BL$215,22,FALSE)</f>
        <v>12</v>
      </c>
      <c r="D201" t="str">
        <f>VLOOKUP($A201,ScionOutput!$A$3:$BL$215,23,FALSE)</f>
        <v>HOU</v>
      </c>
      <c r="E201">
        <f>VLOOKUP($A201,ScionOutput!$A$3:$BL$215,6,FALSE)</f>
        <v>7</v>
      </c>
      <c r="F201" t="str">
        <f>VLOOKUP($A201,ScionOutput!$A$3:$BL$215,7,FALSE)</f>
        <v>CLE</v>
      </c>
      <c r="G201">
        <f>VLOOKUP($A201,ScionOutput!$A$3:$BL$215,26,FALSE)</f>
        <v>-129</v>
      </c>
      <c r="H201">
        <f>VLOOKUP($A201,ScionOutput!$A$3:$BL$215,10,FALSE)</f>
        <v>119</v>
      </c>
      <c r="I201" s="4" t="str">
        <f>VLOOKUP($A201,ScionOutput!$A$3:$BL$215,45,FALSE)</f>
        <v>HomFave</v>
      </c>
      <c r="J201" s="4">
        <f>VLOOKUP($A201,ScionOutput!$A$3:$BL$215,46,FALSE)</f>
        <v>0</v>
      </c>
      <c r="K201" t="str">
        <f>VLOOKUP($A201,ScionOutput!$A$3:$BL$215,58,FALSE)</f>
        <v>No Play</v>
      </c>
      <c r="L201">
        <f>VLOOKUP($A201,ScionOutput!$A$3:$BL$215,59,FALSE)</f>
        <v>0</v>
      </c>
      <c r="M201">
        <f>VLOOKUP($A201,ScionOutput!$A$3:$BL$215,62,FALSE)</f>
        <v>0</v>
      </c>
      <c r="N201">
        <f>VLOOKUP($A201,ScionOutput!$A$3:$BL$215,63,FALSE)</f>
        <v>0</v>
      </c>
      <c r="O201" t="b">
        <f t="shared" si="25"/>
        <v>0</v>
      </c>
      <c r="P201">
        <f>VLOOKUP($A201,Outcomes!$B$3:$I$209,8,FALSE)</f>
        <v>3</v>
      </c>
      <c r="Q201">
        <f t="shared" si="26"/>
        <v>1</v>
      </c>
      <c r="R201">
        <f>VLOOKUP($A201,Outcomes!$B$3:$I$209,5,FALSE)</f>
        <v>2</v>
      </c>
      <c r="S201">
        <f>VLOOKUP($A201,Outcomes!$B$3:$I$209,6,FALSE)</f>
        <v>1</v>
      </c>
      <c r="T201">
        <f>VLOOKUP($A201,Outcomes!$B$3:$I$209,7,FALSE)</f>
        <v>-1</v>
      </c>
      <c r="U201" t="str">
        <f t="shared" si="27"/>
        <v>HomFave</v>
      </c>
      <c r="V201" s="5" t="str">
        <f t="shared" si="28"/>
        <v/>
      </c>
      <c r="W201" t="str">
        <f t="shared" si="24"/>
        <v/>
      </c>
      <c r="X201" t="str">
        <f t="shared" si="29"/>
        <v/>
      </c>
      <c r="Y201" t="str">
        <f t="shared" si="30"/>
        <v/>
      </c>
      <c r="Z201" s="2" t="str">
        <f t="shared" si="31"/>
        <v/>
      </c>
      <c r="AA201" t="str">
        <f>VLOOKUP($A201,ScionOutput!$A$3:$BL$215,64,FALSE)</f>
        <v xml:space="preserve">824177. LineStatEns probability points gap does not exceed threshold (no edge found)! StatOnlyEns probability points gap does not exceed threshold (no edge found)! No play due to strategy constraints. </v>
      </c>
    </row>
    <row r="202" spans="1:27" x14ac:dyDescent="0.2">
      <c r="A202">
        <v>824095</v>
      </c>
      <c r="B202" s="3">
        <f>VLOOKUP($A202,ScionOutput!$A$3:$BL$215,3,FALSE)</f>
        <v>46194</v>
      </c>
      <c r="C202">
        <f>VLOOKUP($A202,ScionOutput!$A$3:$BL$215,22,FALSE)</f>
        <v>13</v>
      </c>
      <c r="D202" t="str">
        <f>VLOOKUP($A202,ScionOutput!$A$3:$BL$215,23,FALSE)</f>
        <v>KC</v>
      </c>
      <c r="E202">
        <f>VLOOKUP($A202,ScionOutput!$A$3:$BL$215,6,FALSE)</f>
        <v>26</v>
      </c>
      <c r="F202" t="str">
        <f>VLOOKUP($A202,ScionOutput!$A$3:$BL$215,7,FALSE)</f>
        <v>STL</v>
      </c>
      <c r="G202">
        <f>VLOOKUP($A202,ScionOutput!$A$3:$BL$215,26,FALSE)</f>
        <v>112</v>
      </c>
      <c r="H202">
        <f>VLOOKUP($A202,ScionOutput!$A$3:$BL$215,10,FALSE)</f>
        <v>-121</v>
      </c>
      <c r="I202" s="4" t="str">
        <f>VLOOKUP($A202,ScionOutput!$A$3:$BL$215,45,FALSE)</f>
        <v>VisFave</v>
      </c>
      <c r="J202" s="4">
        <f>VLOOKUP($A202,ScionOutput!$A$3:$BL$215,46,FALSE)</f>
        <v>0</v>
      </c>
      <c r="K202" t="str">
        <f>VLOOKUP($A202,ScionOutput!$A$3:$BL$215,58,FALSE)</f>
        <v>No Play</v>
      </c>
      <c r="L202">
        <f>VLOOKUP($A202,ScionOutput!$A$3:$BL$215,59,FALSE)</f>
        <v>0</v>
      </c>
      <c r="M202">
        <f>VLOOKUP($A202,ScionOutput!$A$3:$BL$215,62,FALSE)</f>
        <v>0</v>
      </c>
      <c r="N202">
        <f>VLOOKUP($A202,ScionOutput!$A$3:$BL$215,63,FALSE)</f>
        <v>0</v>
      </c>
      <c r="O202" t="b">
        <f t="shared" si="25"/>
        <v>0</v>
      </c>
      <c r="P202">
        <f>VLOOKUP($A202,Outcomes!$B$3:$I$209,8,FALSE)</f>
        <v>22</v>
      </c>
      <c r="Q202">
        <f t="shared" si="26"/>
        <v>-1</v>
      </c>
      <c r="R202">
        <f>VLOOKUP($A202,Outcomes!$B$3:$I$209,5,FALSE)</f>
        <v>10</v>
      </c>
      <c r="S202">
        <f>VLOOKUP($A202,Outcomes!$B$3:$I$209,6,FALSE)</f>
        <v>12</v>
      </c>
      <c r="T202">
        <f>VLOOKUP($A202,Outcomes!$B$3:$I$209,7,FALSE)</f>
        <v>2</v>
      </c>
      <c r="U202" t="str">
        <f t="shared" si="27"/>
        <v>VisFave</v>
      </c>
      <c r="V202" s="5" t="str">
        <f t="shared" si="28"/>
        <v/>
      </c>
      <c r="W202" t="str">
        <f t="shared" si="24"/>
        <v/>
      </c>
      <c r="X202" t="str">
        <f t="shared" si="29"/>
        <v/>
      </c>
      <c r="Y202" t="str">
        <f t="shared" si="30"/>
        <v/>
      </c>
      <c r="Z202" s="2" t="str">
        <f t="shared" si="31"/>
        <v/>
      </c>
      <c r="AA202" t="str">
        <f>VLOOKUP($A202,ScionOutput!$A$3:$BL$215,64,FALSE)</f>
        <v xml:space="preserve">824095. VF plays are disallowed. No play due to strategy constraints. </v>
      </c>
    </row>
    <row r="203" spans="1:27" x14ac:dyDescent="0.2">
      <c r="A203">
        <v>823934</v>
      </c>
      <c r="B203" s="3">
        <f>VLOOKUP($A203,ScionOutput!$A$3:$BL$215,3,FALSE)</f>
        <v>46194</v>
      </c>
      <c r="C203">
        <f>VLOOKUP($A203,ScionOutput!$A$3:$BL$215,22,FALSE)</f>
        <v>14</v>
      </c>
      <c r="D203" t="str">
        <f>VLOOKUP($A203,ScionOutput!$A$3:$BL$215,23,FALSE)</f>
        <v>LA</v>
      </c>
      <c r="E203">
        <f>VLOOKUP($A203,ScionOutput!$A$3:$BL$215,6,FALSE)</f>
        <v>2</v>
      </c>
      <c r="F203" t="str">
        <f>VLOOKUP($A203,ScionOutput!$A$3:$BL$215,7,FALSE)</f>
        <v>BAL</v>
      </c>
      <c r="G203">
        <f>VLOOKUP($A203,ScionOutput!$A$3:$BL$215,26,FALSE)</f>
        <v>-228</v>
      </c>
      <c r="H203">
        <f>VLOOKUP($A203,ScionOutput!$A$3:$BL$215,10,FALSE)</f>
        <v>206</v>
      </c>
      <c r="I203" s="4" t="str">
        <f>VLOOKUP($A203,ScionOutput!$A$3:$BL$215,45,FALSE)</f>
        <v>HomFave</v>
      </c>
      <c r="J203" s="4">
        <f>VLOOKUP($A203,ScionOutput!$A$3:$BL$215,46,FALSE)</f>
        <v>0</v>
      </c>
      <c r="K203" t="str">
        <f>VLOOKUP($A203,ScionOutput!$A$3:$BL$215,58,FALSE)</f>
        <v>No Play</v>
      </c>
      <c r="L203">
        <f>VLOOKUP($A203,ScionOutput!$A$3:$BL$215,59,FALSE)</f>
        <v>0</v>
      </c>
      <c r="M203">
        <f>VLOOKUP($A203,ScionOutput!$A$3:$BL$215,62,FALSE)</f>
        <v>0</v>
      </c>
      <c r="N203">
        <f>VLOOKUP($A203,ScionOutput!$A$3:$BL$215,63,FALSE)</f>
        <v>0</v>
      </c>
      <c r="O203" t="b">
        <f t="shared" si="25"/>
        <v>0</v>
      </c>
      <c r="P203">
        <f>VLOOKUP($A203,Outcomes!$B$3:$I$209,8,FALSE)</f>
        <v>13</v>
      </c>
      <c r="Q203">
        <f t="shared" si="26"/>
        <v>-1</v>
      </c>
      <c r="R203">
        <f>VLOOKUP($A203,Outcomes!$B$3:$I$209,5,FALSE)</f>
        <v>1</v>
      </c>
      <c r="S203">
        <f>VLOOKUP($A203,Outcomes!$B$3:$I$209,6,FALSE)</f>
        <v>12</v>
      </c>
      <c r="T203">
        <f>VLOOKUP($A203,Outcomes!$B$3:$I$209,7,FALSE)</f>
        <v>11</v>
      </c>
      <c r="U203" t="str">
        <f t="shared" si="27"/>
        <v>VisDog</v>
      </c>
      <c r="V203" s="5" t="str">
        <f t="shared" si="28"/>
        <v/>
      </c>
      <c r="W203" t="str">
        <f t="shared" si="24"/>
        <v/>
      </c>
      <c r="X203" t="str">
        <f t="shared" si="29"/>
        <v/>
      </c>
      <c r="Y203" t="str">
        <f t="shared" si="30"/>
        <v/>
      </c>
      <c r="Z203" s="2" t="str">
        <f t="shared" si="31"/>
        <v/>
      </c>
      <c r="AA203" t="str">
        <f>VLOOKUP($A203,ScionOutput!$A$3:$BL$215,64,FALSE)</f>
        <v xml:space="preserve">823934. LineStatEns is NoPlay as bookie-line outside range. StatOnlyEns is NoPlay as bookie-line outside range. No play due to strategy constraints. </v>
      </c>
    </row>
    <row r="204" spans="1:27" x14ac:dyDescent="0.2">
      <c r="A204">
        <v>823531</v>
      </c>
      <c r="B204" s="3">
        <f>VLOOKUP($A204,ScionOutput!$A$3:$BL$215,3,FALSE)</f>
        <v>46194</v>
      </c>
      <c r="C204">
        <f>VLOOKUP($A204,ScionOutput!$A$3:$BL$215,22,FALSE)</f>
        <v>19</v>
      </c>
      <c r="D204" t="str">
        <f>VLOOKUP($A204,ScionOutput!$A$3:$BL$215,23,FALSE)</f>
        <v>NYY</v>
      </c>
      <c r="E204">
        <f>VLOOKUP($A204,ScionOutput!$A$3:$BL$215,6,FALSE)</f>
        <v>6</v>
      </c>
      <c r="F204" t="str">
        <f>VLOOKUP($A204,ScionOutput!$A$3:$BL$215,7,FALSE)</f>
        <v>CIN</v>
      </c>
      <c r="G204">
        <f>VLOOKUP($A204,ScionOutput!$A$3:$BL$215,26,FALSE)</f>
        <v>-110</v>
      </c>
      <c r="H204">
        <f>VLOOKUP($A204,ScionOutput!$A$3:$BL$215,10,FALSE)</f>
        <v>101</v>
      </c>
      <c r="I204" s="4" t="str">
        <f>VLOOKUP($A204,ScionOutput!$A$3:$BL$215,45,FALSE)</f>
        <v>HomFave</v>
      </c>
      <c r="J204" s="4">
        <f>VLOOKUP($A204,ScionOutput!$A$3:$BL$215,46,FALSE)</f>
        <v>1</v>
      </c>
      <c r="K204" t="str">
        <f>VLOOKUP($A204,ScionOutput!$A$3:$BL$215,58,FALSE)</f>
        <v>HomFave</v>
      </c>
      <c r="L204">
        <f>VLOOKUP($A204,ScionOutput!$A$3:$BL$215,59,FALSE)</f>
        <v>7.1300000000000001E-3</v>
      </c>
      <c r="M204">
        <f>VLOOKUP($A204,ScionOutput!$A$3:$BL$215,62,FALSE)</f>
        <v>3</v>
      </c>
      <c r="N204">
        <f>VLOOKUP($A204,ScionOutput!$A$3:$BL$215,63,FALSE)</f>
        <v>0.93</v>
      </c>
      <c r="O204" t="b">
        <f t="shared" si="25"/>
        <v>0</v>
      </c>
      <c r="P204">
        <f>VLOOKUP($A204,Outcomes!$B$3:$I$209,8,FALSE)</f>
        <v>5</v>
      </c>
      <c r="Q204">
        <f t="shared" si="26"/>
        <v>-1</v>
      </c>
      <c r="R204">
        <f>VLOOKUP($A204,Outcomes!$B$3:$I$209,5,FALSE)</f>
        <v>1</v>
      </c>
      <c r="S204">
        <f>VLOOKUP($A204,Outcomes!$B$3:$I$209,6,FALSE)</f>
        <v>4</v>
      </c>
      <c r="T204">
        <f>VLOOKUP($A204,Outcomes!$B$3:$I$209,7,FALSE)</f>
        <v>3</v>
      </c>
      <c r="U204" t="str">
        <f t="shared" si="27"/>
        <v>VisDog</v>
      </c>
      <c r="V204" s="5">
        <f t="shared" si="28"/>
        <v>0</v>
      </c>
      <c r="W204">
        <f t="shared" si="24"/>
        <v>110</v>
      </c>
      <c r="X204">
        <f t="shared" si="29"/>
        <v>0</v>
      </c>
      <c r="Y204">
        <f t="shared" si="30"/>
        <v>-110</v>
      </c>
      <c r="Z204" s="2">
        <f t="shared" si="31"/>
        <v>-1</v>
      </c>
      <c r="AA204" t="str">
        <f>VLOOKUP($A204,ScionOutput!$A$3:$BL$215,64,FALSE)</f>
        <v xml:space="preserve">823531. StatOnlyEns probability points gap does not exceed threshold (no edge found)! Play determined by LineStatEns only. </v>
      </c>
    </row>
    <row r="205" spans="1:27" x14ac:dyDescent="0.2">
      <c r="A205">
        <v>824987</v>
      </c>
      <c r="B205" s="3">
        <f>VLOOKUP($A205,ScionOutput!$A$3:$BL$215,3,FALSE)</f>
        <v>46194</v>
      </c>
      <c r="C205">
        <f>VLOOKUP($A205,ScionOutput!$A$3:$BL$215,22,FALSE)</f>
        <v>20</v>
      </c>
      <c r="D205" t="str">
        <f>VLOOKUP($A205,ScionOutput!$A$3:$BL$215,23,FALSE)</f>
        <v>OAK</v>
      </c>
      <c r="E205">
        <f>VLOOKUP($A205,ScionOutput!$A$3:$BL$215,6,FALSE)</f>
        <v>4</v>
      </c>
      <c r="F205" t="str">
        <f>VLOOKUP($A205,ScionOutput!$A$3:$BL$215,7,FALSE)</f>
        <v>LAA</v>
      </c>
      <c r="G205">
        <f>VLOOKUP($A205,ScionOutput!$A$3:$BL$215,26,FALSE)</f>
        <v>-126</v>
      </c>
      <c r="H205">
        <f>VLOOKUP($A205,ScionOutput!$A$3:$BL$215,10,FALSE)</f>
        <v>116</v>
      </c>
      <c r="I205" s="4" t="str">
        <f>VLOOKUP($A205,ScionOutput!$A$3:$BL$215,45,FALSE)</f>
        <v>HomFave</v>
      </c>
      <c r="J205" s="4">
        <f>VLOOKUP($A205,ScionOutput!$A$3:$BL$215,46,FALSE)</f>
        <v>0</v>
      </c>
      <c r="K205" t="str">
        <f>VLOOKUP($A205,ScionOutput!$A$3:$BL$215,58,FALSE)</f>
        <v>No Play</v>
      </c>
      <c r="L205">
        <f>VLOOKUP($A205,ScionOutput!$A$3:$BL$215,59,FALSE)</f>
        <v>0</v>
      </c>
      <c r="M205">
        <f>VLOOKUP($A205,ScionOutput!$A$3:$BL$215,62,FALSE)</f>
        <v>0</v>
      </c>
      <c r="N205">
        <f>VLOOKUP($A205,ScionOutput!$A$3:$BL$215,63,FALSE)</f>
        <v>0</v>
      </c>
      <c r="O205" t="b">
        <f t="shared" si="25"/>
        <v>0</v>
      </c>
      <c r="P205">
        <f>VLOOKUP($A205,Outcomes!$B$3:$I$209,8,FALSE)</f>
        <v>16</v>
      </c>
      <c r="Q205">
        <f t="shared" si="26"/>
        <v>-1</v>
      </c>
      <c r="R205">
        <f>VLOOKUP($A205,Outcomes!$B$3:$I$209,5,FALSE)</f>
        <v>7</v>
      </c>
      <c r="S205">
        <f>VLOOKUP($A205,Outcomes!$B$3:$I$209,6,FALSE)</f>
        <v>9</v>
      </c>
      <c r="T205">
        <f>VLOOKUP($A205,Outcomes!$B$3:$I$209,7,FALSE)</f>
        <v>2</v>
      </c>
      <c r="U205" t="str">
        <f t="shared" si="27"/>
        <v>VisDog</v>
      </c>
      <c r="V205" s="5" t="str">
        <f t="shared" si="28"/>
        <v/>
      </c>
      <c r="W205" t="str">
        <f t="shared" si="24"/>
        <v/>
      </c>
      <c r="X205" t="str">
        <f t="shared" si="29"/>
        <v/>
      </c>
      <c r="Y205" t="str">
        <f t="shared" si="30"/>
        <v/>
      </c>
      <c r="Z205" s="2" t="str">
        <f t="shared" si="31"/>
        <v/>
      </c>
      <c r="AA205" t="str">
        <f>VLOOKUP($A205,ScionOutput!$A$3:$BL$215,64,FALSE)</f>
        <v xml:space="preserve">824987. LineStatEns probability points gap does not exceed threshold (no edge found)! No play due to strategy constraints. </v>
      </c>
    </row>
    <row r="206" spans="1:27" x14ac:dyDescent="0.2">
      <c r="A206">
        <v>823449</v>
      </c>
      <c r="B206" s="3">
        <f>VLOOKUP($A206,ScionOutput!$A$3:$BL$215,3,FALSE)</f>
        <v>46194</v>
      </c>
      <c r="C206">
        <f>VLOOKUP($A206,ScionOutput!$A$3:$BL$215,22,FALSE)</f>
        <v>21</v>
      </c>
      <c r="D206" t="str">
        <f>VLOOKUP($A206,ScionOutput!$A$3:$BL$215,23,FALSE)</f>
        <v>PHI</v>
      </c>
      <c r="E206">
        <f>VLOOKUP($A206,ScionOutput!$A$3:$BL$215,6,FALSE)</f>
        <v>18</v>
      </c>
      <c r="F206" t="str">
        <f>VLOOKUP($A206,ScionOutput!$A$3:$BL$215,7,FALSE)</f>
        <v>NYM</v>
      </c>
      <c r="G206">
        <f>VLOOKUP($A206,ScionOutput!$A$3:$BL$215,26,FALSE)</f>
        <v>-172</v>
      </c>
      <c r="H206">
        <f>VLOOKUP($A206,ScionOutput!$A$3:$BL$215,10,FALSE)</f>
        <v>157</v>
      </c>
      <c r="I206" s="4" t="str">
        <f>VLOOKUP($A206,ScionOutput!$A$3:$BL$215,45,FALSE)</f>
        <v>HomFave</v>
      </c>
      <c r="J206" s="4">
        <f>VLOOKUP($A206,ScionOutput!$A$3:$BL$215,46,FALSE)</f>
        <v>0</v>
      </c>
      <c r="K206" t="str">
        <f>VLOOKUP($A206,ScionOutput!$A$3:$BL$215,58,FALSE)</f>
        <v>No Play</v>
      </c>
      <c r="L206">
        <f>VLOOKUP($A206,ScionOutput!$A$3:$BL$215,59,FALSE)</f>
        <v>0</v>
      </c>
      <c r="M206">
        <f>VLOOKUP($A206,ScionOutput!$A$3:$BL$215,62,FALSE)</f>
        <v>0</v>
      </c>
      <c r="N206">
        <f>VLOOKUP($A206,ScionOutput!$A$3:$BL$215,63,FALSE)</f>
        <v>0</v>
      </c>
      <c r="O206" t="b">
        <f t="shared" si="25"/>
        <v>0</v>
      </c>
      <c r="P206">
        <f>VLOOKUP($A206,Outcomes!$B$3:$I$209,8,FALSE)</f>
        <v>8</v>
      </c>
      <c r="Q206">
        <f t="shared" si="26"/>
        <v>1</v>
      </c>
      <c r="R206">
        <f>VLOOKUP($A206,Outcomes!$B$3:$I$209,5,FALSE)</f>
        <v>6</v>
      </c>
      <c r="S206">
        <f>VLOOKUP($A206,Outcomes!$B$3:$I$209,6,FALSE)</f>
        <v>2</v>
      </c>
      <c r="T206">
        <f>VLOOKUP($A206,Outcomes!$B$3:$I$209,7,FALSE)</f>
        <v>-4</v>
      </c>
      <c r="U206" t="str">
        <f t="shared" si="27"/>
        <v>HomFave</v>
      </c>
      <c r="V206" s="5" t="str">
        <f t="shared" si="28"/>
        <v/>
      </c>
      <c r="W206" t="str">
        <f t="shared" si="24"/>
        <v/>
      </c>
      <c r="X206" t="str">
        <f t="shared" si="29"/>
        <v/>
      </c>
      <c r="Y206" t="str">
        <f t="shared" si="30"/>
        <v/>
      </c>
      <c r="Z206" s="2" t="str">
        <f t="shared" si="31"/>
        <v/>
      </c>
      <c r="AA206" t="str">
        <f>VLOOKUP($A206,ScionOutput!$A$3:$BL$215,64,FALSE)</f>
        <v xml:space="preserve">823449. LineStatEns is NoPlay as bookie-line outside range. StatOnlyEns is NoPlay as bookie-line outside range. No play due to strategy constraints. </v>
      </c>
    </row>
    <row r="207" spans="1:27" x14ac:dyDescent="0.2">
      <c r="A207">
        <v>823123</v>
      </c>
      <c r="B207" s="3">
        <f>VLOOKUP($A207,ScionOutput!$A$3:$BL$215,3,FALSE)</f>
        <v>46194</v>
      </c>
      <c r="C207">
        <f>VLOOKUP($A207,ScionOutput!$A$3:$BL$215,22,FALSE)</f>
        <v>24</v>
      </c>
      <c r="D207" t="str">
        <f>VLOOKUP($A207,ScionOutput!$A$3:$BL$215,23,FALSE)</f>
        <v>SEA</v>
      </c>
      <c r="E207">
        <f>VLOOKUP($A207,ScionOutput!$A$3:$BL$215,6,FALSE)</f>
        <v>3</v>
      </c>
      <c r="F207" t="str">
        <f>VLOOKUP($A207,ScionOutput!$A$3:$BL$215,7,FALSE)</f>
        <v>BOS</v>
      </c>
      <c r="G207">
        <f>VLOOKUP($A207,ScionOutput!$A$3:$BL$215,26,FALSE)</f>
        <v>-118</v>
      </c>
      <c r="H207">
        <f>VLOOKUP($A207,ScionOutput!$A$3:$BL$215,10,FALSE)</f>
        <v>109</v>
      </c>
      <c r="I207" s="4" t="str">
        <f>VLOOKUP($A207,ScionOutput!$A$3:$BL$215,45,FALSE)</f>
        <v>HomFave</v>
      </c>
      <c r="J207" s="4">
        <f>VLOOKUP($A207,ScionOutput!$A$3:$BL$215,46,FALSE)</f>
        <v>0</v>
      </c>
      <c r="K207" t="str">
        <f>VLOOKUP($A207,ScionOutput!$A$3:$BL$215,58,FALSE)</f>
        <v>No Play</v>
      </c>
      <c r="L207">
        <f>VLOOKUP($A207,ScionOutput!$A$3:$BL$215,59,FALSE)</f>
        <v>0</v>
      </c>
      <c r="M207">
        <f>VLOOKUP($A207,ScionOutput!$A$3:$BL$215,62,FALSE)</f>
        <v>0</v>
      </c>
      <c r="N207">
        <f>VLOOKUP($A207,ScionOutput!$A$3:$BL$215,63,FALSE)</f>
        <v>0</v>
      </c>
      <c r="O207" t="b">
        <f t="shared" si="25"/>
        <v>0</v>
      </c>
      <c r="P207">
        <f>VLOOKUP($A207,Outcomes!$B$3:$I$209,8,FALSE)</f>
        <v>4</v>
      </c>
      <c r="Q207">
        <f t="shared" si="26"/>
        <v>1</v>
      </c>
      <c r="R207">
        <f>VLOOKUP($A207,Outcomes!$B$3:$I$209,5,FALSE)</f>
        <v>3</v>
      </c>
      <c r="S207">
        <f>VLOOKUP($A207,Outcomes!$B$3:$I$209,6,FALSE)</f>
        <v>1</v>
      </c>
      <c r="T207">
        <f>VLOOKUP($A207,Outcomes!$B$3:$I$209,7,FALSE)</f>
        <v>-2</v>
      </c>
      <c r="U207" t="str">
        <f t="shared" si="27"/>
        <v>HomFave</v>
      </c>
      <c r="V207" s="5" t="str">
        <f t="shared" si="28"/>
        <v/>
      </c>
      <c r="W207" t="str">
        <f t="shared" si="24"/>
        <v/>
      </c>
      <c r="X207" t="str">
        <f t="shared" si="29"/>
        <v/>
      </c>
      <c r="Y207" t="str">
        <f t="shared" si="30"/>
        <v/>
      </c>
      <c r="Z207" s="2" t="str">
        <f t="shared" si="31"/>
        <v/>
      </c>
      <c r="AA207" t="str">
        <f>VLOOKUP($A207,ScionOutput!$A$3:$BL$215,64,FALSE)</f>
        <v xml:space="preserve">823123. LineStatEns probability points gap does not exceed threshold (no edge found)! StatOnlyEns probability points gap does not exceed threshold (no edge found)! No play due to strategy constraints. </v>
      </c>
    </row>
    <row r="208" spans="1:27" x14ac:dyDescent="0.2">
      <c r="A208">
        <v>822968</v>
      </c>
      <c r="B208" s="3">
        <f>VLOOKUP($A208,ScionOutput!$A$3:$BL$215,3,FALSE)</f>
        <v>46194</v>
      </c>
      <c r="C208">
        <f>VLOOKUP($A208,ScionOutput!$A$3:$BL$215,22,FALSE)</f>
        <v>27</v>
      </c>
      <c r="D208" t="str">
        <f>VLOOKUP($A208,ScionOutput!$A$3:$BL$215,23,FALSE)</f>
        <v>TB</v>
      </c>
      <c r="E208">
        <f>VLOOKUP($A208,ScionOutput!$A$3:$BL$215,6,FALSE)</f>
        <v>16</v>
      </c>
      <c r="F208" t="str">
        <f>VLOOKUP($A208,ScionOutput!$A$3:$BL$215,7,FALSE)</f>
        <v>WAS</v>
      </c>
      <c r="G208">
        <f>VLOOKUP($A208,ScionOutput!$A$3:$BL$215,26,FALSE)</f>
        <v>-127</v>
      </c>
      <c r="H208">
        <f>VLOOKUP($A208,ScionOutput!$A$3:$BL$215,10,FALSE)</f>
        <v>117</v>
      </c>
      <c r="I208" s="4" t="str">
        <f>VLOOKUP($A208,ScionOutput!$A$3:$BL$215,45,FALSE)</f>
        <v>HomFave</v>
      </c>
      <c r="J208" s="4">
        <f>VLOOKUP($A208,ScionOutput!$A$3:$BL$215,46,FALSE)</f>
        <v>0</v>
      </c>
      <c r="K208" t="str">
        <f>VLOOKUP($A208,ScionOutput!$A$3:$BL$215,58,FALSE)</f>
        <v>No Play</v>
      </c>
      <c r="L208">
        <f>VLOOKUP($A208,ScionOutput!$A$3:$BL$215,59,FALSE)</f>
        <v>0</v>
      </c>
      <c r="M208">
        <f>VLOOKUP($A208,ScionOutput!$A$3:$BL$215,62,FALSE)</f>
        <v>0</v>
      </c>
      <c r="N208">
        <f>VLOOKUP($A208,ScionOutput!$A$3:$BL$215,63,FALSE)</f>
        <v>0</v>
      </c>
      <c r="O208" t="b">
        <f t="shared" si="25"/>
        <v>0</v>
      </c>
      <c r="P208">
        <f>VLOOKUP($A208,Outcomes!$B$3:$I$209,8,FALSE)</f>
        <v>7</v>
      </c>
      <c r="Q208">
        <f t="shared" si="26"/>
        <v>1</v>
      </c>
      <c r="R208">
        <f>VLOOKUP($A208,Outcomes!$B$3:$I$209,5,FALSE)</f>
        <v>4</v>
      </c>
      <c r="S208">
        <f>VLOOKUP($A208,Outcomes!$B$3:$I$209,6,FALSE)</f>
        <v>3</v>
      </c>
      <c r="T208">
        <f>VLOOKUP($A208,Outcomes!$B$3:$I$209,7,FALSE)</f>
        <v>-1</v>
      </c>
      <c r="U208" t="str">
        <f t="shared" si="27"/>
        <v>HomFave</v>
      </c>
      <c r="V208" s="5" t="str">
        <f t="shared" si="28"/>
        <v/>
      </c>
      <c r="W208" t="str">
        <f t="shared" si="24"/>
        <v/>
      </c>
      <c r="X208" t="str">
        <f t="shared" si="29"/>
        <v/>
      </c>
      <c r="Y208" t="str">
        <f t="shared" si="30"/>
        <v/>
      </c>
      <c r="Z208" s="2" t="str">
        <f t="shared" si="31"/>
        <v/>
      </c>
      <c r="AA208" t="str">
        <f>VLOOKUP($A208,ScionOutput!$A$3:$BL$215,64,FALSE)</f>
        <v xml:space="preserve">822968. LineStatEns probability points gap does not exceed threshold (no edge found)! StatOnlyEns probability points gap does not exceed threshold (no edge found)! No play due to strategy constraints. </v>
      </c>
    </row>
    <row r="209" spans="1:27" x14ac:dyDescent="0.2">
      <c r="A209">
        <v>822883</v>
      </c>
      <c r="B209" s="3">
        <f>VLOOKUP($A209,ScionOutput!$A$3:$BL$215,3,FALSE)</f>
        <v>46194</v>
      </c>
      <c r="C209">
        <f>VLOOKUP($A209,ScionOutput!$A$3:$BL$215,22,FALSE)</f>
        <v>28</v>
      </c>
      <c r="D209" t="str">
        <f>VLOOKUP($A209,ScionOutput!$A$3:$BL$215,23,FALSE)</f>
        <v>TEX</v>
      </c>
      <c r="E209">
        <f>VLOOKUP($A209,ScionOutput!$A$3:$BL$215,6,FALSE)</f>
        <v>23</v>
      </c>
      <c r="F209" t="str">
        <f>VLOOKUP($A209,ScionOutput!$A$3:$BL$215,7,FALSE)</f>
        <v>SD</v>
      </c>
      <c r="G209">
        <f>VLOOKUP($A209,ScionOutput!$A$3:$BL$215,26,FALSE)</f>
        <v>-160</v>
      </c>
      <c r="H209">
        <f>VLOOKUP($A209,ScionOutput!$A$3:$BL$215,10,FALSE)</f>
        <v>147</v>
      </c>
      <c r="I209" s="4" t="str">
        <f>VLOOKUP($A209,ScionOutput!$A$3:$BL$215,45,FALSE)</f>
        <v>HomFave</v>
      </c>
      <c r="J209" s="4">
        <f>VLOOKUP($A209,ScionOutput!$A$3:$BL$215,46,FALSE)</f>
        <v>0</v>
      </c>
      <c r="K209" t="str">
        <f>VLOOKUP($A209,ScionOutput!$A$3:$BL$215,58,FALSE)</f>
        <v>No Play</v>
      </c>
      <c r="L209">
        <f>VLOOKUP($A209,ScionOutput!$A$3:$BL$215,59,FALSE)</f>
        <v>0</v>
      </c>
      <c r="M209">
        <f>VLOOKUP($A209,ScionOutput!$A$3:$BL$215,62,FALSE)</f>
        <v>0</v>
      </c>
      <c r="N209">
        <f>VLOOKUP($A209,ScionOutput!$A$3:$BL$215,63,FALSE)</f>
        <v>0</v>
      </c>
      <c r="O209" t="b">
        <f t="shared" si="25"/>
        <v>0</v>
      </c>
      <c r="P209">
        <f>VLOOKUP($A209,Outcomes!$B$3:$I$209,8,FALSE)</f>
        <v>7</v>
      </c>
      <c r="Q209">
        <f t="shared" si="26"/>
        <v>1</v>
      </c>
      <c r="R209">
        <f>VLOOKUP($A209,Outcomes!$B$3:$I$209,5,FALSE)</f>
        <v>4</v>
      </c>
      <c r="S209">
        <f>VLOOKUP($A209,Outcomes!$B$3:$I$209,6,FALSE)</f>
        <v>3</v>
      </c>
      <c r="T209">
        <f>VLOOKUP($A209,Outcomes!$B$3:$I$209,7,FALSE)</f>
        <v>-1</v>
      </c>
      <c r="U209" t="str">
        <f t="shared" si="27"/>
        <v>HomFave</v>
      </c>
      <c r="V209" s="5" t="str">
        <f t="shared" si="28"/>
        <v/>
      </c>
      <c r="W209" t="str">
        <f t="shared" si="24"/>
        <v/>
      </c>
      <c r="X209" t="str">
        <f t="shared" si="29"/>
        <v/>
      </c>
      <c r="Y209" t="str">
        <f t="shared" si="30"/>
        <v/>
      </c>
      <c r="Z209" s="2" t="str">
        <f t="shared" si="31"/>
        <v/>
      </c>
      <c r="AA209" t="str">
        <f>VLOOKUP($A209,ScionOutput!$A$3:$BL$215,64,FALSE)</f>
        <v xml:space="preserve">822883. LineStatEns is NoPlay as bookie-line outside range. StatOnlyEns is NoPlay as bookie-line outside range. No play due to strategy constraints. </v>
      </c>
    </row>
    <row r="210" spans="1:27" x14ac:dyDescent="0.2">
      <c r="D210" t="s">
        <v>667</v>
      </c>
      <c r="F210" t="s">
        <v>667</v>
      </c>
      <c r="G210" t="s">
        <v>667</v>
      </c>
      <c r="H210" t="s">
        <v>667</v>
      </c>
      <c r="I210" t="s">
        <v>667</v>
      </c>
      <c r="J210" t="s">
        <v>667</v>
      </c>
      <c r="K210" t="s">
        <v>667</v>
      </c>
      <c r="L210" t="s">
        <v>667</v>
      </c>
      <c r="M210" t="s">
        <v>667</v>
      </c>
      <c r="N210" t="s">
        <v>667</v>
      </c>
      <c r="O210" t="s">
        <v>667</v>
      </c>
      <c r="V210" t="s">
        <v>667</v>
      </c>
      <c r="W210">
        <f>SUM(W2:W209)</f>
        <v>3606</v>
      </c>
      <c r="X210">
        <f>SUM(X2:X209)</f>
        <v>3100</v>
      </c>
      <c r="Y210">
        <f>SUM(Y2:Y209)</f>
        <v>-506</v>
      </c>
      <c r="Z210" s="2">
        <f t="shared" si="31"/>
        <v>-0.14032168607875761</v>
      </c>
      <c r="AA210" t="s">
        <v>667</v>
      </c>
    </row>
    <row r="211" spans="1:27" x14ac:dyDescent="0.2">
      <c r="U211" t="s">
        <v>672</v>
      </c>
      <c r="V211">
        <f>COUNT(T2:T209)</f>
        <v>208</v>
      </c>
    </row>
    <row r="212" spans="1:27" x14ac:dyDescent="0.2">
      <c r="U212" t="s">
        <v>673</v>
      </c>
      <c r="V212">
        <f>COUNT(V2:V209)</f>
        <v>34</v>
      </c>
    </row>
    <row r="213" spans="1:27" x14ac:dyDescent="0.2">
      <c r="U213" s="1" t="s">
        <v>674</v>
      </c>
      <c r="V213" s="2">
        <f>V212/V211</f>
        <v>0.16346153846153846</v>
      </c>
    </row>
    <row r="214" spans="1:27" x14ac:dyDescent="0.2">
      <c r="U214" t="s">
        <v>675</v>
      </c>
      <c r="V214">
        <f>SUM(V2:V209)</f>
        <v>15</v>
      </c>
    </row>
    <row r="215" spans="1:27" x14ac:dyDescent="0.2">
      <c r="U215" t="s">
        <v>676</v>
      </c>
      <c r="V215" s="2">
        <f>V214/V212</f>
        <v>0.44117647058823528</v>
      </c>
    </row>
    <row r="216" spans="1:27" x14ac:dyDescent="0.2">
      <c r="U216" t="s">
        <v>684</v>
      </c>
      <c r="V216">
        <f>W210</f>
        <v>3606</v>
      </c>
    </row>
    <row r="217" spans="1:27" x14ac:dyDescent="0.2">
      <c r="U217" t="s">
        <v>685</v>
      </c>
      <c r="V217">
        <f>X210</f>
        <v>3100</v>
      </c>
    </row>
    <row r="218" spans="1:27" x14ac:dyDescent="0.2">
      <c r="U218" t="s">
        <v>687</v>
      </c>
      <c r="V218">
        <f>Y210</f>
        <v>-506</v>
      </c>
    </row>
    <row r="219" spans="1:27" x14ac:dyDescent="0.2">
      <c r="U219" t="s">
        <v>686</v>
      </c>
      <c r="V219" s="2">
        <f>IF(V216=0,0,V218/V216)</f>
        <v>-0.14032168607875761</v>
      </c>
    </row>
    <row r="221" spans="1:27" x14ac:dyDescent="0.2">
      <c r="T221" t="s">
        <v>680</v>
      </c>
      <c r="U221" t="s">
        <v>681</v>
      </c>
      <c r="V221">
        <f>COUNTIFS($K$2:$K$209,"HomFave",$V$2:$V$209,"1")+COUNTIFS($K$2:$K$209,"HomFave",$V$2:$V$209,"0")</f>
        <v>14</v>
      </c>
      <c r="X221" t="s">
        <v>688</v>
      </c>
      <c r="Y221" t="s">
        <v>681</v>
      </c>
      <c r="Z221">
        <f>COUNTIFS($K$2:$K$209,"VisDog",$V$2:$V$209,"1")+COUNTIFS($K$2:$K$209,"VisDog",$V$2:$V$209,"0")</f>
        <v>16</v>
      </c>
    </row>
    <row r="222" spans="1:27" x14ac:dyDescent="0.2">
      <c r="U222" t="s">
        <v>682</v>
      </c>
      <c r="V222">
        <f>COUNTIFS($K$2:$K$209,"HomFave",$V$2:$V$209,"1")</f>
        <v>7</v>
      </c>
      <c r="Y222" t="s">
        <v>682</v>
      </c>
      <c r="Z222">
        <f>COUNTIFS($K$2:$K$209,"VisDog",$V$2:$V$209,"1")</f>
        <v>7</v>
      </c>
    </row>
    <row r="223" spans="1:27" x14ac:dyDescent="0.2">
      <c r="U223" t="s">
        <v>683</v>
      </c>
      <c r="V223" s="2">
        <f>IF(V221=0,0,V222/V221)</f>
        <v>0.5</v>
      </c>
      <c r="Y223" t="s">
        <v>683</v>
      </c>
      <c r="Z223" s="2">
        <f>IF(Z221=0,0,Z222/Z221)</f>
        <v>0.4375</v>
      </c>
    </row>
    <row r="224" spans="1:27" x14ac:dyDescent="0.2">
      <c r="U224" t="s">
        <v>684</v>
      </c>
      <c r="V224">
        <f>SUMIFS($W$2:$W$209,$K$2:$K$209,"HomFave")</f>
        <v>1593</v>
      </c>
      <c r="Y224" t="s">
        <v>684</v>
      </c>
      <c r="Z224">
        <f>SUMIFS($W$2:$W$209,$K$2:$K$209,"VisDog")</f>
        <v>1610</v>
      </c>
    </row>
    <row r="225" spans="20:26" x14ac:dyDescent="0.2">
      <c r="U225" t="s">
        <v>685</v>
      </c>
      <c r="V225">
        <f>SUMIFS($X$2:$X$209,$K$2:$K$209,"HomFave")</f>
        <v>1467</v>
      </c>
      <c r="Y225" t="s">
        <v>685</v>
      </c>
      <c r="Z225">
        <f>SUMIFS($X$2:$X$209,$K$2:$K$209,"VisDog")</f>
        <v>1431</v>
      </c>
    </row>
    <row r="226" spans="20:26" x14ac:dyDescent="0.2">
      <c r="U226" t="s">
        <v>687</v>
      </c>
      <c r="V226">
        <f>V225-V224</f>
        <v>-126</v>
      </c>
      <c r="Y226" t="s">
        <v>687</v>
      </c>
      <c r="Z226">
        <f>Z225-Z224</f>
        <v>-179</v>
      </c>
    </row>
    <row r="227" spans="20:26" x14ac:dyDescent="0.2">
      <c r="U227" t="s">
        <v>686</v>
      </c>
      <c r="V227" s="2">
        <f>IF(V224=0,0,V226/V224)</f>
        <v>-7.909604519774012E-2</v>
      </c>
      <c r="Y227" t="s">
        <v>686</v>
      </c>
      <c r="Z227" s="2">
        <f>IF(Z224=0,0,Z226/Z224)</f>
        <v>-0.11118012422360249</v>
      </c>
    </row>
    <row r="229" spans="20:26" x14ac:dyDescent="0.2">
      <c r="T229" t="s">
        <v>689</v>
      </c>
      <c r="U229" t="s">
        <v>681</v>
      </c>
      <c r="V229">
        <f>COUNTIFS($K$2:$K$209,"VisFave",$V$2:$V$209,"1")+COUNTIFS($K$2:$K$209,"VisFave",$V$2:$V$209,"0")</f>
        <v>0</v>
      </c>
      <c r="X229" t="s">
        <v>690</v>
      </c>
      <c r="Y229" t="s">
        <v>681</v>
      </c>
      <c r="Z229">
        <f>COUNTIFS($K$2:$K$209,"HomDog",$V$2:$V$209,"1")+COUNTIFS($K$2:$K$209,"HomDog",$V$2:$V$209,"0")</f>
        <v>4</v>
      </c>
    </row>
    <row r="230" spans="20:26" x14ac:dyDescent="0.2">
      <c r="U230" t="s">
        <v>682</v>
      </c>
      <c r="V230">
        <f>COUNTIFS($K$2:$K$209,"VisFave",$V$2:$V$209,"1")</f>
        <v>0</v>
      </c>
      <c r="Y230" t="s">
        <v>682</v>
      </c>
      <c r="Z230">
        <f>COUNTIFS($K$2:$K$209,"HomDog",$V$2:$V$209,"1")</f>
        <v>1</v>
      </c>
    </row>
    <row r="231" spans="20:26" x14ac:dyDescent="0.2">
      <c r="U231" t="s">
        <v>683</v>
      </c>
      <c r="V231" s="2">
        <f>IF(V229=0,0,V230/V229)</f>
        <v>0</v>
      </c>
      <c r="Y231" t="s">
        <v>683</v>
      </c>
      <c r="Z231" s="2">
        <f>IF(Z229=0,0,Z230/Z229)</f>
        <v>0.25</v>
      </c>
    </row>
    <row r="232" spans="20:26" x14ac:dyDescent="0.2">
      <c r="U232" t="s">
        <v>684</v>
      </c>
      <c r="V232">
        <f>SUMIFS($W$2:$W$209,$K$2:$K$209,"VisFave")</f>
        <v>0</v>
      </c>
      <c r="Y232" t="s">
        <v>684</v>
      </c>
      <c r="Z232">
        <f>SUMIFS($W$2:$W$209,$K$2:$K$209,"HomDog")</f>
        <v>403</v>
      </c>
    </row>
    <row r="233" spans="20:26" x14ac:dyDescent="0.2">
      <c r="U233" t="s">
        <v>685</v>
      </c>
      <c r="V233">
        <f>SUMIFS($X$2:$X$209,$K$2:$K$209,"VisFave")</f>
        <v>0</v>
      </c>
      <c r="Y233" t="s">
        <v>685</v>
      </c>
      <c r="Z233">
        <f>SUMIFS($X$2:$X$209,$K$2:$K$209,"HomDog")</f>
        <v>202</v>
      </c>
    </row>
    <row r="234" spans="20:26" x14ac:dyDescent="0.2">
      <c r="U234" t="s">
        <v>687</v>
      </c>
      <c r="V234">
        <f>V233-V232</f>
        <v>0</v>
      </c>
      <c r="Y234" t="s">
        <v>687</v>
      </c>
      <c r="Z234">
        <f>Z233-Z232</f>
        <v>-201</v>
      </c>
    </row>
    <row r="235" spans="20:26" x14ac:dyDescent="0.2">
      <c r="U235" t="s">
        <v>686</v>
      </c>
      <c r="V235" s="2">
        <f>IF(V232=0,0,V234/V232)</f>
        <v>0</v>
      </c>
      <c r="Y235" t="s">
        <v>686</v>
      </c>
      <c r="Z235" s="2">
        <f>IF(Z232=0,0,Z234/Z232)</f>
        <v>-0.4987593052109181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15D9-687E-DD46-86B7-523632CC3DAE}">
  <dimension ref="A1:AA235"/>
  <sheetViews>
    <sheetView tabSelected="1" workbookViewId="0">
      <pane ySplit="1" topLeftCell="A154" activePane="bottomLeft" state="frozen"/>
      <selection pane="bottomLeft" activeCell="M180" sqref="M180"/>
    </sheetView>
  </sheetViews>
  <sheetFormatPr baseColWidth="10" defaultRowHeight="16" x14ac:dyDescent="0.2"/>
  <cols>
    <col min="7" max="7" width="17.6640625" bestFit="1" customWidth="1"/>
    <col min="8" max="8" width="17.33203125" bestFit="1" customWidth="1"/>
    <col min="9" max="10" width="17.33203125" customWidth="1"/>
    <col min="11" max="11" width="21.83203125" bestFit="1" customWidth="1"/>
    <col min="12" max="12" width="21.5" bestFit="1" customWidth="1"/>
    <col min="15" max="15" width="15.1640625" bestFit="1" customWidth="1"/>
  </cols>
  <sheetData>
    <row r="1" spans="1:27" x14ac:dyDescent="0.2">
      <c r="A1" t="s">
        <v>0</v>
      </c>
      <c r="B1" t="s">
        <v>1</v>
      </c>
      <c r="C1" t="s">
        <v>3</v>
      </c>
      <c r="D1" t="s">
        <v>668</v>
      </c>
      <c r="E1" t="s">
        <v>4</v>
      </c>
      <c r="F1" t="s">
        <v>669</v>
      </c>
      <c r="G1" t="s">
        <v>33</v>
      </c>
      <c r="H1" t="s">
        <v>17</v>
      </c>
      <c r="I1" t="s">
        <v>1306</v>
      </c>
      <c r="J1" t="s">
        <v>1305</v>
      </c>
      <c r="K1" t="s">
        <v>65</v>
      </c>
      <c r="L1" t="s">
        <v>66</v>
      </c>
      <c r="M1" t="s">
        <v>69</v>
      </c>
      <c r="N1" t="s">
        <v>70</v>
      </c>
      <c r="O1" t="s">
        <v>1304</v>
      </c>
      <c r="P1" t="s">
        <v>2</v>
      </c>
      <c r="Q1" t="s">
        <v>5</v>
      </c>
      <c r="R1" t="s">
        <v>6</v>
      </c>
      <c r="S1" t="s">
        <v>7</v>
      </c>
      <c r="T1" t="s">
        <v>8</v>
      </c>
      <c r="U1" t="s">
        <v>671</v>
      </c>
      <c r="V1" t="s">
        <v>670</v>
      </c>
      <c r="W1" t="s">
        <v>677</v>
      </c>
      <c r="X1" t="s">
        <v>678</v>
      </c>
      <c r="Y1" t="s">
        <v>679</v>
      </c>
      <c r="Z1" t="s">
        <v>686</v>
      </c>
      <c r="AA1" t="s">
        <v>71</v>
      </c>
    </row>
    <row r="2" spans="1:27" x14ac:dyDescent="0.2">
      <c r="A2">
        <v>824915</v>
      </c>
      <c r="B2" s="3">
        <f>VLOOKUP($A2,ScionOutput!$A$3:$BL$215,3,FALSE)</f>
        <v>46179</v>
      </c>
      <c r="C2">
        <f>VLOOKUP($A2,ScionOutput!$A$3:$BL$215,22,FALSE)</f>
        <v>0</v>
      </c>
      <c r="D2" t="str">
        <f>VLOOKUP($A2,ScionOutput!$A$3:$BL$215,23,FALSE)</f>
        <v>ATL</v>
      </c>
      <c r="E2">
        <f>VLOOKUP($A2,ScionOutput!$A$3:$BL$215,6,FALSE)</f>
        <v>22</v>
      </c>
      <c r="F2" t="str">
        <f>VLOOKUP($A2,ScionOutput!$A$3:$BL$215,7,FALSE)</f>
        <v>PIT</v>
      </c>
      <c r="G2">
        <f>VLOOKUP($A2,ScionOutput!$A$3:$BL$215,26,FALSE)</f>
        <v>-110</v>
      </c>
      <c r="H2">
        <f>VLOOKUP($A2,ScionOutput!$A$3:$BL$215,10,FALSE)</f>
        <v>100</v>
      </c>
      <c r="I2" s="6" t="str">
        <f>VLOOKUP($A2,ScionOutput!$A$3:$BL$215,55,FALSE)</f>
        <v>HomFave</v>
      </c>
      <c r="J2" s="6">
        <f>VLOOKUP($A2,ScionOutput!$A$3:$BL$215,56,FALSE)</f>
        <v>1</v>
      </c>
      <c r="K2" t="str">
        <f>VLOOKUP($A2,ScionOutput!$A$3:$BL$215,58,FALSE)</f>
        <v>HomFave</v>
      </c>
      <c r="L2">
        <f>VLOOKUP($A2,ScionOutput!$A$3:$BL$215,59,FALSE)</f>
        <v>1.8370000000000001E-2</v>
      </c>
      <c r="M2">
        <f>VLOOKUP($A2,ScionOutput!$A$3:$BL$215,62,FALSE)</f>
        <v>1</v>
      </c>
      <c r="N2">
        <f>VLOOKUP($A2,ScionOutput!$A$3:$BL$215,63,FALSE)</f>
        <v>0.93</v>
      </c>
      <c r="O2" t="b">
        <f>ISNUMBER(SEARCH("Play determined by LineStatEns and StatOnlyEns agreement", AA2))</f>
        <v>1</v>
      </c>
      <c r="P2">
        <f>VLOOKUP($A2,Outcomes!$B$3:$I$209,8,FALSE)</f>
        <v>9</v>
      </c>
      <c r="Q2">
        <f>IF(R2&gt;S2,1,IF(R2&lt;S2,-1,0))</f>
        <v>1</v>
      </c>
      <c r="R2">
        <f>VLOOKUP($A2,Outcomes!$B$3:$I$209,5,FALSE)</f>
        <v>6</v>
      </c>
      <c r="S2">
        <f>VLOOKUP($A2,Outcomes!$B$3:$I$209,6,FALSE)</f>
        <v>3</v>
      </c>
      <c r="T2">
        <f>VLOOKUP($A2,Outcomes!$B$3:$I$209,7,FALSE)</f>
        <v>-3</v>
      </c>
      <c r="U2" t="str">
        <f>IF(T2=0,"Push",IF(G2&lt;H2,IF(T2&lt;0,"HomFave","VisDog"),IF(T2&gt;0,"VisFave","HomDog")))</f>
        <v>HomFave</v>
      </c>
      <c r="V2" s="5">
        <f>IF(OR(T2=0,I2="No Play",J2&lt;&gt;1),"",IF(U2=I2,1,0))</f>
        <v>1</v>
      </c>
      <c r="W2">
        <f t="shared" ref="W2:W65" si="0">IF(V2="","",IF(G2&lt;H2,IF(K2="HomFave",ABS(G2),IF(H2&lt;0,ABS(H2),100)),IF(K2="VisFave",ABS(H2),IF(G2&lt;0,ABS(G2),100))))</f>
        <v>110</v>
      </c>
      <c r="X2">
        <f>IF(V2="","",IF(V2=0,0,IF(G2&lt;H2,IF(K2="HomFave",W2+100,IF(H2&lt;0,100+W2,W2+ABS(H2))),IF(K2="VisFave",W2+100,IF(G2&lt;0,100+W2,W2+ABS(G2))))))</f>
        <v>210</v>
      </c>
      <c r="Y2">
        <f>IF(V2="","",X2-W2)</f>
        <v>100</v>
      </c>
      <c r="Z2" s="2">
        <f>IF(V2="","",Y2/W2)</f>
        <v>0.90909090909090906</v>
      </c>
      <c r="AA2" t="str">
        <f>VLOOKUP($A2,ScionOutput!$A$3:$BL$215,64,FALSE)</f>
        <v xml:space="preserve">824915. Play determined by LineStatEns and StatOnlyEns agreement. </v>
      </c>
    </row>
    <row r="3" spans="1:27" x14ac:dyDescent="0.2">
      <c r="A3">
        <v>825075</v>
      </c>
      <c r="B3" s="3">
        <f>VLOOKUP($A3,ScionOutput!$A$3:$BL$215,3,FALSE)</f>
        <v>46179</v>
      </c>
      <c r="C3">
        <f>VLOOKUP($A3,ScionOutput!$A$3:$BL$215,22,FALSE)</f>
        <v>1</v>
      </c>
      <c r="D3" t="str">
        <f>VLOOKUP($A3,ScionOutput!$A$3:$BL$215,23,FALSE)</f>
        <v>ARZ</v>
      </c>
      <c r="E3">
        <f>VLOOKUP($A3,ScionOutput!$A$3:$BL$215,6,FALSE)</f>
        <v>16</v>
      </c>
      <c r="F3" t="str">
        <f>VLOOKUP($A3,ScionOutput!$A$3:$BL$215,7,FALSE)</f>
        <v>WAS</v>
      </c>
      <c r="G3">
        <f>VLOOKUP($A3,ScionOutput!$A$3:$BL$215,26,FALSE)</f>
        <v>-155</v>
      </c>
      <c r="H3">
        <f>VLOOKUP($A3,ScionOutput!$A$3:$BL$215,10,FALSE)</f>
        <v>140</v>
      </c>
      <c r="I3" s="6" t="str">
        <f>VLOOKUP($A3,ScionOutput!$A$3:$BL$215,55,FALSE)</f>
        <v>HomFave</v>
      </c>
      <c r="J3" s="6">
        <f>VLOOKUP($A3,ScionOutput!$A$3:$BL$215,56,FALSE)</f>
        <v>0</v>
      </c>
      <c r="K3" t="str">
        <f>VLOOKUP($A3,ScionOutput!$A$3:$BL$215,58,FALSE)</f>
        <v>No Play</v>
      </c>
      <c r="L3">
        <f>VLOOKUP($A3,ScionOutput!$A$3:$BL$215,59,FALSE)</f>
        <v>0</v>
      </c>
      <c r="M3">
        <f>VLOOKUP($A3,ScionOutput!$A$3:$BL$215,62,FALSE)</f>
        <v>0</v>
      </c>
      <c r="N3">
        <f>VLOOKUP($A3,ScionOutput!$A$3:$BL$215,63,FALSE)</f>
        <v>0</v>
      </c>
      <c r="O3" t="b">
        <f t="shared" ref="O3:O66" si="1">ISNUMBER(SEARCH("Play determined by LineStatEns and StatOnlyEns agreement", AA3))</f>
        <v>0</v>
      </c>
      <c r="P3">
        <f>VLOOKUP($A3,Outcomes!$B$3:$I$209,8,FALSE)</f>
        <v>7</v>
      </c>
      <c r="Q3">
        <f t="shared" ref="Q3:Q66" si="2">IF(R3&gt;S3,1,IF(R3&lt;S3,-1,0))</f>
        <v>-1</v>
      </c>
      <c r="R3">
        <f>VLOOKUP($A3,Outcomes!$B$3:$I$209,5,FALSE)</f>
        <v>1</v>
      </c>
      <c r="S3">
        <f>VLOOKUP($A3,Outcomes!$B$3:$I$209,6,FALSE)</f>
        <v>6</v>
      </c>
      <c r="T3">
        <f>VLOOKUP($A3,Outcomes!$B$3:$I$209,7,FALSE)</f>
        <v>5</v>
      </c>
      <c r="U3" t="str">
        <f t="shared" ref="U3:U66" si="3">IF(T3=0,"Push",IF(G3&lt;H3,IF(T3&lt;0,"HomFave","VisDog"),IF(T3&gt;0,"VisFave","HomDog")))</f>
        <v>VisDog</v>
      </c>
      <c r="V3" s="5" t="str">
        <f t="shared" ref="V3:V66" si="4">IF(OR(T3=0,I3="No Play",J3&lt;&gt;1),"",IF(U3=I3,1,0))</f>
        <v/>
      </c>
      <c r="W3" t="str">
        <f t="shared" si="0"/>
        <v/>
      </c>
      <c r="X3" t="str">
        <f t="shared" ref="X3:X66" si="5">IF(V3="","",IF(V3=0,0,IF(G3&lt;H3,IF(K3="HomFave",W3+100,IF(H3&lt;0,100+W3,W3+ABS(H3))),IF(K3="VisFave",W3+100,IF(G3&lt;0,100+W3,W3+ABS(G3))))))</f>
        <v/>
      </c>
      <c r="Y3" t="str">
        <f t="shared" ref="Y3:Y66" si="6">IF(V3="","",X3-W3)</f>
        <v/>
      </c>
      <c r="Z3" s="2" t="str">
        <f t="shared" ref="Z3:Z66" si="7">IF(V3="","",Y3/W3)</f>
        <v/>
      </c>
      <c r="AA3" t="str">
        <f>VLOOKUP($A3,ScionOutput!$A$3:$BL$215,64,FALSE)</f>
        <v xml:space="preserve">825075. LineStatEns is NoPlay as bookie-line outside range. StatOnlyEns is NoPlay as bookie-line outside range. No play due to strategy constraints. </v>
      </c>
    </row>
    <row r="4" spans="1:27" x14ac:dyDescent="0.2">
      <c r="A4">
        <v>824669</v>
      </c>
      <c r="B4" s="3">
        <f>VLOOKUP($A4,ScionOutput!$A$3:$BL$215,3,FALSE)</f>
        <v>46179</v>
      </c>
      <c r="C4">
        <f>VLOOKUP($A4,ScionOutput!$A$3:$BL$215,22,FALSE)</f>
        <v>5</v>
      </c>
      <c r="D4" t="str">
        <f>VLOOKUP($A4,ScionOutput!$A$3:$BL$215,23,FALSE)</f>
        <v>CHC</v>
      </c>
      <c r="E4">
        <f>VLOOKUP($A4,ScionOutput!$A$3:$BL$215,6,FALSE)</f>
        <v>25</v>
      </c>
      <c r="F4" t="str">
        <f>VLOOKUP($A4,ScionOutput!$A$3:$BL$215,7,FALSE)</f>
        <v>SF</v>
      </c>
      <c r="G4">
        <f>VLOOKUP($A4,ScionOutput!$A$3:$BL$215,26,FALSE)</f>
        <v>-140</v>
      </c>
      <c r="H4">
        <f>VLOOKUP($A4,ScionOutput!$A$3:$BL$215,10,FALSE)</f>
        <v>127</v>
      </c>
      <c r="I4" s="6" t="str">
        <f>VLOOKUP($A4,ScionOutput!$A$3:$BL$215,55,FALSE)</f>
        <v>HomFave</v>
      </c>
      <c r="J4" s="6">
        <f>VLOOKUP($A4,ScionOutput!$A$3:$BL$215,56,FALSE)</f>
        <v>0</v>
      </c>
      <c r="K4" t="str">
        <f>VLOOKUP($A4,ScionOutput!$A$3:$BL$215,58,FALSE)</f>
        <v>No Play</v>
      </c>
      <c r="L4">
        <f>VLOOKUP($A4,ScionOutput!$A$3:$BL$215,59,FALSE)</f>
        <v>0</v>
      </c>
      <c r="M4">
        <f>VLOOKUP($A4,ScionOutput!$A$3:$BL$215,62,FALSE)</f>
        <v>0</v>
      </c>
      <c r="N4">
        <f>VLOOKUP($A4,ScionOutput!$A$3:$BL$215,63,FALSE)</f>
        <v>0</v>
      </c>
      <c r="O4" t="b">
        <f t="shared" si="1"/>
        <v>0</v>
      </c>
      <c r="P4">
        <f>VLOOKUP($A4,Outcomes!$B$3:$I$209,8,FALSE)</f>
        <v>5</v>
      </c>
      <c r="Q4">
        <f t="shared" si="2"/>
        <v>1</v>
      </c>
      <c r="R4">
        <f>VLOOKUP($A4,Outcomes!$B$3:$I$209,5,FALSE)</f>
        <v>3</v>
      </c>
      <c r="S4">
        <f>VLOOKUP($A4,Outcomes!$B$3:$I$209,6,FALSE)</f>
        <v>2</v>
      </c>
      <c r="T4">
        <f>VLOOKUP($A4,Outcomes!$B$3:$I$209,7,FALSE)</f>
        <v>-1</v>
      </c>
      <c r="U4" t="str">
        <f t="shared" si="3"/>
        <v>HomFave</v>
      </c>
      <c r="V4" s="5" t="str">
        <f t="shared" si="4"/>
        <v/>
      </c>
      <c r="W4" t="str">
        <f t="shared" si="0"/>
        <v/>
      </c>
      <c r="X4" t="str">
        <f t="shared" si="5"/>
        <v/>
      </c>
      <c r="Y4" t="str">
        <f t="shared" si="6"/>
        <v/>
      </c>
      <c r="Z4" s="2" t="str">
        <f t="shared" si="7"/>
        <v/>
      </c>
      <c r="AA4" t="str">
        <f>VLOOKUP($A4,ScionOutput!$A$3:$BL$215,64,FALSE)</f>
        <v xml:space="preserve">824669. LineStatEns probability points gap does not exceed threshold (no edge found)! StatOnlyEns probability points gap does not exceed threshold (no edge found)! No play due to strategy constraints. </v>
      </c>
    </row>
    <row r="5" spans="1:27" x14ac:dyDescent="0.2">
      <c r="A5">
        <v>824351</v>
      </c>
      <c r="B5" s="3">
        <f>VLOOKUP($A5,ScionOutput!$A$3:$BL$215,3,FALSE)</f>
        <v>46179</v>
      </c>
      <c r="C5">
        <f>VLOOKUP($A5,ScionOutput!$A$3:$BL$215,22,FALSE)</f>
        <v>8</v>
      </c>
      <c r="D5" t="str">
        <f>VLOOKUP($A5,ScionOutput!$A$3:$BL$215,23,FALSE)</f>
        <v>COL</v>
      </c>
      <c r="E5">
        <f>VLOOKUP($A5,ScionOutput!$A$3:$BL$215,6,FALSE)</f>
        <v>17</v>
      </c>
      <c r="F5" t="str">
        <f>VLOOKUP($A5,ScionOutput!$A$3:$BL$215,7,FALSE)</f>
        <v>MLW</v>
      </c>
      <c r="G5">
        <f>VLOOKUP($A5,ScionOutput!$A$3:$BL$215,26,FALSE)</f>
        <v>214</v>
      </c>
      <c r="H5">
        <f>VLOOKUP($A5,ScionOutput!$A$3:$BL$215,10,FALSE)</f>
        <v>-240</v>
      </c>
      <c r="I5" s="6" t="str">
        <f>VLOOKUP($A5,ScionOutput!$A$3:$BL$215,55,FALSE)</f>
        <v>VisFave</v>
      </c>
      <c r="J5" s="6">
        <f>VLOOKUP($A5,ScionOutput!$A$3:$BL$215,56,FALSE)</f>
        <v>0</v>
      </c>
      <c r="K5" t="str">
        <f>VLOOKUP($A5,ScionOutput!$A$3:$BL$215,58,FALSE)</f>
        <v>No Play</v>
      </c>
      <c r="L5">
        <f>VLOOKUP($A5,ScionOutput!$A$3:$BL$215,59,FALSE)</f>
        <v>0</v>
      </c>
      <c r="M5">
        <f>VLOOKUP($A5,ScionOutput!$A$3:$BL$215,62,FALSE)</f>
        <v>0</v>
      </c>
      <c r="N5">
        <f>VLOOKUP($A5,ScionOutput!$A$3:$BL$215,63,FALSE)</f>
        <v>0</v>
      </c>
      <c r="O5" t="b">
        <f t="shared" si="1"/>
        <v>0</v>
      </c>
      <c r="P5">
        <f>VLOOKUP($A5,Outcomes!$B$3:$I$209,8,FALSE)</f>
        <v>8</v>
      </c>
      <c r="Q5">
        <f t="shared" si="2"/>
        <v>-1</v>
      </c>
      <c r="R5">
        <f>VLOOKUP($A5,Outcomes!$B$3:$I$209,5,FALSE)</f>
        <v>1</v>
      </c>
      <c r="S5">
        <f>VLOOKUP($A5,Outcomes!$B$3:$I$209,6,FALSE)</f>
        <v>7</v>
      </c>
      <c r="T5">
        <f>VLOOKUP($A5,Outcomes!$B$3:$I$209,7,FALSE)</f>
        <v>6</v>
      </c>
      <c r="U5" t="str">
        <f t="shared" si="3"/>
        <v>VisFave</v>
      </c>
      <c r="V5" s="5" t="str">
        <f t="shared" si="4"/>
        <v/>
      </c>
      <c r="W5" t="str">
        <f t="shared" si="0"/>
        <v/>
      </c>
      <c r="X5" t="str">
        <f t="shared" si="5"/>
        <v/>
      </c>
      <c r="Y5" t="str">
        <f t="shared" si="6"/>
        <v/>
      </c>
      <c r="Z5" s="2" t="str">
        <f t="shared" si="7"/>
        <v/>
      </c>
      <c r="AA5" t="str">
        <f>VLOOKUP($A5,ScionOutput!$A$3:$BL$215,64,FALSE)</f>
        <v xml:space="preserve">824351. LineStatEns is NoPlay as bookie-line outside range. StatOnlyEns is NoPlay as bookie-line outside range. No play due to strategy constraints. </v>
      </c>
    </row>
    <row r="6" spans="1:27" x14ac:dyDescent="0.2">
      <c r="A6">
        <v>824269</v>
      </c>
      <c r="B6" s="3">
        <f>VLOOKUP($A6,ScionOutput!$A$3:$BL$215,3,FALSE)</f>
        <v>46179</v>
      </c>
      <c r="C6">
        <f>VLOOKUP($A6,ScionOutput!$A$3:$BL$215,22,FALSE)</f>
        <v>10</v>
      </c>
      <c r="D6" t="str">
        <f>VLOOKUP($A6,ScionOutput!$A$3:$BL$215,23,FALSE)</f>
        <v>DET</v>
      </c>
      <c r="E6">
        <f>VLOOKUP($A6,ScionOutput!$A$3:$BL$215,6,FALSE)</f>
        <v>24</v>
      </c>
      <c r="F6" t="str">
        <f>VLOOKUP($A6,ScionOutput!$A$3:$BL$215,7,FALSE)</f>
        <v>SEA</v>
      </c>
      <c r="G6">
        <f>VLOOKUP($A6,ScionOutput!$A$3:$BL$215,26,FALSE)</f>
        <v>116</v>
      </c>
      <c r="H6">
        <f>VLOOKUP($A6,ScionOutput!$A$3:$BL$215,10,FALSE)</f>
        <v>-128</v>
      </c>
      <c r="I6" s="6" t="str">
        <f>VLOOKUP($A6,ScionOutput!$A$3:$BL$215,55,FALSE)</f>
        <v>VisFave</v>
      </c>
      <c r="J6" s="6">
        <f>VLOOKUP($A6,ScionOutput!$A$3:$BL$215,56,FALSE)</f>
        <v>0</v>
      </c>
      <c r="K6" t="str">
        <f>VLOOKUP($A6,ScionOutput!$A$3:$BL$215,58,FALSE)</f>
        <v>No Play</v>
      </c>
      <c r="L6">
        <f>VLOOKUP($A6,ScionOutput!$A$3:$BL$215,59,FALSE)</f>
        <v>0</v>
      </c>
      <c r="M6">
        <f>VLOOKUP($A6,ScionOutput!$A$3:$BL$215,62,FALSE)</f>
        <v>0</v>
      </c>
      <c r="N6">
        <f>VLOOKUP($A6,ScionOutput!$A$3:$BL$215,63,FALSE)</f>
        <v>0</v>
      </c>
      <c r="O6" t="b">
        <f t="shared" si="1"/>
        <v>0</v>
      </c>
      <c r="P6">
        <f>VLOOKUP($A6,Outcomes!$B$3:$I$209,8,FALSE)</f>
        <v>4</v>
      </c>
      <c r="Q6">
        <f t="shared" si="2"/>
        <v>-1</v>
      </c>
      <c r="R6">
        <f>VLOOKUP($A6,Outcomes!$B$3:$I$209,5,FALSE)</f>
        <v>0</v>
      </c>
      <c r="S6">
        <f>VLOOKUP($A6,Outcomes!$B$3:$I$209,6,FALSE)</f>
        <v>4</v>
      </c>
      <c r="T6">
        <f>VLOOKUP($A6,Outcomes!$B$3:$I$209,7,FALSE)</f>
        <v>4</v>
      </c>
      <c r="U6" t="str">
        <f t="shared" si="3"/>
        <v>VisFave</v>
      </c>
      <c r="V6" s="5" t="str">
        <f t="shared" si="4"/>
        <v/>
      </c>
      <c r="W6" t="str">
        <f t="shared" si="0"/>
        <v/>
      </c>
      <c r="X6" t="str">
        <f t="shared" si="5"/>
        <v/>
      </c>
      <c r="Y6" t="str">
        <f t="shared" si="6"/>
        <v/>
      </c>
      <c r="Z6" s="2" t="str">
        <f t="shared" si="7"/>
        <v/>
      </c>
      <c r="AA6" t="str">
        <f>VLOOKUP($A6,ScionOutput!$A$3:$BL$215,64,FALSE)</f>
        <v xml:space="preserve">824269. VF plays are disallowed. No play due to strategy constraints. </v>
      </c>
    </row>
    <row r="7" spans="1:27" x14ac:dyDescent="0.2">
      <c r="A7">
        <v>823859</v>
      </c>
      <c r="B7" s="3">
        <f>VLOOKUP($A7,ScionOutput!$A$3:$BL$215,3,FALSE)</f>
        <v>46179</v>
      </c>
      <c r="C7">
        <f>VLOOKUP($A7,ScionOutput!$A$3:$BL$215,22,FALSE)</f>
        <v>11</v>
      </c>
      <c r="D7" t="str">
        <f>VLOOKUP($A7,ScionOutput!$A$3:$BL$215,23,FALSE)</f>
        <v>FLO</v>
      </c>
      <c r="E7">
        <f>VLOOKUP($A7,ScionOutput!$A$3:$BL$215,6,FALSE)</f>
        <v>27</v>
      </c>
      <c r="F7" t="str">
        <f>VLOOKUP($A7,ScionOutput!$A$3:$BL$215,7,FALSE)</f>
        <v>TB</v>
      </c>
      <c r="G7">
        <f>VLOOKUP($A7,ScionOutput!$A$3:$BL$215,26,FALSE)</f>
        <v>117</v>
      </c>
      <c r="H7">
        <f>VLOOKUP($A7,ScionOutput!$A$3:$BL$215,10,FALSE)</f>
        <v>-129</v>
      </c>
      <c r="I7" s="6" t="str">
        <f>VLOOKUP($A7,ScionOutput!$A$3:$BL$215,55,FALSE)</f>
        <v>VisFave</v>
      </c>
      <c r="J7" s="6">
        <f>VLOOKUP($A7,ScionOutput!$A$3:$BL$215,56,FALSE)</f>
        <v>0</v>
      </c>
      <c r="K7" t="str">
        <f>VLOOKUP($A7,ScionOutput!$A$3:$BL$215,58,FALSE)</f>
        <v>No Play</v>
      </c>
      <c r="L7">
        <f>VLOOKUP($A7,ScionOutput!$A$3:$BL$215,59,FALSE)</f>
        <v>0</v>
      </c>
      <c r="M7">
        <f>VLOOKUP($A7,ScionOutput!$A$3:$BL$215,62,FALSE)</f>
        <v>0</v>
      </c>
      <c r="N7">
        <f>VLOOKUP($A7,ScionOutput!$A$3:$BL$215,63,FALSE)</f>
        <v>0</v>
      </c>
      <c r="O7" t="b">
        <f t="shared" si="1"/>
        <v>0</v>
      </c>
      <c r="P7">
        <f>VLOOKUP($A7,Outcomes!$B$3:$I$209,8,FALSE)</f>
        <v>7</v>
      </c>
      <c r="Q7">
        <f t="shared" si="2"/>
        <v>1</v>
      </c>
      <c r="R7">
        <f>VLOOKUP($A7,Outcomes!$B$3:$I$209,5,FALSE)</f>
        <v>4</v>
      </c>
      <c r="S7">
        <f>VLOOKUP($A7,Outcomes!$B$3:$I$209,6,FALSE)</f>
        <v>3</v>
      </c>
      <c r="T7">
        <f>VLOOKUP($A7,Outcomes!$B$3:$I$209,7,FALSE)</f>
        <v>-1</v>
      </c>
      <c r="U7" t="str">
        <f t="shared" si="3"/>
        <v>HomDog</v>
      </c>
      <c r="V7" s="5" t="str">
        <f t="shared" si="4"/>
        <v/>
      </c>
      <c r="W7" t="str">
        <f t="shared" si="0"/>
        <v/>
      </c>
      <c r="X7" t="str">
        <f t="shared" si="5"/>
        <v/>
      </c>
      <c r="Y7" t="str">
        <f t="shared" si="6"/>
        <v/>
      </c>
      <c r="Z7" s="2" t="str">
        <f t="shared" si="7"/>
        <v/>
      </c>
      <c r="AA7" t="str">
        <f>VLOOKUP($A7,ScionOutput!$A$3:$BL$215,64,FALSE)</f>
        <v xml:space="preserve">823859. VF plays are disallowed. No play due to strategy constraints. </v>
      </c>
    </row>
    <row r="8" spans="1:27" x14ac:dyDescent="0.2">
      <c r="A8">
        <v>824184</v>
      </c>
      <c r="B8" s="3">
        <f>VLOOKUP($A8,ScionOutput!$A$3:$BL$215,3,FALSE)</f>
        <v>46179</v>
      </c>
      <c r="C8">
        <f>VLOOKUP($A8,ScionOutput!$A$3:$BL$215,22,FALSE)</f>
        <v>12</v>
      </c>
      <c r="D8" t="str">
        <f>VLOOKUP($A8,ScionOutput!$A$3:$BL$215,23,FALSE)</f>
        <v>HOU</v>
      </c>
      <c r="E8">
        <f>VLOOKUP($A8,ScionOutput!$A$3:$BL$215,6,FALSE)</f>
        <v>20</v>
      </c>
      <c r="F8" t="str">
        <f>VLOOKUP($A8,ScionOutput!$A$3:$BL$215,7,FALSE)</f>
        <v>OAK</v>
      </c>
      <c r="G8">
        <f>VLOOKUP($A8,ScionOutput!$A$3:$BL$215,26,FALSE)</f>
        <v>-107</v>
      </c>
      <c r="H8">
        <f>VLOOKUP($A8,ScionOutput!$A$3:$BL$215,10,FALSE)</f>
        <v>-103</v>
      </c>
      <c r="I8" s="6" t="str">
        <f>VLOOKUP($A8,ScionOutput!$A$3:$BL$215,55,FALSE)</f>
        <v>VisDog</v>
      </c>
      <c r="J8" s="6">
        <f>VLOOKUP($A8,ScionOutput!$A$3:$BL$215,56,FALSE)</f>
        <v>0</v>
      </c>
      <c r="K8" t="str">
        <f>VLOOKUP($A8,ScionOutput!$A$3:$BL$215,58,FALSE)</f>
        <v>No Play</v>
      </c>
      <c r="L8">
        <f>VLOOKUP($A8,ScionOutput!$A$3:$BL$215,59,FALSE)</f>
        <v>0</v>
      </c>
      <c r="M8">
        <f>VLOOKUP($A8,ScionOutput!$A$3:$BL$215,62,FALSE)</f>
        <v>0</v>
      </c>
      <c r="N8">
        <f>VLOOKUP($A8,ScionOutput!$A$3:$BL$215,63,FALSE)</f>
        <v>0</v>
      </c>
      <c r="O8" t="b">
        <f t="shared" si="1"/>
        <v>0</v>
      </c>
      <c r="P8">
        <f>VLOOKUP($A8,Outcomes!$B$3:$I$209,8,FALSE)</f>
        <v>15</v>
      </c>
      <c r="Q8">
        <f t="shared" si="2"/>
        <v>1</v>
      </c>
      <c r="R8">
        <f>VLOOKUP($A8,Outcomes!$B$3:$I$209,5,FALSE)</f>
        <v>13</v>
      </c>
      <c r="S8">
        <f>VLOOKUP($A8,Outcomes!$B$3:$I$209,6,FALSE)</f>
        <v>2</v>
      </c>
      <c r="T8">
        <f>VLOOKUP($A8,Outcomes!$B$3:$I$209,7,FALSE)</f>
        <v>-11</v>
      </c>
      <c r="U8" t="str">
        <f t="shared" si="3"/>
        <v>HomFave</v>
      </c>
      <c r="V8" s="5" t="str">
        <f t="shared" si="4"/>
        <v/>
      </c>
      <c r="W8" t="str">
        <f t="shared" si="0"/>
        <v/>
      </c>
      <c r="X8" t="str">
        <f t="shared" si="5"/>
        <v/>
      </c>
      <c r="Y8" t="str">
        <f t="shared" si="6"/>
        <v/>
      </c>
      <c r="Z8" s="2" t="str">
        <f t="shared" si="7"/>
        <v/>
      </c>
      <c r="AA8" t="str">
        <f>VLOOKUP($A8,ScionOutput!$A$3:$BL$215,64,FALSE)</f>
        <v xml:space="preserve">824184. V_SP is Null, team-based avg used. NoPlay as V_SP is Null. </v>
      </c>
    </row>
    <row r="9" spans="1:27" x14ac:dyDescent="0.2">
      <c r="A9">
        <v>823942</v>
      </c>
      <c r="B9" s="3">
        <f>VLOOKUP($A9,ScionOutput!$A$3:$BL$215,3,FALSE)</f>
        <v>46179</v>
      </c>
      <c r="C9">
        <f>VLOOKUP($A9,ScionOutput!$A$3:$BL$215,22,FALSE)</f>
        <v>14</v>
      </c>
      <c r="D9" t="str">
        <f>VLOOKUP($A9,ScionOutput!$A$3:$BL$215,23,FALSE)</f>
        <v>LA</v>
      </c>
      <c r="E9">
        <f>VLOOKUP($A9,ScionOutput!$A$3:$BL$215,6,FALSE)</f>
        <v>4</v>
      </c>
      <c r="F9" t="str">
        <f>VLOOKUP($A9,ScionOutput!$A$3:$BL$215,7,FALSE)</f>
        <v>LAA</v>
      </c>
      <c r="G9">
        <f>VLOOKUP($A9,ScionOutput!$A$3:$BL$215,26,FALSE)</f>
        <v>-312</v>
      </c>
      <c r="H9">
        <f>VLOOKUP($A9,ScionOutput!$A$3:$BL$215,10,FALSE)</f>
        <v>275</v>
      </c>
      <c r="I9" s="6" t="str">
        <f>VLOOKUP($A9,ScionOutput!$A$3:$BL$215,55,FALSE)</f>
        <v>HomFave</v>
      </c>
      <c r="J9" s="6">
        <f>VLOOKUP($A9,ScionOutput!$A$3:$BL$215,56,FALSE)</f>
        <v>0</v>
      </c>
      <c r="K9" t="str">
        <f>VLOOKUP($A9,ScionOutput!$A$3:$BL$215,58,FALSE)</f>
        <v>No Play</v>
      </c>
      <c r="L9">
        <f>VLOOKUP($A9,ScionOutput!$A$3:$BL$215,59,FALSE)</f>
        <v>0</v>
      </c>
      <c r="M9">
        <f>VLOOKUP($A9,ScionOutput!$A$3:$BL$215,62,FALSE)</f>
        <v>0</v>
      </c>
      <c r="N9">
        <f>VLOOKUP($A9,ScionOutput!$A$3:$BL$215,63,FALSE)</f>
        <v>0</v>
      </c>
      <c r="O9" t="b">
        <f t="shared" si="1"/>
        <v>0</v>
      </c>
      <c r="P9">
        <f>VLOOKUP($A9,Outcomes!$B$3:$I$209,8,FALSE)</f>
        <v>11</v>
      </c>
      <c r="Q9">
        <f t="shared" si="2"/>
        <v>1</v>
      </c>
      <c r="R9">
        <f>VLOOKUP($A9,Outcomes!$B$3:$I$209,5,FALSE)</f>
        <v>9</v>
      </c>
      <c r="S9">
        <f>VLOOKUP($A9,Outcomes!$B$3:$I$209,6,FALSE)</f>
        <v>2</v>
      </c>
      <c r="T9">
        <f>VLOOKUP($A9,Outcomes!$B$3:$I$209,7,FALSE)</f>
        <v>-7</v>
      </c>
      <c r="U9" t="str">
        <f t="shared" si="3"/>
        <v>HomFave</v>
      </c>
      <c r="V9" s="5" t="str">
        <f t="shared" si="4"/>
        <v/>
      </c>
      <c r="W9" t="str">
        <f t="shared" si="0"/>
        <v/>
      </c>
      <c r="X9" t="str">
        <f t="shared" si="5"/>
        <v/>
      </c>
      <c r="Y9" t="str">
        <f t="shared" si="6"/>
        <v/>
      </c>
      <c r="Z9" s="2" t="str">
        <f t="shared" si="7"/>
        <v/>
      </c>
      <c r="AA9" t="str">
        <f>VLOOKUP($A9,ScionOutput!$A$3:$BL$215,64,FALSE)</f>
        <v xml:space="preserve">823942. LineStatEns is NoPlay as bookie-line outside range. StatOnlyEns is NoPlay as bookie-line outside range. No play due to strategy constraints. </v>
      </c>
    </row>
    <row r="10" spans="1:27" x14ac:dyDescent="0.2">
      <c r="A10">
        <v>823697</v>
      </c>
      <c r="B10" s="3">
        <f>VLOOKUP($A10,ScionOutput!$A$3:$BL$215,3,FALSE)</f>
        <v>46179</v>
      </c>
      <c r="C10">
        <f>VLOOKUP($A10,ScionOutput!$A$3:$BL$215,22,FALSE)</f>
        <v>15</v>
      </c>
      <c r="D10" t="str">
        <f>VLOOKUP($A10,ScionOutput!$A$3:$BL$215,23,FALSE)</f>
        <v>MIN</v>
      </c>
      <c r="E10">
        <f>VLOOKUP($A10,ScionOutput!$A$3:$BL$215,6,FALSE)</f>
        <v>13</v>
      </c>
      <c r="F10" t="str">
        <f>VLOOKUP($A10,ScionOutput!$A$3:$BL$215,7,FALSE)</f>
        <v>KC</v>
      </c>
      <c r="G10">
        <f>VLOOKUP($A10,ScionOutput!$A$3:$BL$215,26,FALSE)</f>
        <v>-145</v>
      </c>
      <c r="H10">
        <f>VLOOKUP($A10,ScionOutput!$A$3:$BL$215,10,FALSE)</f>
        <v>131</v>
      </c>
      <c r="I10" s="6" t="str">
        <f>VLOOKUP($A10,ScionOutput!$A$3:$BL$215,55,FALSE)</f>
        <v>HomFave</v>
      </c>
      <c r="J10" s="6">
        <f>VLOOKUP($A10,ScionOutput!$A$3:$BL$215,56,FALSE)</f>
        <v>0</v>
      </c>
      <c r="K10" t="str">
        <f>VLOOKUP($A10,ScionOutput!$A$3:$BL$215,58,FALSE)</f>
        <v>No Play</v>
      </c>
      <c r="L10">
        <f>VLOOKUP($A10,ScionOutput!$A$3:$BL$215,59,FALSE)</f>
        <v>0</v>
      </c>
      <c r="M10">
        <f>VLOOKUP($A10,ScionOutput!$A$3:$BL$215,62,FALSE)</f>
        <v>0</v>
      </c>
      <c r="N10">
        <f>VLOOKUP($A10,ScionOutput!$A$3:$BL$215,63,FALSE)</f>
        <v>0</v>
      </c>
      <c r="O10" t="b">
        <f t="shared" si="1"/>
        <v>0</v>
      </c>
      <c r="P10">
        <f>VLOOKUP($A10,Outcomes!$B$3:$I$209,8,FALSE)</f>
        <v>5</v>
      </c>
      <c r="Q10">
        <f t="shared" si="2"/>
        <v>-1</v>
      </c>
      <c r="R10">
        <f>VLOOKUP($A10,Outcomes!$B$3:$I$209,5,FALSE)</f>
        <v>2</v>
      </c>
      <c r="S10">
        <f>VLOOKUP($A10,Outcomes!$B$3:$I$209,6,FALSE)</f>
        <v>3</v>
      </c>
      <c r="T10">
        <f>VLOOKUP($A10,Outcomes!$B$3:$I$209,7,FALSE)</f>
        <v>1</v>
      </c>
      <c r="U10" t="str">
        <f t="shared" si="3"/>
        <v>VisDog</v>
      </c>
      <c r="V10" s="5" t="str">
        <f t="shared" si="4"/>
        <v/>
      </c>
      <c r="W10" t="str">
        <f t="shared" si="0"/>
        <v/>
      </c>
      <c r="X10" t="str">
        <f t="shared" si="5"/>
        <v/>
      </c>
      <c r="Y10" t="str">
        <f t="shared" si="6"/>
        <v/>
      </c>
      <c r="Z10" s="2" t="str">
        <f t="shared" si="7"/>
        <v/>
      </c>
      <c r="AA10" t="str">
        <f>VLOOKUP($A10,ScionOutput!$A$3:$BL$215,64,FALSE)</f>
        <v xml:space="preserve">823697. LineStatEns probability points gap does not exceed threshold (no edge found)! StatOnlyEns probability points gap does not exceed threshold (no edge found)! No play due to strategy constraints. </v>
      </c>
    </row>
    <row r="11" spans="1:27" x14ac:dyDescent="0.2">
      <c r="A11">
        <v>823454</v>
      </c>
      <c r="B11" s="3">
        <f>VLOOKUP($A11,ScionOutput!$A$3:$BL$215,3,FALSE)</f>
        <v>46179</v>
      </c>
      <c r="C11">
        <f>VLOOKUP($A11,ScionOutput!$A$3:$BL$215,22,FALSE)</f>
        <v>21</v>
      </c>
      <c r="D11" t="str">
        <f>VLOOKUP($A11,ScionOutput!$A$3:$BL$215,23,FALSE)</f>
        <v>PHI</v>
      </c>
      <c r="E11">
        <f>VLOOKUP($A11,ScionOutput!$A$3:$BL$215,6,FALSE)</f>
        <v>9</v>
      </c>
      <c r="F11" t="str">
        <f>VLOOKUP($A11,ScionOutput!$A$3:$BL$215,7,FALSE)</f>
        <v>CWS</v>
      </c>
      <c r="G11">
        <f>VLOOKUP($A11,ScionOutput!$A$3:$BL$215,26,FALSE)</f>
        <v>-123</v>
      </c>
      <c r="H11">
        <f>VLOOKUP($A11,ScionOutput!$A$3:$BL$215,10,FALSE)</f>
        <v>112</v>
      </c>
      <c r="I11" s="6" t="str">
        <f>VLOOKUP($A11,ScionOutput!$A$3:$BL$215,55,FALSE)</f>
        <v>HomFave</v>
      </c>
      <c r="J11" s="6">
        <f>VLOOKUP($A11,ScionOutput!$A$3:$BL$215,56,FALSE)</f>
        <v>1</v>
      </c>
      <c r="K11" t="str">
        <f>VLOOKUP($A11,ScionOutput!$A$3:$BL$215,58,FALSE)</f>
        <v>No Play</v>
      </c>
      <c r="L11">
        <f>VLOOKUP($A11,ScionOutput!$A$3:$BL$215,59,FALSE)</f>
        <v>0</v>
      </c>
      <c r="M11">
        <f>VLOOKUP($A11,ScionOutput!$A$3:$BL$215,62,FALSE)</f>
        <v>0</v>
      </c>
      <c r="N11">
        <f>VLOOKUP($A11,ScionOutput!$A$3:$BL$215,63,FALSE)</f>
        <v>0</v>
      </c>
      <c r="O11" t="b">
        <f t="shared" si="1"/>
        <v>0</v>
      </c>
      <c r="P11">
        <f>VLOOKUP($A11,Outcomes!$B$3:$I$209,8,FALSE)</f>
        <v>9</v>
      </c>
      <c r="Q11">
        <f t="shared" si="2"/>
        <v>-1</v>
      </c>
      <c r="R11">
        <f>VLOOKUP($A11,Outcomes!$B$3:$I$209,5,FALSE)</f>
        <v>3</v>
      </c>
      <c r="S11">
        <f>VLOOKUP($A11,Outcomes!$B$3:$I$209,6,FALSE)</f>
        <v>6</v>
      </c>
      <c r="T11">
        <f>VLOOKUP($A11,Outcomes!$B$3:$I$209,7,FALSE)</f>
        <v>3</v>
      </c>
      <c r="U11" t="str">
        <f t="shared" si="3"/>
        <v>VisDog</v>
      </c>
      <c r="V11" s="5">
        <f t="shared" si="4"/>
        <v>0</v>
      </c>
      <c r="W11">
        <f t="shared" si="0"/>
        <v>100</v>
      </c>
      <c r="X11">
        <f t="shared" si="5"/>
        <v>0</v>
      </c>
      <c r="Y11">
        <f t="shared" si="6"/>
        <v>-100</v>
      </c>
      <c r="Z11" s="2">
        <f t="shared" si="7"/>
        <v>-1</v>
      </c>
      <c r="AA11" t="str">
        <f>VLOOKUP($A11,ScionOutput!$A$3:$BL$215,64,FALSE)</f>
        <v xml:space="preserve">823454. LineStatEns probability points gap does not exceed threshold (no edge found)! No play due to strategy constraints. </v>
      </c>
    </row>
    <row r="12" spans="1:27" x14ac:dyDescent="0.2">
      <c r="A12">
        <v>823292</v>
      </c>
      <c r="B12" s="3">
        <f>VLOOKUP($A12,ScionOutput!$A$3:$BL$215,3,FALSE)</f>
        <v>46179</v>
      </c>
      <c r="C12">
        <f>VLOOKUP($A12,ScionOutput!$A$3:$BL$215,22,FALSE)</f>
        <v>23</v>
      </c>
      <c r="D12" t="str">
        <f>VLOOKUP($A12,ScionOutput!$A$3:$BL$215,23,FALSE)</f>
        <v>SD</v>
      </c>
      <c r="E12">
        <f>VLOOKUP($A12,ScionOutput!$A$3:$BL$215,6,FALSE)</f>
        <v>18</v>
      </c>
      <c r="F12" t="str">
        <f>VLOOKUP($A12,ScionOutput!$A$3:$BL$215,7,FALSE)</f>
        <v>NYM</v>
      </c>
      <c r="G12">
        <f>VLOOKUP($A12,ScionOutput!$A$3:$BL$215,26,FALSE)</f>
        <v>104</v>
      </c>
      <c r="H12">
        <f>VLOOKUP($A12,ScionOutput!$A$3:$BL$215,10,FALSE)</f>
        <v>-115</v>
      </c>
      <c r="I12" s="6" t="str">
        <f>VLOOKUP($A12,ScionOutput!$A$3:$BL$215,55,FALSE)</f>
        <v>VisFave</v>
      </c>
      <c r="J12" s="6">
        <f>VLOOKUP($A12,ScionOutput!$A$3:$BL$215,56,FALSE)</f>
        <v>0</v>
      </c>
      <c r="K12" t="str">
        <f>VLOOKUP($A12,ScionOutput!$A$3:$BL$215,58,FALSE)</f>
        <v>No Play</v>
      </c>
      <c r="L12">
        <f>VLOOKUP($A12,ScionOutput!$A$3:$BL$215,59,FALSE)</f>
        <v>0</v>
      </c>
      <c r="M12">
        <f>VLOOKUP($A12,ScionOutput!$A$3:$BL$215,62,FALSE)</f>
        <v>0</v>
      </c>
      <c r="N12">
        <f>VLOOKUP($A12,ScionOutput!$A$3:$BL$215,63,FALSE)</f>
        <v>0</v>
      </c>
      <c r="O12" t="b">
        <f t="shared" si="1"/>
        <v>0</v>
      </c>
      <c r="P12">
        <f>VLOOKUP($A12,Outcomes!$B$3:$I$209,8,FALSE)</f>
        <v>5</v>
      </c>
      <c r="Q12">
        <f t="shared" si="2"/>
        <v>1</v>
      </c>
      <c r="R12">
        <f>VLOOKUP($A12,Outcomes!$B$3:$I$209,5,FALSE)</f>
        <v>3</v>
      </c>
      <c r="S12">
        <f>VLOOKUP($A12,Outcomes!$B$3:$I$209,6,FALSE)</f>
        <v>2</v>
      </c>
      <c r="T12">
        <f>VLOOKUP($A12,Outcomes!$B$3:$I$209,7,FALSE)</f>
        <v>-1</v>
      </c>
      <c r="U12" t="str">
        <f t="shared" si="3"/>
        <v>HomDog</v>
      </c>
      <c r="V12" s="5" t="str">
        <f t="shared" si="4"/>
        <v/>
      </c>
      <c r="W12" t="str">
        <f t="shared" si="0"/>
        <v/>
      </c>
      <c r="X12" t="str">
        <f t="shared" si="5"/>
        <v/>
      </c>
      <c r="Y12" t="str">
        <f t="shared" si="6"/>
        <v/>
      </c>
      <c r="Z12" s="2" t="str">
        <f t="shared" si="7"/>
        <v/>
      </c>
      <c r="AA12" t="str">
        <f>VLOOKUP($A12,ScionOutput!$A$3:$BL$215,64,FALSE)</f>
        <v xml:space="preserve">823292. VF plays are disallowed. No play due to strategy constraints. </v>
      </c>
    </row>
    <row r="13" spans="1:27" x14ac:dyDescent="0.2">
      <c r="A13">
        <v>823048</v>
      </c>
      <c r="B13" s="3">
        <f>VLOOKUP($A13,ScionOutput!$A$3:$BL$215,3,FALSE)</f>
        <v>46179</v>
      </c>
      <c r="C13">
        <f>VLOOKUP($A13,ScionOutput!$A$3:$BL$215,22,FALSE)</f>
        <v>26</v>
      </c>
      <c r="D13" t="str">
        <f>VLOOKUP($A13,ScionOutput!$A$3:$BL$215,23,FALSE)</f>
        <v>STL</v>
      </c>
      <c r="E13">
        <f>VLOOKUP($A13,ScionOutput!$A$3:$BL$215,6,FALSE)</f>
        <v>6</v>
      </c>
      <c r="F13" t="str">
        <f>VLOOKUP($A13,ScionOutput!$A$3:$BL$215,7,FALSE)</f>
        <v>CIN</v>
      </c>
      <c r="G13">
        <f>VLOOKUP($A13,ScionOutput!$A$3:$BL$215,26,FALSE)</f>
        <v>-125</v>
      </c>
      <c r="H13">
        <f>VLOOKUP($A13,ScionOutput!$A$3:$BL$215,10,FALSE)</f>
        <v>113</v>
      </c>
      <c r="I13" s="6" t="str">
        <f>VLOOKUP($A13,ScionOutput!$A$3:$BL$215,55,FALSE)</f>
        <v>HomFave</v>
      </c>
      <c r="J13" s="6">
        <f>VLOOKUP($A13,ScionOutput!$A$3:$BL$215,56,FALSE)</f>
        <v>0</v>
      </c>
      <c r="K13" t="str">
        <f>VLOOKUP($A13,ScionOutput!$A$3:$BL$215,58,FALSE)</f>
        <v>No Play</v>
      </c>
      <c r="L13">
        <f>VLOOKUP($A13,ScionOutput!$A$3:$BL$215,59,FALSE)</f>
        <v>0</v>
      </c>
      <c r="M13">
        <f>VLOOKUP($A13,ScionOutput!$A$3:$BL$215,62,FALSE)</f>
        <v>0</v>
      </c>
      <c r="N13">
        <f>VLOOKUP($A13,ScionOutput!$A$3:$BL$215,63,FALSE)</f>
        <v>0</v>
      </c>
      <c r="O13" t="b">
        <f t="shared" si="1"/>
        <v>0</v>
      </c>
      <c r="P13">
        <f>VLOOKUP($A13,Outcomes!$B$3:$I$209,8,FALSE)</f>
        <v>11</v>
      </c>
      <c r="Q13">
        <f t="shared" si="2"/>
        <v>1</v>
      </c>
      <c r="R13">
        <f>VLOOKUP($A13,Outcomes!$B$3:$I$209,5,FALSE)</f>
        <v>6</v>
      </c>
      <c r="S13">
        <f>VLOOKUP($A13,Outcomes!$B$3:$I$209,6,FALSE)</f>
        <v>5</v>
      </c>
      <c r="T13">
        <f>VLOOKUP($A13,Outcomes!$B$3:$I$209,7,FALSE)</f>
        <v>-1</v>
      </c>
      <c r="U13" t="str">
        <f t="shared" si="3"/>
        <v>HomFave</v>
      </c>
      <c r="V13" s="5" t="str">
        <f t="shared" si="4"/>
        <v/>
      </c>
      <c r="W13" t="str">
        <f t="shared" si="0"/>
        <v/>
      </c>
      <c r="X13" t="str">
        <f t="shared" si="5"/>
        <v/>
      </c>
      <c r="Y13" t="str">
        <f t="shared" si="6"/>
        <v/>
      </c>
      <c r="Z13" s="2" t="str">
        <f t="shared" si="7"/>
        <v/>
      </c>
      <c r="AA13" t="str">
        <f>VLOOKUP($A13,ScionOutput!$A$3:$BL$215,64,FALSE)</f>
        <v xml:space="preserve">823048. LineStatEns probability points gap does not exceed threshold (no edge found)! StatOnlyEns probability points gap does not exceed threshold (no edge found)! No play due to strategy constraints. </v>
      </c>
    </row>
    <row r="14" spans="1:27" x14ac:dyDescent="0.2">
      <c r="A14">
        <v>822891</v>
      </c>
      <c r="B14" s="3">
        <f>VLOOKUP($A14,ScionOutput!$A$3:$BL$215,3,FALSE)</f>
        <v>46179</v>
      </c>
      <c r="C14">
        <f>VLOOKUP($A14,ScionOutput!$A$3:$BL$215,22,FALSE)</f>
        <v>28</v>
      </c>
      <c r="D14" t="str">
        <f>VLOOKUP($A14,ScionOutput!$A$3:$BL$215,23,FALSE)</f>
        <v>TEX</v>
      </c>
      <c r="E14">
        <f>VLOOKUP($A14,ScionOutput!$A$3:$BL$215,6,FALSE)</f>
        <v>7</v>
      </c>
      <c r="F14" t="str">
        <f>VLOOKUP($A14,ScionOutput!$A$3:$BL$215,7,FALSE)</f>
        <v>CLE</v>
      </c>
      <c r="G14">
        <f>VLOOKUP($A14,ScionOutput!$A$3:$BL$215,26,FALSE)</f>
        <v>-107</v>
      </c>
      <c r="H14">
        <f>VLOOKUP($A14,ScionOutput!$A$3:$BL$215,10,FALSE)</f>
        <v>-103</v>
      </c>
      <c r="I14" s="6" t="str">
        <f>VLOOKUP($A14,ScionOutput!$A$3:$BL$215,55,FALSE)</f>
        <v>HomFave</v>
      </c>
      <c r="J14" s="6">
        <f>VLOOKUP($A14,ScionOutput!$A$3:$BL$215,56,FALSE)</f>
        <v>1</v>
      </c>
      <c r="K14" t="str">
        <f>VLOOKUP($A14,ScionOutput!$A$3:$BL$215,58,FALSE)</f>
        <v>No Play</v>
      </c>
      <c r="L14">
        <f>VLOOKUP($A14,ScionOutput!$A$3:$BL$215,59,FALSE)</f>
        <v>0</v>
      </c>
      <c r="M14">
        <f>VLOOKUP($A14,ScionOutput!$A$3:$BL$215,62,FALSE)</f>
        <v>0</v>
      </c>
      <c r="N14">
        <f>VLOOKUP($A14,ScionOutput!$A$3:$BL$215,63,FALSE)</f>
        <v>0</v>
      </c>
      <c r="O14" t="b">
        <f t="shared" si="1"/>
        <v>0</v>
      </c>
      <c r="P14">
        <f>VLOOKUP($A14,Outcomes!$B$3:$I$209,8,FALSE)</f>
        <v>6</v>
      </c>
      <c r="Q14">
        <f t="shared" si="2"/>
        <v>-1</v>
      </c>
      <c r="R14">
        <f>VLOOKUP($A14,Outcomes!$B$3:$I$209,5,FALSE)</f>
        <v>0</v>
      </c>
      <c r="S14">
        <f>VLOOKUP($A14,Outcomes!$B$3:$I$209,6,FALSE)</f>
        <v>6</v>
      </c>
      <c r="T14">
        <f>VLOOKUP($A14,Outcomes!$B$3:$I$209,7,FALSE)</f>
        <v>6</v>
      </c>
      <c r="U14" t="str">
        <f t="shared" si="3"/>
        <v>VisDog</v>
      </c>
      <c r="V14" s="5">
        <f t="shared" si="4"/>
        <v>0</v>
      </c>
      <c r="W14">
        <f t="shared" si="0"/>
        <v>103</v>
      </c>
      <c r="X14">
        <f t="shared" si="5"/>
        <v>0</v>
      </c>
      <c r="Y14">
        <f t="shared" si="6"/>
        <v>-103</v>
      </c>
      <c r="Z14" s="2">
        <f t="shared" si="7"/>
        <v>-1</v>
      </c>
      <c r="AA14" t="str">
        <f>VLOOKUP($A14,ScionOutput!$A$3:$BL$215,64,FALSE)</f>
        <v xml:space="preserve">822891. LineStatEns probability points gap does not exceed threshold (no edge found)! No play due to strategy constraints. </v>
      </c>
    </row>
    <row r="15" spans="1:27" x14ac:dyDescent="0.2">
      <c r="A15">
        <v>822808</v>
      </c>
      <c r="B15" s="3">
        <f>VLOOKUP($A15,ScionOutput!$A$3:$BL$215,3,FALSE)</f>
        <v>46179</v>
      </c>
      <c r="C15">
        <f>VLOOKUP($A15,ScionOutput!$A$3:$BL$215,22,FALSE)</f>
        <v>29</v>
      </c>
      <c r="D15" t="str">
        <f>VLOOKUP($A15,ScionOutput!$A$3:$BL$215,23,FALSE)</f>
        <v>TOR</v>
      </c>
      <c r="E15">
        <f>VLOOKUP($A15,ScionOutput!$A$3:$BL$215,6,FALSE)</f>
        <v>2</v>
      </c>
      <c r="F15" t="str">
        <f>VLOOKUP($A15,ScionOutput!$A$3:$BL$215,7,FALSE)</f>
        <v>BAL</v>
      </c>
      <c r="G15">
        <f>VLOOKUP($A15,ScionOutput!$A$3:$BL$215,26,FALSE)</f>
        <v>-103</v>
      </c>
      <c r="H15">
        <f>VLOOKUP($A15,ScionOutput!$A$3:$BL$215,10,FALSE)</f>
        <v>-107</v>
      </c>
      <c r="I15" s="6" t="str">
        <f>VLOOKUP($A15,ScionOutput!$A$3:$BL$215,55,FALSE)</f>
        <v>VisFave</v>
      </c>
      <c r="J15" s="6">
        <f>VLOOKUP($A15,ScionOutput!$A$3:$BL$215,56,FALSE)</f>
        <v>0</v>
      </c>
      <c r="K15" t="str">
        <f>VLOOKUP($A15,ScionOutput!$A$3:$BL$215,58,FALSE)</f>
        <v>No Play</v>
      </c>
      <c r="L15">
        <f>VLOOKUP($A15,ScionOutput!$A$3:$BL$215,59,FALSE)</f>
        <v>0</v>
      </c>
      <c r="M15">
        <f>VLOOKUP($A15,ScionOutput!$A$3:$BL$215,62,FALSE)</f>
        <v>0</v>
      </c>
      <c r="N15">
        <f>VLOOKUP($A15,ScionOutput!$A$3:$BL$215,63,FALSE)</f>
        <v>0</v>
      </c>
      <c r="O15" t="b">
        <f t="shared" si="1"/>
        <v>0</v>
      </c>
      <c r="P15">
        <f>VLOOKUP($A15,Outcomes!$B$3:$I$209,8,FALSE)</f>
        <v>10</v>
      </c>
      <c r="Q15">
        <f t="shared" si="2"/>
        <v>1</v>
      </c>
      <c r="R15">
        <f>VLOOKUP($A15,Outcomes!$B$3:$I$209,5,FALSE)</f>
        <v>6</v>
      </c>
      <c r="S15">
        <f>VLOOKUP($A15,Outcomes!$B$3:$I$209,6,FALSE)</f>
        <v>4</v>
      </c>
      <c r="T15">
        <f>VLOOKUP($A15,Outcomes!$B$3:$I$209,7,FALSE)</f>
        <v>-2</v>
      </c>
      <c r="U15" t="str">
        <f t="shared" si="3"/>
        <v>HomDog</v>
      </c>
      <c r="V15" s="5" t="str">
        <f t="shared" si="4"/>
        <v/>
      </c>
      <c r="W15" t="str">
        <f t="shared" si="0"/>
        <v/>
      </c>
      <c r="X15" t="str">
        <f t="shared" si="5"/>
        <v/>
      </c>
      <c r="Y15" t="str">
        <f t="shared" si="6"/>
        <v/>
      </c>
      <c r="Z15" s="2" t="str">
        <f t="shared" si="7"/>
        <v/>
      </c>
      <c r="AA15" t="str">
        <f>VLOOKUP($A15,ScionOutput!$A$3:$BL$215,64,FALSE)</f>
        <v xml:space="preserve">822808. VF plays are disallowed. No play due to strategy constraints. </v>
      </c>
    </row>
    <row r="16" spans="1:27" x14ac:dyDescent="0.2">
      <c r="A16">
        <v>824916</v>
      </c>
      <c r="B16" s="3">
        <f>VLOOKUP($A16,ScionOutput!$A$3:$BL$215,3,FALSE)</f>
        <v>46180</v>
      </c>
      <c r="C16">
        <f>VLOOKUP($A16,ScionOutput!$A$3:$BL$215,22,FALSE)</f>
        <v>0</v>
      </c>
      <c r="D16" t="str">
        <f>VLOOKUP($A16,ScionOutput!$A$3:$BL$215,23,FALSE)</f>
        <v>ATL</v>
      </c>
      <c r="E16">
        <f>VLOOKUP($A16,ScionOutput!$A$3:$BL$215,6,FALSE)</f>
        <v>22</v>
      </c>
      <c r="F16" t="str">
        <f>VLOOKUP($A16,ScionOutput!$A$3:$BL$215,7,FALSE)</f>
        <v>PIT</v>
      </c>
      <c r="G16">
        <f>VLOOKUP($A16,ScionOutput!$A$3:$BL$215,26,FALSE)</f>
        <v>-145</v>
      </c>
      <c r="H16">
        <f>VLOOKUP($A16,ScionOutput!$A$3:$BL$215,10,FALSE)</f>
        <v>133</v>
      </c>
      <c r="I16" s="6" t="str">
        <f>VLOOKUP($A16,ScionOutput!$A$3:$BL$215,55,FALSE)</f>
        <v>HomFave</v>
      </c>
      <c r="J16" s="6">
        <f>VLOOKUP($A16,ScionOutput!$A$3:$BL$215,56,FALSE)</f>
        <v>0</v>
      </c>
      <c r="K16" t="str">
        <f>VLOOKUP($A16,ScionOutput!$A$3:$BL$215,58,FALSE)</f>
        <v>No Play</v>
      </c>
      <c r="L16">
        <f>VLOOKUP($A16,ScionOutput!$A$3:$BL$215,59,FALSE)</f>
        <v>0</v>
      </c>
      <c r="M16">
        <f>VLOOKUP($A16,ScionOutput!$A$3:$BL$215,62,FALSE)</f>
        <v>0</v>
      </c>
      <c r="N16">
        <f>VLOOKUP($A16,ScionOutput!$A$3:$BL$215,63,FALSE)</f>
        <v>0</v>
      </c>
      <c r="O16" t="b">
        <f t="shared" si="1"/>
        <v>0</v>
      </c>
      <c r="P16">
        <f>VLOOKUP($A16,Outcomes!$B$3:$I$209,8,FALSE)</f>
        <v>5</v>
      </c>
      <c r="Q16">
        <f t="shared" si="2"/>
        <v>1</v>
      </c>
      <c r="R16">
        <f>VLOOKUP($A16,Outcomes!$B$3:$I$209,5,FALSE)</f>
        <v>3</v>
      </c>
      <c r="S16">
        <f>VLOOKUP($A16,Outcomes!$B$3:$I$209,6,FALSE)</f>
        <v>2</v>
      </c>
      <c r="T16">
        <f>VLOOKUP($A16,Outcomes!$B$3:$I$209,7,FALSE)</f>
        <v>-1</v>
      </c>
      <c r="U16" t="str">
        <f t="shared" si="3"/>
        <v>HomFave</v>
      </c>
      <c r="V16" s="5" t="str">
        <f t="shared" si="4"/>
        <v/>
      </c>
      <c r="W16" t="str">
        <f t="shared" si="0"/>
        <v/>
      </c>
      <c r="X16" t="str">
        <f t="shared" si="5"/>
        <v/>
      </c>
      <c r="Y16" t="str">
        <f t="shared" si="6"/>
        <v/>
      </c>
      <c r="Z16" s="2" t="str">
        <f t="shared" si="7"/>
        <v/>
      </c>
      <c r="AA16" t="str">
        <f>VLOOKUP($A16,ScionOutput!$A$3:$BL$215,64,FALSE)</f>
        <v xml:space="preserve">824916. LineStatEns probability points gap does not exceed threshold (no edge found)! StatOnlyEns probability points gap does not exceed threshold (no edge found)! No play due to strategy constraints. </v>
      </c>
    </row>
    <row r="17" spans="1:27" x14ac:dyDescent="0.2">
      <c r="A17">
        <v>825074</v>
      </c>
      <c r="B17" s="3">
        <f>VLOOKUP($A17,ScionOutput!$A$3:$BL$215,3,FALSE)</f>
        <v>46180</v>
      </c>
      <c r="C17">
        <f>VLOOKUP($A17,ScionOutput!$A$3:$BL$215,22,FALSE)</f>
        <v>1</v>
      </c>
      <c r="D17" t="str">
        <f>VLOOKUP($A17,ScionOutput!$A$3:$BL$215,23,FALSE)</f>
        <v>ARZ</v>
      </c>
      <c r="E17">
        <f>VLOOKUP($A17,ScionOutput!$A$3:$BL$215,6,FALSE)</f>
        <v>16</v>
      </c>
      <c r="F17" t="str">
        <f>VLOOKUP($A17,ScionOutput!$A$3:$BL$215,7,FALSE)</f>
        <v>WAS</v>
      </c>
      <c r="G17">
        <f>VLOOKUP($A17,ScionOutput!$A$3:$BL$215,26,FALSE)</f>
        <v>-125</v>
      </c>
      <c r="H17">
        <f>VLOOKUP($A17,ScionOutput!$A$3:$BL$215,10,FALSE)</f>
        <v>115</v>
      </c>
      <c r="I17" s="6" t="str">
        <f>VLOOKUP($A17,ScionOutput!$A$3:$BL$215,55,FALSE)</f>
        <v>HomFave</v>
      </c>
      <c r="J17" s="6">
        <f>VLOOKUP($A17,ScionOutput!$A$3:$BL$215,56,FALSE)</f>
        <v>0</v>
      </c>
      <c r="K17" t="str">
        <f>VLOOKUP($A17,ScionOutput!$A$3:$BL$215,58,FALSE)</f>
        <v>No Play</v>
      </c>
      <c r="L17">
        <f>VLOOKUP($A17,ScionOutput!$A$3:$BL$215,59,FALSE)</f>
        <v>0</v>
      </c>
      <c r="M17">
        <f>VLOOKUP($A17,ScionOutput!$A$3:$BL$215,62,FALSE)</f>
        <v>0</v>
      </c>
      <c r="N17">
        <f>VLOOKUP($A17,ScionOutput!$A$3:$BL$215,63,FALSE)</f>
        <v>0</v>
      </c>
      <c r="O17" t="b">
        <f t="shared" si="1"/>
        <v>0</v>
      </c>
      <c r="P17">
        <f>VLOOKUP($A17,Outcomes!$B$3:$I$209,8,FALSE)</f>
        <v>6</v>
      </c>
      <c r="Q17">
        <f t="shared" si="2"/>
        <v>1</v>
      </c>
      <c r="R17">
        <f>VLOOKUP($A17,Outcomes!$B$3:$I$209,5,FALSE)</f>
        <v>5</v>
      </c>
      <c r="S17">
        <f>VLOOKUP($A17,Outcomes!$B$3:$I$209,6,FALSE)</f>
        <v>1</v>
      </c>
      <c r="T17">
        <f>VLOOKUP($A17,Outcomes!$B$3:$I$209,7,FALSE)</f>
        <v>-4</v>
      </c>
      <c r="U17" t="str">
        <f t="shared" si="3"/>
        <v>HomFave</v>
      </c>
      <c r="V17" s="5" t="str">
        <f t="shared" si="4"/>
        <v/>
      </c>
      <c r="W17" t="str">
        <f t="shared" si="0"/>
        <v/>
      </c>
      <c r="X17" t="str">
        <f t="shared" si="5"/>
        <v/>
      </c>
      <c r="Y17" t="str">
        <f t="shared" si="6"/>
        <v/>
      </c>
      <c r="Z17" s="2" t="str">
        <f t="shared" si="7"/>
        <v/>
      </c>
      <c r="AA17" t="str">
        <f>VLOOKUP($A17,ScionOutput!$A$3:$BL$215,64,FALSE)</f>
        <v xml:space="preserve">825074. LineStatEns probability points gap does not exceed threshold (no edge found)! StatOnlyEns probability points gap does not exceed threshold (no edge found)! No play due to strategy constraints. </v>
      </c>
    </row>
    <row r="18" spans="1:27" x14ac:dyDescent="0.2">
      <c r="A18">
        <v>824670</v>
      </c>
      <c r="B18" s="3">
        <f>VLOOKUP($A18,ScionOutput!$A$3:$BL$215,3,FALSE)</f>
        <v>46180</v>
      </c>
      <c r="C18">
        <f>VLOOKUP($A18,ScionOutput!$A$3:$BL$215,22,FALSE)</f>
        <v>5</v>
      </c>
      <c r="D18" t="str">
        <f>VLOOKUP($A18,ScionOutput!$A$3:$BL$215,23,FALSE)</f>
        <v>CHC</v>
      </c>
      <c r="E18">
        <f>VLOOKUP($A18,ScionOutput!$A$3:$BL$215,6,FALSE)</f>
        <v>25</v>
      </c>
      <c r="F18" t="str">
        <f>VLOOKUP($A18,ScionOutput!$A$3:$BL$215,7,FALSE)</f>
        <v>SF</v>
      </c>
      <c r="G18">
        <f>VLOOKUP($A18,ScionOutput!$A$3:$BL$215,26,FALSE)</f>
        <v>-126</v>
      </c>
      <c r="H18">
        <f>VLOOKUP($A18,ScionOutput!$A$3:$BL$215,10,FALSE)</f>
        <v>116</v>
      </c>
      <c r="I18" s="6" t="str">
        <f>VLOOKUP($A18,ScionOutput!$A$3:$BL$215,55,FALSE)</f>
        <v>HomFave</v>
      </c>
      <c r="J18" s="6">
        <f>VLOOKUP($A18,ScionOutput!$A$3:$BL$215,56,FALSE)</f>
        <v>0</v>
      </c>
      <c r="K18" t="str">
        <f>VLOOKUP($A18,ScionOutput!$A$3:$BL$215,58,FALSE)</f>
        <v>No Play</v>
      </c>
      <c r="L18">
        <f>VLOOKUP($A18,ScionOutput!$A$3:$BL$215,59,FALSE)</f>
        <v>0</v>
      </c>
      <c r="M18">
        <f>VLOOKUP($A18,ScionOutput!$A$3:$BL$215,62,FALSE)</f>
        <v>0</v>
      </c>
      <c r="N18">
        <f>VLOOKUP($A18,ScionOutput!$A$3:$BL$215,63,FALSE)</f>
        <v>0</v>
      </c>
      <c r="O18" t="b">
        <f t="shared" si="1"/>
        <v>0</v>
      </c>
      <c r="P18">
        <f>VLOOKUP($A18,Outcomes!$B$3:$I$209,8,FALSE)</f>
        <v>3</v>
      </c>
      <c r="Q18">
        <f t="shared" si="2"/>
        <v>-1</v>
      </c>
      <c r="R18">
        <f>VLOOKUP($A18,Outcomes!$B$3:$I$209,5,FALSE)</f>
        <v>1</v>
      </c>
      <c r="S18">
        <f>VLOOKUP($A18,Outcomes!$B$3:$I$209,6,FALSE)</f>
        <v>2</v>
      </c>
      <c r="T18">
        <f>VLOOKUP($A18,Outcomes!$B$3:$I$209,7,FALSE)</f>
        <v>1</v>
      </c>
      <c r="U18" t="str">
        <f t="shared" si="3"/>
        <v>VisDog</v>
      </c>
      <c r="V18" s="5" t="str">
        <f t="shared" si="4"/>
        <v/>
      </c>
      <c r="W18" t="str">
        <f t="shared" si="0"/>
        <v/>
      </c>
      <c r="X18" t="str">
        <f t="shared" si="5"/>
        <v/>
      </c>
      <c r="Y18" t="str">
        <f t="shared" si="6"/>
        <v/>
      </c>
      <c r="Z18" s="2" t="str">
        <f t="shared" si="7"/>
        <v/>
      </c>
      <c r="AA18" t="str">
        <f>VLOOKUP($A18,ScionOutput!$A$3:$BL$215,64,FALSE)</f>
        <v xml:space="preserve">824670. LineStatEns probability points gap does not exceed threshold (no edge found)! StatOnlyEns probability points gap does not exceed threshold (no edge found)! No play due to strategy constraints. </v>
      </c>
    </row>
    <row r="19" spans="1:27" x14ac:dyDescent="0.2">
      <c r="A19">
        <v>824349</v>
      </c>
      <c r="B19" s="3">
        <f>VLOOKUP($A19,ScionOutput!$A$3:$BL$215,3,FALSE)</f>
        <v>46180</v>
      </c>
      <c r="C19">
        <f>VLOOKUP($A19,ScionOutput!$A$3:$BL$215,22,FALSE)</f>
        <v>8</v>
      </c>
      <c r="D19" t="str">
        <f>VLOOKUP($A19,ScionOutput!$A$3:$BL$215,23,FALSE)</f>
        <v>COL</v>
      </c>
      <c r="E19">
        <f>VLOOKUP($A19,ScionOutput!$A$3:$BL$215,6,FALSE)</f>
        <v>17</v>
      </c>
      <c r="F19" t="str">
        <f>VLOOKUP($A19,ScionOutput!$A$3:$BL$215,7,FALSE)</f>
        <v>MLW</v>
      </c>
      <c r="G19">
        <f>VLOOKUP($A19,ScionOutput!$A$3:$BL$215,26,FALSE)</f>
        <v>160</v>
      </c>
      <c r="H19">
        <f>VLOOKUP($A19,ScionOutput!$A$3:$BL$215,10,FALSE)</f>
        <v>-174</v>
      </c>
      <c r="I19" s="6" t="str">
        <f>VLOOKUP($A19,ScionOutput!$A$3:$BL$215,55,FALSE)</f>
        <v>VisFave</v>
      </c>
      <c r="J19" s="6">
        <f>VLOOKUP($A19,ScionOutput!$A$3:$BL$215,56,FALSE)</f>
        <v>0</v>
      </c>
      <c r="K19" t="str">
        <f>VLOOKUP($A19,ScionOutput!$A$3:$BL$215,58,FALSE)</f>
        <v>No Play</v>
      </c>
      <c r="L19">
        <f>VLOOKUP($A19,ScionOutput!$A$3:$BL$215,59,FALSE)</f>
        <v>0</v>
      </c>
      <c r="M19">
        <f>VLOOKUP($A19,ScionOutput!$A$3:$BL$215,62,FALSE)</f>
        <v>0</v>
      </c>
      <c r="N19">
        <f>VLOOKUP($A19,ScionOutput!$A$3:$BL$215,63,FALSE)</f>
        <v>0</v>
      </c>
      <c r="O19" t="b">
        <f t="shared" si="1"/>
        <v>0</v>
      </c>
      <c r="P19">
        <f>VLOOKUP($A19,Outcomes!$B$3:$I$209,8,FALSE)</f>
        <v>16</v>
      </c>
      <c r="Q19">
        <f t="shared" si="2"/>
        <v>-1</v>
      </c>
      <c r="R19">
        <f>VLOOKUP($A19,Outcomes!$B$3:$I$209,5,FALSE)</f>
        <v>4</v>
      </c>
      <c r="S19">
        <f>VLOOKUP($A19,Outcomes!$B$3:$I$209,6,FALSE)</f>
        <v>12</v>
      </c>
      <c r="T19">
        <f>VLOOKUP($A19,Outcomes!$B$3:$I$209,7,FALSE)</f>
        <v>8</v>
      </c>
      <c r="U19" t="str">
        <f t="shared" si="3"/>
        <v>VisFave</v>
      </c>
      <c r="V19" s="5" t="str">
        <f t="shared" si="4"/>
        <v/>
      </c>
      <c r="W19" t="str">
        <f t="shared" si="0"/>
        <v/>
      </c>
      <c r="X19" t="str">
        <f t="shared" si="5"/>
        <v/>
      </c>
      <c r="Y19" t="str">
        <f t="shared" si="6"/>
        <v/>
      </c>
      <c r="Z19" s="2" t="str">
        <f t="shared" si="7"/>
        <v/>
      </c>
      <c r="AA19" t="str">
        <f>VLOOKUP($A19,ScionOutput!$A$3:$BL$215,64,FALSE)</f>
        <v xml:space="preserve">824349. LineStatEns is NoPlay as bookie-line outside range. StatOnlyEns is NoPlay as bookie-line outside range. No play due to strategy constraints. </v>
      </c>
    </row>
    <row r="20" spans="1:27" x14ac:dyDescent="0.2">
      <c r="A20">
        <v>824268</v>
      </c>
      <c r="B20" s="3">
        <f>VLOOKUP($A20,ScionOutput!$A$3:$BL$215,3,FALSE)</f>
        <v>46180</v>
      </c>
      <c r="C20">
        <f>VLOOKUP($A20,ScionOutput!$A$3:$BL$215,22,FALSE)</f>
        <v>10</v>
      </c>
      <c r="D20" t="str">
        <f>VLOOKUP($A20,ScionOutput!$A$3:$BL$215,23,FALSE)</f>
        <v>DET</v>
      </c>
      <c r="E20">
        <f>VLOOKUP($A20,ScionOutput!$A$3:$BL$215,6,FALSE)</f>
        <v>24</v>
      </c>
      <c r="F20" t="str">
        <f>VLOOKUP($A20,ScionOutput!$A$3:$BL$215,7,FALSE)</f>
        <v>SEA</v>
      </c>
      <c r="G20">
        <f>VLOOKUP($A20,ScionOutput!$A$3:$BL$215,26,FALSE)</f>
        <v>-111</v>
      </c>
      <c r="H20">
        <f>VLOOKUP($A20,ScionOutput!$A$3:$BL$215,10,FALSE)</f>
        <v>102</v>
      </c>
      <c r="I20" s="6" t="str">
        <f>VLOOKUP($A20,ScionOutput!$A$3:$BL$215,55,FALSE)</f>
        <v>VisDog</v>
      </c>
      <c r="J20" s="6">
        <f>VLOOKUP($A20,ScionOutput!$A$3:$BL$215,56,FALSE)</f>
        <v>1</v>
      </c>
      <c r="K20" t="str">
        <f>VLOOKUP($A20,ScionOutput!$A$3:$BL$215,58,FALSE)</f>
        <v>VisDog</v>
      </c>
      <c r="L20">
        <f>VLOOKUP($A20,ScionOutput!$A$3:$BL$215,59,FALSE)</f>
        <v>-3.5189999999999999E-2</v>
      </c>
      <c r="M20">
        <f>VLOOKUP($A20,ScionOutput!$A$3:$BL$215,62,FALSE)</f>
        <v>5</v>
      </c>
      <c r="N20">
        <f>VLOOKUP($A20,ScionOutput!$A$3:$BL$215,63,FALSE)</f>
        <v>0.6</v>
      </c>
      <c r="O20" t="b">
        <f t="shared" si="1"/>
        <v>1</v>
      </c>
      <c r="P20">
        <f>VLOOKUP($A20,Outcomes!$B$3:$I$209,8,FALSE)</f>
        <v>9</v>
      </c>
      <c r="Q20">
        <f t="shared" si="2"/>
        <v>1</v>
      </c>
      <c r="R20">
        <f>VLOOKUP($A20,Outcomes!$B$3:$I$209,5,FALSE)</f>
        <v>5</v>
      </c>
      <c r="S20">
        <f>VLOOKUP($A20,Outcomes!$B$3:$I$209,6,FALSE)</f>
        <v>4</v>
      </c>
      <c r="T20">
        <f>VLOOKUP($A20,Outcomes!$B$3:$I$209,7,FALSE)</f>
        <v>-1</v>
      </c>
      <c r="U20" t="str">
        <f t="shared" si="3"/>
        <v>HomFave</v>
      </c>
      <c r="V20" s="5">
        <f t="shared" si="4"/>
        <v>0</v>
      </c>
      <c r="W20">
        <f t="shared" si="0"/>
        <v>100</v>
      </c>
      <c r="X20">
        <f t="shared" si="5"/>
        <v>0</v>
      </c>
      <c r="Y20">
        <f t="shared" si="6"/>
        <v>-100</v>
      </c>
      <c r="Z20" s="2">
        <f t="shared" si="7"/>
        <v>-1</v>
      </c>
      <c r="AA20" t="str">
        <f>VLOOKUP($A20,ScionOutput!$A$3:$BL$215,64,FALSE)</f>
        <v xml:space="preserve">824268. Play determined by LineStatEns and StatOnlyEns agreement. </v>
      </c>
    </row>
    <row r="21" spans="1:27" x14ac:dyDescent="0.2">
      <c r="A21">
        <v>823857</v>
      </c>
      <c r="B21" s="3">
        <f>VLOOKUP($A21,ScionOutput!$A$3:$BL$215,3,FALSE)</f>
        <v>46180</v>
      </c>
      <c r="C21">
        <f>VLOOKUP($A21,ScionOutput!$A$3:$BL$215,22,FALSE)</f>
        <v>11</v>
      </c>
      <c r="D21" t="str">
        <f>VLOOKUP($A21,ScionOutput!$A$3:$BL$215,23,FALSE)</f>
        <v>FLO</v>
      </c>
      <c r="E21">
        <f>VLOOKUP($A21,ScionOutput!$A$3:$BL$215,6,FALSE)</f>
        <v>27</v>
      </c>
      <c r="F21" t="str">
        <f>VLOOKUP($A21,ScionOutput!$A$3:$BL$215,7,FALSE)</f>
        <v>TB</v>
      </c>
      <c r="G21">
        <f>VLOOKUP($A21,ScionOutput!$A$3:$BL$215,26,FALSE)</f>
        <v>-105</v>
      </c>
      <c r="H21">
        <f>VLOOKUP($A21,ScionOutput!$A$3:$BL$215,10,FALSE)</f>
        <v>-103</v>
      </c>
      <c r="I21" s="6" t="str">
        <f>VLOOKUP($A21,ScionOutput!$A$3:$BL$215,55,FALSE)</f>
        <v>HomFave</v>
      </c>
      <c r="J21" s="6">
        <f>VLOOKUP($A21,ScionOutput!$A$3:$BL$215,56,FALSE)</f>
        <v>1</v>
      </c>
      <c r="K21" t="str">
        <f>VLOOKUP($A21,ScionOutput!$A$3:$BL$215,58,FALSE)</f>
        <v>HomFave</v>
      </c>
      <c r="L21">
        <f>VLOOKUP($A21,ScionOutput!$A$3:$BL$215,59,FALSE)</f>
        <v>7.6400000000000001E-3</v>
      </c>
      <c r="M21">
        <f>VLOOKUP($A21,ScionOutput!$A$3:$BL$215,62,FALSE)</f>
        <v>1</v>
      </c>
      <c r="N21">
        <f>VLOOKUP($A21,ScionOutput!$A$3:$BL$215,63,FALSE)</f>
        <v>0.73</v>
      </c>
      <c r="O21" t="b">
        <f t="shared" si="1"/>
        <v>1</v>
      </c>
      <c r="P21">
        <f>VLOOKUP($A21,Outcomes!$B$3:$I$209,8,FALSE)</f>
        <v>5</v>
      </c>
      <c r="Q21">
        <f t="shared" si="2"/>
        <v>1</v>
      </c>
      <c r="R21">
        <f>VLOOKUP($A21,Outcomes!$B$3:$I$209,5,FALSE)</f>
        <v>4</v>
      </c>
      <c r="S21">
        <f>VLOOKUP($A21,Outcomes!$B$3:$I$209,6,FALSE)</f>
        <v>1</v>
      </c>
      <c r="T21">
        <f>VLOOKUP($A21,Outcomes!$B$3:$I$209,7,FALSE)</f>
        <v>-3</v>
      </c>
      <c r="U21" t="str">
        <f t="shared" si="3"/>
        <v>HomFave</v>
      </c>
      <c r="V21" s="5">
        <f t="shared" si="4"/>
        <v>1</v>
      </c>
      <c r="W21">
        <f t="shared" si="0"/>
        <v>105</v>
      </c>
      <c r="X21">
        <f t="shared" si="5"/>
        <v>205</v>
      </c>
      <c r="Y21">
        <f t="shared" si="6"/>
        <v>100</v>
      </c>
      <c r="Z21" s="2">
        <f t="shared" si="7"/>
        <v>0.95238095238095233</v>
      </c>
      <c r="AA21" t="str">
        <f>VLOOKUP($A21,ScionOutput!$A$3:$BL$215,64,FALSE)</f>
        <v xml:space="preserve">823857. Play determined by LineStatEns and StatOnlyEns agreement. </v>
      </c>
    </row>
    <row r="22" spans="1:27" x14ac:dyDescent="0.2">
      <c r="A22">
        <v>824183</v>
      </c>
      <c r="B22" s="3">
        <f>VLOOKUP($A22,ScionOutput!$A$3:$BL$215,3,FALSE)</f>
        <v>46180</v>
      </c>
      <c r="C22">
        <f>VLOOKUP($A22,ScionOutput!$A$3:$BL$215,22,FALSE)</f>
        <v>12</v>
      </c>
      <c r="D22" t="str">
        <f>VLOOKUP($A22,ScionOutput!$A$3:$BL$215,23,FALSE)</f>
        <v>HOU</v>
      </c>
      <c r="E22">
        <f>VLOOKUP($A22,ScionOutput!$A$3:$BL$215,6,FALSE)</f>
        <v>20</v>
      </c>
      <c r="F22" t="str">
        <f>VLOOKUP($A22,ScionOutput!$A$3:$BL$215,7,FALSE)</f>
        <v>OAK</v>
      </c>
      <c r="G22">
        <f>VLOOKUP($A22,ScionOutput!$A$3:$BL$215,26,FALSE)</f>
        <v>-105</v>
      </c>
      <c r="H22">
        <f>VLOOKUP($A22,ScionOutput!$A$3:$BL$215,10,FALSE)</f>
        <v>-103</v>
      </c>
      <c r="I22" s="6" t="str">
        <f>VLOOKUP($A22,ScionOutput!$A$3:$BL$215,55,FALSE)</f>
        <v>VisDog</v>
      </c>
      <c r="J22" s="6">
        <f>VLOOKUP($A22,ScionOutput!$A$3:$BL$215,56,FALSE)</f>
        <v>1</v>
      </c>
      <c r="K22" t="str">
        <f>VLOOKUP($A22,ScionOutput!$A$3:$BL$215,58,FALSE)</f>
        <v>VisDog</v>
      </c>
      <c r="L22">
        <f>VLOOKUP($A22,ScionOutput!$A$3:$BL$215,59,FALSE)</f>
        <v>-3.236E-2</v>
      </c>
      <c r="M22">
        <f>VLOOKUP($A22,ScionOutput!$A$3:$BL$215,62,FALSE)</f>
        <v>5</v>
      </c>
      <c r="N22">
        <f>VLOOKUP($A22,ScionOutput!$A$3:$BL$215,63,FALSE)</f>
        <v>0.87</v>
      </c>
      <c r="O22" t="b">
        <f t="shared" si="1"/>
        <v>1</v>
      </c>
      <c r="P22">
        <f>VLOOKUP($A22,Outcomes!$B$3:$I$209,8,FALSE)</f>
        <v>5</v>
      </c>
      <c r="Q22">
        <f t="shared" si="2"/>
        <v>-1</v>
      </c>
      <c r="R22">
        <f>VLOOKUP($A22,Outcomes!$B$3:$I$209,5,FALSE)</f>
        <v>0</v>
      </c>
      <c r="S22">
        <f>VLOOKUP($A22,Outcomes!$B$3:$I$209,6,FALSE)</f>
        <v>5</v>
      </c>
      <c r="T22">
        <f>VLOOKUP($A22,Outcomes!$B$3:$I$209,7,FALSE)</f>
        <v>5</v>
      </c>
      <c r="U22" t="str">
        <f t="shared" si="3"/>
        <v>VisDog</v>
      </c>
      <c r="V22" s="5">
        <f t="shared" si="4"/>
        <v>1</v>
      </c>
      <c r="W22">
        <f t="shared" si="0"/>
        <v>103</v>
      </c>
      <c r="X22">
        <f t="shared" si="5"/>
        <v>203</v>
      </c>
      <c r="Y22">
        <f t="shared" si="6"/>
        <v>100</v>
      </c>
      <c r="Z22" s="2">
        <f t="shared" si="7"/>
        <v>0.970873786407767</v>
      </c>
      <c r="AA22" t="str">
        <f>VLOOKUP($A22,ScionOutput!$A$3:$BL$215,64,FALSE)</f>
        <v xml:space="preserve">824183. Play determined by LineStatEns and StatOnlyEns agreement. </v>
      </c>
    </row>
    <row r="23" spans="1:27" x14ac:dyDescent="0.2">
      <c r="A23">
        <v>823941</v>
      </c>
      <c r="B23" s="3">
        <f>VLOOKUP($A23,ScionOutput!$A$3:$BL$215,3,FALSE)</f>
        <v>46180</v>
      </c>
      <c r="C23">
        <f>VLOOKUP($A23,ScionOutput!$A$3:$BL$215,22,FALSE)</f>
        <v>14</v>
      </c>
      <c r="D23" t="str">
        <f>VLOOKUP($A23,ScionOutput!$A$3:$BL$215,23,FALSE)</f>
        <v>LA</v>
      </c>
      <c r="E23">
        <f>VLOOKUP($A23,ScionOutput!$A$3:$BL$215,6,FALSE)</f>
        <v>4</v>
      </c>
      <c r="F23" t="str">
        <f>VLOOKUP($A23,ScionOutput!$A$3:$BL$215,7,FALSE)</f>
        <v>LAA</v>
      </c>
      <c r="G23">
        <f>VLOOKUP($A23,ScionOutput!$A$3:$BL$215,26,FALSE)</f>
        <v>-206</v>
      </c>
      <c r="H23">
        <f>VLOOKUP($A23,ScionOutput!$A$3:$BL$215,10,FALSE)</f>
        <v>187</v>
      </c>
      <c r="I23" s="6" t="str">
        <f>VLOOKUP($A23,ScionOutput!$A$3:$BL$215,55,FALSE)</f>
        <v>HomFave</v>
      </c>
      <c r="J23" s="6">
        <f>VLOOKUP($A23,ScionOutput!$A$3:$BL$215,56,FALSE)</f>
        <v>0</v>
      </c>
      <c r="K23" t="str">
        <f>VLOOKUP($A23,ScionOutput!$A$3:$BL$215,58,FALSE)</f>
        <v>No Play</v>
      </c>
      <c r="L23">
        <f>VLOOKUP($A23,ScionOutput!$A$3:$BL$215,59,FALSE)</f>
        <v>0</v>
      </c>
      <c r="M23">
        <f>VLOOKUP($A23,ScionOutput!$A$3:$BL$215,62,FALSE)</f>
        <v>0</v>
      </c>
      <c r="N23">
        <f>VLOOKUP($A23,ScionOutput!$A$3:$BL$215,63,FALSE)</f>
        <v>0</v>
      </c>
      <c r="O23" t="b">
        <f t="shared" si="1"/>
        <v>0</v>
      </c>
      <c r="P23">
        <f>VLOOKUP($A23,Outcomes!$B$3:$I$209,8,FALSE)</f>
        <v>18</v>
      </c>
      <c r="Q23">
        <f t="shared" si="2"/>
        <v>-1</v>
      </c>
      <c r="R23">
        <f>VLOOKUP($A23,Outcomes!$B$3:$I$209,5,FALSE)</f>
        <v>5</v>
      </c>
      <c r="S23">
        <f>VLOOKUP($A23,Outcomes!$B$3:$I$209,6,FALSE)</f>
        <v>13</v>
      </c>
      <c r="T23">
        <f>VLOOKUP($A23,Outcomes!$B$3:$I$209,7,FALSE)</f>
        <v>8</v>
      </c>
      <c r="U23" t="str">
        <f t="shared" si="3"/>
        <v>VisDog</v>
      </c>
      <c r="V23" s="5" t="str">
        <f t="shared" si="4"/>
        <v/>
      </c>
      <c r="W23" t="str">
        <f t="shared" si="0"/>
        <v/>
      </c>
      <c r="X23" t="str">
        <f t="shared" si="5"/>
        <v/>
      </c>
      <c r="Y23" t="str">
        <f t="shared" si="6"/>
        <v/>
      </c>
      <c r="Z23" s="2" t="str">
        <f t="shared" si="7"/>
        <v/>
      </c>
      <c r="AA23" t="str">
        <f>VLOOKUP($A23,ScionOutput!$A$3:$BL$215,64,FALSE)</f>
        <v xml:space="preserve">823941. LineStatEns is NoPlay as bookie-line outside range. StatOnlyEns is NoPlay as bookie-line outside range. No play due to strategy constraints. </v>
      </c>
    </row>
    <row r="24" spans="1:27" x14ac:dyDescent="0.2">
      <c r="A24">
        <v>823696</v>
      </c>
      <c r="B24" s="3">
        <f>VLOOKUP($A24,ScionOutput!$A$3:$BL$215,3,FALSE)</f>
        <v>46180</v>
      </c>
      <c r="C24">
        <f>VLOOKUP($A24,ScionOutput!$A$3:$BL$215,22,FALSE)</f>
        <v>15</v>
      </c>
      <c r="D24" t="str">
        <f>VLOOKUP($A24,ScionOutput!$A$3:$BL$215,23,FALSE)</f>
        <v>MIN</v>
      </c>
      <c r="E24">
        <f>VLOOKUP($A24,ScionOutput!$A$3:$BL$215,6,FALSE)</f>
        <v>13</v>
      </c>
      <c r="F24" t="str">
        <f>VLOOKUP($A24,ScionOutput!$A$3:$BL$215,7,FALSE)</f>
        <v>KC</v>
      </c>
      <c r="G24">
        <f>VLOOKUP($A24,ScionOutput!$A$3:$BL$215,26,FALSE)</f>
        <v>107</v>
      </c>
      <c r="H24">
        <f>VLOOKUP($A24,ScionOutput!$A$3:$BL$215,10,FALSE)</f>
        <v>-116</v>
      </c>
      <c r="I24" s="6" t="str">
        <f>VLOOKUP($A24,ScionOutput!$A$3:$BL$215,55,FALSE)</f>
        <v>VisFave</v>
      </c>
      <c r="J24" s="6">
        <f>VLOOKUP($A24,ScionOutput!$A$3:$BL$215,56,FALSE)</f>
        <v>0</v>
      </c>
      <c r="K24" t="str">
        <f>VLOOKUP($A24,ScionOutput!$A$3:$BL$215,58,FALSE)</f>
        <v>No Play</v>
      </c>
      <c r="L24">
        <f>VLOOKUP($A24,ScionOutput!$A$3:$BL$215,59,FALSE)</f>
        <v>0</v>
      </c>
      <c r="M24">
        <f>VLOOKUP($A24,ScionOutput!$A$3:$BL$215,62,FALSE)</f>
        <v>0</v>
      </c>
      <c r="N24">
        <f>VLOOKUP($A24,ScionOutput!$A$3:$BL$215,63,FALSE)</f>
        <v>0</v>
      </c>
      <c r="O24" t="b">
        <f t="shared" si="1"/>
        <v>0</v>
      </c>
      <c r="P24">
        <f>VLOOKUP($A24,Outcomes!$B$3:$I$209,8,FALSE)</f>
        <v>11</v>
      </c>
      <c r="Q24">
        <f t="shared" si="2"/>
        <v>-1</v>
      </c>
      <c r="R24">
        <f>VLOOKUP($A24,Outcomes!$B$3:$I$209,5,FALSE)</f>
        <v>5</v>
      </c>
      <c r="S24">
        <f>VLOOKUP($A24,Outcomes!$B$3:$I$209,6,FALSE)</f>
        <v>6</v>
      </c>
      <c r="T24">
        <f>VLOOKUP($A24,Outcomes!$B$3:$I$209,7,FALSE)</f>
        <v>1</v>
      </c>
      <c r="U24" t="str">
        <f t="shared" si="3"/>
        <v>VisFave</v>
      </c>
      <c r="V24" s="5" t="str">
        <f t="shared" si="4"/>
        <v/>
      </c>
      <c r="W24" t="str">
        <f t="shared" si="0"/>
        <v/>
      </c>
      <c r="X24" t="str">
        <f t="shared" si="5"/>
        <v/>
      </c>
      <c r="Y24" t="str">
        <f t="shared" si="6"/>
        <v/>
      </c>
      <c r="Z24" s="2" t="str">
        <f t="shared" si="7"/>
        <v/>
      </c>
      <c r="AA24" t="str">
        <f>VLOOKUP($A24,ScionOutput!$A$3:$BL$215,64,FALSE)</f>
        <v xml:space="preserve">823696. VF plays are disallowed. No play due to strategy constraints. </v>
      </c>
    </row>
    <row r="25" spans="1:27" x14ac:dyDescent="0.2">
      <c r="A25">
        <v>823537</v>
      </c>
      <c r="B25" s="3">
        <f>VLOOKUP($A25,ScionOutput!$A$3:$BL$215,3,FALSE)</f>
        <v>46180</v>
      </c>
      <c r="C25">
        <f>VLOOKUP($A25,ScionOutput!$A$3:$BL$215,22,FALSE)</f>
        <v>19</v>
      </c>
      <c r="D25" t="str">
        <f>VLOOKUP($A25,ScionOutput!$A$3:$BL$215,23,FALSE)</f>
        <v>NYY</v>
      </c>
      <c r="E25">
        <f>VLOOKUP($A25,ScionOutput!$A$3:$BL$215,6,FALSE)</f>
        <v>3</v>
      </c>
      <c r="F25" t="str">
        <f>VLOOKUP($A25,ScionOutput!$A$3:$BL$215,7,FALSE)</f>
        <v>BOS</v>
      </c>
      <c r="G25">
        <f>VLOOKUP($A25,ScionOutput!$A$3:$BL$215,26,FALSE)</f>
        <v>-139</v>
      </c>
      <c r="H25">
        <f>VLOOKUP($A25,ScionOutput!$A$3:$BL$215,10,FALSE)</f>
        <v>128</v>
      </c>
      <c r="I25" s="6" t="str">
        <f>VLOOKUP($A25,ScionOutput!$A$3:$BL$215,55,FALSE)</f>
        <v>HomFave</v>
      </c>
      <c r="J25" s="6">
        <f>VLOOKUP($A25,ScionOutput!$A$3:$BL$215,56,FALSE)</f>
        <v>0</v>
      </c>
      <c r="K25" t="str">
        <f>VLOOKUP($A25,ScionOutput!$A$3:$BL$215,58,FALSE)</f>
        <v>No Play</v>
      </c>
      <c r="L25">
        <f>VLOOKUP($A25,ScionOutput!$A$3:$BL$215,59,FALSE)</f>
        <v>0</v>
      </c>
      <c r="M25">
        <f>VLOOKUP($A25,ScionOutput!$A$3:$BL$215,62,FALSE)</f>
        <v>0</v>
      </c>
      <c r="N25">
        <f>VLOOKUP($A25,ScionOutput!$A$3:$BL$215,63,FALSE)</f>
        <v>0</v>
      </c>
      <c r="O25" t="b">
        <f t="shared" si="1"/>
        <v>0</v>
      </c>
      <c r="P25">
        <f>VLOOKUP($A25,Outcomes!$B$3:$I$209,8,FALSE)</f>
        <v>7</v>
      </c>
      <c r="Q25">
        <f t="shared" si="2"/>
        <v>1</v>
      </c>
      <c r="R25">
        <f>VLOOKUP($A25,Outcomes!$B$3:$I$209,5,FALSE)</f>
        <v>6</v>
      </c>
      <c r="S25">
        <f>VLOOKUP($A25,Outcomes!$B$3:$I$209,6,FALSE)</f>
        <v>1</v>
      </c>
      <c r="T25">
        <f>VLOOKUP($A25,Outcomes!$B$3:$I$209,7,FALSE)</f>
        <v>-5</v>
      </c>
      <c r="U25" t="str">
        <f t="shared" si="3"/>
        <v>HomFave</v>
      </c>
      <c r="V25" s="5" t="str">
        <f t="shared" si="4"/>
        <v/>
      </c>
      <c r="W25" t="str">
        <f t="shared" si="0"/>
        <v/>
      </c>
      <c r="X25" t="str">
        <f t="shared" si="5"/>
        <v/>
      </c>
      <c r="Y25" t="str">
        <f t="shared" si="6"/>
        <v/>
      </c>
      <c r="Z25" s="2" t="str">
        <f t="shared" si="7"/>
        <v/>
      </c>
      <c r="AA25" t="str">
        <f>VLOOKUP($A25,ScionOutput!$A$3:$BL$215,64,FALSE)</f>
        <v xml:space="preserve">823537. LineStatEns probability points gap does not exceed threshold (no edge found)! StatOnlyEns probability points gap does not exceed threshold (no edge found)! No play due to strategy constraints. </v>
      </c>
    </row>
    <row r="26" spans="1:27" x14ac:dyDescent="0.2">
      <c r="A26">
        <v>823453</v>
      </c>
      <c r="B26" s="3">
        <f>VLOOKUP($A26,ScionOutput!$A$3:$BL$215,3,FALSE)</f>
        <v>46180</v>
      </c>
      <c r="C26">
        <f>VLOOKUP($A26,ScionOutput!$A$3:$BL$215,22,FALSE)</f>
        <v>21</v>
      </c>
      <c r="D26" t="str">
        <f>VLOOKUP($A26,ScionOutput!$A$3:$BL$215,23,FALSE)</f>
        <v>PHI</v>
      </c>
      <c r="E26">
        <f>VLOOKUP($A26,ScionOutput!$A$3:$BL$215,6,FALSE)</f>
        <v>9</v>
      </c>
      <c r="F26" t="str">
        <f>VLOOKUP($A26,ScionOutput!$A$3:$BL$215,7,FALSE)</f>
        <v>CWS</v>
      </c>
      <c r="G26">
        <f>VLOOKUP($A26,ScionOutput!$A$3:$BL$215,26,FALSE)</f>
        <v>-163</v>
      </c>
      <c r="H26">
        <f>VLOOKUP($A26,ScionOutput!$A$3:$BL$215,10,FALSE)</f>
        <v>149</v>
      </c>
      <c r="I26" s="6" t="str">
        <f>VLOOKUP($A26,ScionOutput!$A$3:$BL$215,55,FALSE)</f>
        <v>HomFave</v>
      </c>
      <c r="J26" s="6">
        <f>VLOOKUP($A26,ScionOutput!$A$3:$BL$215,56,FALSE)</f>
        <v>0</v>
      </c>
      <c r="K26" t="str">
        <f>VLOOKUP($A26,ScionOutput!$A$3:$BL$215,58,FALSE)</f>
        <v>No Play</v>
      </c>
      <c r="L26">
        <f>VLOOKUP($A26,ScionOutput!$A$3:$BL$215,59,FALSE)</f>
        <v>0</v>
      </c>
      <c r="M26">
        <f>VLOOKUP($A26,ScionOutput!$A$3:$BL$215,62,FALSE)</f>
        <v>0</v>
      </c>
      <c r="N26">
        <f>VLOOKUP($A26,ScionOutput!$A$3:$BL$215,63,FALSE)</f>
        <v>0</v>
      </c>
      <c r="O26" t="b">
        <f t="shared" si="1"/>
        <v>0</v>
      </c>
      <c r="P26">
        <f>VLOOKUP($A26,Outcomes!$B$3:$I$209,8,FALSE)</f>
        <v>14</v>
      </c>
      <c r="Q26">
        <f t="shared" si="2"/>
        <v>1</v>
      </c>
      <c r="R26">
        <f>VLOOKUP($A26,Outcomes!$B$3:$I$209,5,FALSE)</f>
        <v>9</v>
      </c>
      <c r="S26">
        <f>VLOOKUP($A26,Outcomes!$B$3:$I$209,6,FALSE)</f>
        <v>5</v>
      </c>
      <c r="T26">
        <f>VLOOKUP($A26,Outcomes!$B$3:$I$209,7,FALSE)</f>
        <v>-4</v>
      </c>
      <c r="U26" t="str">
        <f t="shared" si="3"/>
        <v>HomFave</v>
      </c>
      <c r="V26" s="5" t="str">
        <f t="shared" si="4"/>
        <v/>
      </c>
      <c r="W26" t="str">
        <f t="shared" si="0"/>
        <v/>
      </c>
      <c r="X26" t="str">
        <f t="shared" si="5"/>
        <v/>
      </c>
      <c r="Y26" t="str">
        <f t="shared" si="6"/>
        <v/>
      </c>
      <c r="Z26" s="2" t="str">
        <f t="shared" si="7"/>
        <v/>
      </c>
      <c r="AA26" t="str">
        <f>VLOOKUP($A26,ScionOutput!$A$3:$BL$215,64,FALSE)</f>
        <v xml:space="preserve">823453. LineStatEns is NoPlay as bookie-line outside range. StatOnlyEns is NoPlay as bookie-line outside range. No play due to strategy constraints. </v>
      </c>
    </row>
    <row r="27" spans="1:27" x14ac:dyDescent="0.2">
      <c r="A27">
        <v>823291</v>
      </c>
      <c r="B27" s="3">
        <f>VLOOKUP($A27,ScionOutput!$A$3:$BL$215,3,FALSE)</f>
        <v>46180</v>
      </c>
      <c r="C27">
        <f>VLOOKUP($A27,ScionOutput!$A$3:$BL$215,22,FALSE)</f>
        <v>23</v>
      </c>
      <c r="D27" t="str">
        <f>VLOOKUP($A27,ScionOutput!$A$3:$BL$215,23,FALSE)</f>
        <v>SD</v>
      </c>
      <c r="E27">
        <f>VLOOKUP($A27,ScionOutput!$A$3:$BL$215,6,FALSE)</f>
        <v>18</v>
      </c>
      <c r="F27" t="str">
        <f>VLOOKUP($A27,ScionOutput!$A$3:$BL$215,7,FALSE)</f>
        <v>NYM</v>
      </c>
      <c r="G27">
        <f>VLOOKUP($A27,ScionOutput!$A$3:$BL$215,26,FALSE)</f>
        <v>-103</v>
      </c>
      <c r="H27">
        <f>VLOOKUP($A27,ScionOutput!$A$3:$BL$215,10,FALSE)</f>
        <v>-105</v>
      </c>
      <c r="I27" s="6" t="str">
        <f>VLOOKUP($A27,ScionOutput!$A$3:$BL$215,55,FALSE)</f>
        <v>HomDog</v>
      </c>
      <c r="J27" s="6">
        <f>VLOOKUP($A27,ScionOutput!$A$3:$BL$215,56,FALSE)</f>
        <v>1</v>
      </c>
      <c r="K27" t="str">
        <f>VLOOKUP($A27,ScionOutput!$A$3:$BL$215,58,FALSE)</f>
        <v>HomDog</v>
      </c>
      <c r="L27">
        <f>VLOOKUP($A27,ScionOutput!$A$3:$BL$215,59,FALSE)</f>
        <v>1.2359999999999999E-2</v>
      </c>
      <c r="M27">
        <f>VLOOKUP($A27,ScionOutput!$A$3:$BL$215,62,FALSE)</f>
        <v>5</v>
      </c>
      <c r="N27">
        <f>VLOOKUP($A27,ScionOutput!$A$3:$BL$215,63,FALSE)</f>
        <v>0.6</v>
      </c>
      <c r="O27" t="b">
        <f t="shared" si="1"/>
        <v>1</v>
      </c>
      <c r="P27">
        <f>VLOOKUP($A27,Outcomes!$B$3:$I$209,8,FALSE)</f>
        <v>10</v>
      </c>
      <c r="Q27">
        <f t="shared" si="2"/>
        <v>-1</v>
      </c>
      <c r="R27">
        <f>VLOOKUP($A27,Outcomes!$B$3:$I$209,5,FALSE)</f>
        <v>3</v>
      </c>
      <c r="S27">
        <f>VLOOKUP($A27,Outcomes!$B$3:$I$209,6,FALSE)</f>
        <v>7</v>
      </c>
      <c r="T27">
        <f>VLOOKUP($A27,Outcomes!$B$3:$I$209,7,FALSE)</f>
        <v>4</v>
      </c>
      <c r="U27" t="str">
        <f t="shared" si="3"/>
        <v>VisFave</v>
      </c>
      <c r="V27" s="5">
        <f t="shared" si="4"/>
        <v>0</v>
      </c>
      <c r="W27">
        <f t="shared" si="0"/>
        <v>103</v>
      </c>
      <c r="X27">
        <f t="shared" si="5"/>
        <v>0</v>
      </c>
      <c r="Y27">
        <f t="shared" si="6"/>
        <v>-103</v>
      </c>
      <c r="Z27" s="2">
        <f t="shared" si="7"/>
        <v>-1</v>
      </c>
      <c r="AA27" t="str">
        <f>VLOOKUP($A27,ScionOutput!$A$3:$BL$215,64,FALSE)</f>
        <v xml:space="preserve">823291. Play determined by LineStatEns and StatOnlyEns agreement. </v>
      </c>
    </row>
    <row r="28" spans="1:27" x14ac:dyDescent="0.2">
      <c r="A28">
        <v>823047</v>
      </c>
      <c r="B28" s="3">
        <f>VLOOKUP($A28,ScionOutput!$A$3:$BL$215,3,FALSE)</f>
        <v>46180</v>
      </c>
      <c r="C28">
        <f>VLOOKUP($A28,ScionOutput!$A$3:$BL$215,22,FALSE)</f>
        <v>26</v>
      </c>
      <c r="D28" t="str">
        <f>VLOOKUP($A28,ScionOutput!$A$3:$BL$215,23,FALSE)</f>
        <v>STL</v>
      </c>
      <c r="E28">
        <f>VLOOKUP($A28,ScionOutput!$A$3:$BL$215,6,FALSE)</f>
        <v>6</v>
      </c>
      <c r="F28" t="str">
        <f>VLOOKUP($A28,ScionOutput!$A$3:$BL$215,7,FALSE)</f>
        <v>CIN</v>
      </c>
      <c r="G28">
        <f>VLOOKUP($A28,ScionOutput!$A$3:$BL$215,26,FALSE)</f>
        <v>-141</v>
      </c>
      <c r="H28">
        <f>VLOOKUP($A28,ScionOutput!$A$3:$BL$215,10,FALSE)</f>
        <v>130</v>
      </c>
      <c r="I28" s="6" t="str">
        <f>VLOOKUP($A28,ScionOutput!$A$3:$BL$215,55,FALSE)</f>
        <v>HomFave</v>
      </c>
      <c r="J28" s="6">
        <f>VLOOKUP($A28,ScionOutput!$A$3:$BL$215,56,FALSE)</f>
        <v>0</v>
      </c>
      <c r="K28" t="str">
        <f>VLOOKUP($A28,ScionOutput!$A$3:$BL$215,58,FALSE)</f>
        <v>No Play</v>
      </c>
      <c r="L28">
        <f>VLOOKUP($A28,ScionOutput!$A$3:$BL$215,59,FALSE)</f>
        <v>0</v>
      </c>
      <c r="M28">
        <f>VLOOKUP($A28,ScionOutput!$A$3:$BL$215,62,FALSE)</f>
        <v>0</v>
      </c>
      <c r="N28">
        <f>VLOOKUP($A28,ScionOutput!$A$3:$BL$215,63,FALSE)</f>
        <v>0</v>
      </c>
      <c r="O28" t="b">
        <f t="shared" si="1"/>
        <v>0</v>
      </c>
      <c r="P28">
        <f>VLOOKUP($A28,Outcomes!$B$3:$I$209,8,FALSE)</f>
        <v>8</v>
      </c>
      <c r="Q28">
        <f t="shared" si="2"/>
        <v>1</v>
      </c>
      <c r="R28">
        <f>VLOOKUP($A28,Outcomes!$B$3:$I$209,5,FALSE)</f>
        <v>5</v>
      </c>
      <c r="S28">
        <f>VLOOKUP($A28,Outcomes!$B$3:$I$209,6,FALSE)</f>
        <v>3</v>
      </c>
      <c r="T28">
        <f>VLOOKUP($A28,Outcomes!$B$3:$I$209,7,FALSE)</f>
        <v>-2</v>
      </c>
      <c r="U28" t="str">
        <f t="shared" si="3"/>
        <v>HomFave</v>
      </c>
      <c r="V28" s="5" t="str">
        <f t="shared" si="4"/>
        <v/>
      </c>
      <c r="W28" t="str">
        <f t="shared" si="0"/>
        <v/>
      </c>
      <c r="X28" t="str">
        <f t="shared" si="5"/>
        <v/>
      </c>
      <c r="Y28" t="str">
        <f t="shared" si="6"/>
        <v/>
      </c>
      <c r="Z28" s="2" t="str">
        <f t="shared" si="7"/>
        <v/>
      </c>
      <c r="AA28" t="str">
        <f>VLOOKUP($A28,ScionOutput!$A$3:$BL$215,64,FALSE)</f>
        <v xml:space="preserve">823047. LineStatEns probability points gap does not exceed threshold (no edge found)! StatOnlyEns probability points gap does not exceed threshold (no edge found)! No play due to strategy constraints. </v>
      </c>
    </row>
    <row r="29" spans="1:27" x14ac:dyDescent="0.2">
      <c r="A29">
        <v>822890</v>
      </c>
      <c r="B29" s="3">
        <f>VLOOKUP($A29,ScionOutput!$A$3:$BL$215,3,FALSE)</f>
        <v>46180</v>
      </c>
      <c r="C29">
        <f>VLOOKUP($A29,ScionOutput!$A$3:$BL$215,22,FALSE)</f>
        <v>28</v>
      </c>
      <c r="D29" t="str">
        <f>VLOOKUP($A29,ScionOutput!$A$3:$BL$215,23,FALSE)</f>
        <v>TEX</v>
      </c>
      <c r="E29">
        <f>VLOOKUP($A29,ScionOutput!$A$3:$BL$215,6,FALSE)</f>
        <v>7</v>
      </c>
      <c r="F29" t="str">
        <f>VLOOKUP($A29,ScionOutput!$A$3:$BL$215,7,FALSE)</f>
        <v>CLE</v>
      </c>
      <c r="G29">
        <f>VLOOKUP($A29,ScionOutput!$A$3:$BL$215,26,FALSE)</f>
        <v>-137</v>
      </c>
      <c r="H29">
        <f>VLOOKUP($A29,ScionOutput!$A$3:$BL$215,10,FALSE)</f>
        <v>126</v>
      </c>
      <c r="I29" s="6" t="str">
        <f>VLOOKUP($A29,ScionOutput!$A$3:$BL$215,55,FALSE)</f>
        <v>HomFave</v>
      </c>
      <c r="J29" s="6">
        <f>VLOOKUP($A29,ScionOutput!$A$3:$BL$215,56,FALSE)</f>
        <v>0</v>
      </c>
      <c r="K29" t="str">
        <f>VLOOKUP($A29,ScionOutput!$A$3:$BL$215,58,FALSE)</f>
        <v>No Play</v>
      </c>
      <c r="L29">
        <f>VLOOKUP($A29,ScionOutput!$A$3:$BL$215,59,FALSE)</f>
        <v>0</v>
      </c>
      <c r="M29">
        <f>VLOOKUP($A29,ScionOutput!$A$3:$BL$215,62,FALSE)</f>
        <v>0</v>
      </c>
      <c r="N29">
        <f>VLOOKUP($A29,ScionOutput!$A$3:$BL$215,63,FALSE)</f>
        <v>0</v>
      </c>
      <c r="O29" t="b">
        <f t="shared" si="1"/>
        <v>0</v>
      </c>
      <c r="P29">
        <f>VLOOKUP($A29,Outcomes!$B$3:$I$209,8,FALSE)</f>
        <v>10</v>
      </c>
      <c r="Q29">
        <f t="shared" si="2"/>
        <v>1</v>
      </c>
      <c r="R29">
        <f>VLOOKUP($A29,Outcomes!$B$3:$I$209,5,FALSE)</f>
        <v>10</v>
      </c>
      <c r="S29">
        <f>VLOOKUP($A29,Outcomes!$B$3:$I$209,6,FALSE)</f>
        <v>0</v>
      </c>
      <c r="T29">
        <f>VLOOKUP($A29,Outcomes!$B$3:$I$209,7,FALSE)</f>
        <v>-10</v>
      </c>
      <c r="U29" t="str">
        <f t="shared" si="3"/>
        <v>HomFave</v>
      </c>
      <c r="V29" s="5" t="str">
        <f t="shared" si="4"/>
        <v/>
      </c>
      <c r="W29" t="str">
        <f t="shared" si="0"/>
        <v/>
      </c>
      <c r="X29" t="str">
        <f t="shared" si="5"/>
        <v/>
      </c>
      <c r="Y29" t="str">
        <f t="shared" si="6"/>
        <v/>
      </c>
      <c r="Z29" s="2" t="str">
        <f t="shared" si="7"/>
        <v/>
      </c>
      <c r="AA29" t="str">
        <f>VLOOKUP($A29,ScionOutput!$A$3:$BL$215,64,FALSE)</f>
        <v xml:space="preserve">822890. LineStatEns probability points gap does not exceed threshold (no edge found)! StatOnlyEns probability points gap does not exceed threshold (no edge found)! No play due to strategy constraints. </v>
      </c>
    </row>
    <row r="30" spans="1:27" x14ac:dyDescent="0.2">
      <c r="A30">
        <v>822807</v>
      </c>
      <c r="B30" s="3">
        <f>VLOOKUP($A30,ScionOutput!$A$3:$BL$215,3,FALSE)</f>
        <v>46180</v>
      </c>
      <c r="C30">
        <f>VLOOKUP($A30,ScionOutput!$A$3:$BL$215,22,FALSE)</f>
        <v>29</v>
      </c>
      <c r="D30" t="str">
        <f>VLOOKUP($A30,ScionOutput!$A$3:$BL$215,23,FALSE)</f>
        <v>TOR</v>
      </c>
      <c r="E30">
        <f>VLOOKUP($A30,ScionOutput!$A$3:$BL$215,6,FALSE)</f>
        <v>2</v>
      </c>
      <c r="F30" t="str">
        <f>VLOOKUP($A30,ScionOutput!$A$3:$BL$215,7,FALSE)</f>
        <v>BAL</v>
      </c>
      <c r="G30">
        <f>VLOOKUP($A30,ScionOutput!$A$3:$BL$215,26,FALSE)</f>
        <v>-130</v>
      </c>
      <c r="H30">
        <f>VLOOKUP($A30,ScionOutput!$A$3:$BL$215,10,FALSE)</f>
        <v>120</v>
      </c>
      <c r="I30" s="6" t="str">
        <f>VLOOKUP($A30,ScionOutput!$A$3:$BL$215,55,FALSE)</f>
        <v>HomFave</v>
      </c>
      <c r="J30" s="6">
        <f>VLOOKUP($A30,ScionOutput!$A$3:$BL$215,56,FALSE)</f>
        <v>0</v>
      </c>
      <c r="K30" t="str">
        <f>VLOOKUP($A30,ScionOutput!$A$3:$BL$215,58,FALSE)</f>
        <v>No Play</v>
      </c>
      <c r="L30">
        <f>VLOOKUP($A30,ScionOutput!$A$3:$BL$215,59,FALSE)</f>
        <v>0</v>
      </c>
      <c r="M30">
        <f>VLOOKUP($A30,ScionOutput!$A$3:$BL$215,62,FALSE)</f>
        <v>0</v>
      </c>
      <c r="N30">
        <f>VLOOKUP($A30,ScionOutput!$A$3:$BL$215,63,FALSE)</f>
        <v>0</v>
      </c>
      <c r="O30" t="b">
        <f t="shared" si="1"/>
        <v>0</v>
      </c>
      <c r="P30">
        <f>VLOOKUP($A30,Outcomes!$B$3:$I$209,8,FALSE)</f>
        <v>10</v>
      </c>
      <c r="Q30">
        <f t="shared" si="2"/>
        <v>1</v>
      </c>
      <c r="R30">
        <f>VLOOKUP($A30,Outcomes!$B$3:$I$209,5,FALSE)</f>
        <v>6</v>
      </c>
      <c r="S30">
        <f>VLOOKUP($A30,Outcomes!$B$3:$I$209,6,FALSE)</f>
        <v>4</v>
      </c>
      <c r="T30">
        <f>VLOOKUP($A30,Outcomes!$B$3:$I$209,7,FALSE)</f>
        <v>-2</v>
      </c>
      <c r="U30" t="str">
        <f t="shared" si="3"/>
        <v>HomFave</v>
      </c>
      <c r="V30" s="5" t="str">
        <f t="shared" si="4"/>
        <v/>
      </c>
      <c r="W30" t="str">
        <f t="shared" si="0"/>
        <v/>
      </c>
      <c r="X30" t="str">
        <f t="shared" si="5"/>
        <v/>
      </c>
      <c r="Y30" t="str">
        <f t="shared" si="6"/>
        <v/>
      </c>
      <c r="Z30" s="2" t="str">
        <f t="shared" si="7"/>
        <v/>
      </c>
      <c r="AA30" t="str">
        <f>VLOOKUP($A30,ScionOutput!$A$3:$BL$215,64,FALSE)</f>
        <v xml:space="preserve">822807. LineStatEns probability points gap does not exceed threshold (no edge found)! StatOnlyEns probability points gap does not exceed threshold (no edge found)! No play due to strategy constraints. </v>
      </c>
    </row>
    <row r="31" spans="1:27" x14ac:dyDescent="0.2">
      <c r="A31">
        <v>824829</v>
      </c>
      <c r="B31" s="3">
        <f>VLOOKUP($A31,ScionOutput!$A$3:$BL$215,3,FALSE)</f>
        <v>46181</v>
      </c>
      <c r="C31">
        <f>VLOOKUP($A31,ScionOutput!$A$3:$BL$215,22,FALSE)</f>
        <v>2</v>
      </c>
      <c r="D31" t="str">
        <f>VLOOKUP($A31,ScionOutput!$A$3:$BL$215,23,FALSE)</f>
        <v>BAL</v>
      </c>
      <c r="E31">
        <f>VLOOKUP($A31,ScionOutput!$A$3:$BL$215,6,FALSE)</f>
        <v>24</v>
      </c>
      <c r="F31" t="str">
        <f>VLOOKUP($A31,ScionOutput!$A$3:$BL$215,7,FALSE)</f>
        <v>SEA</v>
      </c>
      <c r="G31">
        <f>VLOOKUP($A31,ScionOutput!$A$3:$BL$215,26,FALSE)</f>
        <v>111</v>
      </c>
      <c r="H31">
        <f>VLOOKUP($A31,ScionOutput!$A$3:$BL$215,10,FALSE)</f>
        <v>-120</v>
      </c>
      <c r="I31" s="6" t="str">
        <f>VLOOKUP($A31,ScionOutput!$A$3:$BL$215,55,FALSE)</f>
        <v>VisFave</v>
      </c>
      <c r="J31" s="6">
        <f>VLOOKUP($A31,ScionOutput!$A$3:$BL$215,56,FALSE)</f>
        <v>0</v>
      </c>
      <c r="K31" t="str">
        <f>VLOOKUP($A31,ScionOutput!$A$3:$BL$215,58,FALSE)</f>
        <v>No Play</v>
      </c>
      <c r="L31">
        <f>VLOOKUP($A31,ScionOutput!$A$3:$BL$215,59,FALSE)</f>
        <v>0</v>
      </c>
      <c r="M31">
        <f>VLOOKUP($A31,ScionOutput!$A$3:$BL$215,62,FALSE)</f>
        <v>0</v>
      </c>
      <c r="N31">
        <f>VLOOKUP($A31,ScionOutput!$A$3:$BL$215,63,FALSE)</f>
        <v>0</v>
      </c>
      <c r="O31" t="b">
        <f t="shared" si="1"/>
        <v>0</v>
      </c>
      <c r="P31">
        <f>VLOOKUP($A31,Outcomes!$B$3:$I$209,8,FALSE)</f>
        <v>9</v>
      </c>
      <c r="Q31">
        <f t="shared" si="2"/>
        <v>-1</v>
      </c>
      <c r="R31">
        <f>VLOOKUP($A31,Outcomes!$B$3:$I$209,5,FALSE)</f>
        <v>3</v>
      </c>
      <c r="S31">
        <f>VLOOKUP($A31,Outcomes!$B$3:$I$209,6,FALSE)</f>
        <v>6</v>
      </c>
      <c r="T31">
        <f>VLOOKUP($A31,Outcomes!$B$3:$I$209,7,FALSE)</f>
        <v>3</v>
      </c>
      <c r="U31" t="str">
        <f t="shared" si="3"/>
        <v>VisFave</v>
      </c>
      <c r="V31" s="5" t="str">
        <f t="shared" si="4"/>
        <v/>
      </c>
      <c r="W31" t="str">
        <f t="shared" si="0"/>
        <v/>
      </c>
      <c r="X31" t="str">
        <f t="shared" si="5"/>
        <v/>
      </c>
      <c r="Y31" t="str">
        <f t="shared" si="6"/>
        <v/>
      </c>
      <c r="Z31" s="2" t="str">
        <f t="shared" si="7"/>
        <v/>
      </c>
      <c r="AA31" t="str">
        <f>VLOOKUP($A31,ScionOutput!$A$3:$BL$215,64,FALSE)</f>
        <v xml:space="preserve">824829. VF plays are disallowed. No play due to strategy constraints. </v>
      </c>
    </row>
    <row r="32" spans="1:27" x14ac:dyDescent="0.2">
      <c r="A32">
        <v>824025</v>
      </c>
      <c r="B32" s="3">
        <f>VLOOKUP($A32,ScionOutput!$A$3:$BL$215,3,FALSE)</f>
        <v>46181</v>
      </c>
      <c r="C32">
        <f>VLOOKUP($A32,ScionOutput!$A$3:$BL$215,22,FALSE)</f>
        <v>4</v>
      </c>
      <c r="D32" t="str">
        <f>VLOOKUP($A32,ScionOutput!$A$3:$BL$215,23,FALSE)</f>
        <v>LAA</v>
      </c>
      <c r="E32">
        <f>VLOOKUP($A32,ScionOutput!$A$3:$BL$215,6,FALSE)</f>
        <v>12</v>
      </c>
      <c r="F32" t="str">
        <f>VLOOKUP($A32,ScionOutput!$A$3:$BL$215,7,FALSE)</f>
        <v>HOU</v>
      </c>
      <c r="G32">
        <f>VLOOKUP($A32,ScionOutput!$A$3:$BL$215,26,FALSE)</f>
        <v>112</v>
      </c>
      <c r="H32">
        <f>VLOOKUP($A32,ScionOutput!$A$3:$BL$215,10,FALSE)</f>
        <v>-121</v>
      </c>
      <c r="I32" s="6" t="str">
        <f>VLOOKUP($A32,ScionOutput!$A$3:$BL$215,55,FALSE)</f>
        <v>VisFave</v>
      </c>
      <c r="J32" s="6">
        <f>VLOOKUP($A32,ScionOutput!$A$3:$BL$215,56,FALSE)</f>
        <v>0</v>
      </c>
      <c r="K32" t="str">
        <f>VLOOKUP($A32,ScionOutput!$A$3:$BL$215,58,FALSE)</f>
        <v>No Play</v>
      </c>
      <c r="L32">
        <f>VLOOKUP($A32,ScionOutput!$A$3:$BL$215,59,FALSE)</f>
        <v>0</v>
      </c>
      <c r="M32">
        <f>VLOOKUP($A32,ScionOutput!$A$3:$BL$215,62,FALSE)</f>
        <v>0</v>
      </c>
      <c r="N32">
        <f>VLOOKUP($A32,ScionOutput!$A$3:$BL$215,63,FALSE)</f>
        <v>0</v>
      </c>
      <c r="O32" t="b">
        <f t="shared" si="1"/>
        <v>0</v>
      </c>
      <c r="P32">
        <f>VLOOKUP($A32,Outcomes!$B$3:$I$209,8,FALSE)</f>
        <v>9</v>
      </c>
      <c r="Q32">
        <f t="shared" si="2"/>
        <v>-1</v>
      </c>
      <c r="R32">
        <f>VLOOKUP($A32,Outcomes!$B$3:$I$209,5,FALSE)</f>
        <v>4</v>
      </c>
      <c r="S32">
        <f>VLOOKUP($A32,Outcomes!$B$3:$I$209,6,FALSE)</f>
        <v>5</v>
      </c>
      <c r="T32">
        <f>VLOOKUP($A32,Outcomes!$B$3:$I$209,7,FALSE)</f>
        <v>1</v>
      </c>
      <c r="U32" t="str">
        <f t="shared" si="3"/>
        <v>VisFave</v>
      </c>
      <c r="V32" s="5" t="str">
        <f t="shared" si="4"/>
        <v/>
      </c>
      <c r="W32" t="str">
        <f t="shared" si="0"/>
        <v/>
      </c>
      <c r="X32" t="str">
        <f t="shared" si="5"/>
        <v/>
      </c>
      <c r="Y32" t="str">
        <f t="shared" si="6"/>
        <v/>
      </c>
      <c r="Z32" s="2" t="str">
        <f t="shared" si="7"/>
        <v/>
      </c>
      <c r="AA32" t="str">
        <f>VLOOKUP($A32,ScionOutput!$A$3:$BL$215,64,FALSE)</f>
        <v xml:space="preserve">824025. VF plays are disallowed. No play due to strategy constraints. </v>
      </c>
    </row>
    <row r="33" spans="1:27" x14ac:dyDescent="0.2">
      <c r="A33">
        <v>824427</v>
      </c>
      <c r="B33" s="3">
        <f>VLOOKUP($A33,ScionOutput!$A$3:$BL$215,3,FALSE)</f>
        <v>46181</v>
      </c>
      <c r="C33">
        <f>VLOOKUP($A33,ScionOutput!$A$3:$BL$215,22,FALSE)</f>
        <v>7</v>
      </c>
      <c r="D33" t="str">
        <f>VLOOKUP($A33,ScionOutput!$A$3:$BL$215,23,FALSE)</f>
        <v>CLE</v>
      </c>
      <c r="E33">
        <f>VLOOKUP($A33,ScionOutput!$A$3:$BL$215,6,FALSE)</f>
        <v>19</v>
      </c>
      <c r="F33" t="str">
        <f>VLOOKUP($A33,ScionOutput!$A$3:$BL$215,7,FALSE)</f>
        <v>NYY</v>
      </c>
      <c r="G33">
        <f>VLOOKUP($A33,ScionOutput!$A$3:$BL$215,26,FALSE)</f>
        <v>-122</v>
      </c>
      <c r="H33">
        <f>VLOOKUP($A33,ScionOutput!$A$3:$BL$215,10,FALSE)</f>
        <v>113</v>
      </c>
      <c r="I33" s="6" t="str">
        <f>VLOOKUP($A33,ScionOutput!$A$3:$BL$215,55,FALSE)</f>
        <v>HomFave</v>
      </c>
      <c r="J33" s="6">
        <f>VLOOKUP($A33,ScionOutput!$A$3:$BL$215,56,FALSE)</f>
        <v>0</v>
      </c>
      <c r="K33" t="str">
        <f>VLOOKUP($A33,ScionOutput!$A$3:$BL$215,58,FALSE)</f>
        <v>No Play</v>
      </c>
      <c r="L33">
        <f>VLOOKUP($A33,ScionOutput!$A$3:$BL$215,59,FALSE)</f>
        <v>0</v>
      </c>
      <c r="M33">
        <f>VLOOKUP($A33,ScionOutput!$A$3:$BL$215,62,FALSE)</f>
        <v>0</v>
      </c>
      <c r="N33">
        <f>VLOOKUP($A33,ScionOutput!$A$3:$BL$215,63,FALSE)</f>
        <v>0</v>
      </c>
      <c r="O33" t="b">
        <f t="shared" si="1"/>
        <v>0</v>
      </c>
      <c r="P33">
        <f>VLOOKUP($A33,Outcomes!$B$3:$I$209,8,FALSE)</f>
        <v>12</v>
      </c>
      <c r="Q33">
        <f t="shared" si="2"/>
        <v>-1</v>
      </c>
      <c r="R33">
        <f>VLOOKUP($A33,Outcomes!$B$3:$I$209,5,FALSE)</f>
        <v>5</v>
      </c>
      <c r="S33">
        <f>VLOOKUP($A33,Outcomes!$B$3:$I$209,6,FALSE)</f>
        <v>7</v>
      </c>
      <c r="T33">
        <f>VLOOKUP($A33,Outcomes!$B$3:$I$209,7,FALSE)</f>
        <v>2</v>
      </c>
      <c r="U33" t="str">
        <f t="shared" si="3"/>
        <v>VisDog</v>
      </c>
      <c r="V33" s="5" t="str">
        <f t="shared" si="4"/>
        <v/>
      </c>
      <c r="W33" t="str">
        <f t="shared" si="0"/>
        <v/>
      </c>
      <c r="X33" t="str">
        <f t="shared" si="5"/>
        <v/>
      </c>
      <c r="Y33" t="str">
        <f t="shared" si="6"/>
        <v/>
      </c>
      <c r="Z33" s="2" t="str">
        <f t="shared" si="7"/>
        <v/>
      </c>
      <c r="AA33" t="str">
        <f>VLOOKUP($A33,ScionOutput!$A$3:$BL$215,64,FALSE)</f>
        <v xml:space="preserve">824427. LineStatEns probability points gap does not exceed threshold (no edge found)! StatOnlyEns probability points gap does not exceed threshold (no edge found)! No play due to strategy constraints. </v>
      </c>
    </row>
    <row r="34" spans="1:27" x14ac:dyDescent="0.2">
      <c r="A34">
        <v>824998</v>
      </c>
      <c r="B34" s="3">
        <f>VLOOKUP($A34,ScionOutput!$A$3:$BL$215,3,FALSE)</f>
        <v>46181</v>
      </c>
      <c r="C34">
        <f>VLOOKUP($A34,ScionOutput!$A$3:$BL$215,22,FALSE)</f>
        <v>20</v>
      </c>
      <c r="D34" t="str">
        <f>VLOOKUP($A34,ScionOutput!$A$3:$BL$215,23,FALSE)</f>
        <v>OAK</v>
      </c>
      <c r="E34">
        <f>VLOOKUP($A34,ScionOutput!$A$3:$BL$215,6,FALSE)</f>
        <v>17</v>
      </c>
      <c r="F34" t="str">
        <f>VLOOKUP($A34,ScionOutput!$A$3:$BL$215,7,FALSE)</f>
        <v>MLW</v>
      </c>
      <c r="G34">
        <f>VLOOKUP($A34,ScionOutput!$A$3:$BL$215,26,FALSE)</f>
        <v>130</v>
      </c>
      <c r="H34">
        <f>VLOOKUP($A34,ScionOutput!$A$3:$BL$215,10,FALSE)</f>
        <v>-142</v>
      </c>
      <c r="I34" s="6" t="str">
        <f>VLOOKUP($A34,ScionOutput!$A$3:$BL$215,55,FALSE)</f>
        <v>VisFave</v>
      </c>
      <c r="J34" s="6">
        <f>VLOOKUP($A34,ScionOutput!$A$3:$BL$215,56,FALSE)</f>
        <v>0</v>
      </c>
      <c r="K34" t="str">
        <f>VLOOKUP($A34,ScionOutput!$A$3:$BL$215,58,FALSE)</f>
        <v>No Play</v>
      </c>
      <c r="L34">
        <f>VLOOKUP($A34,ScionOutput!$A$3:$BL$215,59,FALSE)</f>
        <v>0</v>
      </c>
      <c r="M34">
        <f>VLOOKUP($A34,ScionOutput!$A$3:$BL$215,62,FALSE)</f>
        <v>0</v>
      </c>
      <c r="N34">
        <f>VLOOKUP($A34,ScionOutput!$A$3:$BL$215,63,FALSE)</f>
        <v>0</v>
      </c>
      <c r="O34" t="b">
        <f t="shared" si="1"/>
        <v>0</v>
      </c>
      <c r="P34">
        <f>VLOOKUP($A34,Outcomes!$B$3:$I$209,8,FALSE)</f>
        <v>29</v>
      </c>
      <c r="Q34">
        <f t="shared" si="2"/>
        <v>-1</v>
      </c>
      <c r="R34">
        <f>VLOOKUP($A34,Outcomes!$B$3:$I$209,5,FALSE)</f>
        <v>14</v>
      </c>
      <c r="S34">
        <f>VLOOKUP($A34,Outcomes!$B$3:$I$209,6,FALSE)</f>
        <v>15</v>
      </c>
      <c r="T34">
        <f>VLOOKUP($A34,Outcomes!$B$3:$I$209,7,FALSE)</f>
        <v>1</v>
      </c>
      <c r="U34" t="str">
        <f t="shared" si="3"/>
        <v>VisFave</v>
      </c>
      <c r="V34" s="5" t="str">
        <f t="shared" si="4"/>
        <v/>
      </c>
      <c r="W34" t="str">
        <f t="shared" si="0"/>
        <v/>
      </c>
      <c r="X34" t="str">
        <f t="shared" si="5"/>
        <v/>
      </c>
      <c r="Y34" t="str">
        <f t="shared" si="6"/>
        <v/>
      </c>
      <c r="Z34" s="2" t="str">
        <f t="shared" si="7"/>
        <v/>
      </c>
      <c r="AA34" t="str">
        <f>VLOOKUP($A34,ScionOutput!$A$3:$BL$215,64,FALSE)</f>
        <v xml:space="preserve">824998. VF plays are disallowed. No play due to strategy constraints. </v>
      </c>
    </row>
    <row r="35" spans="1:27" x14ac:dyDescent="0.2">
      <c r="A35">
        <v>823289</v>
      </c>
      <c r="B35" s="3">
        <f>VLOOKUP($A35,ScionOutput!$A$3:$BL$215,3,FALSE)</f>
        <v>46181</v>
      </c>
      <c r="C35">
        <f>VLOOKUP($A35,ScionOutput!$A$3:$BL$215,22,FALSE)</f>
        <v>23</v>
      </c>
      <c r="D35" t="str">
        <f>VLOOKUP($A35,ScionOutput!$A$3:$BL$215,23,FALSE)</f>
        <v>SD</v>
      </c>
      <c r="E35">
        <f>VLOOKUP($A35,ScionOutput!$A$3:$BL$215,6,FALSE)</f>
        <v>6</v>
      </c>
      <c r="F35" t="str">
        <f>VLOOKUP($A35,ScionOutput!$A$3:$BL$215,7,FALSE)</f>
        <v>CIN</v>
      </c>
      <c r="G35">
        <f>VLOOKUP($A35,ScionOutput!$A$3:$BL$215,26,FALSE)</f>
        <v>-128</v>
      </c>
      <c r="H35">
        <f>VLOOKUP($A35,ScionOutput!$A$3:$BL$215,10,FALSE)</f>
        <v>118</v>
      </c>
      <c r="I35" s="6" t="str">
        <f>VLOOKUP($A35,ScionOutput!$A$3:$BL$215,55,FALSE)</f>
        <v>HomFave</v>
      </c>
      <c r="J35" s="6">
        <f>VLOOKUP($A35,ScionOutput!$A$3:$BL$215,56,FALSE)</f>
        <v>0</v>
      </c>
      <c r="K35" t="str">
        <f>VLOOKUP($A35,ScionOutput!$A$3:$BL$215,58,FALSE)</f>
        <v>No Play</v>
      </c>
      <c r="L35">
        <f>VLOOKUP($A35,ScionOutput!$A$3:$BL$215,59,FALSE)</f>
        <v>0</v>
      </c>
      <c r="M35">
        <f>VLOOKUP($A35,ScionOutput!$A$3:$BL$215,62,FALSE)</f>
        <v>0</v>
      </c>
      <c r="N35">
        <f>VLOOKUP($A35,ScionOutput!$A$3:$BL$215,63,FALSE)</f>
        <v>0</v>
      </c>
      <c r="O35" t="b">
        <f t="shared" si="1"/>
        <v>0</v>
      </c>
      <c r="P35">
        <f>VLOOKUP($A35,Outcomes!$B$3:$I$209,8,FALSE)</f>
        <v>8</v>
      </c>
      <c r="Q35">
        <f t="shared" si="2"/>
        <v>1</v>
      </c>
      <c r="R35">
        <f>VLOOKUP($A35,Outcomes!$B$3:$I$209,5,FALSE)</f>
        <v>6</v>
      </c>
      <c r="S35">
        <f>VLOOKUP($A35,Outcomes!$B$3:$I$209,6,FALSE)</f>
        <v>2</v>
      </c>
      <c r="T35">
        <f>VLOOKUP($A35,Outcomes!$B$3:$I$209,7,FALSE)</f>
        <v>-4</v>
      </c>
      <c r="U35" t="str">
        <f t="shared" si="3"/>
        <v>HomFave</v>
      </c>
      <c r="V35" s="5" t="str">
        <f t="shared" si="4"/>
        <v/>
      </c>
      <c r="W35" t="str">
        <f t="shared" si="0"/>
        <v/>
      </c>
      <c r="X35" t="str">
        <f t="shared" si="5"/>
        <v/>
      </c>
      <c r="Y35" t="str">
        <f t="shared" si="6"/>
        <v/>
      </c>
      <c r="Z35" s="2" t="str">
        <f t="shared" si="7"/>
        <v/>
      </c>
      <c r="AA35" t="str">
        <f>VLOOKUP($A35,ScionOutput!$A$3:$BL$215,64,FALSE)</f>
        <v xml:space="preserve">823289. LineStatEns probability points gap does not exceed threshold (no edge found)! StatOnlyEns probability points gap does not exceed threshold (no edge found)! No play due to strategy constraints. </v>
      </c>
    </row>
    <row r="36" spans="1:27" x14ac:dyDescent="0.2">
      <c r="A36">
        <v>823218</v>
      </c>
      <c r="B36" s="3">
        <f>VLOOKUP($A36,ScionOutput!$A$3:$BL$215,3,FALSE)</f>
        <v>46181</v>
      </c>
      <c r="C36">
        <f>VLOOKUP($A36,ScionOutput!$A$3:$BL$215,22,FALSE)</f>
        <v>25</v>
      </c>
      <c r="D36" t="str">
        <f>VLOOKUP($A36,ScionOutput!$A$3:$BL$215,23,FALSE)</f>
        <v>SF</v>
      </c>
      <c r="E36">
        <f>VLOOKUP($A36,ScionOutput!$A$3:$BL$215,6,FALSE)</f>
        <v>16</v>
      </c>
      <c r="F36" t="str">
        <f>VLOOKUP($A36,ScionOutput!$A$3:$BL$215,7,FALSE)</f>
        <v>WAS</v>
      </c>
      <c r="G36">
        <f>VLOOKUP($A36,ScionOutput!$A$3:$BL$215,26,FALSE)</f>
        <v>-145</v>
      </c>
      <c r="H36">
        <f>VLOOKUP($A36,ScionOutput!$A$3:$BL$215,10,FALSE)</f>
        <v>133</v>
      </c>
      <c r="I36" s="6" t="str">
        <f>VLOOKUP($A36,ScionOutput!$A$3:$BL$215,55,FALSE)</f>
        <v>HomFave</v>
      </c>
      <c r="J36" s="6">
        <f>VLOOKUP($A36,ScionOutput!$A$3:$BL$215,56,FALSE)</f>
        <v>0</v>
      </c>
      <c r="K36" t="str">
        <f>VLOOKUP($A36,ScionOutput!$A$3:$BL$215,58,FALSE)</f>
        <v>No Play</v>
      </c>
      <c r="L36">
        <f>VLOOKUP($A36,ScionOutput!$A$3:$BL$215,59,FALSE)</f>
        <v>0</v>
      </c>
      <c r="M36">
        <f>VLOOKUP($A36,ScionOutput!$A$3:$BL$215,62,FALSE)</f>
        <v>0</v>
      </c>
      <c r="N36">
        <f>VLOOKUP($A36,ScionOutput!$A$3:$BL$215,63,FALSE)</f>
        <v>0</v>
      </c>
      <c r="O36" t="b">
        <f t="shared" si="1"/>
        <v>0</v>
      </c>
      <c r="P36">
        <f>VLOOKUP($A36,Outcomes!$B$3:$I$209,8,FALSE)</f>
        <v>7</v>
      </c>
      <c r="Q36">
        <f t="shared" si="2"/>
        <v>-1</v>
      </c>
      <c r="R36">
        <f>VLOOKUP($A36,Outcomes!$B$3:$I$209,5,FALSE)</f>
        <v>3</v>
      </c>
      <c r="S36">
        <f>VLOOKUP($A36,Outcomes!$B$3:$I$209,6,FALSE)</f>
        <v>4</v>
      </c>
      <c r="T36">
        <f>VLOOKUP($A36,Outcomes!$B$3:$I$209,7,FALSE)</f>
        <v>1</v>
      </c>
      <c r="U36" t="str">
        <f t="shared" si="3"/>
        <v>VisDog</v>
      </c>
      <c r="V36" s="5" t="str">
        <f t="shared" si="4"/>
        <v/>
      </c>
      <c r="W36" t="str">
        <f t="shared" si="0"/>
        <v/>
      </c>
      <c r="X36" t="str">
        <f t="shared" si="5"/>
        <v/>
      </c>
      <c r="Y36" t="str">
        <f t="shared" si="6"/>
        <v/>
      </c>
      <c r="Z36" s="2" t="str">
        <f t="shared" si="7"/>
        <v/>
      </c>
      <c r="AA36" t="str">
        <f>VLOOKUP($A36,ScionOutput!$A$3:$BL$215,64,FALSE)</f>
        <v xml:space="preserve">823218. LineStatEns probability points gap does not exceed threshold (no edge found)! StatOnlyEns probability points gap does not exceed threshold (no edge found)! No play due to strategy constraints. </v>
      </c>
    </row>
    <row r="37" spans="1:27" x14ac:dyDescent="0.2">
      <c r="A37">
        <v>822972</v>
      </c>
      <c r="B37" s="3">
        <f>VLOOKUP($A37,ScionOutput!$A$3:$BL$215,3,FALSE)</f>
        <v>46181</v>
      </c>
      <c r="C37">
        <f>VLOOKUP($A37,ScionOutput!$A$3:$BL$215,22,FALSE)</f>
        <v>27</v>
      </c>
      <c r="D37" t="str">
        <f>VLOOKUP($A37,ScionOutput!$A$3:$BL$215,23,FALSE)</f>
        <v>TB</v>
      </c>
      <c r="E37">
        <f>VLOOKUP($A37,ScionOutput!$A$3:$BL$215,6,FALSE)</f>
        <v>3</v>
      </c>
      <c r="F37" t="str">
        <f>VLOOKUP($A37,ScionOutput!$A$3:$BL$215,7,FALSE)</f>
        <v>BOS</v>
      </c>
      <c r="G37">
        <f>VLOOKUP($A37,ScionOutput!$A$3:$BL$215,26,FALSE)</f>
        <v>-102</v>
      </c>
      <c r="H37">
        <f>VLOOKUP($A37,ScionOutput!$A$3:$BL$215,10,FALSE)</f>
        <v>-106</v>
      </c>
      <c r="I37" s="6" t="str">
        <f>VLOOKUP($A37,ScionOutput!$A$3:$BL$215,55,FALSE)</f>
        <v>VisFave</v>
      </c>
      <c r="J37" s="6">
        <f>VLOOKUP($A37,ScionOutput!$A$3:$BL$215,56,FALSE)</f>
        <v>0</v>
      </c>
      <c r="K37" t="str">
        <f>VLOOKUP($A37,ScionOutput!$A$3:$BL$215,58,FALSE)</f>
        <v>No Play</v>
      </c>
      <c r="L37">
        <f>VLOOKUP($A37,ScionOutput!$A$3:$BL$215,59,FALSE)</f>
        <v>0</v>
      </c>
      <c r="M37">
        <f>VLOOKUP($A37,ScionOutput!$A$3:$BL$215,62,FALSE)</f>
        <v>0</v>
      </c>
      <c r="N37">
        <f>VLOOKUP($A37,ScionOutput!$A$3:$BL$215,63,FALSE)</f>
        <v>0</v>
      </c>
      <c r="O37" t="b">
        <f t="shared" si="1"/>
        <v>0</v>
      </c>
      <c r="P37">
        <f>VLOOKUP($A37,Outcomes!$B$3:$I$209,8,FALSE)</f>
        <v>4</v>
      </c>
      <c r="Q37">
        <f t="shared" si="2"/>
        <v>1</v>
      </c>
      <c r="R37">
        <f>VLOOKUP($A37,Outcomes!$B$3:$I$209,5,FALSE)</f>
        <v>3</v>
      </c>
      <c r="S37">
        <f>VLOOKUP($A37,Outcomes!$B$3:$I$209,6,FALSE)</f>
        <v>1</v>
      </c>
      <c r="T37">
        <f>VLOOKUP($A37,Outcomes!$B$3:$I$209,7,FALSE)</f>
        <v>-2</v>
      </c>
      <c r="U37" t="str">
        <f t="shared" si="3"/>
        <v>HomDog</v>
      </c>
      <c r="V37" s="5" t="str">
        <f t="shared" si="4"/>
        <v/>
      </c>
      <c r="W37" t="str">
        <f t="shared" si="0"/>
        <v/>
      </c>
      <c r="X37" t="str">
        <f t="shared" si="5"/>
        <v/>
      </c>
      <c r="Y37" t="str">
        <f t="shared" si="6"/>
        <v/>
      </c>
      <c r="Z37" s="2" t="str">
        <f t="shared" si="7"/>
        <v/>
      </c>
      <c r="AA37" t="str">
        <f>VLOOKUP($A37,ScionOutput!$A$3:$BL$215,64,FALSE)</f>
        <v xml:space="preserve">822972. VF plays are disallowed. No play due to strategy constraints. </v>
      </c>
    </row>
    <row r="38" spans="1:27" x14ac:dyDescent="0.2">
      <c r="A38">
        <v>822806</v>
      </c>
      <c r="B38" s="3">
        <f>VLOOKUP($A38,ScionOutput!$A$3:$BL$215,3,FALSE)</f>
        <v>46181</v>
      </c>
      <c r="C38">
        <f>VLOOKUP($A38,ScionOutput!$A$3:$BL$215,22,FALSE)</f>
        <v>29</v>
      </c>
      <c r="D38" t="str">
        <f>VLOOKUP($A38,ScionOutput!$A$3:$BL$215,23,FALSE)</f>
        <v>TOR</v>
      </c>
      <c r="E38">
        <f>VLOOKUP($A38,ScionOutput!$A$3:$BL$215,6,FALSE)</f>
        <v>21</v>
      </c>
      <c r="F38" t="str">
        <f>VLOOKUP($A38,ScionOutput!$A$3:$BL$215,7,FALSE)</f>
        <v>PHI</v>
      </c>
      <c r="G38">
        <f>VLOOKUP($A38,ScionOutput!$A$3:$BL$215,26,FALSE)</f>
        <v>154</v>
      </c>
      <c r="H38">
        <f>VLOOKUP($A38,ScionOutput!$A$3:$BL$215,10,FALSE)</f>
        <v>-168</v>
      </c>
      <c r="I38" s="6" t="str">
        <f>VLOOKUP($A38,ScionOutput!$A$3:$BL$215,55,FALSE)</f>
        <v>VisFave</v>
      </c>
      <c r="J38" s="6">
        <f>VLOOKUP($A38,ScionOutput!$A$3:$BL$215,56,FALSE)</f>
        <v>0</v>
      </c>
      <c r="K38" t="str">
        <f>VLOOKUP($A38,ScionOutput!$A$3:$BL$215,58,FALSE)</f>
        <v>No Play</v>
      </c>
      <c r="L38">
        <f>VLOOKUP($A38,ScionOutput!$A$3:$BL$215,59,FALSE)</f>
        <v>0</v>
      </c>
      <c r="M38">
        <f>VLOOKUP($A38,ScionOutput!$A$3:$BL$215,62,FALSE)</f>
        <v>0</v>
      </c>
      <c r="N38">
        <f>VLOOKUP($A38,ScionOutput!$A$3:$BL$215,63,FALSE)</f>
        <v>0</v>
      </c>
      <c r="O38" t="b">
        <f t="shared" si="1"/>
        <v>0</v>
      </c>
      <c r="P38">
        <f>VLOOKUP($A38,Outcomes!$B$3:$I$209,8,FALSE)</f>
        <v>7</v>
      </c>
      <c r="Q38">
        <f t="shared" si="2"/>
        <v>-1</v>
      </c>
      <c r="R38">
        <f>VLOOKUP($A38,Outcomes!$B$3:$I$209,5,FALSE)</f>
        <v>2</v>
      </c>
      <c r="S38">
        <f>VLOOKUP($A38,Outcomes!$B$3:$I$209,6,FALSE)</f>
        <v>5</v>
      </c>
      <c r="T38">
        <f>VLOOKUP($A38,Outcomes!$B$3:$I$209,7,FALSE)</f>
        <v>3</v>
      </c>
      <c r="U38" t="str">
        <f t="shared" si="3"/>
        <v>VisFave</v>
      </c>
      <c r="V38" s="5" t="str">
        <f t="shared" si="4"/>
        <v/>
      </c>
      <c r="W38" t="str">
        <f t="shared" si="0"/>
        <v/>
      </c>
      <c r="X38" t="str">
        <f t="shared" si="5"/>
        <v/>
      </c>
      <c r="Y38" t="str">
        <f t="shared" si="6"/>
        <v/>
      </c>
      <c r="Z38" s="2" t="str">
        <f t="shared" si="7"/>
        <v/>
      </c>
      <c r="AA38" t="str">
        <f>VLOOKUP($A38,ScionOutput!$A$3:$BL$215,64,FALSE)</f>
        <v xml:space="preserve">822806. LineStatEns is NoPlay as bookie-line outside range. StatOnlyEns is NoPlay as bookie-line outside range. No play due to strategy constraints. </v>
      </c>
    </row>
    <row r="39" spans="1:27" x14ac:dyDescent="0.2">
      <c r="A39">
        <v>824830</v>
      </c>
      <c r="B39" s="3">
        <f>VLOOKUP($A39,ScionOutput!$A$3:$BL$215,3,FALSE)</f>
        <v>46182</v>
      </c>
      <c r="C39">
        <f>VLOOKUP($A39,ScionOutput!$A$3:$BL$215,22,FALSE)</f>
        <v>2</v>
      </c>
      <c r="D39" t="str">
        <f>VLOOKUP($A39,ScionOutput!$A$3:$BL$215,23,FALSE)</f>
        <v>BAL</v>
      </c>
      <c r="E39">
        <f>VLOOKUP($A39,ScionOutput!$A$3:$BL$215,6,FALSE)</f>
        <v>24</v>
      </c>
      <c r="F39" t="str">
        <f>VLOOKUP($A39,ScionOutput!$A$3:$BL$215,7,FALSE)</f>
        <v>SEA</v>
      </c>
      <c r="G39">
        <f>VLOOKUP($A39,ScionOutput!$A$3:$BL$215,26,FALSE)</f>
        <v>103</v>
      </c>
      <c r="H39">
        <f>VLOOKUP($A39,ScionOutput!$A$3:$BL$215,10,FALSE)</f>
        <v>-112</v>
      </c>
      <c r="I39" s="6" t="str">
        <f>VLOOKUP($A39,ScionOutput!$A$3:$BL$215,55,FALSE)</f>
        <v>VisFave</v>
      </c>
      <c r="J39" s="6">
        <f>VLOOKUP($A39,ScionOutput!$A$3:$BL$215,56,FALSE)</f>
        <v>0</v>
      </c>
      <c r="K39" t="str">
        <f>VLOOKUP($A39,ScionOutput!$A$3:$BL$215,58,FALSE)</f>
        <v>No Play</v>
      </c>
      <c r="L39">
        <f>VLOOKUP($A39,ScionOutput!$A$3:$BL$215,59,FALSE)</f>
        <v>0</v>
      </c>
      <c r="M39">
        <f>VLOOKUP($A39,ScionOutput!$A$3:$BL$215,62,FALSE)</f>
        <v>0</v>
      </c>
      <c r="N39">
        <f>VLOOKUP($A39,ScionOutput!$A$3:$BL$215,63,FALSE)</f>
        <v>0</v>
      </c>
      <c r="O39" t="b">
        <f t="shared" si="1"/>
        <v>0</v>
      </c>
      <c r="P39">
        <f>VLOOKUP($A39,Outcomes!$B$3:$I$209,8,FALSE)</f>
        <v>11</v>
      </c>
      <c r="Q39">
        <f t="shared" si="2"/>
        <v>-1</v>
      </c>
      <c r="R39">
        <f>VLOOKUP($A39,Outcomes!$B$3:$I$209,5,FALSE)</f>
        <v>5</v>
      </c>
      <c r="S39">
        <f>VLOOKUP($A39,Outcomes!$B$3:$I$209,6,FALSE)</f>
        <v>6</v>
      </c>
      <c r="T39">
        <f>VLOOKUP($A39,Outcomes!$B$3:$I$209,7,FALSE)</f>
        <v>1</v>
      </c>
      <c r="U39" t="str">
        <f t="shared" si="3"/>
        <v>VisFave</v>
      </c>
      <c r="V39" s="5" t="str">
        <f t="shared" si="4"/>
        <v/>
      </c>
      <c r="W39" t="str">
        <f t="shared" si="0"/>
        <v/>
      </c>
      <c r="X39" t="str">
        <f t="shared" si="5"/>
        <v/>
      </c>
      <c r="Y39" t="str">
        <f t="shared" si="6"/>
        <v/>
      </c>
      <c r="Z39" s="2" t="str">
        <f t="shared" si="7"/>
        <v/>
      </c>
      <c r="AA39" t="str">
        <f>VLOOKUP($A39,ScionOutput!$A$3:$BL$215,64,FALSE)</f>
        <v xml:space="preserve">824830. VF plays are disallowed. No play due to strategy constraints. </v>
      </c>
    </row>
    <row r="40" spans="1:27" x14ac:dyDescent="0.2">
      <c r="A40">
        <v>824023</v>
      </c>
      <c r="B40" s="3">
        <f>VLOOKUP($A40,ScionOutput!$A$3:$BL$215,3,FALSE)</f>
        <v>46182</v>
      </c>
      <c r="C40">
        <f>VLOOKUP($A40,ScionOutput!$A$3:$BL$215,22,FALSE)</f>
        <v>4</v>
      </c>
      <c r="D40" t="str">
        <f>VLOOKUP($A40,ScionOutput!$A$3:$BL$215,23,FALSE)</f>
        <v>LAA</v>
      </c>
      <c r="E40">
        <f>VLOOKUP($A40,ScionOutput!$A$3:$BL$215,6,FALSE)</f>
        <v>12</v>
      </c>
      <c r="F40" t="str">
        <f>VLOOKUP($A40,ScionOutput!$A$3:$BL$215,7,FALSE)</f>
        <v>HOU</v>
      </c>
      <c r="G40">
        <f>VLOOKUP($A40,ScionOutput!$A$3:$BL$215,26,FALSE)</f>
        <v>111</v>
      </c>
      <c r="H40">
        <f>VLOOKUP($A40,ScionOutput!$A$3:$BL$215,10,FALSE)</f>
        <v>-120</v>
      </c>
      <c r="I40" s="6" t="str">
        <f>VLOOKUP($A40,ScionOutput!$A$3:$BL$215,55,FALSE)</f>
        <v>VisFave</v>
      </c>
      <c r="J40" s="6">
        <f>VLOOKUP($A40,ScionOutput!$A$3:$BL$215,56,FALSE)</f>
        <v>0</v>
      </c>
      <c r="K40" t="str">
        <f>VLOOKUP($A40,ScionOutput!$A$3:$BL$215,58,FALSE)</f>
        <v>No Play</v>
      </c>
      <c r="L40">
        <f>VLOOKUP($A40,ScionOutput!$A$3:$BL$215,59,FALSE)</f>
        <v>0</v>
      </c>
      <c r="M40">
        <f>VLOOKUP($A40,ScionOutput!$A$3:$BL$215,62,FALSE)</f>
        <v>0</v>
      </c>
      <c r="N40">
        <f>VLOOKUP($A40,ScionOutput!$A$3:$BL$215,63,FALSE)</f>
        <v>0</v>
      </c>
      <c r="O40" t="b">
        <f t="shared" si="1"/>
        <v>0</v>
      </c>
      <c r="P40">
        <f>VLOOKUP($A40,Outcomes!$B$3:$I$209,8,FALSE)</f>
        <v>11</v>
      </c>
      <c r="Q40">
        <f t="shared" si="2"/>
        <v>1</v>
      </c>
      <c r="R40">
        <f>VLOOKUP($A40,Outcomes!$B$3:$I$209,5,FALSE)</f>
        <v>10</v>
      </c>
      <c r="S40">
        <f>VLOOKUP($A40,Outcomes!$B$3:$I$209,6,FALSE)</f>
        <v>1</v>
      </c>
      <c r="T40">
        <f>VLOOKUP($A40,Outcomes!$B$3:$I$209,7,FALSE)</f>
        <v>-9</v>
      </c>
      <c r="U40" t="str">
        <f t="shared" si="3"/>
        <v>HomDog</v>
      </c>
      <c r="V40" s="5" t="str">
        <f t="shared" si="4"/>
        <v/>
      </c>
      <c r="W40" t="str">
        <f t="shared" si="0"/>
        <v/>
      </c>
      <c r="X40" t="str">
        <f t="shared" si="5"/>
        <v/>
      </c>
      <c r="Y40" t="str">
        <f t="shared" si="6"/>
        <v/>
      </c>
      <c r="Z40" s="2" t="str">
        <f t="shared" si="7"/>
        <v/>
      </c>
      <c r="AA40" t="str">
        <f>VLOOKUP($A40,ScionOutput!$A$3:$BL$215,64,FALSE)</f>
        <v xml:space="preserve">824023. VF plays are disallowed. No play due to strategy constraints. </v>
      </c>
    </row>
    <row r="41" spans="1:27" x14ac:dyDescent="0.2">
      <c r="A41">
        <v>824429</v>
      </c>
      <c r="B41" s="3">
        <f>VLOOKUP($A41,ScionOutput!$A$3:$BL$215,3,FALSE)</f>
        <v>46182</v>
      </c>
      <c r="C41">
        <f>VLOOKUP($A41,ScionOutput!$A$3:$BL$215,22,FALSE)</f>
        <v>7</v>
      </c>
      <c r="D41" t="str">
        <f>VLOOKUP($A41,ScionOutput!$A$3:$BL$215,23,FALSE)</f>
        <v>CLE</v>
      </c>
      <c r="E41">
        <f>VLOOKUP($A41,ScionOutput!$A$3:$BL$215,6,FALSE)</f>
        <v>19</v>
      </c>
      <c r="F41" t="str">
        <f>VLOOKUP($A41,ScionOutput!$A$3:$BL$215,7,FALSE)</f>
        <v>NYY</v>
      </c>
      <c r="G41">
        <f>VLOOKUP($A41,ScionOutput!$A$3:$BL$215,26,FALSE)</f>
        <v>107</v>
      </c>
      <c r="H41">
        <f>VLOOKUP($A41,ScionOutput!$A$3:$BL$215,10,FALSE)</f>
        <v>-116</v>
      </c>
      <c r="I41" s="6" t="str">
        <f>VLOOKUP($A41,ScionOutput!$A$3:$BL$215,55,FALSE)</f>
        <v>VisFave</v>
      </c>
      <c r="J41" s="6">
        <f>VLOOKUP($A41,ScionOutput!$A$3:$BL$215,56,FALSE)</f>
        <v>0</v>
      </c>
      <c r="K41" t="str">
        <f>VLOOKUP($A41,ScionOutput!$A$3:$BL$215,58,FALSE)</f>
        <v>No Play</v>
      </c>
      <c r="L41">
        <f>VLOOKUP($A41,ScionOutput!$A$3:$BL$215,59,FALSE)</f>
        <v>0</v>
      </c>
      <c r="M41">
        <f>VLOOKUP($A41,ScionOutput!$A$3:$BL$215,62,FALSE)</f>
        <v>0</v>
      </c>
      <c r="N41">
        <f>VLOOKUP($A41,ScionOutput!$A$3:$BL$215,63,FALSE)</f>
        <v>0</v>
      </c>
      <c r="O41" t="b">
        <f t="shared" si="1"/>
        <v>0</v>
      </c>
      <c r="P41">
        <f>VLOOKUP($A41,Outcomes!$B$3:$I$209,8,FALSE)</f>
        <v>5</v>
      </c>
      <c r="Q41">
        <f t="shared" si="2"/>
        <v>-1</v>
      </c>
      <c r="R41">
        <f>VLOOKUP($A41,Outcomes!$B$3:$I$209,5,FALSE)</f>
        <v>2</v>
      </c>
      <c r="S41">
        <f>VLOOKUP($A41,Outcomes!$B$3:$I$209,6,FALSE)</f>
        <v>3</v>
      </c>
      <c r="T41">
        <f>VLOOKUP($A41,Outcomes!$B$3:$I$209,7,FALSE)</f>
        <v>1</v>
      </c>
      <c r="U41" t="str">
        <f t="shared" si="3"/>
        <v>VisFave</v>
      </c>
      <c r="V41" s="5" t="str">
        <f t="shared" si="4"/>
        <v/>
      </c>
      <c r="W41" t="str">
        <f t="shared" si="0"/>
        <v/>
      </c>
      <c r="X41" t="str">
        <f t="shared" si="5"/>
        <v/>
      </c>
      <c r="Y41" t="str">
        <f t="shared" si="6"/>
        <v/>
      </c>
      <c r="Z41" s="2" t="str">
        <f t="shared" si="7"/>
        <v/>
      </c>
      <c r="AA41" t="str">
        <f>VLOOKUP($A41,ScionOutput!$A$3:$BL$215,64,FALSE)</f>
        <v xml:space="preserve">824429. VF plays are disallowed. No play due to strategy constraints. </v>
      </c>
    </row>
    <row r="42" spans="1:27" x14ac:dyDescent="0.2">
      <c r="A42">
        <v>824347</v>
      </c>
      <c r="B42" s="3">
        <f>VLOOKUP($A42,ScionOutput!$A$3:$BL$215,3,FALSE)</f>
        <v>46182</v>
      </c>
      <c r="C42">
        <f>VLOOKUP($A42,ScionOutput!$A$3:$BL$215,22,FALSE)</f>
        <v>8</v>
      </c>
      <c r="D42" t="str">
        <f>VLOOKUP($A42,ScionOutput!$A$3:$BL$215,23,FALSE)</f>
        <v>COL</v>
      </c>
      <c r="E42">
        <f>VLOOKUP($A42,ScionOutput!$A$3:$BL$215,6,FALSE)</f>
        <v>5</v>
      </c>
      <c r="F42" t="str">
        <f>VLOOKUP($A42,ScionOutput!$A$3:$BL$215,7,FALSE)</f>
        <v>CHC</v>
      </c>
      <c r="G42">
        <f>VLOOKUP($A42,ScionOutput!$A$3:$BL$215,26,FALSE)</f>
        <v>141</v>
      </c>
      <c r="H42">
        <f>VLOOKUP($A42,ScionOutput!$A$3:$BL$215,10,FALSE)</f>
        <v>-153</v>
      </c>
      <c r="I42" s="6" t="str">
        <f>VLOOKUP($A42,ScionOutput!$A$3:$BL$215,55,FALSE)</f>
        <v>VisFave</v>
      </c>
      <c r="J42" s="6">
        <f>VLOOKUP($A42,ScionOutput!$A$3:$BL$215,56,FALSE)</f>
        <v>0</v>
      </c>
      <c r="K42" t="str">
        <f>VLOOKUP($A42,ScionOutput!$A$3:$BL$215,58,FALSE)</f>
        <v>No Play</v>
      </c>
      <c r="L42">
        <f>VLOOKUP($A42,ScionOutput!$A$3:$BL$215,59,FALSE)</f>
        <v>0</v>
      </c>
      <c r="M42">
        <f>VLOOKUP($A42,ScionOutput!$A$3:$BL$215,62,FALSE)</f>
        <v>0</v>
      </c>
      <c r="N42">
        <f>VLOOKUP($A42,ScionOutput!$A$3:$BL$215,63,FALSE)</f>
        <v>0</v>
      </c>
      <c r="O42" t="b">
        <f t="shared" si="1"/>
        <v>0</v>
      </c>
      <c r="P42">
        <f>VLOOKUP($A42,Outcomes!$B$3:$I$209,8,FALSE)</f>
        <v>10</v>
      </c>
      <c r="Q42">
        <f t="shared" si="2"/>
        <v>1</v>
      </c>
      <c r="R42">
        <f>VLOOKUP($A42,Outcomes!$B$3:$I$209,5,FALSE)</f>
        <v>7</v>
      </c>
      <c r="S42">
        <f>VLOOKUP($A42,Outcomes!$B$3:$I$209,6,FALSE)</f>
        <v>3</v>
      </c>
      <c r="T42">
        <f>VLOOKUP($A42,Outcomes!$B$3:$I$209,7,FALSE)</f>
        <v>-4</v>
      </c>
      <c r="U42" t="str">
        <f t="shared" si="3"/>
        <v>HomDog</v>
      </c>
      <c r="V42" s="5" t="str">
        <f t="shared" si="4"/>
        <v/>
      </c>
      <c r="W42" t="str">
        <f t="shared" si="0"/>
        <v/>
      </c>
      <c r="X42" t="str">
        <f t="shared" si="5"/>
        <v/>
      </c>
      <c r="Y42" t="str">
        <f t="shared" si="6"/>
        <v/>
      </c>
      <c r="Z42" s="2" t="str">
        <f t="shared" si="7"/>
        <v/>
      </c>
      <c r="AA42" t="str">
        <f>VLOOKUP($A42,ScionOutput!$A$3:$BL$215,64,FALSE)</f>
        <v xml:space="preserve">824347. VF plays are disallowed. No play due to strategy constraints. </v>
      </c>
    </row>
    <row r="43" spans="1:27" x14ac:dyDescent="0.2">
      <c r="A43">
        <v>824591</v>
      </c>
      <c r="B43" s="3">
        <f>VLOOKUP($A43,ScionOutput!$A$3:$BL$215,3,FALSE)</f>
        <v>46182</v>
      </c>
      <c r="C43">
        <f>VLOOKUP($A43,ScionOutput!$A$3:$BL$215,22,FALSE)</f>
        <v>9</v>
      </c>
      <c r="D43" t="str">
        <f>VLOOKUP($A43,ScionOutput!$A$3:$BL$215,23,FALSE)</f>
        <v>CWS</v>
      </c>
      <c r="E43">
        <f>VLOOKUP($A43,ScionOutput!$A$3:$BL$215,6,FALSE)</f>
        <v>0</v>
      </c>
      <c r="F43" t="str">
        <f>VLOOKUP($A43,ScionOutput!$A$3:$BL$215,7,FALSE)</f>
        <v>ATL</v>
      </c>
      <c r="G43">
        <f>VLOOKUP($A43,ScionOutput!$A$3:$BL$215,26,FALSE)</f>
        <v>139</v>
      </c>
      <c r="H43">
        <f>VLOOKUP($A43,ScionOutput!$A$3:$BL$215,10,FALSE)</f>
        <v>-152</v>
      </c>
      <c r="I43" s="6" t="str">
        <f>VLOOKUP($A43,ScionOutput!$A$3:$BL$215,55,FALSE)</f>
        <v>VisFave</v>
      </c>
      <c r="J43" s="6">
        <f>VLOOKUP($A43,ScionOutput!$A$3:$BL$215,56,FALSE)</f>
        <v>0</v>
      </c>
      <c r="K43" t="str">
        <f>VLOOKUP($A43,ScionOutput!$A$3:$BL$215,58,FALSE)</f>
        <v>No Play</v>
      </c>
      <c r="L43">
        <f>VLOOKUP($A43,ScionOutput!$A$3:$BL$215,59,FALSE)</f>
        <v>0</v>
      </c>
      <c r="M43">
        <f>VLOOKUP($A43,ScionOutput!$A$3:$BL$215,62,FALSE)</f>
        <v>0</v>
      </c>
      <c r="N43">
        <f>VLOOKUP($A43,ScionOutput!$A$3:$BL$215,63,FALSE)</f>
        <v>0</v>
      </c>
      <c r="O43" t="b">
        <f t="shared" si="1"/>
        <v>0</v>
      </c>
      <c r="P43">
        <f>VLOOKUP($A43,Outcomes!$B$3:$I$209,8,FALSE)</f>
        <v>11</v>
      </c>
      <c r="Q43">
        <f t="shared" si="2"/>
        <v>1</v>
      </c>
      <c r="R43">
        <f>VLOOKUP($A43,Outcomes!$B$3:$I$209,5,FALSE)</f>
        <v>6</v>
      </c>
      <c r="S43">
        <f>VLOOKUP($A43,Outcomes!$B$3:$I$209,6,FALSE)</f>
        <v>5</v>
      </c>
      <c r="T43">
        <f>VLOOKUP($A43,Outcomes!$B$3:$I$209,7,FALSE)</f>
        <v>-1</v>
      </c>
      <c r="U43" t="str">
        <f t="shared" si="3"/>
        <v>HomDog</v>
      </c>
      <c r="V43" s="5" t="str">
        <f t="shared" si="4"/>
        <v/>
      </c>
      <c r="W43" t="str">
        <f t="shared" si="0"/>
        <v/>
      </c>
      <c r="X43" t="str">
        <f t="shared" si="5"/>
        <v/>
      </c>
      <c r="Y43" t="str">
        <f t="shared" si="6"/>
        <v/>
      </c>
      <c r="Z43" s="2" t="str">
        <f t="shared" si="7"/>
        <v/>
      </c>
      <c r="AA43" t="str">
        <f>VLOOKUP($A43,ScionOutput!$A$3:$BL$215,64,FALSE)</f>
        <v xml:space="preserve">824591. LineStatEns price is outside allowable range! VF plays are disallowed. No play due to strategy constraints. </v>
      </c>
    </row>
    <row r="44" spans="1:27" x14ac:dyDescent="0.2">
      <c r="A44">
        <v>824267</v>
      </c>
      <c r="B44" s="3">
        <f>VLOOKUP($A44,ScionOutput!$A$3:$BL$215,3,FALSE)</f>
        <v>46182</v>
      </c>
      <c r="C44">
        <f>VLOOKUP($A44,ScionOutput!$A$3:$BL$215,22,FALSE)</f>
        <v>10</v>
      </c>
      <c r="D44" t="str">
        <f>VLOOKUP($A44,ScionOutput!$A$3:$BL$215,23,FALSE)</f>
        <v>DET</v>
      </c>
      <c r="E44">
        <f>VLOOKUP($A44,ScionOutput!$A$3:$BL$215,6,FALSE)</f>
        <v>15</v>
      </c>
      <c r="F44" t="str">
        <f>VLOOKUP($A44,ScionOutput!$A$3:$BL$215,7,FALSE)</f>
        <v>MIN</v>
      </c>
      <c r="G44">
        <f>VLOOKUP($A44,ScionOutput!$A$3:$BL$215,26,FALSE)</f>
        <v>-122</v>
      </c>
      <c r="H44">
        <f>VLOOKUP($A44,ScionOutput!$A$3:$BL$215,10,FALSE)</f>
        <v>112</v>
      </c>
      <c r="I44" s="6" t="str">
        <f>VLOOKUP($A44,ScionOutput!$A$3:$BL$215,55,FALSE)</f>
        <v>HomFave</v>
      </c>
      <c r="J44" s="6">
        <f>VLOOKUP($A44,ScionOutput!$A$3:$BL$215,56,FALSE)</f>
        <v>0</v>
      </c>
      <c r="K44" t="str">
        <f>VLOOKUP($A44,ScionOutput!$A$3:$BL$215,58,FALSE)</f>
        <v>No Play</v>
      </c>
      <c r="L44">
        <f>VLOOKUP($A44,ScionOutput!$A$3:$BL$215,59,FALSE)</f>
        <v>0</v>
      </c>
      <c r="M44">
        <f>VLOOKUP($A44,ScionOutput!$A$3:$BL$215,62,FALSE)</f>
        <v>0</v>
      </c>
      <c r="N44">
        <f>VLOOKUP($A44,ScionOutput!$A$3:$BL$215,63,FALSE)</f>
        <v>0</v>
      </c>
      <c r="O44" t="b">
        <f t="shared" si="1"/>
        <v>0</v>
      </c>
      <c r="P44">
        <f>VLOOKUP($A44,Outcomes!$B$3:$I$209,8,FALSE)</f>
        <v>14</v>
      </c>
      <c r="Q44">
        <f t="shared" si="2"/>
        <v>1</v>
      </c>
      <c r="R44">
        <f>VLOOKUP($A44,Outcomes!$B$3:$I$209,5,FALSE)</f>
        <v>10</v>
      </c>
      <c r="S44">
        <f>VLOOKUP($A44,Outcomes!$B$3:$I$209,6,FALSE)</f>
        <v>4</v>
      </c>
      <c r="T44">
        <f>VLOOKUP($A44,Outcomes!$B$3:$I$209,7,FALSE)</f>
        <v>-6</v>
      </c>
      <c r="U44" t="str">
        <f t="shared" si="3"/>
        <v>HomFave</v>
      </c>
      <c r="V44" s="5" t="str">
        <f t="shared" si="4"/>
        <v/>
      </c>
      <c r="W44" t="str">
        <f t="shared" si="0"/>
        <v/>
      </c>
      <c r="X44" t="str">
        <f t="shared" si="5"/>
        <v/>
      </c>
      <c r="Y44" t="str">
        <f t="shared" si="6"/>
        <v/>
      </c>
      <c r="Z44" s="2" t="str">
        <f t="shared" si="7"/>
        <v/>
      </c>
      <c r="AA44" t="str">
        <f>VLOOKUP($A44,ScionOutput!$A$3:$BL$215,64,FALSE)</f>
        <v xml:space="preserve">824267. LineStatEns probability points gap does not exceed threshold (no edge found)! StatOnlyEns probability points gap does not exceed threshold (no edge found)! No play due to strategy constraints. </v>
      </c>
    </row>
    <row r="45" spans="1:27" x14ac:dyDescent="0.2">
      <c r="A45">
        <v>823858</v>
      </c>
      <c r="B45" s="3">
        <f>VLOOKUP($A45,ScionOutput!$A$3:$BL$215,3,FALSE)</f>
        <v>46182</v>
      </c>
      <c r="C45">
        <f>VLOOKUP($A45,ScionOutput!$A$3:$BL$215,22,FALSE)</f>
        <v>11</v>
      </c>
      <c r="D45" t="str">
        <f>VLOOKUP($A45,ScionOutput!$A$3:$BL$215,23,FALSE)</f>
        <v>FLO</v>
      </c>
      <c r="E45">
        <f>VLOOKUP($A45,ScionOutput!$A$3:$BL$215,6,FALSE)</f>
        <v>1</v>
      </c>
      <c r="F45" t="str">
        <f>VLOOKUP($A45,ScionOutput!$A$3:$BL$215,7,FALSE)</f>
        <v>ARZ</v>
      </c>
      <c r="G45">
        <f>VLOOKUP($A45,ScionOutput!$A$3:$BL$215,26,FALSE)</f>
        <v>-135</v>
      </c>
      <c r="H45">
        <f>VLOOKUP($A45,ScionOutput!$A$3:$BL$215,10,FALSE)</f>
        <v>124</v>
      </c>
      <c r="I45" s="6" t="str">
        <f>VLOOKUP($A45,ScionOutput!$A$3:$BL$215,55,FALSE)</f>
        <v>HomFave</v>
      </c>
      <c r="J45" s="6">
        <f>VLOOKUP($A45,ScionOutput!$A$3:$BL$215,56,FALSE)</f>
        <v>0</v>
      </c>
      <c r="K45" t="str">
        <f>VLOOKUP($A45,ScionOutput!$A$3:$BL$215,58,FALSE)</f>
        <v>No Play</v>
      </c>
      <c r="L45">
        <f>VLOOKUP($A45,ScionOutput!$A$3:$BL$215,59,FALSE)</f>
        <v>0</v>
      </c>
      <c r="M45">
        <f>VLOOKUP($A45,ScionOutput!$A$3:$BL$215,62,FALSE)</f>
        <v>0</v>
      </c>
      <c r="N45">
        <f>VLOOKUP($A45,ScionOutput!$A$3:$BL$215,63,FALSE)</f>
        <v>0</v>
      </c>
      <c r="O45" t="b">
        <f t="shared" si="1"/>
        <v>0</v>
      </c>
      <c r="P45">
        <f>VLOOKUP($A45,Outcomes!$B$3:$I$209,8,FALSE)</f>
        <v>16</v>
      </c>
      <c r="Q45">
        <f t="shared" si="2"/>
        <v>1</v>
      </c>
      <c r="R45">
        <f>VLOOKUP($A45,Outcomes!$B$3:$I$209,5,FALSE)</f>
        <v>10</v>
      </c>
      <c r="S45">
        <f>VLOOKUP($A45,Outcomes!$B$3:$I$209,6,FALSE)</f>
        <v>6</v>
      </c>
      <c r="T45">
        <f>VLOOKUP($A45,Outcomes!$B$3:$I$209,7,FALSE)</f>
        <v>-4</v>
      </c>
      <c r="U45" t="str">
        <f t="shared" si="3"/>
        <v>HomFave</v>
      </c>
      <c r="V45" s="5" t="str">
        <f t="shared" si="4"/>
        <v/>
      </c>
      <c r="W45" t="str">
        <f t="shared" si="0"/>
        <v/>
      </c>
      <c r="X45" t="str">
        <f t="shared" si="5"/>
        <v/>
      </c>
      <c r="Y45" t="str">
        <f t="shared" si="6"/>
        <v/>
      </c>
      <c r="Z45" s="2" t="str">
        <f t="shared" si="7"/>
        <v/>
      </c>
      <c r="AA45" t="str">
        <f>VLOOKUP($A45,ScionOutput!$A$3:$BL$215,64,FALSE)</f>
        <v xml:space="preserve">823858. LineStatEns probability points gap does not exceed threshold (no edge found)! StatOnlyEns probability points gap does not exceed threshold (no edge found)! No play due to strategy constraints. </v>
      </c>
    </row>
    <row r="46" spans="1:27" x14ac:dyDescent="0.2">
      <c r="A46">
        <v>824105</v>
      </c>
      <c r="B46" s="3">
        <f>VLOOKUP($A46,ScionOutput!$A$3:$BL$215,3,FALSE)</f>
        <v>46182</v>
      </c>
      <c r="C46">
        <f>VLOOKUP($A46,ScionOutput!$A$3:$BL$215,22,FALSE)</f>
        <v>13</v>
      </c>
      <c r="D46" t="str">
        <f>VLOOKUP($A46,ScionOutput!$A$3:$BL$215,23,FALSE)</f>
        <v>KC</v>
      </c>
      <c r="E46">
        <f>VLOOKUP($A46,ScionOutput!$A$3:$BL$215,6,FALSE)</f>
        <v>28</v>
      </c>
      <c r="F46" t="str">
        <f>VLOOKUP($A46,ScionOutput!$A$3:$BL$215,7,FALSE)</f>
        <v>TEX</v>
      </c>
      <c r="G46">
        <f>VLOOKUP($A46,ScionOutput!$A$3:$BL$215,26,FALSE)</f>
        <v>110</v>
      </c>
      <c r="H46">
        <f>VLOOKUP($A46,ScionOutput!$A$3:$BL$215,10,FALSE)</f>
        <v>-120</v>
      </c>
      <c r="I46" s="6" t="str">
        <f>VLOOKUP($A46,ScionOutput!$A$3:$BL$215,55,FALSE)</f>
        <v>VisFave</v>
      </c>
      <c r="J46" s="6">
        <f>VLOOKUP($A46,ScionOutput!$A$3:$BL$215,56,FALSE)</f>
        <v>0</v>
      </c>
      <c r="K46" t="str">
        <f>VLOOKUP($A46,ScionOutput!$A$3:$BL$215,58,FALSE)</f>
        <v>No Play</v>
      </c>
      <c r="L46">
        <f>VLOOKUP($A46,ScionOutput!$A$3:$BL$215,59,FALSE)</f>
        <v>0</v>
      </c>
      <c r="M46">
        <f>VLOOKUP($A46,ScionOutput!$A$3:$BL$215,62,FALSE)</f>
        <v>0</v>
      </c>
      <c r="N46">
        <f>VLOOKUP($A46,ScionOutput!$A$3:$BL$215,63,FALSE)</f>
        <v>0</v>
      </c>
      <c r="O46" t="b">
        <f t="shared" si="1"/>
        <v>0</v>
      </c>
      <c r="P46">
        <f>VLOOKUP($A46,Outcomes!$B$3:$I$209,8,FALSE)</f>
        <v>8</v>
      </c>
      <c r="Q46">
        <f t="shared" si="2"/>
        <v>1</v>
      </c>
      <c r="R46">
        <f>VLOOKUP($A46,Outcomes!$B$3:$I$209,5,FALSE)</f>
        <v>5</v>
      </c>
      <c r="S46">
        <f>VLOOKUP($A46,Outcomes!$B$3:$I$209,6,FALSE)</f>
        <v>3</v>
      </c>
      <c r="T46">
        <f>VLOOKUP($A46,Outcomes!$B$3:$I$209,7,FALSE)</f>
        <v>-2</v>
      </c>
      <c r="U46" t="str">
        <f t="shared" si="3"/>
        <v>HomDog</v>
      </c>
      <c r="V46" s="5" t="str">
        <f t="shared" si="4"/>
        <v/>
      </c>
      <c r="W46" t="str">
        <f t="shared" si="0"/>
        <v/>
      </c>
      <c r="X46" t="str">
        <f t="shared" si="5"/>
        <v/>
      </c>
      <c r="Y46" t="str">
        <f t="shared" si="6"/>
        <v/>
      </c>
      <c r="Z46" s="2" t="str">
        <f t="shared" si="7"/>
        <v/>
      </c>
      <c r="AA46" t="str">
        <f>VLOOKUP($A46,ScionOutput!$A$3:$BL$215,64,FALSE)</f>
        <v xml:space="preserve">824105. VF plays are disallowed. No play due to strategy constraints. </v>
      </c>
    </row>
    <row r="47" spans="1:27" x14ac:dyDescent="0.2">
      <c r="A47">
        <v>823620</v>
      </c>
      <c r="B47" s="3">
        <f>VLOOKUP($A47,ScionOutput!$A$3:$BL$215,3,FALSE)</f>
        <v>46182</v>
      </c>
      <c r="C47">
        <f>VLOOKUP($A47,ScionOutput!$A$3:$BL$215,22,FALSE)</f>
        <v>18</v>
      </c>
      <c r="D47" t="str">
        <f>VLOOKUP($A47,ScionOutput!$A$3:$BL$215,23,FALSE)</f>
        <v>NYM</v>
      </c>
      <c r="E47">
        <f>VLOOKUP($A47,ScionOutput!$A$3:$BL$215,6,FALSE)</f>
        <v>26</v>
      </c>
      <c r="F47" t="str">
        <f>VLOOKUP($A47,ScionOutput!$A$3:$BL$215,7,FALSE)</f>
        <v>STL</v>
      </c>
      <c r="G47">
        <f>VLOOKUP($A47,ScionOutput!$A$3:$BL$215,26,FALSE)</f>
        <v>-125</v>
      </c>
      <c r="H47">
        <f>VLOOKUP($A47,ScionOutput!$A$3:$BL$215,10,FALSE)</f>
        <v>115</v>
      </c>
      <c r="I47" s="6" t="str">
        <f>VLOOKUP($A47,ScionOutput!$A$3:$BL$215,55,FALSE)</f>
        <v>HomFave</v>
      </c>
      <c r="J47" s="6">
        <f>VLOOKUP($A47,ScionOutput!$A$3:$BL$215,56,FALSE)</f>
        <v>0</v>
      </c>
      <c r="K47" t="str">
        <f>VLOOKUP($A47,ScionOutput!$A$3:$BL$215,58,FALSE)</f>
        <v>No Play</v>
      </c>
      <c r="L47">
        <f>VLOOKUP($A47,ScionOutput!$A$3:$BL$215,59,FALSE)</f>
        <v>0</v>
      </c>
      <c r="M47">
        <f>VLOOKUP($A47,ScionOutput!$A$3:$BL$215,62,FALSE)</f>
        <v>0</v>
      </c>
      <c r="N47">
        <f>VLOOKUP($A47,ScionOutput!$A$3:$BL$215,63,FALSE)</f>
        <v>0</v>
      </c>
      <c r="O47" t="b">
        <f t="shared" si="1"/>
        <v>0</v>
      </c>
      <c r="P47">
        <f>VLOOKUP($A47,Outcomes!$B$3:$I$209,8,FALSE)</f>
        <v>7</v>
      </c>
      <c r="Q47">
        <f t="shared" si="2"/>
        <v>-1</v>
      </c>
      <c r="R47">
        <f>VLOOKUP($A47,Outcomes!$B$3:$I$209,5,FALSE)</f>
        <v>0</v>
      </c>
      <c r="S47">
        <f>VLOOKUP($A47,Outcomes!$B$3:$I$209,6,FALSE)</f>
        <v>7</v>
      </c>
      <c r="T47">
        <f>VLOOKUP($A47,Outcomes!$B$3:$I$209,7,FALSE)</f>
        <v>7</v>
      </c>
      <c r="U47" t="str">
        <f t="shared" si="3"/>
        <v>VisDog</v>
      </c>
      <c r="V47" s="5" t="str">
        <f t="shared" si="4"/>
        <v/>
      </c>
      <c r="W47" t="str">
        <f t="shared" si="0"/>
        <v/>
      </c>
      <c r="X47" t="str">
        <f t="shared" si="5"/>
        <v/>
      </c>
      <c r="Y47" t="str">
        <f t="shared" si="6"/>
        <v/>
      </c>
      <c r="Z47" s="2" t="str">
        <f t="shared" si="7"/>
        <v/>
      </c>
      <c r="AA47" t="str">
        <f>VLOOKUP($A47,ScionOutput!$A$3:$BL$215,64,FALSE)</f>
        <v xml:space="preserve">823620. LineStatEns probability points gap does not exceed threshold (no edge found)! StatOnlyEns probability points gap does not exceed threshold (no edge found)! No play due to strategy constraints. </v>
      </c>
    </row>
    <row r="48" spans="1:27" x14ac:dyDescent="0.2">
      <c r="A48">
        <v>824999</v>
      </c>
      <c r="B48" s="3">
        <f>VLOOKUP($A48,ScionOutput!$A$3:$BL$215,3,FALSE)</f>
        <v>46182</v>
      </c>
      <c r="C48">
        <f>VLOOKUP($A48,ScionOutput!$A$3:$BL$215,22,FALSE)</f>
        <v>20</v>
      </c>
      <c r="D48" t="str">
        <f>VLOOKUP($A48,ScionOutput!$A$3:$BL$215,23,FALSE)</f>
        <v>OAK</v>
      </c>
      <c r="E48">
        <f>VLOOKUP($A48,ScionOutput!$A$3:$BL$215,6,FALSE)</f>
        <v>17</v>
      </c>
      <c r="F48" t="str">
        <f>VLOOKUP($A48,ScionOutput!$A$3:$BL$215,7,FALSE)</f>
        <v>MLW</v>
      </c>
      <c r="G48">
        <f>VLOOKUP($A48,ScionOutput!$A$3:$BL$215,26,FALSE)</f>
        <v>-106</v>
      </c>
      <c r="H48">
        <f>VLOOKUP($A48,ScionOutput!$A$3:$BL$215,10,FALSE)</f>
        <v>-102</v>
      </c>
      <c r="I48" s="6" t="str">
        <f>VLOOKUP($A48,ScionOutput!$A$3:$BL$215,55,FALSE)</f>
        <v>VisDog</v>
      </c>
      <c r="J48" s="6">
        <f>VLOOKUP($A48,ScionOutput!$A$3:$BL$215,56,FALSE)</f>
        <v>1</v>
      </c>
      <c r="K48" t="str">
        <f>VLOOKUP($A48,ScionOutput!$A$3:$BL$215,58,FALSE)</f>
        <v>No Play</v>
      </c>
      <c r="L48">
        <f>VLOOKUP($A48,ScionOutput!$A$3:$BL$215,59,FALSE)</f>
        <v>0</v>
      </c>
      <c r="M48">
        <f>VLOOKUP($A48,ScionOutput!$A$3:$BL$215,62,FALSE)</f>
        <v>0</v>
      </c>
      <c r="N48">
        <f>VLOOKUP($A48,ScionOutput!$A$3:$BL$215,63,FALSE)</f>
        <v>0</v>
      </c>
      <c r="O48" t="b">
        <f t="shared" si="1"/>
        <v>0</v>
      </c>
      <c r="P48">
        <f>VLOOKUP($A48,Outcomes!$B$3:$I$209,8,FALSE)</f>
        <v>12</v>
      </c>
      <c r="Q48">
        <f t="shared" si="2"/>
        <v>1</v>
      </c>
      <c r="R48">
        <f>VLOOKUP($A48,Outcomes!$B$3:$I$209,5,FALSE)</f>
        <v>7</v>
      </c>
      <c r="S48">
        <f>VLOOKUP($A48,Outcomes!$B$3:$I$209,6,FALSE)</f>
        <v>5</v>
      </c>
      <c r="T48">
        <f>VLOOKUP($A48,Outcomes!$B$3:$I$209,7,FALSE)</f>
        <v>-2</v>
      </c>
      <c r="U48" t="str">
        <f t="shared" si="3"/>
        <v>HomFave</v>
      </c>
      <c r="V48" s="5">
        <f t="shared" si="4"/>
        <v>0</v>
      </c>
      <c r="W48">
        <f t="shared" si="0"/>
        <v>102</v>
      </c>
      <c r="X48">
        <f t="shared" si="5"/>
        <v>0</v>
      </c>
      <c r="Y48">
        <f t="shared" si="6"/>
        <v>-102</v>
      </c>
      <c r="Z48" s="2">
        <f t="shared" si="7"/>
        <v>-1</v>
      </c>
      <c r="AA48" t="str">
        <f>VLOOKUP($A48,ScionOutput!$A$3:$BL$215,64,FALSE)</f>
        <v xml:space="preserve">824999. LineStatEns probability points gap does not exceed threshold (no edge found)! No play due to strategy constraints. </v>
      </c>
    </row>
    <row r="49" spans="1:27" x14ac:dyDescent="0.2">
      <c r="A49">
        <v>823374</v>
      </c>
      <c r="B49" s="3">
        <f>VLOOKUP($A49,ScionOutput!$A$3:$BL$215,3,FALSE)</f>
        <v>46182</v>
      </c>
      <c r="C49">
        <f>VLOOKUP($A49,ScionOutput!$A$3:$BL$215,22,FALSE)</f>
        <v>22</v>
      </c>
      <c r="D49" t="str">
        <f>VLOOKUP($A49,ScionOutput!$A$3:$BL$215,23,FALSE)</f>
        <v>PIT</v>
      </c>
      <c r="E49">
        <f>VLOOKUP($A49,ScionOutput!$A$3:$BL$215,6,FALSE)</f>
        <v>14</v>
      </c>
      <c r="F49" t="str">
        <f>VLOOKUP($A49,ScionOutput!$A$3:$BL$215,7,FALSE)</f>
        <v>LA</v>
      </c>
      <c r="G49">
        <f>VLOOKUP($A49,ScionOutput!$A$3:$BL$215,26,FALSE)</f>
        <v>-112</v>
      </c>
      <c r="H49">
        <f>VLOOKUP($A49,ScionOutput!$A$3:$BL$215,10,FALSE)</f>
        <v>104</v>
      </c>
      <c r="I49" s="6" t="str">
        <f>VLOOKUP($A49,ScionOutput!$A$3:$BL$215,55,FALSE)</f>
        <v>VisDog</v>
      </c>
      <c r="J49" s="6">
        <f>VLOOKUP($A49,ScionOutput!$A$3:$BL$215,56,FALSE)</f>
        <v>1</v>
      </c>
      <c r="K49" t="str">
        <f>VLOOKUP($A49,ScionOutput!$A$3:$BL$215,58,FALSE)</f>
        <v>No Play</v>
      </c>
      <c r="L49">
        <f>VLOOKUP($A49,ScionOutput!$A$3:$BL$215,59,FALSE)</f>
        <v>0</v>
      </c>
      <c r="M49">
        <f>VLOOKUP($A49,ScionOutput!$A$3:$BL$215,62,FALSE)</f>
        <v>0</v>
      </c>
      <c r="N49">
        <f>VLOOKUP($A49,ScionOutput!$A$3:$BL$215,63,FALSE)</f>
        <v>0</v>
      </c>
      <c r="O49" t="b">
        <f t="shared" si="1"/>
        <v>0</v>
      </c>
      <c r="P49">
        <f>VLOOKUP($A49,Outcomes!$B$3:$I$209,8,FALSE)</f>
        <v>15</v>
      </c>
      <c r="Q49">
        <f t="shared" si="2"/>
        <v>-1</v>
      </c>
      <c r="R49">
        <f>VLOOKUP($A49,Outcomes!$B$3:$I$209,5,FALSE)</f>
        <v>3</v>
      </c>
      <c r="S49">
        <f>VLOOKUP($A49,Outcomes!$B$3:$I$209,6,FALSE)</f>
        <v>12</v>
      </c>
      <c r="T49">
        <f>VLOOKUP($A49,Outcomes!$B$3:$I$209,7,FALSE)</f>
        <v>9</v>
      </c>
      <c r="U49" t="str">
        <f t="shared" si="3"/>
        <v>VisDog</v>
      </c>
      <c r="V49" s="5">
        <f t="shared" si="4"/>
        <v>1</v>
      </c>
      <c r="W49">
        <f t="shared" si="0"/>
        <v>100</v>
      </c>
      <c r="X49">
        <f t="shared" si="5"/>
        <v>204</v>
      </c>
      <c r="Y49">
        <f t="shared" si="6"/>
        <v>104</v>
      </c>
      <c r="Z49" s="2">
        <f t="shared" si="7"/>
        <v>1.04</v>
      </c>
      <c r="AA49" t="str">
        <f>VLOOKUP($A49,ScionOutput!$A$3:$BL$215,64,FALSE)</f>
        <v xml:space="preserve">823374. LineStatEns probability points gap does not exceed threshold (no edge found)! No play due to strategy constraints. </v>
      </c>
    </row>
    <row r="50" spans="1:27" x14ac:dyDescent="0.2">
      <c r="A50">
        <v>823290</v>
      </c>
      <c r="B50" s="3">
        <f>VLOOKUP($A50,ScionOutput!$A$3:$BL$215,3,FALSE)</f>
        <v>46182</v>
      </c>
      <c r="C50">
        <f>VLOOKUP($A50,ScionOutput!$A$3:$BL$215,22,FALSE)</f>
        <v>23</v>
      </c>
      <c r="D50" t="str">
        <f>VLOOKUP($A50,ScionOutput!$A$3:$BL$215,23,FALSE)</f>
        <v>SD</v>
      </c>
      <c r="E50">
        <f>VLOOKUP($A50,ScionOutput!$A$3:$BL$215,6,FALSE)</f>
        <v>6</v>
      </c>
      <c r="F50" t="str">
        <f>VLOOKUP($A50,ScionOutput!$A$3:$BL$215,7,FALSE)</f>
        <v>CIN</v>
      </c>
      <c r="G50">
        <f>VLOOKUP($A50,ScionOutput!$A$3:$BL$215,26,FALSE)</f>
        <v>114</v>
      </c>
      <c r="H50">
        <f>VLOOKUP($A50,ScionOutput!$A$3:$BL$215,10,FALSE)</f>
        <v>-123</v>
      </c>
      <c r="I50" s="6" t="str">
        <f>VLOOKUP($A50,ScionOutput!$A$3:$BL$215,55,FALSE)</f>
        <v>VisFave</v>
      </c>
      <c r="J50" s="6">
        <f>VLOOKUP($A50,ScionOutput!$A$3:$BL$215,56,FALSE)</f>
        <v>0</v>
      </c>
      <c r="K50" t="str">
        <f>VLOOKUP($A50,ScionOutput!$A$3:$BL$215,58,FALSE)</f>
        <v>No Play</v>
      </c>
      <c r="L50">
        <f>VLOOKUP($A50,ScionOutput!$A$3:$BL$215,59,FALSE)</f>
        <v>0</v>
      </c>
      <c r="M50">
        <f>VLOOKUP($A50,ScionOutput!$A$3:$BL$215,62,FALSE)</f>
        <v>0</v>
      </c>
      <c r="N50">
        <f>VLOOKUP($A50,ScionOutput!$A$3:$BL$215,63,FALSE)</f>
        <v>0</v>
      </c>
      <c r="O50" t="b">
        <f t="shared" si="1"/>
        <v>0</v>
      </c>
      <c r="P50">
        <f>VLOOKUP($A50,Outcomes!$B$3:$I$209,8,FALSE)</f>
        <v>8</v>
      </c>
      <c r="Q50">
        <f t="shared" si="2"/>
        <v>-1</v>
      </c>
      <c r="R50">
        <f>VLOOKUP($A50,Outcomes!$B$3:$I$209,5,FALSE)</f>
        <v>3</v>
      </c>
      <c r="S50">
        <f>VLOOKUP($A50,Outcomes!$B$3:$I$209,6,FALSE)</f>
        <v>5</v>
      </c>
      <c r="T50">
        <f>VLOOKUP($A50,Outcomes!$B$3:$I$209,7,FALSE)</f>
        <v>2</v>
      </c>
      <c r="U50" t="str">
        <f t="shared" si="3"/>
        <v>VisFave</v>
      </c>
      <c r="V50" s="5" t="str">
        <f t="shared" si="4"/>
        <v/>
      </c>
      <c r="W50" t="str">
        <f t="shared" si="0"/>
        <v/>
      </c>
      <c r="X50" t="str">
        <f t="shared" si="5"/>
        <v/>
      </c>
      <c r="Y50" t="str">
        <f t="shared" si="6"/>
        <v/>
      </c>
      <c r="Z50" s="2" t="str">
        <f t="shared" si="7"/>
        <v/>
      </c>
      <c r="AA50" t="str">
        <f>VLOOKUP($A50,ScionOutput!$A$3:$BL$215,64,FALSE)</f>
        <v xml:space="preserve">823290. VF plays are disallowed. No play due to strategy constraints. </v>
      </c>
    </row>
    <row r="51" spans="1:27" x14ac:dyDescent="0.2">
      <c r="A51">
        <v>823214</v>
      </c>
      <c r="B51" s="3">
        <f>VLOOKUP($A51,ScionOutput!$A$3:$BL$215,3,FALSE)</f>
        <v>46182</v>
      </c>
      <c r="C51">
        <f>VLOOKUP($A51,ScionOutput!$A$3:$BL$215,22,FALSE)</f>
        <v>25</v>
      </c>
      <c r="D51" t="str">
        <f>VLOOKUP($A51,ScionOutput!$A$3:$BL$215,23,FALSE)</f>
        <v>SF</v>
      </c>
      <c r="E51">
        <f>VLOOKUP($A51,ScionOutput!$A$3:$BL$215,6,FALSE)</f>
        <v>16</v>
      </c>
      <c r="F51" t="str">
        <f>VLOOKUP($A51,ScionOutput!$A$3:$BL$215,7,FALSE)</f>
        <v>WAS</v>
      </c>
      <c r="G51">
        <f>VLOOKUP($A51,ScionOutput!$A$3:$BL$215,26,FALSE)</f>
        <v>-104</v>
      </c>
      <c r="H51">
        <f>VLOOKUP($A51,ScionOutput!$A$3:$BL$215,10,FALSE)</f>
        <v>-105</v>
      </c>
      <c r="I51" s="6" t="str">
        <f>VLOOKUP($A51,ScionOutput!$A$3:$BL$215,55,FALSE)</f>
        <v>HomDog</v>
      </c>
      <c r="J51" s="6">
        <f>VLOOKUP($A51,ScionOutput!$A$3:$BL$215,56,FALSE)</f>
        <v>1</v>
      </c>
      <c r="K51" t="str">
        <f>VLOOKUP($A51,ScionOutput!$A$3:$BL$215,58,FALSE)</f>
        <v>No Play</v>
      </c>
      <c r="L51">
        <f>VLOOKUP($A51,ScionOutput!$A$3:$BL$215,59,FALSE)</f>
        <v>0</v>
      </c>
      <c r="M51">
        <f>VLOOKUP($A51,ScionOutput!$A$3:$BL$215,62,FALSE)</f>
        <v>0</v>
      </c>
      <c r="N51">
        <f>VLOOKUP($A51,ScionOutput!$A$3:$BL$215,63,FALSE)</f>
        <v>0</v>
      </c>
      <c r="O51" t="b">
        <f t="shared" si="1"/>
        <v>0</v>
      </c>
      <c r="P51">
        <f>VLOOKUP($A51,Outcomes!$B$3:$I$209,8,FALSE)</f>
        <v>9</v>
      </c>
      <c r="Q51">
        <f t="shared" si="2"/>
        <v>-1</v>
      </c>
      <c r="R51">
        <f>VLOOKUP($A51,Outcomes!$B$3:$I$209,5,FALSE)</f>
        <v>3</v>
      </c>
      <c r="S51">
        <f>VLOOKUP($A51,Outcomes!$B$3:$I$209,6,FALSE)</f>
        <v>6</v>
      </c>
      <c r="T51">
        <f>VLOOKUP($A51,Outcomes!$B$3:$I$209,7,FALSE)</f>
        <v>3</v>
      </c>
      <c r="U51" t="str">
        <f t="shared" si="3"/>
        <v>VisFave</v>
      </c>
      <c r="V51" s="5">
        <f t="shared" si="4"/>
        <v>0</v>
      </c>
      <c r="W51">
        <f t="shared" si="0"/>
        <v>104</v>
      </c>
      <c r="X51">
        <f t="shared" si="5"/>
        <v>0</v>
      </c>
      <c r="Y51">
        <f t="shared" si="6"/>
        <v>-104</v>
      </c>
      <c r="Z51" s="2">
        <f t="shared" si="7"/>
        <v>-1</v>
      </c>
      <c r="AA51" t="str">
        <f>VLOOKUP($A51,ScionOutput!$A$3:$BL$215,64,FALSE)</f>
        <v xml:space="preserve">823214. VF plays are disallowed. No play due to strategy constraints. </v>
      </c>
    </row>
    <row r="52" spans="1:27" x14ac:dyDescent="0.2">
      <c r="A52">
        <v>822969</v>
      </c>
      <c r="B52" s="3">
        <f>VLOOKUP($A52,ScionOutput!$A$3:$BL$215,3,FALSE)</f>
        <v>46182</v>
      </c>
      <c r="C52">
        <f>VLOOKUP($A52,ScionOutput!$A$3:$BL$215,22,FALSE)</f>
        <v>27</v>
      </c>
      <c r="D52" t="str">
        <f>VLOOKUP($A52,ScionOutput!$A$3:$BL$215,23,FALSE)</f>
        <v>TB</v>
      </c>
      <c r="E52">
        <f>VLOOKUP($A52,ScionOutput!$A$3:$BL$215,6,FALSE)</f>
        <v>3</v>
      </c>
      <c r="F52" t="str">
        <f>VLOOKUP($A52,ScionOutput!$A$3:$BL$215,7,FALSE)</f>
        <v>BOS</v>
      </c>
      <c r="G52">
        <f>VLOOKUP($A52,ScionOutput!$A$3:$BL$215,26,FALSE)</f>
        <v>107</v>
      </c>
      <c r="H52">
        <f>VLOOKUP($A52,ScionOutput!$A$3:$BL$215,10,FALSE)</f>
        <v>-115</v>
      </c>
      <c r="I52" s="6" t="str">
        <f>VLOOKUP($A52,ScionOutput!$A$3:$BL$215,55,FALSE)</f>
        <v>HomDog</v>
      </c>
      <c r="J52" s="6">
        <f>VLOOKUP($A52,ScionOutput!$A$3:$BL$215,56,FALSE)</f>
        <v>1</v>
      </c>
      <c r="K52" t="str">
        <f>VLOOKUP($A52,ScionOutput!$A$3:$BL$215,58,FALSE)</f>
        <v>No Play</v>
      </c>
      <c r="L52">
        <f>VLOOKUP($A52,ScionOutput!$A$3:$BL$215,59,FALSE)</f>
        <v>0</v>
      </c>
      <c r="M52">
        <f>VLOOKUP($A52,ScionOutput!$A$3:$BL$215,62,FALSE)</f>
        <v>0</v>
      </c>
      <c r="N52">
        <f>VLOOKUP($A52,ScionOutput!$A$3:$BL$215,63,FALSE)</f>
        <v>0</v>
      </c>
      <c r="O52" t="b">
        <f t="shared" si="1"/>
        <v>0</v>
      </c>
      <c r="P52">
        <f>VLOOKUP($A52,Outcomes!$B$3:$I$209,8,FALSE)</f>
        <v>7</v>
      </c>
      <c r="Q52">
        <f t="shared" si="2"/>
        <v>1</v>
      </c>
      <c r="R52">
        <f>VLOOKUP($A52,Outcomes!$B$3:$I$209,5,FALSE)</f>
        <v>4</v>
      </c>
      <c r="S52">
        <f>VLOOKUP($A52,Outcomes!$B$3:$I$209,6,FALSE)</f>
        <v>3</v>
      </c>
      <c r="T52">
        <f>VLOOKUP($A52,Outcomes!$B$3:$I$209,7,FALSE)</f>
        <v>-1</v>
      </c>
      <c r="U52" t="str">
        <f t="shared" si="3"/>
        <v>HomDog</v>
      </c>
      <c r="V52" s="5">
        <f t="shared" si="4"/>
        <v>1</v>
      </c>
      <c r="W52">
        <f t="shared" si="0"/>
        <v>100</v>
      </c>
      <c r="X52">
        <f t="shared" si="5"/>
        <v>207</v>
      </c>
      <c r="Y52">
        <f t="shared" si="6"/>
        <v>107</v>
      </c>
      <c r="Z52" s="2">
        <f t="shared" si="7"/>
        <v>1.07</v>
      </c>
      <c r="AA52" t="str">
        <f>VLOOKUP($A52,ScionOutput!$A$3:$BL$215,64,FALSE)</f>
        <v xml:space="preserve">822969. VF plays are disallowed. No play due to strategy constraints. </v>
      </c>
    </row>
    <row r="53" spans="1:27" x14ac:dyDescent="0.2">
      <c r="A53">
        <v>822805</v>
      </c>
      <c r="B53" s="3">
        <f>VLOOKUP($A53,ScionOutput!$A$3:$BL$215,3,FALSE)</f>
        <v>46182</v>
      </c>
      <c r="C53">
        <f>VLOOKUP($A53,ScionOutput!$A$3:$BL$215,22,FALSE)</f>
        <v>29</v>
      </c>
      <c r="D53" t="str">
        <f>VLOOKUP($A53,ScionOutput!$A$3:$BL$215,23,FALSE)</f>
        <v>TOR</v>
      </c>
      <c r="E53">
        <f>VLOOKUP($A53,ScionOutput!$A$3:$BL$215,6,FALSE)</f>
        <v>21</v>
      </c>
      <c r="F53" t="str">
        <f>VLOOKUP($A53,ScionOutput!$A$3:$BL$215,7,FALSE)</f>
        <v>PHI</v>
      </c>
      <c r="G53">
        <f>VLOOKUP($A53,ScionOutput!$A$3:$BL$215,26,FALSE)</f>
        <v>-107</v>
      </c>
      <c r="H53">
        <f>VLOOKUP($A53,ScionOutput!$A$3:$BL$215,10,FALSE)</f>
        <v>-101</v>
      </c>
      <c r="I53" s="6" t="str">
        <f>VLOOKUP($A53,ScionOutput!$A$3:$BL$215,55,FALSE)</f>
        <v>HomFave</v>
      </c>
      <c r="J53" s="6">
        <f>VLOOKUP($A53,ScionOutput!$A$3:$BL$215,56,FALSE)</f>
        <v>0</v>
      </c>
      <c r="K53" t="str">
        <f>VLOOKUP($A53,ScionOutput!$A$3:$BL$215,58,FALSE)</f>
        <v>HomFave</v>
      </c>
      <c r="L53">
        <f>VLOOKUP($A53,ScionOutput!$A$3:$BL$215,59,FALSE)</f>
        <v>2.2929999999999999E-2</v>
      </c>
      <c r="M53">
        <f>VLOOKUP($A53,ScionOutput!$A$3:$BL$215,62,FALSE)</f>
        <v>3</v>
      </c>
      <c r="N53">
        <f>VLOOKUP($A53,ScionOutput!$A$3:$BL$215,63,FALSE)</f>
        <v>0.8</v>
      </c>
      <c r="O53" t="b">
        <f t="shared" si="1"/>
        <v>0</v>
      </c>
      <c r="P53">
        <f>VLOOKUP($A53,Outcomes!$B$3:$I$209,8,FALSE)</f>
        <v>5</v>
      </c>
      <c r="Q53">
        <f t="shared" si="2"/>
        <v>1</v>
      </c>
      <c r="R53">
        <f>VLOOKUP($A53,Outcomes!$B$3:$I$209,5,FALSE)</f>
        <v>3</v>
      </c>
      <c r="S53">
        <f>VLOOKUP($A53,Outcomes!$B$3:$I$209,6,FALSE)</f>
        <v>2</v>
      </c>
      <c r="T53">
        <f>VLOOKUP($A53,Outcomes!$B$3:$I$209,7,FALSE)</f>
        <v>-1</v>
      </c>
      <c r="U53" t="str">
        <f t="shared" si="3"/>
        <v>HomFave</v>
      </c>
      <c r="V53" s="5" t="str">
        <f t="shared" si="4"/>
        <v/>
      </c>
      <c r="W53" t="str">
        <f t="shared" si="0"/>
        <v/>
      </c>
      <c r="X53" t="str">
        <f t="shared" si="5"/>
        <v/>
      </c>
      <c r="Y53" t="str">
        <f t="shared" si="6"/>
        <v/>
      </c>
      <c r="Z53" s="2" t="str">
        <f t="shared" si="7"/>
        <v/>
      </c>
      <c r="AA53" t="str">
        <f>VLOOKUP($A53,ScionOutput!$A$3:$BL$215,64,FALSE)</f>
        <v xml:space="preserve">822805. StatOnlyEns probability points gap does not exceed threshold (no edge found)! Play determined by LineStatEns only. </v>
      </c>
    </row>
    <row r="54" spans="1:27" x14ac:dyDescent="0.2">
      <c r="A54">
        <v>824831</v>
      </c>
      <c r="B54" s="3">
        <f>VLOOKUP($A54,ScionOutput!$A$3:$BL$215,3,FALSE)</f>
        <v>46183</v>
      </c>
      <c r="C54">
        <f>VLOOKUP($A54,ScionOutput!$A$3:$BL$215,22,FALSE)</f>
        <v>2</v>
      </c>
      <c r="D54" t="str">
        <f>VLOOKUP($A54,ScionOutput!$A$3:$BL$215,23,FALSE)</f>
        <v>BAL</v>
      </c>
      <c r="E54">
        <f>VLOOKUP($A54,ScionOutput!$A$3:$BL$215,6,FALSE)</f>
        <v>24</v>
      </c>
      <c r="F54" t="str">
        <f>VLOOKUP($A54,ScionOutput!$A$3:$BL$215,7,FALSE)</f>
        <v>SEA</v>
      </c>
      <c r="G54">
        <f>VLOOKUP($A54,ScionOutput!$A$3:$BL$215,26,FALSE)</f>
        <v>-104</v>
      </c>
      <c r="H54">
        <f>VLOOKUP($A54,ScionOutput!$A$3:$BL$215,10,FALSE)</f>
        <v>-104</v>
      </c>
      <c r="I54" s="6" t="str">
        <f>VLOOKUP($A54,ScionOutput!$A$3:$BL$215,55,FALSE)</f>
        <v>VisFave</v>
      </c>
      <c r="J54" s="6">
        <f>VLOOKUP($A54,ScionOutput!$A$3:$BL$215,56,FALSE)</f>
        <v>0</v>
      </c>
      <c r="K54" t="str">
        <f>VLOOKUP($A54,ScionOutput!$A$3:$BL$215,58,FALSE)</f>
        <v>No Play</v>
      </c>
      <c r="L54">
        <f>VLOOKUP($A54,ScionOutput!$A$3:$BL$215,59,FALSE)</f>
        <v>0</v>
      </c>
      <c r="M54">
        <f>VLOOKUP($A54,ScionOutput!$A$3:$BL$215,62,FALSE)</f>
        <v>0</v>
      </c>
      <c r="N54">
        <f>VLOOKUP($A54,ScionOutput!$A$3:$BL$215,63,FALSE)</f>
        <v>0</v>
      </c>
      <c r="O54" t="b">
        <f t="shared" si="1"/>
        <v>0</v>
      </c>
      <c r="P54">
        <f>VLOOKUP($A54,Outcomes!$B$3:$I$209,8,FALSE)</f>
        <v>9</v>
      </c>
      <c r="Q54">
        <f t="shared" si="2"/>
        <v>1</v>
      </c>
      <c r="R54">
        <f>VLOOKUP($A54,Outcomes!$B$3:$I$209,5,FALSE)</f>
        <v>7</v>
      </c>
      <c r="S54">
        <f>VLOOKUP($A54,Outcomes!$B$3:$I$209,6,FALSE)</f>
        <v>2</v>
      </c>
      <c r="T54">
        <f>VLOOKUP($A54,Outcomes!$B$3:$I$209,7,FALSE)</f>
        <v>-5</v>
      </c>
      <c r="U54" t="str">
        <f t="shared" si="3"/>
        <v>HomDog</v>
      </c>
      <c r="V54" s="5" t="str">
        <f t="shared" si="4"/>
        <v/>
      </c>
      <c r="W54" t="str">
        <f t="shared" si="0"/>
        <v/>
      </c>
      <c r="X54" t="str">
        <f t="shared" si="5"/>
        <v/>
      </c>
      <c r="Y54" t="str">
        <f t="shared" si="6"/>
        <v/>
      </c>
      <c r="Z54" s="2" t="str">
        <f t="shared" si="7"/>
        <v/>
      </c>
      <c r="AA54" t="str">
        <f>VLOOKUP($A54,ScionOutput!$A$3:$BL$215,64,FALSE)</f>
        <v xml:space="preserve">824831. VF plays are disallowed. No play due to strategy constraints. </v>
      </c>
    </row>
    <row r="55" spans="1:27" x14ac:dyDescent="0.2">
      <c r="A55">
        <v>824022</v>
      </c>
      <c r="B55" s="3">
        <f>VLOOKUP($A55,ScionOutput!$A$3:$BL$215,3,FALSE)</f>
        <v>46183</v>
      </c>
      <c r="C55">
        <f>VLOOKUP($A55,ScionOutput!$A$3:$BL$215,22,FALSE)</f>
        <v>4</v>
      </c>
      <c r="D55" t="str">
        <f>VLOOKUP($A55,ScionOutput!$A$3:$BL$215,23,FALSE)</f>
        <v>LAA</v>
      </c>
      <c r="E55">
        <f>VLOOKUP($A55,ScionOutput!$A$3:$BL$215,6,FALSE)</f>
        <v>12</v>
      </c>
      <c r="F55" t="str">
        <f>VLOOKUP($A55,ScionOutput!$A$3:$BL$215,7,FALSE)</f>
        <v>HOU</v>
      </c>
      <c r="G55">
        <f>VLOOKUP($A55,ScionOutput!$A$3:$BL$215,26,FALSE)</f>
        <v>-111</v>
      </c>
      <c r="H55">
        <f>VLOOKUP($A55,ScionOutput!$A$3:$BL$215,10,FALSE)</f>
        <v>102</v>
      </c>
      <c r="I55" s="6" t="str">
        <f>VLOOKUP($A55,ScionOutput!$A$3:$BL$215,55,FALSE)</f>
        <v>HomFave</v>
      </c>
      <c r="J55" s="6">
        <f>VLOOKUP($A55,ScionOutput!$A$3:$BL$215,56,FALSE)</f>
        <v>0</v>
      </c>
      <c r="K55" t="str">
        <f>VLOOKUP($A55,ScionOutput!$A$3:$BL$215,58,FALSE)</f>
        <v>No Play</v>
      </c>
      <c r="L55">
        <f>VLOOKUP($A55,ScionOutput!$A$3:$BL$215,59,FALSE)</f>
        <v>0</v>
      </c>
      <c r="M55">
        <f>VLOOKUP($A55,ScionOutput!$A$3:$BL$215,62,FALSE)</f>
        <v>0</v>
      </c>
      <c r="N55">
        <f>VLOOKUP($A55,ScionOutput!$A$3:$BL$215,63,FALSE)</f>
        <v>0</v>
      </c>
      <c r="O55" t="b">
        <f t="shared" si="1"/>
        <v>0</v>
      </c>
      <c r="P55">
        <f>VLOOKUP($A55,Outcomes!$B$3:$I$209,8,FALSE)</f>
        <v>5</v>
      </c>
      <c r="Q55">
        <f t="shared" si="2"/>
        <v>1</v>
      </c>
      <c r="R55">
        <f>VLOOKUP($A55,Outcomes!$B$3:$I$209,5,FALSE)</f>
        <v>3</v>
      </c>
      <c r="S55">
        <f>VLOOKUP($A55,Outcomes!$B$3:$I$209,6,FALSE)</f>
        <v>2</v>
      </c>
      <c r="T55">
        <f>VLOOKUP($A55,Outcomes!$B$3:$I$209,7,FALSE)</f>
        <v>-1</v>
      </c>
      <c r="U55" t="str">
        <f t="shared" si="3"/>
        <v>HomFave</v>
      </c>
      <c r="V55" s="5" t="str">
        <f t="shared" si="4"/>
        <v/>
      </c>
      <c r="W55" t="str">
        <f t="shared" si="0"/>
        <v/>
      </c>
      <c r="X55" t="str">
        <f t="shared" si="5"/>
        <v/>
      </c>
      <c r="Y55" t="str">
        <f t="shared" si="6"/>
        <v/>
      </c>
      <c r="Z55" s="2" t="str">
        <f t="shared" si="7"/>
        <v/>
      </c>
      <c r="AA55" t="str">
        <f>VLOOKUP($A55,ScionOutput!$A$3:$BL$215,64,FALSE)</f>
        <v xml:space="preserve">824022. LineStatEns probability points gap does not exceed threshold (no edge found)! StatOnlyEns probability points gap does not exceed threshold (no edge found)! No play due to strategy constraints. </v>
      </c>
    </row>
    <row r="56" spans="1:27" x14ac:dyDescent="0.2">
      <c r="A56">
        <v>824428</v>
      </c>
      <c r="B56" s="3">
        <f>VLOOKUP($A56,ScionOutput!$A$3:$BL$215,3,FALSE)</f>
        <v>46183</v>
      </c>
      <c r="C56">
        <f>VLOOKUP($A56,ScionOutput!$A$3:$BL$215,22,FALSE)</f>
        <v>7</v>
      </c>
      <c r="D56" t="str">
        <f>VLOOKUP($A56,ScionOutput!$A$3:$BL$215,23,FALSE)</f>
        <v>CLE</v>
      </c>
      <c r="E56">
        <f>VLOOKUP($A56,ScionOutput!$A$3:$BL$215,6,FALSE)</f>
        <v>19</v>
      </c>
      <c r="F56" t="str">
        <f>VLOOKUP($A56,ScionOutput!$A$3:$BL$215,7,FALSE)</f>
        <v>NYY</v>
      </c>
      <c r="G56">
        <f>VLOOKUP($A56,ScionOutput!$A$3:$BL$215,26,FALSE)</f>
        <v>-115</v>
      </c>
      <c r="H56">
        <f>VLOOKUP($A56,ScionOutput!$A$3:$BL$215,10,FALSE)</f>
        <v>106</v>
      </c>
      <c r="I56" s="6" t="str">
        <f>VLOOKUP($A56,ScionOutput!$A$3:$BL$215,55,FALSE)</f>
        <v>HomFave</v>
      </c>
      <c r="J56" s="6">
        <f>VLOOKUP($A56,ScionOutput!$A$3:$BL$215,56,FALSE)</f>
        <v>0</v>
      </c>
      <c r="K56" t="str">
        <f>VLOOKUP($A56,ScionOutput!$A$3:$BL$215,58,FALSE)</f>
        <v>No Play</v>
      </c>
      <c r="L56">
        <f>VLOOKUP($A56,ScionOutput!$A$3:$BL$215,59,FALSE)</f>
        <v>0</v>
      </c>
      <c r="M56">
        <f>VLOOKUP($A56,ScionOutput!$A$3:$BL$215,62,FALSE)</f>
        <v>0</v>
      </c>
      <c r="N56">
        <f>VLOOKUP($A56,ScionOutput!$A$3:$BL$215,63,FALSE)</f>
        <v>0</v>
      </c>
      <c r="O56" t="b">
        <f t="shared" si="1"/>
        <v>0</v>
      </c>
      <c r="P56">
        <f>VLOOKUP($A56,Outcomes!$B$3:$I$209,8,FALSE)</f>
        <v>12</v>
      </c>
      <c r="Q56">
        <f t="shared" si="2"/>
        <v>-1</v>
      </c>
      <c r="R56">
        <f>VLOOKUP($A56,Outcomes!$B$3:$I$209,5,FALSE)</f>
        <v>4</v>
      </c>
      <c r="S56">
        <f>VLOOKUP($A56,Outcomes!$B$3:$I$209,6,FALSE)</f>
        <v>8</v>
      </c>
      <c r="T56">
        <f>VLOOKUP($A56,Outcomes!$B$3:$I$209,7,FALSE)</f>
        <v>4</v>
      </c>
      <c r="U56" t="str">
        <f t="shared" si="3"/>
        <v>VisDog</v>
      </c>
      <c r="V56" s="5" t="str">
        <f t="shared" si="4"/>
        <v/>
      </c>
      <c r="W56" t="str">
        <f t="shared" si="0"/>
        <v/>
      </c>
      <c r="X56" t="str">
        <f t="shared" si="5"/>
        <v/>
      </c>
      <c r="Y56" t="str">
        <f t="shared" si="6"/>
        <v/>
      </c>
      <c r="Z56" s="2" t="str">
        <f t="shared" si="7"/>
        <v/>
      </c>
      <c r="AA56" t="str">
        <f>VLOOKUP($A56,ScionOutput!$A$3:$BL$215,64,FALSE)</f>
        <v xml:space="preserve">824428. LineStatEns probability points gap does not exceed threshold (no edge found)! StatOnlyEns probability points gap does not exceed threshold (no edge found)! No play due to strategy constraints. </v>
      </c>
    </row>
    <row r="57" spans="1:27" x14ac:dyDescent="0.2">
      <c r="A57">
        <v>824348</v>
      </c>
      <c r="B57" s="3">
        <f>VLOOKUP($A57,ScionOutput!$A$3:$BL$215,3,FALSE)</f>
        <v>46183</v>
      </c>
      <c r="C57">
        <f>VLOOKUP($A57,ScionOutput!$A$3:$BL$215,22,FALSE)</f>
        <v>8</v>
      </c>
      <c r="D57" t="str">
        <f>VLOOKUP($A57,ScionOutput!$A$3:$BL$215,23,FALSE)</f>
        <v>COL</v>
      </c>
      <c r="E57">
        <f>VLOOKUP($A57,ScionOutput!$A$3:$BL$215,6,FALSE)</f>
        <v>5</v>
      </c>
      <c r="F57" t="str">
        <f>VLOOKUP($A57,ScionOutput!$A$3:$BL$215,7,FALSE)</f>
        <v>CHC</v>
      </c>
      <c r="G57">
        <f>VLOOKUP($A57,ScionOutput!$A$3:$BL$215,26,FALSE)</f>
        <v>149</v>
      </c>
      <c r="H57">
        <f>VLOOKUP($A57,ScionOutput!$A$3:$BL$215,10,FALSE)</f>
        <v>-162</v>
      </c>
      <c r="I57" s="6" t="str">
        <f>VLOOKUP($A57,ScionOutput!$A$3:$BL$215,55,FALSE)</f>
        <v>VisFave</v>
      </c>
      <c r="J57" s="6">
        <f>VLOOKUP($A57,ScionOutput!$A$3:$BL$215,56,FALSE)</f>
        <v>0</v>
      </c>
      <c r="K57" t="str">
        <f>VLOOKUP($A57,ScionOutput!$A$3:$BL$215,58,FALSE)</f>
        <v>No Play</v>
      </c>
      <c r="L57">
        <f>VLOOKUP($A57,ScionOutput!$A$3:$BL$215,59,FALSE)</f>
        <v>0</v>
      </c>
      <c r="M57">
        <f>VLOOKUP($A57,ScionOutput!$A$3:$BL$215,62,FALSE)</f>
        <v>0</v>
      </c>
      <c r="N57">
        <f>VLOOKUP($A57,ScionOutput!$A$3:$BL$215,63,FALSE)</f>
        <v>0</v>
      </c>
      <c r="O57" t="b">
        <f t="shared" si="1"/>
        <v>0</v>
      </c>
      <c r="P57">
        <f>VLOOKUP($A57,Outcomes!$B$3:$I$209,8,FALSE)</f>
        <v>5</v>
      </c>
      <c r="Q57">
        <f t="shared" si="2"/>
        <v>1</v>
      </c>
      <c r="R57">
        <f>VLOOKUP($A57,Outcomes!$B$3:$I$209,5,FALSE)</f>
        <v>3</v>
      </c>
      <c r="S57">
        <f>VLOOKUP($A57,Outcomes!$B$3:$I$209,6,FALSE)</f>
        <v>2</v>
      </c>
      <c r="T57">
        <f>VLOOKUP($A57,Outcomes!$B$3:$I$209,7,FALSE)</f>
        <v>-1</v>
      </c>
      <c r="U57" t="str">
        <f t="shared" si="3"/>
        <v>HomDog</v>
      </c>
      <c r="V57" s="5" t="str">
        <f t="shared" si="4"/>
        <v/>
      </c>
      <c r="W57" t="str">
        <f t="shared" si="0"/>
        <v/>
      </c>
      <c r="X57" t="str">
        <f t="shared" si="5"/>
        <v/>
      </c>
      <c r="Y57" t="str">
        <f t="shared" si="6"/>
        <v/>
      </c>
      <c r="Z57" s="2" t="str">
        <f t="shared" si="7"/>
        <v/>
      </c>
      <c r="AA57" t="str">
        <f>VLOOKUP($A57,ScionOutput!$A$3:$BL$215,64,FALSE)</f>
        <v xml:space="preserve">824348. VF plays are disallowed. No play due to strategy constraints. </v>
      </c>
    </row>
    <row r="58" spans="1:27" x14ac:dyDescent="0.2">
      <c r="A58">
        <v>824590</v>
      </c>
      <c r="B58" s="3">
        <f>VLOOKUP($A58,ScionOutput!$A$3:$BL$215,3,FALSE)</f>
        <v>46183</v>
      </c>
      <c r="C58">
        <f>VLOOKUP($A58,ScionOutput!$A$3:$BL$215,22,FALSE)</f>
        <v>9</v>
      </c>
      <c r="D58" t="str">
        <f>VLOOKUP($A58,ScionOutput!$A$3:$BL$215,23,FALSE)</f>
        <v>CWS</v>
      </c>
      <c r="E58">
        <f>VLOOKUP($A58,ScionOutput!$A$3:$BL$215,6,FALSE)</f>
        <v>0</v>
      </c>
      <c r="F58" t="str">
        <f>VLOOKUP($A58,ScionOutput!$A$3:$BL$215,7,FALSE)</f>
        <v>ATL</v>
      </c>
      <c r="G58">
        <f>VLOOKUP($A58,ScionOutput!$A$3:$BL$215,26,FALSE)</f>
        <v>132</v>
      </c>
      <c r="H58">
        <f>VLOOKUP($A58,ScionOutput!$A$3:$BL$215,10,FALSE)</f>
        <v>-143</v>
      </c>
      <c r="I58" s="6" t="str">
        <f>VLOOKUP($A58,ScionOutput!$A$3:$BL$215,55,FALSE)</f>
        <v>VisFave</v>
      </c>
      <c r="J58" s="6">
        <f>VLOOKUP($A58,ScionOutput!$A$3:$BL$215,56,FALSE)</f>
        <v>0</v>
      </c>
      <c r="K58" t="str">
        <f>VLOOKUP($A58,ScionOutput!$A$3:$BL$215,58,FALSE)</f>
        <v>No Play</v>
      </c>
      <c r="L58">
        <f>VLOOKUP($A58,ScionOutput!$A$3:$BL$215,59,FALSE)</f>
        <v>0</v>
      </c>
      <c r="M58">
        <f>VLOOKUP($A58,ScionOutput!$A$3:$BL$215,62,FALSE)</f>
        <v>0</v>
      </c>
      <c r="N58">
        <f>VLOOKUP($A58,ScionOutput!$A$3:$BL$215,63,FALSE)</f>
        <v>0</v>
      </c>
      <c r="O58" t="b">
        <f t="shared" si="1"/>
        <v>0</v>
      </c>
      <c r="P58">
        <f>VLOOKUP($A58,Outcomes!$B$3:$I$209,8,FALSE)</f>
        <v>3</v>
      </c>
      <c r="Q58">
        <f t="shared" si="2"/>
        <v>1</v>
      </c>
      <c r="R58">
        <f>VLOOKUP($A58,Outcomes!$B$3:$I$209,5,FALSE)</f>
        <v>2</v>
      </c>
      <c r="S58">
        <f>VLOOKUP($A58,Outcomes!$B$3:$I$209,6,FALSE)</f>
        <v>1</v>
      </c>
      <c r="T58">
        <f>VLOOKUP($A58,Outcomes!$B$3:$I$209,7,FALSE)</f>
        <v>-1</v>
      </c>
      <c r="U58" t="str">
        <f t="shared" si="3"/>
        <v>HomDog</v>
      </c>
      <c r="V58" s="5" t="str">
        <f t="shared" si="4"/>
        <v/>
      </c>
      <c r="W58" t="str">
        <f t="shared" si="0"/>
        <v/>
      </c>
      <c r="X58" t="str">
        <f t="shared" si="5"/>
        <v/>
      </c>
      <c r="Y58" t="str">
        <f t="shared" si="6"/>
        <v/>
      </c>
      <c r="Z58" s="2" t="str">
        <f t="shared" si="7"/>
        <v/>
      </c>
      <c r="AA58" t="str">
        <f>VLOOKUP($A58,ScionOutput!$A$3:$BL$215,64,FALSE)</f>
        <v xml:space="preserve">824590. LineStatEns price is outside allowable range! StatOnlyEns price is outside allowable range! No play due to strategy constraints. </v>
      </c>
    </row>
    <row r="59" spans="1:27" x14ac:dyDescent="0.2">
      <c r="A59">
        <v>824266</v>
      </c>
      <c r="B59" s="3">
        <f>VLOOKUP($A59,ScionOutput!$A$3:$BL$215,3,FALSE)</f>
        <v>46183</v>
      </c>
      <c r="C59">
        <f>VLOOKUP($A59,ScionOutput!$A$3:$BL$215,22,FALSE)</f>
        <v>10</v>
      </c>
      <c r="D59" t="str">
        <f>VLOOKUP($A59,ScionOutput!$A$3:$BL$215,23,FALSE)</f>
        <v>DET</v>
      </c>
      <c r="E59">
        <f>VLOOKUP($A59,ScionOutput!$A$3:$BL$215,6,FALSE)</f>
        <v>15</v>
      </c>
      <c r="F59" t="str">
        <f>VLOOKUP($A59,ScionOutput!$A$3:$BL$215,7,FALSE)</f>
        <v>MIN</v>
      </c>
      <c r="G59">
        <f>VLOOKUP($A59,ScionOutput!$A$3:$BL$215,26,FALSE)</f>
        <v>-164</v>
      </c>
      <c r="H59">
        <f>VLOOKUP($A59,ScionOutput!$A$3:$BL$215,10,FALSE)</f>
        <v>150</v>
      </c>
      <c r="I59" s="6" t="str">
        <f>VLOOKUP($A59,ScionOutput!$A$3:$BL$215,55,FALSE)</f>
        <v>HomFave</v>
      </c>
      <c r="J59" s="6">
        <f>VLOOKUP($A59,ScionOutput!$A$3:$BL$215,56,FALSE)</f>
        <v>0</v>
      </c>
      <c r="K59" t="str">
        <f>VLOOKUP($A59,ScionOutput!$A$3:$BL$215,58,FALSE)</f>
        <v>No Play</v>
      </c>
      <c r="L59">
        <f>VLOOKUP($A59,ScionOutput!$A$3:$BL$215,59,FALSE)</f>
        <v>0</v>
      </c>
      <c r="M59">
        <f>VLOOKUP($A59,ScionOutput!$A$3:$BL$215,62,FALSE)</f>
        <v>0</v>
      </c>
      <c r="N59">
        <f>VLOOKUP($A59,ScionOutput!$A$3:$BL$215,63,FALSE)</f>
        <v>0</v>
      </c>
      <c r="O59" t="b">
        <f t="shared" si="1"/>
        <v>0</v>
      </c>
      <c r="P59">
        <f>VLOOKUP($A59,Outcomes!$B$3:$I$209,8,FALSE)</f>
        <v>10</v>
      </c>
      <c r="Q59">
        <f t="shared" si="2"/>
        <v>-1</v>
      </c>
      <c r="R59">
        <f>VLOOKUP($A59,Outcomes!$B$3:$I$209,5,FALSE)</f>
        <v>4</v>
      </c>
      <c r="S59">
        <f>VLOOKUP($A59,Outcomes!$B$3:$I$209,6,FALSE)</f>
        <v>6</v>
      </c>
      <c r="T59">
        <f>VLOOKUP($A59,Outcomes!$B$3:$I$209,7,FALSE)</f>
        <v>2</v>
      </c>
      <c r="U59" t="str">
        <f t="shared" si="3"/>
        <v>VisDog</v>
      </c>
      <c r="V59" s="5" t="str">
        <f t="shared" si="4"/>
        <v/>
      </c>
      <c r="W59" t="str">
        <f t="shared" si="0"/>
        <v/>
      </c>
      <c r="X59" t="str">
        <f t="shared" si="5"/>
        <v/>
      </c>
      <c r="Y59" t="str">
        <f t="shared" si="6"/>
        <v/>
      </c>
      <c r="Z59" s="2" t="str">
        <f t="shared" si="7"/>
        <v/>
      </c>
      <c r="AA59" t="str">
        <f>VLOOKUP($A59,ScionOutput!$A$3:$BL$215,64,FALSE)</f>
        <v xml:space="preserve">824266. V_SP is Null, team-based avg used. NoPlay as V_SP is Null. </v>
      </c>
    </row>
    <row r="60" spans="1:27" x14ac:dyDescent="0.2">
      <c r="A60">
        <v>823856</v>
      </c>
      <c r="B60" s="3">
        <f>VLOOKUP($A60,ScionOutput!$A$3:$BL$215,3,FALSE)</f>
        <v>46183</v>
      </c>
      <c r="C60">
        <f>VLOOKUP($A60,ScionOutput!$A$3:$BL$215,22,FALSE)</f>
        <v>11</v>
      </c>
      <c r="D60" t="str">
        <f>VLOOKUP($A60,ScionOutput!$A$3:$BL$215,23,FALSE)</f>
        <v>FLO</v>
      </c>
      <c r="E60">
        <f>VLOOKUP($A60,ScionOutput!$A$3:$BL$215,6,FALSE)</f>
        <v>1</v>
      </c>
      <c r="F60" t="str">
        <f>VLOOKUP($A60,ScionOutput!$A$3:$BL$215,7,FALSE)</f>
        <v>ARZ</v>
      </c>
      <c r="G60">
        <f>VLOOKUP($A60,ScionOutput!$A$3:$BL$215,26,FALSE)</f>
        <v>102</v>
      </c>
      <c r="H60">
        <f>VLOOKUP($A60,ScionOutput!$A$3:$BL$215,10,FALSE)</f>
        <v>-111</v>
      </c>
      <c r="I60" s="6" t="str">
        <f>VLOOKUP($A60,ScionOutput!$A$3:$BL$215,55,FALSE)</f>
        <v>HomDog</v>
      </c>
      <c r="J60" s="6">
        <f>VLOOKUP($A60,ScionOutput!$A$3:$BL$215,56,FALSE)</f>
        <v>1</v>
      </c>
      <c r="K60" t="str">
        <f>VLOOKUP($A60,ScionOutput!$A$3:$BL$215,58,FALSE)</f>
        <v>HomDog</v>
      </c>
      <c r="L60">
        <f>VLOOKUP($A60,ScionOutput!$A$3:$BL$215,59,FALSE)</f>
        <v>1.519E-2</v>
      </c>
      <c r="M60">
        <f>VLOOKUP($A60,ScionOutput!$A$3:$BL$215,62,FALSE)</f>
        <v>5</v>
      </c>
      <c r="N60">
        <f>VLOOKUP($A60,ScionOutput!$A$3:$BL$215,63,FALSE)</f>
        <v>0.6</v>
      </c>
      <c r="O60" t="b">
        <f t="shared" si="1"/>
        <v>1</v>
      </c>
      <c r="P60">
        <f>VLOOKUP($A60,Outcomes!$B$3:$I$209,8,FALSE)</f>
        <v>8</v>
      </c>
      <c r="Q60">
        <f t="shared" si="2"/>
        <v>1</v>
      </c>
      <c r="R60">
        <f>VLOOKUP($A60,Outcomes!$B$3:$I$209,5,FALSE)</f>
        <v>8</v>
      </c>
      <c r="S60">
        <f>VLOOKUP($A60,Outcomes!$B$3:$I$209,6,FALSE)</f>
        <v>0</v>
      </c>
      <c r="T60">
        <f>VLOOKUP($A60,Outcomes!$B$3:$I$209,7,FALSE)</f>
        <v>-8</v>
      </c>
      <c r="U60" t="str">
        <f t="shared" si="3"/>
        <v>HomDog</v>
      </c>
      <c r="V60" s="5">
        <f t="shared" si="4"/>
        <v>1</v>
      </c>
      <c r="W60">
        <f t="shared" si="0"/>
        <v>100</v>
      </c>
      <c r="X60">
        <f t="shared" si="5"/>
        <v>202</v>
      </c>
      <c r="Y60">
        <f t="shared" si="6"/>
        <v>102</v>
      </c>
      <c r="Z60" s="2">
        <f t="shared" si="7"/>
        <v>1.02</v>
      </c>
      <c r="AA60" t="str">
        <f>VLOOKUP($A60,ScionOutput!$A$3:$BL$215,64,FALSE)</f>
        <v xml:space="preserve">823856. Play determined by LineStatEns and StatOnlyEns agreement. </v>
      </c>
    </row>
    <row r="61" spans="1:27" x14ac:dyDescent="0.2">
      <c r="A61">
        <v>824103</v>
      </c>
      <c r="B61" s="3">
        <f>VLOOKUP($A61,ScionOutput!$A$3:$BL$215,3,FALSE)</f>
        <v>46183</v>
      </c>
      <c r="C61">
        <f>VLOOKUP($A61,ScionOutput!$A$3:$BL$215,22,FALSE)</f>
        <v>13</v>
      </c>
      <c r="D61" t="str">
        <f>VLOOKUP($A61,ScionOutput!$A$3:$BL$215,23,FALSE)</f>
        <v>KC</v>
      </c>
      <c r="E61">
        <f>VLOOKUP($A61,ScionOutput!$A$3:$BL$215,6,FALSE)</f>
        <v>28</v>
      </c>
      <c r="F61" t="str">
        <f>VLOOKUP($A61,ScionOutput!$A$3:$BL$215,7,FALSE)</f>
        <v>TEX</v>
      </c>
      <c r="G61">
        <f>VLOOKUP($A61,ScionOutput!$A$3:$BL$215,26,FALSE)</f>
        <v>108</v>
      </c>
      <c r="H61">
        <f>VLOOKUP($A61,ScionOutput!$A$3:$BL$215,10,FALSE)</f>
        <v>-117</v>
      </c>
      <c r="I61" s="6" t="str">
        <f>VLOOKUP($A61,ScionOutput!$A$3:$BL$215,55,FALSE)</f>
        <v>VisFave</v>
      </c>
      <c r="J61" s="6">
        <f>VLOOKUP($A61,ScionOutput!$A$3:$BL$215,56,FALSE)</f>
        <v>0</v>
      </c>
      <c r="K61" t="str">
        <f>VLOOKUP($A61,ScionOutput!$A$3:$BL$215,58,FALSE)</f>
        <v>No Play</v>
      </c>
      <c r="L61">
        <f>VLOOKUP($A61,ScionOutput!$A$3:$BL$215,59,FALSE)</f>
        <v>0</v>
      </c>
      <c r="M61">
        <f>VLOOKUP($A61,ScionOutput!$A$3:$BL$215,62,FALSE)</f>
        <v>0</v>
      </c>
      <c r="N61">
        <f>VLOOKUP($A61,ScionOutput!$A$3:$BL$215,63,FALSE)</f>
        <v>0</v>
      </c>
      <c r="O61" t="b">
        <f t="shared" si="1"/>
        <v>0</v>
      </c>
      <c r="P61">
        <f>VLOOKUP($A61,Outcomes!$B$3:$I$209,8,FALSE)</f>
        <v>10</v>
      </c>
      <c r="Q61">
        <f t="shared" si="2"/>
        <v>-1</v>
      </c>
      <c r="R61">
        <f>VLOOKUP($A61,Outcomes!$B$3:$I$209,5,FALSE)</f>
        <v>4</v>
      </c>
      <c r="S61">
        <f>VLOOKUP($A61,Outcomes!$B$3:$I$209,6,FALSE)</f>
        <v>6</v>
      </c>
      <c r="T61">
        <f>VLOOKUP($A61,Outcomes!$B$3:$I$209,7,FALSE)</f>
        <v>2</v>
      </c>
      <c r="U61" t="str">
        <f t="shared" si="3"/>
        <v>VisFave</v>
      </c>
      <c r="V61" s="5" t="str">
        <f t="shared" si="4"/>
        <v/>
      </c>
      <c r="W61" t="str">
        <f t="shared" si="0"/>
        <v/>
      </c>
      <c r="X61" t="str">
        <f t="shared" si="5"/>
        <v/>
      </c>
      <c r="Y61" t="str">
        <f t="shared" si="6"/>
        <v/>
      </c>
      <c r="Z61" s="2" t="str">
        <f t="shared" si="7"/>
        <v/>
      </c>
      <c r="AA61" t="str">
        <f>VLOOKUP($A61,ScionOutput!$A$3:$BL$215,64,FALSE)</f>
        <v xml:space="preserve">824103. VF plays are disallowed. No play due to strategy constraints. </v>
      </c>
    </row>
    <row r="62" spans="1:27" x14ac:dyDescent="0.2">
      <c r="A62">
        <v>823618</v>
      </c>
      <c r="B62" s="3">
        <f>VLOOKUP($A62,ScionOutput!$A$3:$BL$215,3,FALSE)</f>
        <v>46183</v>
      </c>
      <c r="C62">
        <f>VLOOKUP($A62,ScionOutput!$A$3:$BL$215,22,FALSE)</f>
        <v>18</v>
      </c>
      <c r="D62" t="str">
        <f>VLOOKUP($A62,ScionOutput!$A$3:$BL$215,23,FALSE)</f>
        <v>NYM</v>
      </c>
      <c r="E62">
        <f>VLOOKUP($A62,ScionOutput!$A$3:$BL$215,6,FALSE)</f>
        <v>26</v>
      </c>
      <c r="F62" t="str">
        <f>VLOOKUP($A62,ScionOutput!$A$3:$BL$215,7,FALSE)</f>
        <v>STL</v>
      </c>
      <c r="G62">
        <f>VLOOKUP($A62,ScionOutput!$A$3:$BL$215,26,FALSE)</f>
        <v>-128</v>
      </c>
      <c r="H62">
        <f>VLOOKUP($A62,ScionOutput!$A$3:$BL$215,10,FALSE)</f>
        <v>118</v>
      </c>
      <c r="I62" s="6" t="str">
        <f>VLOOKUP($A62,ScionOutput!$A$3:$BL$215,55,FALSE)</f>
        <v>HomFave</v>
      </c>
      <c r="J62" s="6">
        <f>VLOOKUP($A62,ScionOutput!$A$3:$BL$215,56,FALSE)</f>
        <v>0</v>
      </c>
      <c r="K62" t="str">
        <f>VLOOKUP($A62,ScionOutput!$A$3:$BL$215,58,FALSE)</f>
        <v>No Play</v>
      </c>
      <c r="L62">
        <f>VLOOKUP($A62,ScionOutput!$A$3:$BL$215,59,FALSE)</f>
        <v>0</v>
      </c>
      <c r="M62">
        <f>VLOOKUP($A62,ScionOutput!$A$3:$BL$215,62,FALSE)</f>
        <v>0</v>
      </c>
      <c r="N62">
        <f>VLOOKUP($A62,ScionOutput!$A$3:$BL$215,63,FALSE)</f>
        <v>0</v>
      </c>
      <c r="O62" t="b">
        <f t="shared" si="1"/>
        <v>0</v>
      </c>
      <c r="P62">
        <f>VLOOKUP($A62,Outcomes!$B$3:$I$209,8,FALSE)</f>
        <v>11</v>
      </c>
      <c r="Q62">
        <f t="shared" si="2"/>
        <v>-1</v>
      </c>
      <c r="R62">
        <f>VLOOKUP($A62,Outcomes!$B$3:$I$209,5,FALSE)</f>
        <v>2</v>
      </c>
      <c r="S62">
        <f>VLOOKUP($A62,Outcomes!$B$3:$I$209,6,FALSE)</f>
        <v>9</v>
      </c>
      <c r="T62">
        <f>VLOOKUP($A62,Outcomes!$B$3:$I$209,7,FALSE)</f>
        <v>7</v>
      </c>
      <c r="U62" t="str">
        <f t="shared" si="3"/>
        <v>VisDog</v>
      </c>
      <c r="V62" s="5" t="str">
        <f t="shared" si="4"/>
        <v/>
      </c>
      <c r="W62" t="str">
        <f t="shared" si="0"/>
        <v/>
      </c>
      <c r="X62" t="str">
        <f t="shared" si="5"/>
        <v/>
      </c>
      <c r="Y62" t="str">
        <f t="shared" si="6"/>
        <v/>
      </c>
      <c r="Z62" s="2" t="str">
        <f t="shared" si="7"/>
        <v/>
      </c>
      <c r="AA62" t="str">
        <f>VLOOKUP($A62,ScionOutput!$A$3:$BL$215,64,FALSE)</f>
        <v xml:space="preserve">823618. LineStatEns probability points gap does not exceed threshold (no edge found)! StatOnlyEns probability points gap does not exceed threshold (no edge found)! No play due to strategy constraints. </v>
      </c>
    </row>
    <row r="63" spans="1:27" x14ac:dyDescent="0.2">
      <c r="A63">
        <v>824996</v>
      </c>
      <c r="B63" s="3">
        <f>VLOOKUP($A63,ScionOutput!$A$3:$BL$215,3,FALSE)</f>
        <v>46183</v>
      </c>
      <c r="C63">
        <f>VLOOKUP($A63,ScionOutput!$A$3:$BL$215,22,FALSE)</f>
        <v>20</v>
      </c>
      <c r="D63" t="str">
        <f>VLOOKUP($A63,ScionOutput!$A$3:$BL$215,23,FALSE)</f>
        <v>OAK</v>
      </c>
      <c r="E63">
        <f>VLOOKUP($A63,ScionOutput!$A$3:$BL$215,6,FALSE)</f>
        <v>17</v>
      </c>
      <c r="F63" t="str">
        <f>VLOOKUP($A63,ScionOutput!$A$3:$BL$215,7,FALSE)</f>
        <v>MLW</v>
      </c>
      <c r="G63">
        <f>VLOOKUP($A63,ScionOutput!$A$3:$BL$215,26,FALSE)</f>
        <v>-105</v>
      </c>
      <c r="H63">
        <f>VLOOKUP($A63,ScionOutput!$A$3:$BL$215,10,FALSE)</f>
        <v>-103</v>
      </c>
      <c r="I63" s="6" t="str">
        <f>VLOOKUP($A63,ScionOutput!$A$3:$BL$215,55,FALSE)</f>
        <v>VisDog</v>
      </c>
      <c r="J63" s="6">
        <f>VLOOKUP($A63,ScionOutput!$A$3:$BL$215,56,FALSE)</f>
        <v>1</v>
      </c>
      <c r="K63" t="str">
        <f>VLOOKUP($A63,ScionOutput!$A$3:$BL$215,58,FALSE)</f>
        <v>VisDog</v>
      </c>
      <c r="L63">
        <f>VLOOKUP($A63,ScionOutput!$A$3:$BL$215,59,FALSE)</f>
        <v>-6.2359999999999999E-2</v>
      </c>
      <c r="M63">
        <f>VLOOKUP($A63,ScionOutput!$A$3:$BL$215,62,FALSE)</f>
        <v>5</v>
      </c>
      <c r="N63">
        <f>VLOOKUP($A63,ScionOutput!$A$3:$BL$215,63,FALSE)</f>
        <v>0.98</v>
      </c>
      <c r="O63" t="b">
        <f t="shared" si="1"/>
        <v>0</v>
      </c>
      <c r="P63">
        <f>VLOOKUP($A63,Outcomes!$B$3:$I$209,8,FALSE)</f>
        <v>7</v>
      </c>
      <c r="Q63">
        <f t="shared" si="2"/>
        <v>1</v>
      </c>
      <c r="R63">
        <f>VLOOKUP($A63,Outcomes!$B$3:$I$209,5,FALSE)</f>
        <v>4</v>
      </c>
      <c r="S63">
        <f>VLOOKUP($A63,Outcomes!$B$3:$I$209,6,FALSE)</f>
        <v>3</v>
      </c>
      <c r="T63">
        <f>VLOOKUP($A63,Outcomes!$B$3:$I$209,7,FALSE)</f>
        <v>-1</v>
      </c>
      <c r="U63" t="str">
        <f t="shared" si="3"/>
        <v>HomFave</v>
      </c>
      <c r="V63" s="5">
        <f t="shared" si="4"/>
        <v>0</v>
      </c>
      <c r="W63">
        <f t="shared" si="0"/>
        <v>103</v>
      </c>
      <c r="X63">
        <f t="shared" si="5"/>
        <v>0</v>
      </c>
      <c r="Y63">
        <f t="shared" si="6"/>
        <v>-103</v>
      </c>
      <c r="Z63" s="2">
        <f t="shared" si="7"/>
        <v>-1</v>
      </c>
      <c r="AA63" t="str">
        <f>VLOOKUP($A63,ScionOutput!$A$3:$BL$215,64,FALSE)</f>
        <v xml:space="preserve">824996. Play determined by StatOnlyEns when it disagrees with LineStatEns. </v>
      </c>
    </row>
    <row r="64" spans="1:27" x14ac:dyDescent="0.2">
      <c r="A64">
        <v>823372</v>
      </c>
      <c r="B64" s="3">
        <f>VLOOKUP($A64,ScionOutput!$A$3:$BL$215,3,FALSE)</f>
        <v>46183</v>
      </c>
      <c r="C64">
        <f>VLOOKUP($A64,ScionOutput!$A$3:$BL$215,22,FALSE)</f>
        <v>22</v>
      </c>
      <c r="D64" t="str">
        <f>VLOOKUP($A64,ScionOutput!$A$3:$BL$215,23,FALSE)</f>
        <v>PIT</v>
      </c>
      <c r="E64">
        <f>VLOOKUP($A64,ScionOutput!$A$3:$BL$215,6,FALSE)</f>
        <v>14</v>
      </c>
      <c r="F64" t="str">
        <f>VLOOKUP($A64,ScionOutput!$A$3:$BL$215,7,FALSE)</f>
        <v>LA</v>
      </c>
      <c r="G64">
        <f>VLOOKUP($A64,ScionOutput!$A$3:$BL$215,26,FALSE)</f>
        <v>175</v>
      </c>
      <c r="H64">
        <f>VLOOKUP($A64,ScionOutput!$A$3:$BL$215,10,FALSE)</f>
        <v>-193</v>
      </c>
      <c r="I64" s="6" t="str">
        <f>VLOOKUP($A64,ScionOutput!$A$3:$BL$215,55,FALSE)</f>
        <v>VisFave</v>
      </c>
      <c r="J64" s="6">
        <f>VLOOKUP($A64,ScionOutput!$A$3:$BL$215,56,FALSE)</f>
        <v>0</v>
      </c>
      <c r="K64" t="str">
        <f>VLOOKUP($A64,ScionOutput!$A$3:$BL$215,58,FALSE)</f>
        <v>No Play</v>
      </c>
      <c r="L64">
        <f>VLOOKUP($A64,ScionOutput!$A$3:$BL$215,59,FALSE)</f>
        <v>0</v>
      </c>
      <c r="M64">
        <f>VLOOKUP($A64,ScionOutput!$A$3:$BL$215,62,FALSE)</f>
        <v>0</v>
      </c>
      <c r="N64">
        <f>VLOOKUP($A64,ScionOutput!$A$3:$BL$215,63,FALSE)</f>
        <v>0</v>
      </c>
      <c r="O64" t="b">
        <f t="shared" si="1"/>
        <v>0</v>
      </c>
      <c r="P64">
        <f>VLOOKUP($A64,Outcomes!$B$3:$I$209,8,FALSE)</f>
        <v>17</v>
      </c>
      <c r="Q64">
        <f t="shared" si="2"/>
        <v>1</v>
      </c>
      <c r="R64">
        <f>VLOOKUP($A64,Outcomes!$B$3:$I$209,5,FALSE)</f>
        <v>9</v>
      </c>
      <c r="S64">
        <f>VLOOKUP($A64,Outcomes!$B$3:$I$209,6,FALSE)</f>
        <v>8</v>
      </c>
      <c r="T64">
        <f>VLOOKUP($A64,Outcomes!$B$3:$I$209,7,FALSE)</f>
        <v>-1</v>
      </c>
      <c r="U64" t="str">
        <f t="shared" si="3"/>
        <v>HomDog</v>
      </c>
      <c r="V64" s="5" t="str">
        <f t="shared" si="4"/>
        <v/>
      </c>
      <c r="W64" t="str">
        <f t="shared" si="0"/>
        <v/>
      </c>
      <c r="X64" t="str">
        <f t="shared" si="5"/>
        <v/>
      </c>
      <c r="Y64" t="str">
        <f t="shared" si="6"/>
        <v/>
      </c>
      <c r="Z64" s="2" t="str">
        <f t="shared" si="7"/>
        <v/>
      </c>
      <c r="AA64" t="str">
        <f>VLOOKUP($A64,ScionOutput!$A$3:$BL$215,64,FALSE)</f>
        <v xml:space="preserve">823372. LineStatEns is NoPlay as bookie-line outside range. StatOnlyEns is NoPlay as bookie-line outside range. No play due to strategy constraints. </v>
      </c>
    </row>
    <row r="65" spans="1:27" x14ac:dyDescent="0.2">
      <c r="A65">
        <v>823287</v>
      </c>
      <c r="B65" s="3">
        <f>VLOOKUP($A65,ScionOutput!$A$3:$BL$215,3,FALSE)</f>
        <v>46183</v>
      </c>
      <c r="C65">
        <f>VLOOKUP($A65,ScionOutput!$A$3:$BL$215,22,FALSE)</f>
        <v>23</v>
      </c>
      <c r="D65" t="str">
        <f>VLOOKUP($A65,ScionOutput!$A$3:$BL$215,23,FALSE)</f>
        <v>SD</v>
      </c>
      <c r="E65">
        <f>VLOOKUP($A65,ScionOutput!$A$3:$BL$215,6,FALSE)</f>
        <v>6</v>
      </c>
      <c r="F65" t="str">
        <f>VLOOKUP($A65,ScionOutput!$A$3:$BL$215,7,FALSE)</f>
        <v>CIN</v>
      </c>
      <c r="G65">
        <f>VLOOKUP($A65,ScionOutput!$A$3:$BL$215,26,FALSE)</f>
        <v>-158</v>
      </c>
      <c r="H65">
        <f>VLOOKUP($A65,ScionOutput!$A$3:$BL$215,10,FALSE)</f>
        <v>145</v>
      </c>
      <c r="I65" s="6" t="str">
        <f>VLOOKUP($A65,ScionOutput!$A$3:$BL$215,55,FALSE)</f>
        <v>HomFave</v>
      </c>
      <c r="J65" s="6">
        <f>VLOOKUP($A65,ScionOutput!$A$3:$BL$215,56,FALSE)</f>
        <v>0</v>
      </c>
      <c r="K65" t="str">
        <f>VLOOKUP($A65,ScionOutput!$A$3:$BL$215,58,FALSE)</f>
        <v>No Play</v>
      </c>
      <c r="L65">
        <f>VLOOKUP($A65,ScionOutput!$A$3:$BL$215,59,FALSE)</f>
        <v>0</v>
      </c>
      <c r="M65">
        <f>VLOOKUP($A65,ScionOutput!$A$3:$BL$215,62,FALSE)</f>
        <v>0</v>
      </c>
      <c r="N65">
        <f>VLOOKUP($A65,ScionOutput!$A$3:$BL$215,63,FALSE)</f>
        <v>0</v>
      </c>
      <c r="O65" t="b">
        <f t="shared" si="1"/>
        <v>0</v>
      </c>
      <c r="P65">
        <f>VLOOKUP($A65,Outcomes!$B$3:$I$209,8,FALSE)</f>
        <v>9</v>
      </c>
      <c r="Q65">
        <f t="shared" si="2"/>
        <v>1</v>
      </c>
      <c r="R65">
        <f>VLOOKUP($A65,Outcomes!$B$3:$I$209,5,FALSE)</f>
        <v>5</v>
      </c>
      <c r="S65">
        <f>VLOOKUP($A65,Outcomes!$B$3:$I$209,6,FALSE)</f>
        <v>4</v>
      </c>
      <c r="T65">
        <f>VLOOKUP($A65,Outcomes!$B$3:$I$209,7,FALSE)</f>
        <v>-1</v>
      </c>
      <c r="U65" t="str">
        <f t="shared" si="3"/>
        <v>HomFave</v>
      </c>
      <c r="V65" s="5" t="str">
        <f t="shared" si="4"/>
        <v/>
      </c>
      <c r="W65" t="str">
        <f t="shared" si="0"/>
        <v/>
      </c>
      <c r="X65" t="str">
        <f t="shared" si="5"/>
        <v/>
      </c>
      <c r="Y65" t="str">
        <f t="shared" si="6"/>
        <v/>
      </c>
      <c r="Z65" s="2" t="str">
        <f t="shared" si="7"/>
        <v/>
      </c>
      <c r="AA65" t="str">
        <f>VLOOKUP($A65,ScionOutput!$A$3:$BL$215,64,FALSE)</f>
        <v xml:space="preserve">823287. LineStatEns is NoPlay as bookie-line outside range. StatOnlyEns is NoPlay as bookie-line outside range. No play due to strategy constraints. </v>
      </c>
    </row>
    <row r="66" spans="1:27" x14ac:dyDescent="0.2">
      <c r="A66">
        <v>823215</v>
      </c>
      <c r="B66" s="3">
        <f>VLOOKUP($A66,ScionOutput!$A$3:$BL$215,3,FALSE)</f>
        <v>46183</v>
      </c>
      <c r="C66">
        <f>VLOOKUP($A66,ScionOutput!$A$3:$BL$215,22,FALSE)</f>
        <v>25</v>
      </c>
      <c r="D66" t="str">
        <f>VLOOKUP($A66,ScionOutput!$A$3:$BL$215,23,FALSE)</f>
        <v>SF</v>
      </c>
      <c r="E66">
        <f>VLOOKUP($A66,ScionOutput!$A$3:$BL$215,6,FALSE)</f>
        <v>16</v>
      </c>
      <c r="F66" t="str">
        <f>VLOOKUP($A66,ScionOutput!$A$3:$BL$215,7,FALSE)</f>
        <v>WAS</v>
      </c>
      <c r="G66">
        <f>VLOOKUP($A66,ScionOutput!$A$3:$BL$215,26,FALSE)</f>
        <v>-105</v>
      </c>
      <c r="H66">
        <f>VLOOKUP($A66,ScionOutput!$A$3:$BL$215,10,FALSE)</f>
        <v>-103</v>
      </c>
      <c r="I66" s="6" t="str">
        <f>VLOOKUP($A66,ScionOutput!$A$3:$BL$215,55,FALSE)</f>
        <v>HomFave</v>
      </c>
      <c r="J66" s="6">
        <f>VLOOKUP($A66,ScionOutput!$A$3:$BL$215,56,FALSE)</f>
        <v>0</v>
      </c>
      <c r="K66" t="str">
        <f>VLOOKUP($A66,ScionOutput!$A$3:$BL$215,58,FALSE)</f>
        <v>VisDog</v>
      </c>
      <c r="L66">
        <f>VLOOKUP($A66,ScionOutput!$A$3:$BL$215,59,FALSE)</f>
        <v>-3.236E-2</v>
      </c>
      <c r="M66">
        <f>VLOOKUP($A66,ScionOutput!$A$3:$BL$215,62,FALSE)</f>
        <v>3</v>
      </c>
      <c r="N66">
        <f>VLOOKUP($A66,ScionOutput!$A$3:$BL$215,63,FALSE)</f>
        <v>0.93</v>
      </c>
      <c r="O66" t="b">
        <f t="shared" si="1"/>
        <v>0</v>
      </c>
      <c r="P66">
        <f>VLOOKUP($A66,Outcomes!$B$3:$I$209,8,FALSE)</f>
        <v>21</v>
      </c>
      <c r="Q66">
        <f t="shared" si="2"/>
        <v>1</v>
      </c>
      <c r="R66">
        <f>VLOOKUP($A66,Outcomes!$B$3:$I$209,5,FALSE)</f>
        <v>11</v>
      </c>
      <c r="S66">
        <f>VLOOKUP($A66,Outcomes!$B$3:$I$209,6,FALSE)</f>
        <v>10</v>
      </c>
      <c r="T66">
        <f>VLOOKUP($A66,Outcomes!$B$3:$I$209,7,FALSE)</f>
        <v>-1</v>
      </c>
      <c r="U66" t="str">
        <f t="shared" si="3"/>
        <v>HomFave</v>
      </c>
      <c r="V66" s="5" t="str">
        <f t="shared" si="4"/>
        <v/>
      </c>
      <c r="W66" t="str">
        <f t="shared" ref="W66:W129" si="8">IF(V66="","",IF(G66&lt;H66,IF(K66="HomFave",ABS(G66),IF(H66&lt;0,ABS(H66),100)),IF(K66="VisFave",ABS(H66),IF(G66&lt;0,ABS(G66),100))))</f>
        <v/>
      </c>
      <c r="X66" t="str">
        <f t="shared" si="5"/>
        <v/>
      </c>
      <c r="Y66" t="str">
        <f t="shared" si="6"/>
        <v/>
      </c>
      <c r="Z66" s="2" t="str">
        <f t="shared" si="7"/>
        <v/>
      </c>
      <c r="AA66" t="str">
        <f>VLOOKUP($A66,ScionOutput!$A$3:$BL$215,64,FALSE)</f>
        <v xml:space="preserve">823215. StatOnlyEns probability points gap does not exceed threshold (no edge found)! Play determined by LineStatEns only. </v>
      </c>
    </row>
    <row r="67" spans="1:27" x14ac:dyDescent="0.2">
      <c r="A67">
        <v>822970</v>
      </c>
      <c r="B67" s="3">
        <f>VLOOKUP($A67,ScionOutput!$A$3:$BL$215,3,FALSE)</f>
        <v>46183</v>
      </c>
      <c r="C67">
        <f>VLOOKUP($A67,ScionOutput!$A$3:$BL$215,22,FALSE)</f>
        <v>27</v>
      </c>
      <c r="D67" t="str">
        <f>VLOOKUP($A67,ScionOutput!$A$3:$BL$215,23,FALSE)</f>
        <v>TB</v>
      </c>
      <c r="E67">
        <f>VLOOKUP($A67,ScionOutput!$A$3:$BL$215,6,FALSE)</f>
        <v>3</v>
      </c>
      <c r="F67" t="str">
        <f>VLOOKUP($A67,ScionOutput!$A$3:$BL$215,7,FALSE)</f>
        <v>BOS</v>
      </c>
      <c r="G67">
        <f>VLOOKUP($A67,ScionOutput!$A$3:$BL$215,26,FALSE)</f>
        <v>-154</v>
      </c>
      <c r="H67">
        <f>VLOOKUP($A67,ScionOutput!$A$3:$BL$215,10,FALSE)</f>
        <v>142</v>
      </c>
      <c r="I67" s="6" t="str">
        <f>VLOOKUP($A67,ScionOutput!$A$3:$BL$215,55,FALSE)</f>
        <v>HomFave</v>
      </c>
      <c r="J67" s="6">
        <f>VLOOKUP($A67,ScionOutput!$A$3:$BL$215,56,FALSE)</f>
        <v>0</v>
      </c>
      <c r="K67" t="str">
        <f>VLOOKUP($A67,ScionOutput!$A$3:$BL$215,58,FALSE)</f>
        <v>No Play</v>
      </c>
      <c r="L67">
        <f>VLOOKUP($A67,ScionOutput!$A$3:$BL$215,59,FALSE)</f>
        <v>0</v>
      </c>
      <c r="M67">
        <f>VLOOKUP($A67,ScionOutput!$A$3:$BL$215,62,FALSE)</f>
        <v>0</v>
      </c>
      <c r="N67">
        <f>VLOOKUP($A67,ScionOutput!$A$3:$BL$215,63,FALSE)</f>
        <v>0</v>
      </c>
      <c r="O67" t="b">
        <f t="shared" ref="O67:O130" si="9">ISNUMBER(SEARCH("Play determined by LineStatEns and StatOnlyEns agreement", AA67))</f>
        <v>0</v>
      </c>
      <c r="P67">
        <f>VLOOKUP($A67,Outcomes!$B$3:$I$209,8,FALSE)</f>
        <v>12</v>
      </c>
      <c r="Q67">
        <f t="shared" ref="Q67:Q130" si="10">IF(R67&gt;S67,1,IF(R67&lt;S67,-1,0))</f>
        <v>1</v>
      </c>
      <c r="R67">
        <f>VLOOKUP($A67,Outcomes!$B$3:$I$209,5,FALSE)</f>
        <v>7</v>
      </c>
      <c r="S67">
        <f>VLOOKUP($A67,Outcomes!$B$3:$I$209,6,FALSE)</f>
        <v>5</v>
      </c>
      <c r="T67">
        <f>VLOOKUP($A67,Outcomes!$B$3:$I$209,7,FALSE)</f>
        <v>-2</v>
      </c>
      <c r="U67" t="str">
        <f t="shared" ref="U67:U130" si="11">IF(T67=0,"Push",IF(G67&lt;H67,IF(T67&lt;0,"HomFave","VisDog"),IF(T67&gt;0,"VisFave","HomDog")))</f>
        <v>HomFave</v>
      </c>
      <c r="V67" s="5" t="str">
        <f t="shared" ref="V67:V130" si="12">IF(OR(T67=0,I67="No Play",J67&lt;&gt;1),"",IF(U67=I67,1,0))</f>
        <v/>
      </c>
      <c r="W67" t="str">
        <f t="shared" si="8"/>
        <v/>
      </c>
      <c r="X67" t="str">
        <f t="shared" ref="X67:X130" si="13">IF(V67="","",IF(V67=0,0,IF(G67&lt;H67,IF(K67="HomFave",W67+100,IF(H67&lt;0,100+W67,W67+ABS(H67))),IF(K67="VisFave",W67+100,IF(G67&lt;0,100+W67,W67+ABS(G67))))))</f>
        <v/>
      </c>
      <c r="Y67" t="str">
        <f t="shared" ref="Y67:Y130" si="14">IF(V67="","",X67-W67)</f>
        <v/>
      </c>
      <c r="Z67" s="2" t="str">
        <f t="shared" ref="Z67:Z130" si="15">IF(V67="","",Y67/W67)</f>
        <v/>
      </c>
      <c r="AA67" t="str">
        <f>VLOOKUP($A67,ScionOutput!$A$3:$BL$215,64,FALSE)</f>
        <v xml:space="preserve">822970. LineStatEns is NoPlay as bookie-line outside range. StatOnlyEns is NoPlay as bookie-line outside range. No play due to strategy constraints. </v>
      </c>
    </row>
    <row r="68" spans="1:27" x14ac:dyDescent="0.2">
      <c r="A68">
        <v>822804</v>
      </c>
      <c r="B68" s="3">
        <f>VLOOKUP($A68,ScionOutput!$A$3:$BL$215,3,FALSE)</f>
        <v>46183</v>
      </c>
      <c r="C68">
        <f>VLOOKUP($A68,ScionOutput!$A$3:$BL$215,22,FALSE)</f>
        <v>29</v>
      </c>
      <c r="D68" t="str">
        <f>VLOOKUP($A68,ScionOutput!$A$3:$BL$215,23,FALSE)</f>
        <v>TOR</v>
      </c>
      <c r="E68">
        <f>VLOOKUP($A68,ScionOutput!$A$3:$BL$215,6,FALSE)</f>
        <v>21</v>
      </c>
      <c r="F68" t="str">
        <f>VLOOKUP($A68,ScionOutput!$A$3:$BL$215,7,FALSE)</f>
        <v>PHI</v>
      </c>
      <c r="G68">
        <f>VLOOKUP($A68,ScionOutput!$A$3:$BL$215,26,FALSE)</f>
        <v>114</v>
      </c>
      <c r="H68">
        <f>VLOOKUP($A68,ScionOutput!$A$3:$BL$215,10,FALSE)</f>
        <v>-124</v>
      </c>
      <c r="I68" s="6" t="str">
        <f>VLOOKUP($A68,ScionOutput!$A$3:$BL$215,55,FALSE)</f>
        <v>HomDog</v>
      </c>
      <c r="J68" s="6">
        <f>VLOOKUP($A68,ScionOutput!$A$3:$BL$215,56,FALSE)</f>
        <v>1</v>
      </c>
      <c r="K68" t="str">
        <f>VLOOKUP($A68,ScionOutput!$A$3:$BL$215,58,FALSE)</f>
        <v>No Play</v>
      </c>
      <c r="L68">
        <f>VLOOKUP($A68,ScionOutput!$A$3:$BL$215,59,FALSE)</f>
        <v>0</v>
      </c>
      <c r="M68">
        <f>VLOOKUP($A68,ScionOutput!$A$3:$BL$215,62,FALSE)</f>
        <v>0</v>
      </c>
      <c r="N68">
        <f>VLOOKUP($A68,ScionOutput!$A$3:$BL$215,63,FALSE)</f>
        <v>0</v>
      </c>
      <c r="O68" t="b">
        <f t="shared" si="9"/>
        <v>0</v>
      </c>
      <c r="P68">
        <f>VLOOKUP($A68,Outcomes!$B$3:$I$209,8,FALSE)</f>
        <v>11</v>
      </c>
      <c r="Q68">
        <f t="shared" si="10"/>
        <v>-1</v>
      </c>
      <c r="R68">
        <f>VLOOKUP($A68,Outcomes!$B$3:$I$209,5,FALSE)</f>
        <v>4</v>
      </c>
      <c r="S68">
        <f>VLOOKUP($A68,Outcomes!$B$3:$I$209,6,FALSE)</f>
        <v>7</v>
      </c>
      <c r="T68">
        <f>VLOOKUP($A68,Outcomes!$B$3:$I$209,7,FALSE)</f>
        <v>3</v>
      </c>
      <c r="U68" t="str">
        <f t="shared" si="11"/>
        <v>VisFave</v>
      </c>
      <c r="V68" s="5">
        <f t="shared" si="12"/>
        <v>0</v>
      </c>
      <c r="W68">
        <f t="shared" si="8"/>
        <v>100</v>
      </c>
      <c r="X68">
        <f t="shared" si="13"/>
        <v>0</v>
      </c>
      <c r="Y68">
        <f t="shared" si="14"/>
        <v>-100</v>
      </c>
      <c r="Z68" s="2">
        <f t="shared" si="15"/>
        <v>-1</v>
      </c>
      <c r="AA68" t="str">
        <f>VLOOKUP($A68,ScionOutput!$A$3:$BL$215,64,FALSE)</f>
        <v xml:space="preserve">822804. VF plays are disallowed. No play due to strategy constraints. </v>
      </c>
    </row>
    <row r="69" spans="1:27" x14ac:dyDescent="0.2">
      <c r="A69">
        <v>824827</v>
      </c>
      <c r="B69" s="3">
        <f>VLOOKUP($A69,ScionOutput!$A$3:$BL$215,3,FALSE)</f>
        <v>46184</v>
      </c>
      <c r="C69">
        <f>VLOOKUP($A69,ScionOutput!$A$3:$BL$215,22,FALSE)</f>
        <v>2</v>
      </c>
      <c r="D69" t="str">
        <f>VLOOKUP($A69,ScionOutput!$A$3:$BL$215,23,FALSE)</f>
        <v>BAL</v>
      </c>
      <c r="E69">
        <f>VLOOKUP($A69,ScionOutput!$A$3:$BL$215,6,FALSE)</f>
        <v>24</v>
      </c>
      <c r="F69" t="str">
        <f>VLOOKUP($A69,ScionOutput!$A$3:$BL$215,7,FALSE)</f>
        <v>SEA</v>
      </c>
      <c r="G69">
        <f>VLOOKUP($A69,ScionOutput!$A$3:$BL$215,26,FALSE)</f>
        <v>100</v>
      </c>
      <c r="H69">
        <f>VLOOKUP($A69,ScionOutput!$A$3:$BL$215,10,FALSE)</f>
        <v>-110</v>
      </c>
      <c r="I69" s="6" t="str">
        <f>VLOOKUP($A69,ScionOutput!$A$3:$BL$215,55,FALSE)</f>
        <v>VisFave</v>
      </c>
      <c r="J69" s="6">
        <f>VLOOKUP($A69,ScionOutput!$A$3:$BL$215,56,FALSE)</f>
        <v>0</v>
      </c>
      <c r="K69" t="str">
        <f>VLOOKUP($A69,ScionOutput!$A$3:$BL$215,58,FALSE)</f>
        <v>No Play</v>
      </c>
      <c r="L69">
        <f>VLOOKUP($A69,ScionOutput!$A$3:$BL$215,59,FALSE)</f>
        <v>0</v>
      </c>
      <c r="M69">
        <f>VLOOKUP($A69,ScionOutput!$A$3:$BL$215,62,FALSE)</f>
        <v>0</v>
      </c>
      <c r="N69">
        <f>VLOOKUP($A69,ScionOutput!$A$3:$BL$215,63,FALSE)</f>
        <v>0</v>
      </c>
      <c r="O69" t="b">
        <f t="shared" si="9"/>
        <v>0</v>
      </c>
      <c r="P69">
        <f>VLOOKUP($A69,Outcomes!$B$3:$I$209,8,FALSE)</f>
        <v>12</v>
      </c>
      <c r="Q69">
        <f t="shared" si="10"/>
        <v>1</v>
      </c>
      <c r="R69">
        <f>VLOOKUP($A69,Outcomes!$B$3:$I$209,5,FALSE)</f>
        <v>7</v>
      </c>
      <c r="S69">
        <f>VLOOKUP($A69,Outcomes!$B$3:$I$209,6,FALSE)</f>
        <v>5</v>
      </c>
      <c r="T69">
        <f>VLOOKUP($A69,Outcomes!$B$3:$I$209,7,FALSE)</f>
        <v>-2</v>
      </c>
      <c r="U69" t="str">
        <f t="shared" si="11"/>
        <v>HomDog</v>
      </c>
      <c r="V69" s="5" t="str">
        <f t="shared" si="12"/>
        <v/>
      </c>
      <c r="W69" t="str">
        <f t="shared" si="8"/>
        <v/>
      </c>
      <c r="X69" t="str">
        <f t="shared" si="13"/>
        <v/>
      </c>
      <c r="Y69" t="str">
        <f t="shared" si="14"/>
        <v/>
      </c>
      <c r="Z69" s="2" t="str">
        <f t="shared" si="15"/>
        <v/>
      </c>
      <c r="AA69" t="str">
        <f>VLOOKUP($A69,ScionOutput!$A$3:$BL$215,64,FALSE)</f>
        <v xml:space="preserve">824827. VF plays are disallowed. No play due to strategy constraints. </v>
      </c>
    </row>
    <row r="70" spans="1:27" x14ac:dyDescent="0.2">
      <c r="A70">
        <v>824346</v>
      </c>
      <c r="B70" s="3">
        <f>VLOOKUP($A70,ScionOutput!$A$3:$BL$215,3,FALSE)</f>
        <v>46184</v>
      </c>
      <c r="C70">
        <f>VLOOKUP($A70,ScionOutput!$A$3:$BL$215,22,FALSE)</f>
        <v>8</v>
      </c>
      <c r="D70" t="str">
        <f>VLOOKUP($A70,ScionOutput!$A$3:$BL$215,23,FALSE)</f>
        <v>COL</v>
      </c>
      <c r="E70">
        <f>VLOOKUP($A70,ScionOutput!$A$3:$BL$215,6,FALSE)</f>
        <v>5</v>
      </c>
      <c r="F70" t="str">
        <f>VLOOKUP($A70,ScionOutput!$A$3:$BL$215,7,FALSE)</f>
        <v>CHC</v>
      </c>
      <c r="G70">
        <f>VLOOKUP($A70,ScionOutput!$A$3:$BL$215,26,FALSE)</f>
        <v>132</v>
      </c>
      <c r="H70">
        <f>VLOOKUP($A70,ScionOutput!$A$3:$BL$215,10,FALSE)</f>
        <v>-146</v>
      </c>
      <c r="I70" s="6" t="str">
        <f>VLOOKUP($A70,ScionOutput!$A$3:$BL$215,55,FALSE)</f>
        <v>VisFave</v>
      </c>
      <c r="J70" s="6">
        <f>VLOOKUP($A70,ScionOutput!$A$3:$BL$215,56,FALSE)</f>
        <v>0</v>
      </c>
      <c r="K70" t="str">
        <f>VLOOKUP($A70,ScionOutput!$A$3:$BL$215,58,FALSE)</f>
        <v>No Play</v>
      </c>
      <c r="L70">
        <f>VLOOKUP($A70,ScionOutput!$A$3:$BL$215,59,FALSE)</f>
        <v>0</v>
      </c>
      <c r="M70">
        <f>VLOOKUP($A70,ScionOutput!$A$3:$BL$215,62,FALSE)</f>
        <v>0</v>
      </c>
      <c r="N70">
        <f>VLOOKUP($A70,ScionOutput!$A$3:$BL$215,63,FALSE)</f>
        <v>0</v>
      </c>
      <c r="O70" t="b">
        <f t="shared" si="9"/>
        <v>0</v>
      </c>
      <c r="P70">
        <f>VLOOKUP($A70,Outcomes!$B$3:$I$209,8,FALSE)</f>
        <v>12</v>
      </c>
      <c r="Q70">
        <f t="shared" si="10"/>
        <v>-1</v>
      </c>
      <c r="R70">
        <f>VLOOKUP($A70,Outcomes!$B$3:$I$209,5,FALSE)</f>
        <v>3</v>
      </c>
      <c r="S70">
        <f>VLOOKUP($A70,Outcomes!$B$3:$I$209,6,FALSE)</f>
        <v>9</v>
      </c>
      <c r="T70">
        <f>VLOOKUP($A70,Outcomes!$B$3:$I$209,7,FALSE)</f>
        <v>6</v>
      </c>
      <c r="U70" t="str">
        <f t="shared" si="11"/>
        <v>VisFave</v>
      </c>
      <c r="V70" s="5" t="str">
        <f t="shared" si="12"/>
        <v/>
      </c>
      <c r="W70" t="str">
        <f t="shared" si="8"/>
        <v/>
      </c>
      <c r="X70" t="str">
        <f t="shared" si="13"/>
        <v/>
      </c>
      <c r="Y70" t="str">
        <f t="shared" si="14"/>
        <v/>
      </c>
      <c r="Z70" s="2" t="str">
        <f t="shared" si="15"/>
        <v/>
      </c>
      <c r="AA70" t="str">
        <f>VLOOKUP($A70,ScionOutput!$A$3:$BL$215,64,FALSE)</f>
        <v xml:space="preserve">824346. LineStatEns price is outside allowable range! VF plays are disallowed. No play due to strategy constraints. </v>
      </c>
    </row>
    <row r="71" spans="1:27" x14ac:dyDescent="0.2">
      <c r="A71">
        <v>824265</v>
      </c>
      <c r="B71" s="3">
        <f>VLOOKUP($A71,ScionOutput!$A$3:$BL$215,3,FALSE)</f>
        <v>46184</v>
      </c>
      <c r="C71">
        <f>VLOOKUP($A71,ScionOutput!$A$3:$BL$215,22,FALSE)</f>
        <v>10</v>
      </c>
      <c r="D71" t="str">
        <f>VLOOKUP($A71,ScionOutput!$A$3:$BL$215,23,FALSE)</f>
        <v>DET</v>
      </c>
      <c r="E71">
        <f>VLOOKUP($A71,ScionOutput!$A$3:$BL$215,6,FALSE)</f>
        <v>15</v>
      </c>
      <c r="F71" t="str">
        <f>VLOOKUP($A71,ScionOutput!$A$3:$BL$215,7,FALSE)</f>
        <v>MIN</v>
      </c>
      <c r="G71">
        <f>VLOOKUP($A71,ScionOutput!$A$3:$BL$215,26,FALSE)</f>
        <v>-120</v>
      </c>
      <c r="H71">
        <f>VLOOKUP($A71,ScionOutput!$A$3:$BL$215,10,FALSE)</f>
        <v>109</v>
      </c>
      <c r="I71" s="6" t="str">
        <f>VLOOKUP($A71,ScionOutput!$A$3:$BL$215,55,FALSE)</f>
        <v>HomFave</v>
      </c>
      <c r="J71" s="6">
        <f>VLOOKUP($A71,ScionOutput!$A$3:$BL$215,56,FALSE)</f>
        <v>0</v>
      </c>
      <c r="K71" t="str">
        <f>VLOOKUP($A71,ScionOutput!$A$3:$BL$215,58,FALSE)</f>
        <v>No Play</v>
      </c>
      <c r="L71">
        <f>VLOOKUP($A71,ScionOutput!$A$3:$BL$215,59,FALSE)</f>
        <v>0</v>
      </c>
      <c r="M71">
        <f>VLOOKUP($A71,ScionOutput!$A$3:$BL$215,62,FALSE)</f>
        <v>0</v>
      </c>
      <c r="N71">
        <f>VLOOKUP($A71,ScionOutput!$A$3:$BL$215,63,FALSE)</f>
        <v>0</v>
      </c>
      <c r="O71" t="b">
        <f t="shared" si="9"/>
        <v>0</v>
      </c>
      <c r="P71">
        <f>VLOOKUP($A71,Outcomes!$B$3:$I$209,8,FALSE)</f>
        <v>11</v>
      </c>
      <c r="Q71">
        <f t="shared" si="10"/>
        <v>1</v>
      </c>
      <c r="R71">
        <f>VLOOKUP($A71,Outcomes!$B$3:$I$209,5,FALSE)</f>
        <v>11</v>
      </c>
      <c r="S71">
        <f>VLOOKUP($A71,Outcomes!$B$3:$I$209,6,FALSE)</f>
        <v>0</v>
      </c>
      <c r="T71">
        <f>VLOOKUP($A71,Outcomes!$B$3:$I$209,7,FALSE)</f>
        <v>-11</v>
      </c>
      <c r="U71" t="str">
        <f t="shared" si="11"/>
        <v>HomFave</v>
      </c>
      <c r="V71" s="5" t="str">
        <f t="shared" si="12"/>
        <v/>
      </c>
      <c r="W71" t="str">
        <f t="shared" si="8"/>
        <v/>
      </c>
      <c r="X71" t="str">
        <f t="shared" si="13"/>
        <v/>
      </c>
      <c r="Y71" t="str">
        <f t="shared" si="14"/>
        <v/>
      </c>
      <c r="Z71" s="2" t="str">
        <f t="shared" si="15"/>
        <v/>
      </c>
      <c r="AA71" t="str">
        <f>VLOOKUP($A71,ScionOutput!$A$3:$BL$215,64,FALSE)</f>
        <v xml:space="preserve">824265. LineStatEns probability points gap does not exceed threshold (no edge found)! StatOnlyEns probability points gap does not exceed threshold (no edge found)! No play due to strategy constraints. </v>
      </c>
    </row>
    <row r="72" spans="1:27" x14ac:dyDescent="0.2">
      <c r="A72">
        <v>823855</v>
      </c>
      <c r="B72" s="3">
        <f>VLOOKUP($A72,ScionOutput!$A$3:$BL$215,3,FALSE)</f>
        <v>46184</v>
      </c>
      <c r="C72">
        <f>VLOOKUP($A72,ScionOutput!$A$3:$BL$215,22,FALSE)</f>
        <v>11</v>
      </c>
      <c r="D72" t="str">
        <f>VLOOKUP($A72,ScionOutput!$A$3:$BL$215,23,FALSE)</f>
        <v>FLO</v>
      </c>
      <c r="E72">
        <f>VLOOKUP($A72,ScionOutput!$A$3:$BL$215,6,FALSE)</f>
        <v>1</v>
      </c>
      <c r="F72" t="str">
        <f>VLOOKUP($A72,ScionOutput!$A$3:$BL$215,7,FALSE)</f>
        <v>ARZ</v>
      </c>
      <c r="G72">
        <f>VLOOKUP($A72,ScionOutput!$A$3:$BL$215,26,FALSE)</f>
        <v>-108</v>
      </c>
      <c r="H72">
        <f>VLOOKUP($A72,ScionOutput!$A$3:$BL$215,10,FALSE)</f>
        <v>-102</v>
      </c>
      <c r="I72" s="6" t="str">
        <f>VLOOKUP($A72,ScionOutput!$A$3:$BL$215,55,FALSE)</f>
        <v>HomFave</v>
      </c>
      <c r="J72" s="6">
        <f>VLOOKUP($A72,ScionOutput!$A$3:$BL$215,56,FALSE)</f>
        <v>1</v>
      </c>
      <c r="K72" t="str">
        <f>VLOOKUP($A72,ScionOutput!$A$3:$BL$215,58,FALSE)</f>
        <v>HomFave</v>
      </c>
      <c r="L72">
        <f>VLOOKUP($A72,ScionOutput!$A$3:$BL$215,59,FALSE)</f>
        <v>2.3029999999999998E-2</v>
      </c>
      <c r="M72">
        <f>VLOOKUP($A72,ScionOutput!$A$3:$BL$215,62,FALSE)</f>
        <v>1</v>
      </c>
      <c r="N72">
        <f>VLOOKUP($A72,ScionOutput!$A$3:$BL$215,63,FALSE)</f>
        <v>0.93</v>
      </c>
      <c r="O72" t="b">
        <f t="shared" si="9"/>
        <v>1</v>
      </c>
      <c r="P72">
        <f>VLOOKUP($A72,Outcomes!$B$3:$I$209,8,FALSE)</f>
        <v>2</v>
      </c>
      <c r="Q72">
        <f t="shared" si="10"/>
        <v>1</v>
      </c>
      <c r="R72">
        <f>VLOOKUP($A72,Outcomes!$B$3:$I$209,5,FALSE)</f>
        <v>2</v>
      </c>
      <c r="S72">
        <f>VLOOKUP($A72,Outcomes!$B$3:$I$209,6,FALSE)</f>
        <v>0</v>
      </c>
      <c r="T72">
        <f>VLOOKUP($A72,Outcomes!$B$3:$I$209,7,FALSE)</f>
        <v>-2</v>
      </c>
      <c r="U72" t="str">
        <f t="shared" si="11"/>
        <v>HomFave</v>
      </c>
      <c r="V72" s="5">
        <f t="shared" si="12"/>
        <v>1</v>
      </c>
      <c r="W72">
        <f t="shared" si="8"/>
        <v>108</v>
      </c>
      <c r="X72">
        <f t="shared" si="13"/>
        <v>208</v>
      </c>
      <c r="Y72">
        <f t="shared" si="14"/>
        <v>100</v>
      </c>
      <c r="Z72" s="2">
        <f t="shared" si="15"/>
        <v>0.92592592592592593</v>
      </c>
      <c r="AA72" t="str">
        <f>VLOOKUP($A72,ScionOutput!$A$3:$BL$215,64,FALSE)</f>
        <v xml:space="preserve">823855. Play determined by LineStatEns and StatOnlyEns agreement. </v>
      </c>
    </row>
    <row r="73" spans="1:27" x14ac:dyDescent="0.2">
      <c r="A73">
        <v>824101</v>
      </c>
      <c r="B73" s="3">
        <f>VLOOKUP($A73,ScionOutput!$A$3:$BL$215,3,FALSE)</f>
        <v>46184</v>
      </c>
      <c r="C73">
        <f>VLOOKUP($A73,ScionOutput!$A$3:$BL$215,22,FALSE)</f>
        <v>13</v>
      </c>
      <c r="D73" t="str">
        <f>VLOOKUP($A73,ScionOutput!$A$3:$BL$215,23,FALSE)</f>
        <v>KC</v>
      </c>
      <c r="E73">
        <f>VLOOKUP($A73,ScionOutput!$A$3:$BL$215,6,FALSE)</f>
        <v>28</v>
      </c>
      <c r="F73" t="str">
        <f>VLOOKUP($A73,ScionOutput!$A$3:$BL$215,7,FALSE)</f>
        <v>TEX</v>
      </c>
      <c r="G73">
        <f>VLOOKUP($A73,ScionOutput!$A$3:$BL$215,26,FALSE)</f>
        <v>-115</v>
      </c>
      <c r="H73">
        <f>VLOOKUP($A73,ScionOutput!$A$3:$BL$215,10,FALSE)</f>
        <v>104</v>
      </c>
      <c r="I73" s="6" t="str">
        <f>VLOOKUP($A73,ScionOutput!$A$3:$BL$215,55,FALSE)</f>
        <v>HomFave</v>
      </c>
      <c r="J73" s="6">
        <f>VLOOKUP($A73,ScionOutput!$A$3:$BL$215,56,FALSE)</f>
        <v>0</v>
      </c>
      <c r="K73" t="str">
        <f>VLOOKUP($A73,ScionOutput!$A$3:$BL$215,58,FALSE)</f>
        <v>HomFave</v>
      </c>
      <c r="L73">
        <f>VLOOKUP($A73,ScionOutput!$A$3:$BL$215,59,FALSE)</f>
        <v>8.2000000000000007E-3</v>
      </c>
      <c r="M73">
        <f>VLOOKUP($A73,ScionOutput!$A$3:$BL$215,62,FALSE)</f>
        <v>3</v>
      </c>
      <c r="N73">
        <f>VLOOKUP($A73,ScionOutput!$A$3:$BL$215,63,FALSE)</f>
        <v>0.87</v>
      </c>
      <c r="O73" t="b">
        <f t="shared" si="9"/>
        <v>0</v>
      </c>
      <c r="P73">
        <f>VLOOKUP($A73,Outcomes!$B$3:$I$209,8,FALSE)</f>
        <v>6</v>
      </c>
      <c r="Q73">
        <f t="shared" si="10"/>
        <v>-1</v>
      </c>
      <c r="R73">
        <f>VLOOKUP($A73,Outcomes!$B$3:$I$209,5,FALSE)</f>
        <v>2</v>
      </c>
      <c r="S73">
        <f>VLOOKUP($A73,Outcomes!$B$3:$I$209,6,FALSE)</f>
        <v>4</v>
      </c>
      <c r="T73">
        <f>VLOOKUP($A73,Outcomes!$B$3:$I$209,7,FALSE)</f>
        <v>2</v>
      </c>
      <c r="U73" t="str">
        <f t="shared" si="11"/>
        <v>VisDog</v>
      </c>
      <c r="V73" s="5" t="str">
        <f t="shared" si="12"/>
        <v/>
      </c>
      <c r="W73" t="str">
        <f t="shared" si="8"/>
        <v/>
      </c>
      <c r="X73" t="str">
        <f t="shared" si="13"/>
        <v/>
      </c>
      <c r="Y73" t="str">
        <f t="shared" si="14"/>
        <v/>
      </c>
      <c r="Z73" s="2" t="str">
        <f t="shared" si="15"/>
        <v/>
      </c>
      <c r="AA73" t="str">
        <f>VLOOKUP($A73,ScionOutput!$A$3:$BL$215,64,FALSE)</f>
        <v xml:space="preserve">824101. StatOnlyEns probability points gap does not exceed threshold (no edge found)! Play determined by LineStatEns only. </v>
      </c>
    </row>
    <row r="74" spans="1:27" x14ac:dyDescent="0.2">
      <c r="A74">
        <v>823619</v>
      </c>
      <c r="B74" s="3">
        <f>VLOOKUP($A74,ScionOutput!$A$3:$BL$215,3,FALSE)</f>
        <v>46184</v>
      </c>
      <c r="C74">
        <f>VLOOKUP($A74,ScionOutput!$A$3:$BL$215,22,FALSE)</f>
        <v>18</v>
      </c>
      <c r="D74" t="str">
        <f>VLOOKUP($A74,ScionOutput!$A$3:$BL$215,23,FALSE)</f>
        <v>NYM</v>
      </c>
      <c r="E74">
        <f>VLOOKUP($A74,ScionOutput!$A$3:$BL$215,6,FALSE)</f>
        <v>26</v>
      </c>
      <c r="F74" t="str">
        <f>VLOOKUP($A74,ScionOutput!$A$3:$BL$215,7,FALSE)</f>
        <v>STL</v>
      </c>
      <c r="G74">
        <f>VLOOKUP($A74,ScionOutput!$A$3:$BL$215,26,FALSE)</f>
        <v>-135</v>
      </c>
      <c r="H74">
        <f>VLOOKUP($A74,ScionOutput!$A$3:$BL$215,10,FALSE)</f>
        <v>122</v>
      </c>
      <c r="I74" s="6" t="str">
        <f>VLOOKUP($A74,ScionOutput!$A$3:$BL$215,55,FALSE)</f>
        <v>HomFave</v>
      </c>
      <c r="J74" s="6">
        <f>VLOOKUP($A74,ScionOutput!$A$3:$BL$215,56,FALSE)</f>
        <v>0</v>
      </c>
      <c r="K74" t="str">
        <f>VLOOKUP($A74,ScionOutput!$A$3:$BL$215,58,FALSE)</f>
        <v>No Play</v>
      </c>
      <c r="L74">
        <f>VLOOKUP($A74,ScionOutput!$A$3:$BL$215,59,FALSE)</f>
        <v>0</v>
      </c>
      <c r="M74">
        <f>VLOOKUP($A74,ScionOutput!$A$3:$BL$215,62,FALSE)</f>
        <v>0</v>
      </c>
      <c r="N74">
        <f>VLOOKUP($A74,ScionOutput!$A$3:$BL$215,63,FALSE)</f>
        <v>0</v>
      </c>
      <c r="O74" t="b">
        <f t="shared" si="9"/>
        <v>0</v>
      </c>
      <c r="P74">
        <f>VLOOKUP($A74,Outcomes!$B$3:$I$209,8,FALSE)</f>
        <v>9</v>
      </c>
      <c r="Q74">
        <f t="shared" si="10"/>
        <v>1</v>
      </c>
      <c r="R74">
        <f>VLOOKUP($A74,Outcomes!$B$3:$I$209,5,FALSE)</f>
        <v>5</v>
      </c>
      <c r="S74">
        <f>VLOOKUP($A74,Outcomes!$B$3:$I$209,6,FALSE)</f>
        <v>4</v>
      </c>
      <c r="T74">
        <f>VLOOKUP($A74,Outcomes!$B$3:$I$209,7,FALSE)</f>
        <v>-1</v>
      </c>
      <c r="U74" t="str">
        <f t="shared" si="11"/>
        <v>HomFave</v>
      </c>
      <c r="V74" s="5" t="str">
        <f t="shared" si="12"/>
        <v/>
      </c>
      <c r="W74" t="str">
        <f t="shared" si="8"/>
        <v/>
      </c>
      <c r="X74" t="str">
        <f t="shared" si="13"/>
        <v/>
      </c>
      <c r="Y74" t="str">
        <f t="shared" si="14"/>
        <v/>
      </c>
      <c r="Z74" s="2" t="str">
        <f t="shared" si="15"/>
        <v/>
      </c>
      <c r="AA74" t="str">
        <f>VLOOKUP($A74,ScionOutput!$A$3:$BL$215,64,FALSE)</f>
        <v xml:space="preserve">823619. LineStatEns probability points gap does not exceed threshold (no edge found)! StatOnlyEns probability points gap does not exceed threshold (no edge found)! No play due to strategy constraints. </v>
      </c>
    </row>
    <row r="75" spans="1:27" x14ac:dyDescent="0.2">
      <c r="A75">
        <v>823371</v>
      </c>
      <c r="B75" s="3">
        <f>VLOOKUP($A75,ScionOutput!$A$3:$BL$215,3,FALSE)</f>
        <v>46184</v>
      </c>
      <c r="C75">
        <f>VLOOKUP($A75,ScionOutput!$A$3:$BL$215,22,FALSE)</f>
        <v>22</v>
      </c>
      <c r="D75" t="str">
        <f>VLOOKUP($A75,ScionOutput!$A$3:$BL$215,23,FALSE)</f>
        <v>PIT</v>
      </c>
      <c r="E75">
        <f>VLOOKUP($A75,ScionOutput!$A$3:$BL$215,6,FALSE)</f>
        <v>14</v>
      </c>
      <c r="F75" t="str">
        <f>VLOOKUP($A75,ScionOutput!$A$3:$BL$215,7,FALSE)</f>
        <v>LA</v>
      </c>
      <c r="G75">
        <f>VLOOKUP($A75,ScionOutput!$A$3:$BL$215,26,FALSE)</f>
        <v>137</v>
      </c>
      <c r="H75">
        <f>VLOOKUP($A75,ScionOutput!$A$3:$BL$215,10,FALSE)</f>
        <v>-152</v>
      </c>
      <c r="I75" s="6" t="str">
        <f>VLOOKUP($A75,ScionOutput!$A$3:$BL$215,55,FALSE)</f>
        <v>VisFave</v>
      </c>
      <c r="J75" s="6">
        <f>VLOOKUP($A75,ScionOutput!$A$3:$BL$215,56,FALSE)</f>
        <v>0</v>
      </c>
      <c r="K75" t="str">
        <f>VLOOKUP($A75,ScionOutput!$A$3:$BL$215,58,FALSE)</f>
        <v>No Play</v>
      </c>
      <c r="L75">
        <f>VLOOKUP($A75,ScionOutput!$A$3:$BL$215,59,FALSE)</f>
        <v>0</v>
      </c>
      <c r="M75">
        <f>VLOOKUP($A75,ScionOutput!$A$3:$BL$215,62,FALSE)</f>
        <v>0</v>
      </c>
      <c r="N75">
        <f>VLOOKUP($A75,ScionOutput!$A$3:$BL$215,63,FALSE)</f>
        <v>0</v>
      </c>
      <c r="O75" t="b">
        <f t="shared" si="9"/>
        <v>0</v>
      </c>
      <c r="P75">
        <f>VLOOKUP($A75,Outcomes!$B$3:$I$209,8,FALSE)</f>
        <v>14</v>
      </c>
      <c r="Q75">
        <f t="shared" si="10"/>
        <v>-1</v>
      </c>
      <c r="R75">
        <f>VLOOKUP($A75,Outcomes!$B$3:$I$209,5,FALSE)</f>
        <v>6</v>
      </c>
      <c r="S75">
        <f>VLOOKUP($A75,Outcomes!$B$3:$I$209,6,FALSE)</f>
        <v>8</v>
      </c>
      <c r="T75">
        <f>VLOOKUP($A75,Outcomes!$B$3:$I$209,7,FALSE)</f>
        <v>2</v>
      </c>
      <c r="U75" t="str">
        <f t="shared" si="11"/>
        <v>VisFave</v>
      </c>
      <c r="V75" s="5" t="str">
        <f t="shared" si="12"/>
        <v/>
      </c>
      <c r="W75" t="str">
        <f t="shared" si="8"/>
        <v/>
      </c>
      <c r="X75" t="str">
        <f t="shared" si="13"/>
        <v/>
      </c>
      <c r="Y75" t="str">
        <f t="shared" si="14"/>
        <v/>
      </c>
      <c r="Z75" s="2" t="str">
        <f t="shared" si="15"/>
        <v/>
      </c>
      <c r="AA75" t="str">
        <f>VLOOKUP($A75,ScionOutput!$A$3:$BL$215,64,FALSE)</f>
        <v xml:space="preserve">823371. VF plays are disallowed. No play due to strategy constraints. </v>
      </c>
    </row>
    <row r="76" spans="1:27" x14ac:dyDescent="0.2">
      <c r="A76">
        <v>824826</v>
      </c>
      <c r="B76" s="3">
        <f>VLOOKUP($A76,ScionOutput!$A$3:$BL$215,3,FALSE)</f>
        <v>46185</v>
      </c>
      <c r="C76">
        <f>VLOOKUP($A76,ScionOutput!$A$3:$BL$215,22,FALSE)</f>
        <v>2</v>
      </c>
      <c r="D76" t="str">
        <f>VLOOKUP($A76,ScionOutput!$A$3:$BL$215,23,FALSE)</f>
        <v>BAL</v>
      </c>
      <c r="E76">
        <f>VLOOKUP($A76,ScionOutput!$A$3:$BL$215,6,FALSE)</f>
        <v>23</v>
      </c>
      <c r="F76" t="str">
        <f>VLOOKUP($A76,ScionOutput!$A$3:$BL$215,7,FALSE)</f>
        <v>SD</v>
      </c>
      <c r="G76">
        <f>VLOOKUP($A76,ScionOutput!$A$3:$BL$215,26,FALSE)</f>
        <v>-122</v>
      </c>
      <c r="H76">
        <f>VLOOKUP($A76,ScionOutput!$A$3:$BL$215,10,FALSE)</f>
        <v>113</v>
      </c>
      <c r="I76" s="6" t="str">
        <f>VLOOKUP($A76,ScionOutput!$A$3:$BL$215,55,FALSE)</f>
        <v>HomFave</v>
      </c>
      <c r="J76" s="6">
        <f>VLOOKUP($A76,ScionOutput!$A$3:$BL$215,56,FALSE)</f>
        <v>0</v>
      </c>
      <c r="K76" t="str">
        <f>VLOOKUP($A76,ScionOutput!$A$3:$BL$215,58,FALSE)</f>
        <v>No Play</v>
      </c>
      <c r="L76">
        <f>VLOOKUP($A76,ScionOutput!$A$3:$BL$215,59,FALSE)</f>
        <v>0</v>
      </c>
      <c r="M76">
        <f>VLOOKUP($A76,ScionOutput!$A$3:$BL$215,62,FALSE)</f>
        <v>0</v>
      </c>
      <c r="N76">
        <f>VLOOKUP($A76,ScionOutput!$A$3:$BL$215,63,FALSE)</f>
        <v>0</v>
      </c>
      <c r="O76" t="b">
        <f t="shared" si="9"/>
        <v>0</v>
      </c>
      <c r="P76">
        <f>VLOOKUP($A76,Outcomes!$B$3:$I$209,8,FALSE)</f>
        <v>10</v>
      </c>
      <c r="Q76">
        <f t="shared" si="10"/>
        <v>1</v>
      </c>
      <c r="R76">
        <f>VLOOKUP($A76,Outcomes!$B$3:$I$209,5,FALSE)</f>
        <v>7</v>
      </c>
      <c r="S76">
        <f>VLOOKUP($A76,Outcomes!$B$3:$I$209,6,FALSE)</f>
        <v>3</v>
      </c>
      <c r="T76">
        <f>VLOOKUP($A76,Outcomes!$B$3:$I$209,7,FALSE)</f>
        <v>-4</v>
      </c>
      <c r="U76" t="str">
        <f t="shared" si="11"/>
        <v>HomFave</v>
      </c>
      <c r="V76" s="5" t="str">
        <f t="shared" si="12"/>
        <v/>
      </c>
      <c r="W76" t="str">
        <f t="shared" si="8"/>
        <v/>
      </c>
      <c r="X76" t="str">
        <f t="shared" si="13"/>
        <v/>
      </c>
      <c r="Y76" t="str">
        <f t="shared" si="14"/>
        <v/>
      </c>
      <c r="Z76" s="2" t="str">
        <f t="shared" si="15"/>
        <v/>
      </c>
      <c r="AA76" t="str">
        <f>VLOOKUP($A76,ScionOutput!$A$3:$BL$215,64,FALSE)</f>
        <v xml:space="preserve">824826. LineStatEns probability points gap does not exceed threshold (no edge found)! StatOnlyEns probability points gap does not exceed threshold (no edge found)! No play due to strategy constraints. </v>
      </c>
    </row>
    <row r="77" spans="1:27" x14ac:dyDescent="0.2">
      <c r="A77">
        <v>824752</v>
      </c>
      <c r="B77" s="3">
        <f>VLOOKUP($A77,ScionOutput!$A$3:$BL$215,3,FALSE)</f>
        <v>46185</v>
      </c>
      <c r="C77">
        <f>VLOOKUP($A77,ScionOutput!$A$3:$BL$215,22,FALSE)</f>
        <v>3</v>
      </c>
      <c r="D77" t="str">
        <f>VLOOKUP($A77,ScionOutput!$A$3:$BL$215,23,FALSE)</f>
        <v>BOS</v>
      </c>
      <c r="E77">
        <f>VLOOKUP($A77,ScionOutput!$A$3:$BL$215,6,FALSE)</f>
        <v>28</v>
      </c>
      <c r="F77" t="str">
        <f>VLOOKUP($A77,ScionOutput!$A$3:$BL$215,7,FALSE)</f>
        <v>TEX</v>
      </c>
      <c r="G77">
        <f>VLOOKUP($A77,ScionOutput!$A$3:$BL$215,26,FALSE)</f>
        <v>-126</v>
      </c>
      <c r="H77">
        <f>VLOOKUP($A77,ScionOutput!$A$3:$BL$215,10,FALSE)</f>
        <v>117</v>
      </c>
      <c r="I77" s="6" t="str">
        <f>VLOOKUP($A77,ScionOutput!$A$3:$BL$215,55,FALSE)</f>
        <v>HomFave</v>
      </c>
      <c r="J77" s="6">
        <f>VLOOKUP($A77,ScionOutput!$A$3:$BL$215,56,FALSE)</f>
        <v>0</v>
      </c>
      <c r="K77" t="str">
        <f>VLOOKUP($A77,ScionOutput!$A$3:$BL$215,58,FALSE)</f>
        <v>No Play</v>
      </c>
      <c r="L77">
        <f>VLOOKUP($A77,ScionOutput!$A$3:$BL$215,59,FALSE)</f>
        <v>0</v>
      </c>
      <c r="M77">
        <f>VLOOKUP($A77,ScionOutput!$A$3:$BL$215,62,FALSE)</f>
        <v>0</v>
      </c>
      <c r="N77">
        <f>VLOOKUP($A77,ScionOutput!$A$3:$BL$215,63,FALSE)</f>
        <v>0</v>
      </c>
      <c r="O77" t="b">
        <f t="shared" si="9"/>
        <v>0</v>
      </c>
      <c r="P77">
        <f>VLOOKUP($A77,Outcomes!$B$3:$I$209,8,FALSE)</f>
        <v>11</v>
      </c>
      <c r="Q77">
        <f t="shared" si="10"/>
        <v>1</v>
      </c>
      <c r="R77">
        <f>VLOOKUP($A77,Outcomes!$B$3:$I$209,5,FALSE)</f>
        <v>10</v>
      </c>
      <c r="S77">
        <f>VLOOKUP($A77,Outcomes!$B$3:$I$209,6,FALSE)</f>
        <v>1</v>
      </c>
      <c r="T77">
        <f>VLOOKUP($A77,Outcomes!$B$3:$I$209,7,FALSE)</f>
        <v>-9</v>
      </c>
      <c r="U77" t="str">
        <f t="shared" si="11"/>
        <v>HomFave</v>
      </c>
      <c r="V77" s="5" t="str">
        <f t="shared" si="12"/>
        <v/>
      </c>
      <c r="W77" t="str">
        <f t="shared" si="8"/>
        <v/>
      </c>
      <c r="X77" t="str">
        <f t="shared" si="13"/>
        <v/>
      </c>
      <c r="Y77" t="str">
        <f t="shared" si="14"/>
        <v/>
      </c>
      <c r="Z77" s="2" t="str">
        <f t="shared" si="15"/>
        <v/>
      </c>
      <c r="AA77" t="str">
        <f>VLOOKUP($A77,ScionOutput!$A$3:$BL$215,64,FALSE)</f>
        <v xml:space="preserve">824752. LineStatEns probability points gap does not exceed threshold (no edge found)! StatOnlyEns probability points gap does not exceed threshold (no edge found)! No play due to strategy constraints. </v>
      </c>
    </row>
    <row r="78" spans="1:27" x14ac:dyDescent="0.2">
      <c r="A78">
        <v>824020</v>
      </c>
      <c r="B78" s="3">
        <f>VLOOKUP($A78,ScionOutput!$A$3:$BL$215,3,FALSE)</f>
        <v>46185</v>
      </c>
      <c r="C78">
        <f>VLOOKUP($A78,ScionOutput!$A$3:$BL$215,22,FALSE)</f>
        <v>4</v>
      </c>
      <c r="D78" t="str">
        <f>VLOOKUP($A78,ScionOutput!$A$3:$BL$215,23,FALSE)</f>
        <v>LAA</v>
      </c>
      <c r="E78">
        <f>VLOOKUP($A78,ScionOutput!$A$3:$BL$215,6,FALSE)</f>
        <v>27</v>
      </c>
      <c r="F78" t="str">
        <f>VLOOKUP($A78,ScionOutput!$A$3:$BL$215,7,FALSE)</f>
        <v>TB</v>
      </c>
      <c r="G78">
        <f>VLOOKUP($A78,ScionOutput!$A$3:$BL$215,26,FALSE)</f>
        <v>148</v>
      </c>
      <c r="H78">
        <f>VLOOKUP($A78,ScionOutput!$A$3:$BL$215,10,FALSE)</f>
        <v>-162</v>
      </c>
      <c r="I78" s="6" t="str">
        <f>VLOOKUP($A78,ScionOutput!$A$3:$BL$215,55,FALSE)</f>
        <v>VisFave</v>
      </c>
      <c r="J78" s="6">
        <f>VLOOKUP($A78,ScionOutput!$A$3:$BL$215,56,FALSE)</f>
        <v>0</v>
      </c>
      <c r="K78" t="str">
        <f>VLOOKUP($A78,ScionOutput!$A$3:$BL$215,58,FALSE)</f>
        <v>No Play</v>
      </c>
      <c r="L78">
        <f>VLOOKUP($A78,ScionOutput!$A$3:$BL$215,59,FALSE)</f>
        <v>0</v>
      </c>
      <c r="M78">
        <f>VLOOKUP($A78,ScionOutput!$A$3:$BL$215,62,FALSE)</f>
        <v>0</v>
      </c>
      <c r="N78">
        <f>VLOOKUP($A78,ScionOutput!$A$3:$BL$215,63,FALSE)</f>
        <v>0</v>
      </c>
      <c r="O78" t="b">
        <f t="shared" si="9"/>
        <v>0</v>
      </c>
      <c r="P78">
        <f>VLOOKUP($A78,Outcomes!$B$3:$I$209,8,FALSE)</f>
        <v>7</v>
      </c>
      <c r="Q78">
        <f t="shared" si="10"/>
        <v>1</v>
      </c>
      <c r="R78">
        <f>VLOOKUP($A78,Outcomes!$B$3:$I$209,5,FALSE)</f>
        <v>4</v>
      </c>
      <c r="S78">
        <f>VLOOKUP($A78,Outcomes!$B$3:$I$209,6,FALSE)</f>
        <v>3</v>
      </c>
      <c r="T78">
        <f>VLOOKUP($A78,Outcomes!$B$3:$I$209,7,FALSE)</f>
        <v>-1</v>
      </c>
      <c r="U78" t="str">
        <f t="shared" si="11"/>
        <v>HomDog</v>
      </c>
      <c r="V78" s="5" t="str">
        <f t="shared" si="12"/>
        <v/>
      </c>
      <c r="W78" t="str">
        <f t="shared" si="8"/>
        <v/>
      </c>
      <c r="X78" t="str">
        <f t="shared" si="13"/>
        <v/>
      </c>
      <c r="Y78" t="str">
        <f t="shared" si="14"/>
        <v/>
      </c>
      <c r="Z78" s="2" t="str">
        <f t="shared" si="15"/>
        <v/>
      </c>
      <c r="AA78" t="str">
        <f>VLOOKUP($A78,ScionOutput!$A$3:$BL$215,64,FALSE)</f>
        <v xml:space="preserve">824020. VF plays are disallowed. No play due to strategy constraints. </v>
      </c>
    </row>
    <row r="79" spans="1:27" x14ac:dyDescent="0.2">
      <c r="A79">
        <v>824507</v>
      </c>
      <c r="B79" s="3">
        <f>VLOOKUP($A79,ScionOutput!$A$3:$BL$215,3,FALSE)</f>
        <v>46185</v>
      </c>
      <c r="C79">
        <f>VLOOKUP($A79,ScionOutput!$A$3:$BL$215,22,FALSE)</f>
        <v>6</v>
      </c>
      <c r="D79" t="str">
        <f>VLOOKUP($A79,ScionOutput!$A$3:$BL$215,23,FALSE)</f>
        <v>CIN</v>
      </c>
      <c r="E79">
        <f>VLOOKUP($A79,ScionOutput!$A$3:$BL$215,6,FALSE)</f>
        <v>1</v>
      </c>
      <c r="F79" t="str">
        <f>VLOOKUP($A79,ScionOutput!$A$3:$BL$215,7,FALSE)</f>
        <v>ARZ</v>
      </c>
      <c r="G79">
        <f>VLOOKUP($A79,ScionOutput!$A$3:$BL$215,26,FALSE)</f>
        <v>-110</v>
      </c>
      <c r="H79">
        <f>VLOOKUP($A79,ScionOutput!$A$3:$BL$215,10,FALSE)</f>
        <v>101</v>
      </c>
      <c r="I79" s="6" t="str">
        <f>VLOOKUP($A79,ScionOutput!$A$3:$BL$215,55,FALSE)</f>
        <v>HomFave</v>
      </c>
      <c r="J79" s="6">
        <f>VLOOKUP($A79,ScionOutput!$A$3:$BL$215,56,FALSE)</f>
        <v>0</v>
      </c>
      <c r="K79" t="str">
        <f>VLOOKUP($A79,ScionOutput!$A$3:$BL$215,58,FALSE)</f>
        <v>VisDog</v>
      </c>
      <c r="L79">
        <f>VLOOKUP($A79,ScionOutput!$A$3:$BL$215,59,FALSE)</f>
        <v>-3.2870000000000003E-2</v>
      </c>
      <c r="M79">
        <f>VLOOKUP($A79,ScionOutput!$A$3:$BL$215,62,FALSE)</f>
        <v>3</v>
      </c>
      <c r="N79">
        <f>VLOOKUP($A79,ScionOutput!$A$3:$BL$215,63,FALSE)</f>
        <v>0.73</v>
      </c>
      <c r="O79" t="b">
        <f t="shared" si="9"/>
        <v>0</v>
      </c>
      <c r="P79">
        <f>VLOOKUP($A79,Outcomes!$B$3:$I$209,8,FALSE)</f>
        <v>7</v>
      </c>
      <c r="Q79">
        <f t="shared" si="10"/>
        <v>-1</v>
      </c>
      <c r="R79">
        <f>VLOOKUP($A79,Outcomes!$B$3:$I$209,5,FALSE)</f>
        <v>2</v>
      </c>
      <c r="S79">
        <f>VLOOKUP($A79,Outcomes!$B$3:$I$209,6,FALSE)</f>
        <v>5</v>
      </c>
      <c r="T79">
        <f>VLOOKUP($A79,Outcomes!$B$3:$I$209,7,FALSE)</f>
        <v>3</v>
      </c>
      <c r="U79" t="str">
        <f t="shared" si="11"/>
        <v>VisDog</v>
      </c>
      <c r="V79" s="5" t="str">
        <f t="shared" si="12"/>
        <v/>
      </c>
      <c r="W79" t="str">
        <f t="shared" si="8"/>
        <v/>
      </c>
      <c r="X79" t="str">
        <f t="shared" si="13"/>
        <v/>
      </c>
      <c r="Y79" t="str">
        <f t="shared" si="14"/>
        <v/>
      </c>
      <c r="Z79" s="2" t="str">
        <f t="shared" si="15"/>
        <v/>
      </c>
      <c r="AA79" t="str">
        <f>VLOOKUP($A79,ScionOutput!$A$3:$BL$215,64,FALSE)</f>
        <v xml:space="preserve">824507. StatOnlyEns probability points gap does not exceed threshold (no edge found)! Play determined by LineStatEns only. </v>
      </c>
    </row>
    <row r="80" spans="1:27" x14ac:dyDescent="0.2">
      <c r="A80">
        <v>824425</v>
      </c>
      <c r="B80" s="3">
        <f>VLOOKUP($A80,ScionOutput!$A$3:$BL$215,3,FALSE)</f>
        <v>46185</v>
      </c>
      <c r="C80">
        <f>VLOOKUP($A80,ScionOutput!$A$3:$BL$215,22,FALSE)</f>
        <v>7</v>
      </c>
      <c r="D80" t="str">
        <f>VLOOKUP($A80,ScionOutput!$A$3:$BL$215,23,FALSE)</f>
        <v>CLE</v>
      </c>
      <c r="E80">
        <f>VLOOKUP($A80,ScionOutput!$A$3:$BL$215,6,FALSE)</f>
        <v>10</v>
      </c>
      <c r="F80" t="str">
        <f>VLOOKUP($A80,ScionOutput!$A$3:$BL$215,7,FALSE)</f>
        <v>DET</v>
      </c>
      <c r="G80">
        <f>VLOOKUP($A80,ScionOutput!$A$3:$BL$215,26,FALSE)</f>
        <v>-116</v>
      </c>
      <c r="H80">
        <f>VLOOKUP($A80,ScionOutput!$A$3:$BL$215,10,FALSE)</f>
        <v>107</v>
      </c>
      <c r="I80" s="6" t="str">
        <f>VLOOKUP($A80,ScionOutput!$A$3:$BL$215,55,FALSE)</f>
        <v>HomFave</v>
      </c>
      <c r="J80" s="6">
        <f>VLOOKUP($A80,ScionOutput!$A$3:$BL$215,56,FALSE)</f>
        <v>0</v>
      </c>
      <c r="K80" t="str">
        <f>VLOOKUP($A80,ScionOutput!$A$3:$BL$215,58,FALSE)</f>
        <v>VisDog</v>
      </c>
      <c r="L80">
        <f>VLOOKUP($A80,ScionOutput!$A$3:$BL$215,59,FALSE)</f>
        <v>-3.644E-2</v>
      </c>
      <c r="M80">
        <f>VLOOKUP($A80,ScionOutput!$A$3:$BL$215,62,FALSE)</f>
        <v>3</v>
      </c>
      <c r="N80">
        <f>VLOOKUP($A80,ScionOutput!$A$3:$BL$215,63,FALSE)</f>
        <v>0.73</v>
      </c>
      <c r="O80" t="b">
        <f t="shared" si="9"/>
        <v>0</v>
      </c>
      <c r="P80">
        <f>VLOOKUP($A80,Outcomes!$B$3:$I$209,8,FALSE)</f>
        <v>5</v>
      </c>
      <c r="Q80">
        <f t="shared" si="10"/>
        <v>1</v>
      </c>
      <c r="R80">
        <f>VLOOKUP($A80,Outcomes!$B$3:$I$209,5,FALSE)</f>
        <v>3</v>
      </c>
      <c r="S80">
        <f>VLOOKUP($A80,Outcomes!$B$3:$I$209,6,FALSE)</f>
        <v>2</v>
      </c>
      <c r="T80">
        <f>VLOOKUP($A80,Outcomes!$B$3:$I$209,7,FALSE)</f>
        <v>-1</v>
      </c>
      <c r="U80" t="str">
        <f t="shared" si="11"/>
        <v>HomFave</v>
      </c>
      <c r="V80" s="5" t="str">
        <f t="shared" si="12"/>
        <v/>
      </c>
      <c r="W80" t="str">
        <f t="shared" si="8"/>
        <v/>
      </c>
      <c r="X80" t="str">
        <f t="shared" si="13"/>
        <v/>
      </c>
      <c r="Y80" t="str">
        <f t="shared" si="14"/>
        <v/>
      </c>
      <c r="Z80" s="2" t="str">
        <f t="shared" si="15"/>
        <v/>
      </c>
      <c r="AA80" t="str">
        <f>VLOOKUP($A80,ScionOutput!$A$3:$BL$215,64,FALSE)</f>
        <v xml:space="preserve">824425. StatOnlyEns probability points gap does not exceed threshold (no edge found)! Play determined by LineStatEns only. </v>
      </c>
    </row>
    <row r="81" spans="1:27" x14ac:dyDescent="0.2">
      <c r="A81">
        <v>824588</v>
      </c>
      <c r="B81" s="3">
        <f>VLOOKUP($A81,ScionOutput!$A$3:$BL$215,3,FALSE)</f>
        <v>46185</v>
      </c>
      <c r="C81">
        <f>VLOOKUP($A81,ScionOutput!$A$3:$BL$215,22,FALSE)</f>
        <v>9</v>
      </c>
      <c r="D81" t="str">
        <f>VLOOKUP($A81,ScionOutput!$A$3:$BL$215,23,FALSE)</f>
        <v>CWS</v>
      </c>
      <c r="E81">
        <f>VLOOKUP($A81,ScionOutput!$A$3:$BL$215,6,FALSE)</f>
        <v>14</v>
      </c>
      <c r="F81" t="str">
        <f>VLOOKUP($A81,ScionOutput!$A$3:$BL$215,7,FALSE)</f>
        <v>LA</v>
      </c>
      <c r="G81">
        <f>VLOOKUP($A81,ScionOutput!$A$3:$BL$215,26,FALSE)</f>
        <v>134</v>
      </c>
      <c r="H81">
        <f>VLOOKUP($A81,ScionOutput!$A$3:$BL$215,10,FALSE)</f>
        <v>-146</v>
      </c>
      <c r="I81" s="6" t="str">
        <f>VLOOKUP($A81,ScionOutput!$A$3:$BL$215,55,FALSE)</f>
        <v>VisFave</v>
      </c>
      <c r="J81" s="6">
        <f>VLOOKUP($A81,ScionOutput!$A$3:$BL$215,56,FALSE)</f>
        <v>0</v>
      </c>
      <c r="K81" t="str">
        <f>VLOOKUP($A81,ScionOutput!$A$3:$BL$215,58,FALSE)</f>
        <v>No Play</v>
      </c>
      <c r="L81">
        <f>VLOOKUP($A81,ScionOutput!$A$3:$BL$215,59,FALSE)</f>
        <v>0</v>
      </c>
      <c r="M81">
        <f>VLOOKUP($A81,ScionOutput!$A$3:$BL$215,62,FALSE)</f>
        <v>0</v>
      </c>
      <c r="N81">
        <f>VLOOKUP($A81,ScionOutput!$A$3:$BL$215,63,FALSE)</f>
        <v>0</v>
      </c>
      <c r="O81" t="b">
        <f t="shared" si="9"/>
        <v>0</v>
      </c>
      <c r="P81">
        <f>VLOOKUP($A81,Outcomes!$B$3:$I$209,8,FALSE)</f>
        <v>10</v>
      </c>
      <c r="Q81">
        <f t="shared" si="10"/>
        <v>1</v>
      </c>
      <c r="R81">
        <f>VLOOKUP($A81,Outcomes!$B$3:$I$209,5,FALSE)</f>
        <v>8</v>
      </c>
      <c r="S81">
        <f>VLOOKUP($A81,Outcomes!$B$3:$I$209,6,FALSE)</f>
        <v>2</v>
      </c>
      <c r="T81">
        <f>VLOOKUP($A81,Outcomes!$B$3:$I$209,7,FALSE)</f>
        <v>-6</v>
      </c>
      <c r="U81" t="str">
        <f t="shared" si="11"/>
        <v>HomDog</v>
      </c>
      <c r="V81" s="5" t="str">
        <f t="shared" si="12"/>
        <v/>
      </c>
      <c r="W81" t="str">
        <f t="shared" si="8"/>
        <v/>
      </c>
      <c r="X81" t="str">
        <f t="shared" si="13"/>
        <v/>
      </c>
      <c r="Y81" t="str">
        <f t="shared" si="14"/>
        <v/>
      </c>
      <c r="Z81" s="2" t="str">
        <f t="shared" si="15"/>
        <v/>
      </c>
      <c r="AA81" t="str">
        <f>VLOOKUP($A81,ScionOutput!$A$3:$BL$215,64,FALSE)</f>
        <v xml:space="preserve">824588. LineStatEns price is outside allowable range! VF plays are disallowed. No play due to strategy constraints. </v>
      </c>
    </row>
    <row r="82" spans="1:27" x14ac:dyDescent="0.2">
      <c r="A82">
        <v>824102</v>
      </c>
      <c r="B82" s="3">
        <f>VLOOKUP($A82,ScionOutput!$A$3:$BL$215,3,FALSE)</f>
        <v>46185</v>
      </c>
      <c r="C82">
        <f>VLOOKUP($A82,ScionOutput!$A$3:$BL$215,22,FALSE)</f>
        <v>13</v>
      </c>
      <c r="D82" t="str">
        <f>VLOOKUP($A82,ScionOutput!$A$3:$BL$215,23,FALSE)</f>
        <v>KC</v>
      </c>
      <c r="E82">
        <f>VLOOKUP($A82,ScionOutput!$A$3:$BL$215,6,FALSE)</f>
        <v>12</v>
      </c>
      <c r="F82" t="str">
        <f>VLOOKUP($A82,ScionOutput!$A$3:$BL$215,7,FALSE)</f>
        <v>HOU</v>
      </c>
      <c r="G82">
        <f>VLOOKUP($A82,ScionOutput!$A$3:$BL$215,26,FALSE)</f>
        <v>100</v>
      </c>
      <c r="H82">
        <f>VLOOKUP($A82,ScionOutput!$A$3:$BL$215,10,FALSE)</f>
        <v>-109</v>
      </c>
      <c r="I82" s="6" t="str">
        <f>VLOOKUP($A82,ScionOutput!$A$3:$BL$215,55,FALSE)</f>
        <v>VisFave</v>
      </c>
      <c r="J82" s="6">
        <f>VLOOKUP($A82,ScionOutput!$A$3:$BL$215,56,FALSE)</f>
        <v>0</v>
      </c>
      <c r="K82" t="str">
        <f>VLOOKUP($A82,ScionOutput!$A$3:$BL$215,58,FALSE)</f>
        <v>No Play</v>
      </c>
      <c r="L82">
        <f>VLOOKUP($A82,ScionOutput!$A$3:$BL$215,59,FALSE)</f>
        <v>0</v>
      </c>
      <c r="M82">
        <f>VLOOKUP($A82,ScionOutput!$A$3:$BL$215,62,FALSE)</f>
        <v>0</v>
      </c>
      <c r="N82">
        <f>VLOOKUP($A82,ScionOutput!$A$3:$BL$215,63,FALSE)</f>
        <v>0</v>
      </c>
      <c r="O82" t="b">
        <f t="shared" si="9"/>
        <v>0</v>
      </c>
      <c r="P82">
        <f>VLOOKUP($A82,Outcomes!$B$3:$I$209,8,FALSE)</f>
        <v>18</v>
      </c>
      <c r="Q82">
        <f t="shared" si="10"/>
        <v>-1</v>
      </c>
      <c r="R82">
        <f>VLOOKUP($A82,Outcomes!$B$3:$I$209,5,FALSE)</f>
        <v>8</v>
      </c>
      <c r="S82">
        <f>VLOOKUP($A82,Outcomes!$B$3:$I$209,6,FALSE)</f>
        <v>10</v>
      </c>
      <c r="T82">
        <f>VLOOKUP($A82,Outcomes!$B$3:$I$209,7,FALSE)</f>
        <v>2</v>
      </c>
      <c r="U82" t="str">
        <f t="shared" si="11"/>
        <v>VisFave</v>
      </c>
      <c r="V82" s="5" t="str">
        <f t="shared" si="12"/>
        <v/>
      </c>
      <c r="W82" t="str">
        <f t="shared" si="8"/>
        <v/>
      </c>
      <c r="X82" t="str">
        <f t="shared" si="13"/>
        <v/>
      </c>
      <c r="Y82" t="str">
        <f t="shared" si="14"/>
        <v/>
      </c>
      <c r="Z82" s="2" t="str">
        <f t="shared" si="15"/>
        <v/>
      </c>
      <c r="AA82" t="str">
        <f>VLOOKUP($A82,ScionOutput!$A$3:$BL$215,64,FALSE)</f>
        <v xml:space="preserve">824102. VF plays are disallowed. No play due to strategy constraints. </v>
      </c>
    </row>
    <row r="83" spans="1:27" x14ac:dyDescent="0.2">
      <c r="A83">
        <v>823695</v>
      </c>
      <c r="B83" s="3">
        <f>VLOOKUP($A83,ScionOutput!$A$3:$BL$215,3,FALSE)</f>
        <v>46185</v>
      </c>
      <c r="C83">
        <f>VLOOKUP($A83,ScionOutput!$A$3:$BL$215,22,FALSE)</f>
        <v>15</v>
      </c>
      <c r="D83" t="str">
        <f>VLOOKUP($A83,ScionOutput!$A$3:$BL$215,23,FALSE)</f>
        <v>MIN</v>
      </c>
      <c r="E83">
        <f>VLOOKUP($A83,ScionOutput!$A$3:$BL$215,6,FALSE)</f>
        <v>26</v>
      </c>
      <c r="F83" t="str">
        <f>VLOOKUP($A83,ScionOutput!$A$3:$BL$215,7,FALSE)</f>
        <v>STL</v>
      </c>
      <c r="G83">
        <f>VLOOKUP($A83,ScionOutput!$A$3:$BL$215,26,FALSE)</f>
        <v>-130</v>
      </c>
      <c r="H83">
        <f>VLOOKUP($A83,ScionOutput!$A$3:$BL$215,10,FALSE)</f>
        <v>120</v>
      </c>
      <c r="I83" s="6" t="str">
        <f>VLOOKUP($A83,ScionOutput!$A$3:$BL$215,55,FALSE)</f>
        <v>HomFave</v>
      </c>
      <c r="J83" s="6">
        <f>VLOOKUP($A83,ScionOutput!$A$3:$BL$215,56,FALSE)</f>
        <v>0</v>
      </c>
      <c r="K83" t="str">
        <f>VLOOKUP($A83,ScionOutput!$A$3:$BL$215,58,FALSE)</f>
        <v>No Play</v>
      </c>
      <c r="L83">
        <f>VLOOKUP($A83,ScionOutput!$A$3:$BL$215,59,FALSE)</f>
        <v>0</v>
      </c>
      <c r="M83">
        <f>VLOOKUP($A83,ScionOutput!$A$3:$BL$215,62,FALSE)</f>
        <v>0</v>
      </c>
      <c r="N83">
        <f>VLOOKUP($A83,ScionOutput!$A$3:$BL$215,63,FALSE)</f>
        <v>0</v>
      </c>
      <c r="O83" t="b">
        <f t="shared" si="9"/>
        <v>0</v>
      </c>
      <c r="P83">
        <f>VLOOKUP($A83,Outcomes!$B$3:$I$209,8,FALSE)</f>
        <v>17</v>
      </c>
      <c r="Q83">
        <f t="shared" si="10"/>
        <v>1</v>
      </c>
      <c r="R83">
        <f>VLOOKUP($A83,Outcomes!$B$3:$I$209,5,FALSE)</f>
        <v>9</v>
      </c>
      <c r="S83">
        <f>VLOOKUP($A83,Outcomes!$B$3:$I$209,6,FALSE)</f>
        <v>8</v>
      </c>
      <c r="T83">
        <f>VLOOKUP($A83,Outcomes!$B$3:$I$209,7,FALSE)</f>
        <v>-1</v>
      </c>
      <c r="U83" t="str">
        <f t="shared" si="11"/>
        <v>HomFave</v>
      </c>
      <c r="V83" s="5" t="str">
        <f t="shared" si="12"/>
        <v/>
      </c>
      <c r="W83" t="str">
        <f t="shared" si="8"/>
        <v/>
      </c>
      <c r="X83" t="str">
        <f t="shared" si="13"/>
        <v/>
      </c>
      <c r="Y83" t="str">
        <f t="shared" si="14"/>
        <v/>
      </c>
      <c r="Z83" s="2" t="str">
        <f t="shared" si="15"/>
        <v/>
      </c>
      <c r="AA83" t="str">
        <f>VLOOKUP($A83,ScionOutput!$A$3:$BL$215,64,FALSE)</f>
        <v xml:space="preserve">823695. LineStatEns probability points gap does not exceed threshold (no edge found)! StatOnlyEns probability points gap does not exceed threshold (no edge found)! No play due to strategy constraints. </v>
      </c>
    </row>
    <row r="84" spans="1:27" x14ac:dyDescent="0.2">
      <c r="A84">
        <v>822726</v>
      </c>
      <c r="B84" s="3">
        <f>VLOOKUP($A84,ScionOutput!$A$3:$BL$215,3,FALSE)</f>
        <v>46185</v>
      </c>
      <c r="C84">
        <f>VLOOKUP($A84,ScionOutput!$A$3:$BL$215,22,FALSE)</f>
        <v>16</v>
      </c>
      <c r="D84" t="str">
        <f>VLOOKUP($A84,ScionOutput!$A$3:$BL$215,23,FALSE)</f>
        <v>WAS</v>
      </c>
      <c r="E84">
        <f>VLOOKUP($A84,ScionOutput!$A$3:$BL$215,6,FALSE)</f>
        <v>24</v>
      </c>
      <c r="F84" t="str">
        <f>VLOOKUP($A84,ScionOutput!$A$3:$BL$215,7,FALSE)</f>
        <v>SEA</v>
      </c>
      <c r="G84">
        <f>VLOOKUP($A84,ScionOutput!$A$3:$BL$215,26,FALSE)</f>
        <v>126</v>
      </c>
      <c r="H84">
        <f>VLOOKUP($A84,ScionOutput!$A$3:$BL$215,10,FALSE)</f>
        <v>-137</v>
      </c>
      <c r="I84" s="6" t="str">
        <f>VLOOKUP($A84,ScionOutput!$A$3:$BL$215,55,FALSE)</f>
        <v>VisFave</v>
      </c>
      <c r="J84" s="6">
        <f>VLOOKUP($A84,ScionOutput!$A$3:$BL$215,56,FALSE)</f>
        <v>0</v>
      </c>
      <c r="K84" t="str">
        <f>VLOOKUP($A84,ScionOutput!$A$3:$BL$215,58,FALSE)</f>
        <v>No Play</v>
      </c>
      <c r="L84">
        <f>VLOOKUP($A84,ScionOutput!$A$3:$BL$215,59,FALSE)</f>
        <v>0</v>
      </c>
      <c r="M84">
        <f>VLOOKUP($A84,ScionOutput!$A$3:$BL$215,62,FALSE)</f>
        <v>0</v>
      </c>
      <c r="N84">
        <f>VLOOKUP($A84,ScionOutput!$A$3:$BL$215,63,FALSE)</f>
        <v>0</v>
      </c>
      <c r="O84" t="b">
        <f t="shared" si="9"/>
        <v>0</v>
      </c>
      <c r="P84">
        <f>VLOOKUP($A84,Outcomes!$B$3:$I$209,8,FALSE)</f>
        <v>12</v>
      </c>
      <c r="Q84">
        <f t="shared" si="10"/>
        <v>-1</v>
      </c>
      <c r="R84">
        <f>VLOOKUP($A84,Outcomes!$B$3:$I$209,5,FALSE)</f>
        <v>2</v>
      </c>
      <c r="S84">
        <f>VLOOKUP($A84,Outcomes!$B$3:$I$209,6,FALSE)</f>
        <v>10</v>
      </c>
      <c r="T84">
        <f>VLOOKUP($A84,Outcomes!$B$3:$I$209,7,FALSE)</f>
        <v>8</v>
      </c>
      <c r="U84" t="str">
        <f t="shared" si="11"/>
        <v>VisFave</v>
      </c>
      <c r="V84" s="5" t="str">
        <f t="shared" si="12"/>
        <v/>
      </c>
      <c r="W84" t="str">
        <f t="shared" si="8"/>
        <v/>
      </c>
      <c r="X84" t="str">
        <f t="shared" si="13"/>
        <v/>
      </c>
      <c r="Y84" t="str">
        <f t="shared" si="14"/>
        <v/>
      </c>
      <c r="Z84" s="2" t="str">
        <f t="shared" si="15"/>
        <v/>
      </c>
      <c r="AA84" t="str">
        <f>VLOOKUP($A84,ScionOutput!$A$3:$BL$215,64,FALSE)</f>
        <v xml:space="preserve">822726. VF plays are disallowed. No play due to strategy constraints. </v>
      </c>
    </row>
    <row r="85" spans="1:27" x14ac:dyDescent="0.2">
      <c r="A85">
        <v>823778</v>
      </c>
      <c r="B85" s="3">
        <f>VLOOKUP($A85,ScionOutput!$A$3:$BL$215,3,FALSE)</f>
        <v>46185</v>
      </c>
      <c r="C85">
        <f>VLOOKUP($A85,ScionOutput!$A$3:$BL$215,22,FALSE)</f>
        <v>17</v>
      </c>
      <c r="D85" t="str">
        <f>VLOOKUP($A85,ScionOutput!$A$3:$BL$215,23,FALSE)</f>
        <v>MLW</v>
      </c>
      <c r="E85">
        <f>VLOOKUP($A85,ScionOutput!$A$3:$BL$215,6,FALSE)</f>
        <v>21</v>
      </c>
      <c r="F85" t="str">
        <f>VLOOKUP($A85,ScionOutput!$A$3:$BL$215,7,FALSE)</f>
        <v>PHI</v>
      </c>
      <c r="G85">
        <f>VLOOKUP($A85,ScionOutput!$A$3:$BL$215,26,FALSE)</f>
        <v>-236</v>
      </c>
      <c r="H85">
        <f>VLOOKUP($A85,ScionOutput!$A$3:$BL$215,10,FALSE)</f>
        <v>213</v>
      </c>
      <c r="I85" s="6" t="str">
        <f>VLOOKUP($A85,ScionOutput!$A$3:$BL$215,55,FALSE)</f>
        <v>HomFave</v>
      </c>
      <c r="J85" s="6">
        <f>VLOOKUP($A85,ScionOutput!$A$3:$BL$215,56,FALSE)</f>
        <v>0</v>
      </c>
      <c r="K85" t="str">
        <f>VLOOKUP($A85,ScionOutput!$A$3:$BL$215,58,FALSE)</f>
        <v>No Play</v>
      </c>
      <c r="L85">
        <f>VLOOKUP($A85,ScionOutput!$A$3:$BL$215,59,FALSE)</f>
        <v>0</v>
      </c>
      <c r="M85">
        <f>VLOOKUP($A85,ScionOutput!$A$3:$BL$215,62,FALSE)</f>
        <v>0</v>
      </c>
      <c r="N85">
        <f>VLOOKUP($A85,ScionOutput!$A$3:$BL$215,63,FALSE)</f>
        <v>0</v>
      </c>
      <c r="O85" t="b">
        <f t="shared" si="9"/>
        <v>0</v>
      </c>
      <c r="P85">
        <f>VLOOKUP($A85,Outcomes!$B$3:$I$209,8,FALSE)</f>
        <v>6</v>
      </c>
      <c r="Q85">
        <f t="shared" si="10"/>
        <v>1</v>
      </c>
      <c r="R85">
        <f>VLOOKUP($A85,Outcomes!$B$3:$I$209,5,FALSE)</f>
        <v>6</v>
      </c>
      <c r="S85">
        <f>VLOOKUP($A85,Outcomes!$B$3:$I$209,6,FALSE)</f>
        <v>0</v>
      </c>
      <c r="T85">
        <f>VLOOKUP($A85,Outcomes!$B$3:$I$209,7,FALSE)</f>
        <v>-6</v>
      </c>
      <c r="U85" t="str">
        <f t="shared" si="11"/>
        <v>HomFave</v>
      </c>
      <c r="V85" s="5" t="str">
        <f t="shared" si="12"/>
        <v/>
      </c>
      <c r="W85" t="str">
        <f t="shared" si="8"/>
        <v/>
      </c>
      <c r="X85" t="str">
        <f t="shared" si="13"/>
        <v/>
      </c>
      <c r="Y85" t="str">
        <f t="shared" si="14"/>
        <v/>
      </c>
      <c r="Z85" s="2" t="str">
        <f t="shared" si="15"/>
        <v/>
      </c>
      <c r="AA85" t="str">
        <f>VLOOKUP($A85,ScionOutput!$A$3:$BL$215,64,FALSE)</f>
        <v xml:space="preserve">823778. V_SP is Null, team-based avg used. NoPlay as V_SP is Null. </v>
      </c>
    </row>
    <row r="86" spans="1:27" x14ac:dyDescent="0.2">
      <c r="A86">
        <v>823617</v>
      </c>
      <c r="B86" s="3">
        <f>VLOOKUP($A86,ScionOutput!$A$3:$BL$215,3,FALSE)</f>
        <v>46185</v>
      </c>
      <c r="C86">
        <f>VLOOKUP($A86,ScionOutput!$A$3:$BL$215,22,FALSE)</f>
        <v>18</v>
      </c>
      <c r="D86" t="str">
        <f>VLOOKUP($A86,ScionOutput!$A$3:$BL$215,23,FALSE)</f>
        <v>NYM</v>
      </c>
      <c r="E86">
        <f>VLOOKUP($A86,ScionOutput!$A$3:$BL$215,6,FALSE)</f>
        <v>0</v>
      </c>
      <c r="F86" t="str">
        <f>VLOOKUP($A86,ScionOutput!$A$3:$BL$215,7,FALSE)</f>
        <v>ATL</v>
      </c>
      <c r="G86">
        <f>VLOOKUP($A86,ScionOutput!$A$3:$BL$215,26,FALSE)</f>
        <v>-123</v>
      </c>
      <c r="H86">
        <f>VLOOKUP($A86,ScionOutput!$A$3:$BL$215,10,FALSE)</f>
        <v>113</v>
      </c>
      <c r="I86" s="6" t="str">
        <f>VLOOKUP($A86,ScionOutput!$A$3:$BL$215,55,FALSE)</f>
        <v>VisDog</v>
      </c>
      <c r="J86" s="6">
        <f>VLOOKUP($A86,ScionOutput!$A$3:$BL$215,56,FALSE)</f>
        <v>1</v>
      </c>
      <c r="K86" t="str">
        <f>VLOOKUP($A86,ScionOutput!$A$3:$BL$215,58,FALSE)</f>
        <v>VisDog</v>
      </c>
      <c r="L86">
        <f>VLOOKUP($A86,ScionOutput!$A$3:$BL$215,59,FALSE)</f>
        <v>-6.0199999999999997E-2</v>
      </c>
      <c r="M86">
        <f>VLOOKUP($A86,ScionOutput!$A$3:$BL$215,62,FALSE)</f>
        <v>5</v>
      </c>
      <c r="N86">
        <f>VLOOKUP($A86,ScionOutput!$A$3:$BL$215,63,FALSE)</f>
        <v>0.73</v>
      </c>
      <c r="O86" t="b">
        <f t="shared" si="9"/>
        <v>1</v>
      </c>
      <c r="P86">
        <f>VLOOKUP($A86,Outcomes!$B$3:$I$209,8,FALSE)</f>
        <v>12</v>
      </c>
      <c r="Q86">
        <f t="shared" si="10"/>
        <v>1</v>
      </c>
      <c r="R86">
        <f>VLOOKUP($A86,Outcomes!$B$3:$I$209,5,FALSE)</f>
        <v>7</v>
      </c>
      <c r="S86">
        <f>VLOOKUP($A86,Outcomes!$B$3:$I$209,6,FALSE)</f>
        <v>5</v>
      </c>
      <c r="T86">
        <f>VLOOKUP($A86,Outcomes!$B$3:$I$209,7,FALSE)</f>
        <v>-2</v>
      </c>
      <c r="U86" t="str">
        <f t="shared" si="11"/>
        <v>HomFave</v>
      </c>
      <c r="V86" s="5">
        <f t="shared" si="12"/>
        <v>0</v>
      </c>
      <c r="W86">
        <f t="shared" si="8"/>
        <v>100</v>
      </c>
      <c r="X86">
        <f t="shared" si="13"/>
        <v>0</v>
      </c>
      <c r="Y86">
        <f t="shared" si="14"/>
        <v>-100</v>
      </c>
      <c r="Z86" s="2">
        <f t="shared" si="15"/>
        <v>-1</v>
      </c>
      <c r="AA86" t="str">
        <f>VLOOKUP($A86,ScionOutput!$A$3:$BL$215,64,FALSE)</f>
        <v xml:space="preserve">823617. Play determined by LineStatEns and StatOnlyEns agreement. </v>
      </c>
    </row>
    <row r="87" spans="1:27" x14ac:dyDescent="0.2">
      <c r="A87">
        <v>824997</v>
      </c>
      <c r="B87" s="3">
        <f>VLOOKUP($A87,ScionOutput!$A$3:$BL$215,3,FALSE)</f>
        <v>46185</v>
      </c>
      <c r="C87">
        <f>VLOOKUP($A87,ScionOutput!$A$3:$BL$215,22,FALSE)</f>
        <v>20</v>
      </c>
      <c r="D87" t="str">
        <f>VLOOKUP($A87,ScionOutput!$A$3:$BL$215,23,FALSE)</f>
        <v>OAK</v>
      </c>
      <c r="E87">
        <f>VLOOKUP($A87,ScionOutput!$A$3:$BL$215,6,FALSE)</f>
        <v>8</v>
      </c>
      <c r="F87" t="str">
        <f>VLOOKUP($A87,ScionOutput!$A$3:$BL$215,7,FALSE)</f>
        <v>COL</v>
      </c>
      <c r="G87">
        <f>VLOOKUP($A87,ScionOutput!$A$3:$BL$215,26,FALSE)</f>
        <v>-207</v>
      </c>
      <c r="H87">
        <f>VLOOKUP($A87,ScionOutput!$A$3:$BL$215,10,FALSE)</f>
        <v>188</v>
      </c>
      <c r="I87" s="6" t="str">
        <f>VLOOKUP($A87,ScionOutput!$A$3:$BL$215,55,FALSE)</f>
        <v>HomFave</v>
      </c>
      <c r="J87" s="6">
        <f>VLOOKUP($A87,ScionOutput!$A$3:$BL$215,56,FALSE)</f>
        <v>0</v>
      </c>
      <c r="K87" t="str">
        <f>VLOOKUP($A87,ScionOutput!$A$3:$BL$215,58,FALSE)</f>
        <v>No Play</v>
      </c>
      <c r="L87">
        <f>VLOOKUP($A87,ScionOutput!$A$3:$BL$215,59,FALSE)</f>
        <v>0</v>
      </c>
      <c r="M87">
        <f>VLOOKUP($A87,ScionOutput!$A$3:$BL$215,62,FALSE)</f>
        <v>0</v>
      </c>
      <c r="N87">
        <f>VLOOKUP($A87,ScionOutput!$A$3:$BL$215,63,FALSE)</f>
        <v>0</v>
      </c>
      <c r="O87" t="b">
        <f t="shared" si="9"/>
        <v>0</v>
      </c>
      <c r="P87">
        <f>VLOOKUP($A87,Outcomes!$B$3:$I$209,8,FALSE)</f>
        <v>10</v>
      </c>
      <c r="Q87">
        <f t="shared" si="10"/>
        <v>1</v>
      </c>
      <c r="R87">
        <f>VLOOKUP($A87,Outcomes!$B$3:$I$209,5,FALSE)</f>
        <v>6</v>
      </c>
      <c r="S87">
        <f>VLOOKUP($A87,Outcomes!$B$3:$I$209,6,FALSE)</f>
        <v>4</v>
      </c>
      <c r="T87">
        <f>VLOOKUP($A87,Outcomes!$B$3:$I$209,7,FALSE)</f>
        <v>-2</v>
      </c>
      <c r="U87" t="str">
        <f t="shared" si="11"/>
        <v>HomFave</v>
      </c>
      <c r="V87" s="5" t="str">
        <f t="shared" si="12"/>
        <v/>
      </c>
      <c r="W87" t="str">
        <f t="shared" si="8"/>
        <v/>
      </c>
      <c r="X87" t="str">
        <f t="shared" si="13"/>
        <v/>
      </c>
      <c r="Y87" t="str">
        <f t="shared" si="14"/>
        <v/>
      </c>
      <c r="Z87" s="2" t="str">
        <f t="shared" si="15"/>
        <v/>
      </c>
      <c r="AA87" t="str">
        <f>VLOOKUP($A87,ScionOutput!$A$3:$BL$215,64,FALSE)</f>
        <v xml:space="preserve">824997. V_SP is Null, team-based avg used. NoPlay as V_SP is Null. </v>
      </c>
    </row>
    <row r="88" spans="1:27" x14ac:dyDescent="0.2">
      <c r="A88">
        <v>823370</v>
      </c>
      <c r="B88" s="3">
        <f>VLOOKUP($A88,ScionOutput!$A$3:$BL$215,3,FALSE)</f>
        <v>46185</v>
      </c>
      <c r="C88">
        <f>VLOOKUP($A88,ScionOutput!$A$3:$BL$215,22,FALSE)</f>
        <v>22</v>
      </c>
      <c r="D88" t="str">
        <f>VLOOKUP($A88,ScionOutput!$A$3:$BL$215,23,FALSE)</f>
        <v>PIT</v>
      </c>
      <c r="E88">
        <f>VLOOKUP($A88,ScionOutput!$A$3:$BL$215,6,FALSE)</f>
        <v>11</v>
      </c>
      <c r="F88" t="str">
        <f>VLOOKUP($A88,ScionOutput!$A$3:$BL$215,7,FALSE)</f>
        <v>FLO</v>
      </c>
      <c r="G88">
        <f>VLOOKUP($A88,ScionOutput!$A$3:$BL$215,26,FALSE)</f>
        <v>-137</v>
      </c>
      <c r="H88">
        <f>VLOOKUP($A88,ScionOutput!$A$3:$BL$215,10,FALSE)</f>
        <v>127</v>
      </c>
      <c r="I88" s="6" t="str">
        <f>VLOOKUP($A88,ScionOutput!$A$3:$BL$215,55,FALSE)</f>
        <v>HomFave</v>
      </c>
      <c r="J88" s="6">
        <f>VLOOKUP($A88,ScionOutput!$A$3:$BL$215,56,FALSE)</f>
        <v>0</v>
      </c>
      <c r="K88" t="str">
        <f>VLOOKUP($A88,ScionOutput!$A$3:$BL$215,58,FALSE)</f>
        <v>No Play</v>
      </c>
      <c r="L88">
        <f>VLOOKUP($A88,ScionOutput!$A$3:$BL$215,59,FALSE)</f>
        <v>0</v>
      </c>
      <c r="M88">
        <f>VLOOKUP($A88,ScionOutput!$A$3:$BL$215,62,FALSE)</f>
        <v>0</v>
      </c>
      <c r="N88">
        <f>VLOOKUP($A88,ScionOutput!$A$3:$BL$215,63,FALSE)</f>
        <v>0</v>
      </c>
      <c r="O88" t="b">
        <f t="shared" si="9"/>
        <v>0</v>
      </c>
      <c r="P88">
        <f>VLOOKUP($A88,Outcomes!$B$3:$I$209,8,FALSE)</f>
        <v>11</v>
      </c>
      <c r="Q88">
        <f t="shared" si="10"/>
        <v>-1</v>
      </c>
      <c r="R88">
        <f>VLOOKUP($A88,Outcomes!$B$3:$I$209,5,FALSE)</f>
        <v>3</v>
      </c>
      <c r="S88">
        <f>VLOOKUP($A88,Outcomes!$B$3:$I$209,6,FALSE)</f>
        <v>8</v>
      </c>
      <c r="T88">
        <f>VLOOKUP($A88,Outcomes!$B$3:$I$209,7,FALSE)</f>
        <v>5</v>
      </c>
      <c r="U88" t="str">
        <f t="shared" si="11"/>
        <v>VisDog</v>
      </c>
      <c r="V88" s="5" t="str">
        <f t="shared" si="12"/>
        <v/>
      </c>
      <c r="W88" t="str">
        <f t="shared" si="8"/>
        <v/>
      </c>
      <c r="X88" t="str">
        <f t="shared" si="13"/>
        <v/>
      </c>
      <c r="Y88" t="str">
        <f t="shared" si="14"/>
        <v/>
      </c>
      <c r="Z88" s="2" t="str">
        <f t="shared" si="15"/>
        <v/>
      </c>
      <c r="AA88" t="str">
        <f>VLOOKUP($A88,ScionOutput!$A$3:$BL$215,64,FALSE)</f>
        <v xml:space="preserve">823370. LineStatEns probability points gap does not exceed threshold (no edge found)! StatOnlyEns probability points gap does not exceed threshold (no edge found)! No play due to strategy constraints. </v>
      </c>
    </row>
    <row r="89" spans="1:27" x14ac:dyDescent="0.2">
      <c r="A89">
        <v>823211</v>
      </c>
      <c r="B89" s="3">
        <f>VLOOKUP($A89,ScionOutput!$A$3:$BL$215,3,FALSE)</f>
        <v>46185</v>
      </c>
      <c r="C89">
        <f>VLOOKUP($A89,ScionOutput!$A$3:$BL$215,22,FALSE)</f>
        <v>25</v>
      </c>
      <c r="D89" t="str">
        <f>VLOOKUP($A89,ScionOutput!$A$3:$BL$215,23,FALSE)</f>
        <v>SF</v>
      </c>
      <c r="E89">
        <f>VLOOKUP($A89,ScionOutput!$A$3:$BL$215,6,FALSE)</f>
        <v>5</v>
      </c>
      <c r="F89" t="str">
        <f>VLOOKUP($A89,ScionOutput!$A$3:$BL$215,7,FALSE)</f>
        <v>CHC</v>
      </c>
      <c r="G89">
        <f>VLOOKUP($A89,ScionOutput!$A$3:$BL$215,26,FALSE)</f>
        <v>-120</v>
      </c>
      <c r="H89">
        <f>VLOOKUP($A89,ScionOutput!$A$3:$BL$215,10,FALSE)</f>
        <v>111</v>
      </c>
      <c r="I89" s="6" t="str">
        <f>VLOOKUP($A89,ScionOutput!$A$3:$BL$215,55,FALSE)</f>
        <v>VisDog</v>
      </c>
      <c r="J89" s="6">
        <f>VLOOKUP($A89,ScionOutput!$A$3:$BL$215,56,FALSE)</f>
        <v>1</v>
      </c>
      <c r="K89" t="str">
        <f>VLOOKUP($A89,ScionOutput!$A$3:$BL$215,58,FALSE)</f>
        <v>No Play</v>
      </c>
      <c r="L89">
        <f>VLOOKUP($A89,ScionOutput!$A$3:$BL$215,59,FALSE)</f>
        <v>0</v>
      </c>
      <c r="M89">
        <f>VLOOKUP($A89,ScionOutput!$A$3:$BL$215,62,FALSE)</f>
        <v>0</v>
      </c>
      <c r="N89">
        <f>VLOOKUP($A89,ScionOutput!$A$3:$BL$215,63,FALSE)</f>
        <v>0</v>
      </c>
      <c r="O89" t="b">
        <f t="shared" si="9"/>
        <v>0</v>
      </c>
      <c r="P89">
        <f>VLOOKUP($A89,Outcomes!$B$3:$I$209,8,FALSE)</f>
        <v>6</v>
      </c>
      <c r="Q89">
        <f t="shared" si="10"/>
        <v>-1</v>
      </c>
      <c r="R89">
        <f>VLOOKUP($A89,Outcomes!$B$3:$I$209,5,FALSE)</f>
        <v>1</v>
      </c>
      <c r="S89">
        <f>VLOOKUP($A89,Outcomes!$B$3:$I$209,6,FALSE)</f>
        <v>5</v>
      </c>
      <c r="T89">
        <f>VLOOKUP($A89,Outcomes!$B$3:$I$209,7,FALSE)</f>
        <v>4</v>
      </c>
      <c r="U89" t="str">
        <f t="shared" si="11"/>
        <v>VisDog</v>
      </c>
      <c r="V89" s="5">
        <f t="shared" si="12"/>
        <v>1</v>
      </c>
      <c r="W89">
        <f t="shared" si="8"/>
        <v>100</v>
      </c>
      <c r="X89">
        <f t="shared" si="13"/>
        <v>211</v>
      </c>
      <c r="Y89">
        <f t="shared" si="14"/>
        <v>111</v>
      </c>
      <c r="Z89" s="2">
        <f t="shared" si="15"/>
        <v>1.1100000000000001</v>
      </c>
      <c r="AA89" t="str">
        <f>VLOOKUP($A89,ScionOutput!$A$3:$BL$215,64,FALSE)</f>
        <v xml:space="preserve">823211. LineStatEns probability points gap does not exceed threshold (no edge found)! No play due to strategy constraints. </v>
      </c>
    </row>
    <row r="90" spans="1:27" x14ac:dyDescent="0.2">
      <c r="A90">
        <v>822803</v>
      </c>
      <c r="B90" s="3">
        <f>VLOOKUP($A90,ScionOutput!$A$3:$BL$215,3,FALSE)</f>
        <v>46185</v>
      </c>
      <c r="C90">
        <f>VLOOKUP($A90,ScionOutput!$A$3:$BL$215,22,FALSE)</f>
        <v>29</v>
      </c>
      <c r="D90" t="str">
        <f>VLOOKUP($A90,ScionOutput!$A$3:$BL$215,23,FALSE)</f>
        <v>TOR</v>
      </c>
      <c r="E90">
        <f>VLOOKUP($A90,ScionOutput!$A$3:$BL$215,6,FALSE)</f>
        <v>19</v>
      </c>
      <c r="F90" t="str">
        <f>VLOOKUP($A90,ScionOutput!$A$3:$BL$215,7,FALSE)</f>
        <v>NYY</v>
      </c>
      <c r="G90">
        <f>VLOOKUP($A90,ScionOutput!$A$3:$BL$215,26,FALSE)</f>
        <v>-108</v>
      </c>
      <c r="H90">
        <f>VLOOKUP($A90,ScionOutput!$A$3:$BL$215,10,FALSE)</f>
        <v>100</v>
      </c>
      <c r="I90" s="6" t="str">
        <f>VLOOKUP($A90,ScionOutput!$A$3:$BL$215,55,FALSE)</f>
        <v>VisDog</v>
      </c>
      <c r="J90" s="6">
        <f>VLOOKUP($A90,ScionOutput!$A$3:$BL$215,56,FALSE)</f>
        <v>1</v>
      </c>
      <c r="K90" t="str">
        <f>VLOOKUP($A90,ScionOutput!$A$3:$BL$215,58,FALSE)</f>
        <v>VisDog</v>
      </c>
      <c r="L90">
        <f>VLOOKUP($A90,ScionOutput!$A$3:$BL$215,59,FALSE)</f>
        <v>-2.9430000000000001E-2</v>
      </c>
      <c r="M90">
        <f>VLOOKUP($A90,ScionOutput!$A$3:$BL$215,62,FALSE)</f>
        <v>5</v>
      </c>
      <c r="N90">
        <f>VLOOKUP($A90,ScionOutput!$A$3:$BL$215,63,FALSE)</f>
        <v>0.8</v>
      </c>
      <c r="O90" t="b">
        <f t="shared" si="9"/>
        <v>1</v>
      </c>
      <c r="P90">
        <f>VLOOKUP($A90,Outcomes!$B$3:$I$209,8,FALSE)</f>
        <v>13</v>
      </c>
      <c r="Q90">
        <f t="shared" si="10"/>
        <v>1</v>
      </c>
      <c r="R90">
        <f>VLOOKUP($A90,Outcomes!$B$3:$I$209,5,FALSE)</f>
        <v>8</v>
      </c>
      <c r="S90">
        <f>VLOOKUP($A90,Outcomes!$B$3:$I$209,6,FALSE)</f>
        <v>5</v>
      </c>
      <c r="T90">
        <f>VLOOKUP($A90,Outcomes!$B$3:$I$209,7,FALSE)</f>
        <v>-3</v>
      </c>
      <c r="U90" t="str">
        <f t="shared" si="11"/>
        <v>HomFave</v>
      </c>
      <c r="V90" s="5">
        <f t="shared" si="12"/>
        <v>0</v>
      </c>
      <c r="W90">
        <f t="shared" si="8"/>
        <v>100</v>
      </c>
      <c r="X90">
        <f t="shared" si="13"/>
        <v>0</v>
      </c>
      <c r="Y90">
        <f t="shared" si="14"/>
        <v>-100</v>
      </c>
      <c r="Z90" s="2">
        <f t="shared" si="15"/>
        <v>-1</v>
      </c>
      <c r="AA90" t="str">
        <f>VLOOKUP($A90,ScionOutput!$A$3:$BL$215,64,FALSE)</f>
        <v xml:space="preserve">822803. Play determined by LineStatEns and StatOnlyEns agreement. </v>
      </c>
    </row>
    <row r="91" spans="1:27" x14ac:dyDescent="0.2">
      <c r="A91">
        <v>824828</v>
      </c>
      <c r="B91" s="3">
        <f>VLOOKUP($A91,ScionOutput!$A$3:$BL$215,3,FALSE)</f>
        <v>46186</v>
      </c>
      <c r="C91">
        <f>VLOOKUP($A91,ScionOutput!$A$3:$BL$215,22,FALSE)</f>
        <v>2</v>
      </c>
      <c r="D91" t="str">
        <f>VLOOKUP($A91,ScionOutput!$A$3:$BL$215,23,FALSE)</f>
        <v>BAL</v>
      </c>
      <c r="E91">
        <f>VLOOKUP($A91,ScionOutput!$A$3:$BL$215,6,FALSE)</f>
        <v>23</v>
      </c>
      <c r="F91" t="str">
        <f>VLOOKUP($A91,ScionOutput!$A$3:$BL$215,7,FALSE)</f>
        <v>SD</v>
      </c>
      <c r="G91">
        <f>VLOOKUP($A91,ScionOutput!$A$3:$BL$215,26,FALSE)</f>
        <v>-116</v>
      </c>
      <c r="H91">
        <f>VLOOKUP($A91,ScionOutput!$A$3:$BL$215,10,FALSE)</f>
        <v>107</v>
      </c>
      <c r="I91" s="6" t="str">
        <f>VLOOKUP($A91,ScionOutput!$A$3:$BL$215,55,FALSE)</f>
        <v>HomFave</v>
      </c>
      <c r="J91" s="6">
        <f>VLOOKUP($A91,ScionOutput!$A$3:$BL$215,56,FALSE)</f>
        <v>0</v>
      </c>
      <c r="K91" t="str">
        <f>VLOOKUP($A91,ScionOutput!$A$3:$BL$215,58,FALSE)</f>
        <v>No Play</v>
      </c>
      <c r="L91">
        <f>VLOOKUP($A91,ScionOutput!$A$3:$BL$215,59,FALSE)</f>
        <v>0</v>
      </c>
      <c r="M91">
        <f>VLOOKUP($A91,ScionOutput!$A$3:$BL$215,62,FALSE)</f>
        <v>0</v>
      </c>
      <c r="N91">
        <f>VLOOKUP($A91,ScionOutput!$A$3:$BL$215,63,FALSE)</f>
        <v>0</v>
      </c>
      <c r="O91" t="b">
        <f t="shared" si="9"/>
        <v>0</v>
      </c>
      <c r="P91">
        <f>VLOOKUP($A91,Outcomes!$B$3:$I$209,8,FALSE)</f>
        <v>12</v>
      </c>
      <c r="Q91">
        <f t="shared" si="10"/>
        <v>-1</v>
      </c>
      <c r="R91">
        <f>VLOOKUP($A91,Outcomes!$B$3:$I$209,5,FALSE)</f>
        <v>3</v>
      </c>
      <c r="S91">
        <f>VLOOKUP($A91,Outcomes!$B$3:$I$209,6,FALSE)</f>
        <v>9</v>
      </c>
      <c r="T91">
        <f>VLOOKUP($A91,Outcomes!$B$3:$I$209,7,FALSE)</f>
        <v>6</v>
      </c>
      <c r="U91" t="str">
        <f t="shared" si="11"/>
        <v>VisDog</v>
      </c>
      <c r="V91" s="5" t="str">
        <f t="shared" si="12"/>
        <v/>
      </c>
      <c r="W91" t="str">
        <f t="shared" si="8"/>
        <v/>
      </c>
      <c r="X91" t="str">
        <f t="shared" si="13"/>
        <v/>
      </c>
      <c r="Y91" t="str">
        <f t="shared" si="14"/>
        <v/>
      </c>
      <c r="Z91" s="2" t="str">
        <f t="shared" si="15"/>
        <v/>
      </c>
      <c r="AA91" t="str">
        <f>VLOOKUP($A91,ScionOutput!$A$3:$BL$215,64,FALSE)</f>
        <v xml:space="preserve">824828. LineStatEns probability points gap does not exceed threshold (no edge found)! StatOnlyEns probability points gap does not exceed threshold (no edge found)! No play due to strategy constraints. </v>
      </c>
    </row>
    <row r="92" spans="1:27" x14ac:dyDescent="0.2">
      <c r="A92">
        <v>824749</v>
      </c>
      <c r="B92" s="3">
        <f>VLOOKUP($A92,ScionOutput!$A$3:$BL$215,3,FALSE)</f>
        <v>46186</v>
      </c>
      <c r="C92">
        <f>VLOOKUP($A92,ScionOutput!$A$3:$BL$215,22,FALSE)</f>
        <v>3</v>
      </c>
      <c r="D92" t="str">
        <f>VLOOKUP($A92,ScionOutput!$A$3:$BL$215,23,FALSE)</f>
        <v>BOS</v>
      </c>
      <c r="E92">
        <f>VLOOKUP($A92,ScionOutput!$A$3:$BL$215,6,FALSE)</f>
        <v>28</v>
      </c>
      <c r="F92" t="str">
        <f>VLOOKUP($A92,ScionOutput!$A$3:$BL$215,7,FALSE)</f>
        <v>TEX</v>
      </c>
      <c r="G92">
        <f>VLOOKUP($A92,ScionOutput!$A$3:$BL$215,26,FALSE)</f>
        <v>-111</v>
      </c>
      <c r="H92">
        <f>VLOOKUP($A92,ScionOutput!$A$3:$BL$215,10,FALSE)</f>
        <v>102</v>
      </c>
      <c r="I92" s="6" t="str">
        <f>VLOOKUP($A92,ScionOutput!$A$3:$BL$215,55,FALSE)</f>
        <v>HomFave</v>
      </c>
      <c r="J92" s="6">
        <f>VLOOKUP($A92,ScionOutput!$A$3:$BL$215,56,FALSE)</f>
        <v>0</v>
      </c>
      <c r="K92" t="str">
        <f>VLOOKUP($A92,ScionOutput!$A$3:$BL$215,58,FALSE)</f>
        <v>No Play</v>
      </c>
      <c r="L92">
        <f>VLOOKUP($A92,ScionOutput!$A$3:$BL$215,59,FALSE)</f>
        <v>0</v>
      </c>
      <c r="M92">
        <f>VLOOKUP($A92,ScionOutput!$A$3:$BL$215,62,FALSE)</f>
        <v>0</v>
      </c>
      <c r="N92">
        <f>VLOOKUP($A92,ScionOutput!$A$3:$BL$215,63,FALSE)</f>
        <v>0</v>
      </c>
      <c r="O92" t="b">
        <f t="shared" si="9"/>
        <v>0</v>
      </c>
      <c r="P92">
        <f>VLOOKUP($A92,Outcomes!$B$3:$I$209,8,FALSE)</f>
        <v>9</v>
      </c>
      <c r="Q92">
        <f t="shared" si="10"/>
        <v>1</v>
      </c>
      <c r="R92">
        <f>VLOOKUP($A92,Outcomes!$B$3:$I$209,5,FALSE)</f>
        <v>6</v>
      </c>
      <c r="S92">
        <f>VLOOKUP($A92,Outcomes!$B$3:$I$209,6,FALSE)</f>
        <v>3</v>
      </c>
      <c r="T92">
        <f>VLOOKUP($A92,Outcomes!$B$3:$I$209,7,FALSE)</f>
        <v>-3</v>
      </c>
      <c r="U92" t="str">
        <f t="shared" si="11"/>
        <v>HomFave</v>
      </c>
      <c r="V92" s="5" t="str">
        <f t="shared" si="12"/>
        <v/>
      </c>
      <c r="W92" t="str">
        <f t="shared" si="8"/>
        <v/>
      </c>
      <c r="X92" t="str">
        <f t="shared" si="13"/>
        <v/>
      </c>
      <c r="Y92" t="str">
        <f t="shared" si="14"/>
        <v/>
      </c>
      <c r="Z92" s="2" t="str">
        <f t="shared" si="15"/>
        <v/>
      </c>
      <c r="AA92" t="str">
        <f>VLOOKUP($A92,ScionOutput!$A$3:$BL$215,64,FALSE)</f>
        <v xml:space="preserve">824749. LineStatEns probability points gap does not exceed threshold (no edge found)! StatOnlyEns probability points gap does not exceed threshold (no edge found)! No play due to strategy constraints. </v>
      </c>
    </row>
    <row r="93" spans="1:27" x14ac:dyDescent="0.2">
      <c r="A93">
        <v>824019</v>
      </c>
      <c r="B93" s="3">
        <f>VLOOKUP($A93,ScionOutput!$A$3:$BL$215,3,FALSE)</f>
        <v>46186</v>
      </c>
      <c r="C93">
        <f>VLOOKUP($A93,ScionOutput!$A$3:$BL$215,22,FALSE)</f>
        <v>4</v>
      </c>
      <c r="D93" t="str">
        <f>VLOOKUP($A93,ScionOutput!$A$3:$BL$215,23,FALSE)</f>
        <v>LAA</v>
      </c>
      <c r="E93">
        <f>VLOOKUP($A93,ScionOutput!$A$3:$BL$215,6,FALSE)</f>
        <v>27</v>
      </c>
      <c r="F93" t="str">
        <f>VLOOKUP($A93,ScionOutput!$A$3:$BL$215,7,FALSE)</f>
        <v>TB</v>
      </c>
      <c r="G93">
        <f>VLOOKUP($A93,ScionOutput!$A$3:$BL$215,26,FALSE)</f>
        <v>102</v>
      </c>
      <c r="H93">
        <f>VLOOKUP($A93,ScionOutput!$A$3:$BL$215,10,FALSE)</f>
        <v>-110</v>
      </c>
      <c r="I93" s="6" t="str">
        <f>VLOOKUP($A93,ScionOutput!$A$3:$BL$215,55,FALSE)</f>
        <v>HomDog</v>
      </c>
      <c r="J93" s="6">
        <f>VLOOKUP($A93,ScionOutput!$A$3:$BL$215,56,FALSE)</f>
        <v>1</v>
      </c>
      <c r="K93" t="str">
        <f>VLOOKUP($A93,ScionOutput!$A$3:$BL$215,58,FALSE)</f>
        <v>No Play</v>
      </c>
      <c r="L93">
        <f>VLOOKUP($A93,ScionOutput!$A$3:$BL$215,59,FALSE)</f>
        <v>0</v>
      </c>
      <c r="M93">
        <f>VLOOKUP($A93,ScionOutput!$A$3:$BL$215,62,FALSE)</f>
        <v>0</v>
      </c>
      <c r="N93">
        <f>VLOOKUP($A93,ScionOutput!$A$3:$BL$215,63,FALSE)</f>
        <v>0</v>
      </c>
      <c r="O93" t="b">
        <f t="shared" si="9"/>
        <v>0</v>
      </c>
      <c r="P93">
        <f>VLOOKUP($A93,Outcomes!$B$3:$I$209,8,FALSE)</f>
        <v>8</v>
      </c>
      <c r="Q93">
        <f t="shared" si="10"/>
        <v>1</v>
      </c>
      <c r="R93">
        <f>VLOOKUP($A93,Outcomes!$B$3:$I$209,5,FALSE)</f>
        <v>8</v>
      </c>
      <c r="S93">
        <f>VLOOKUP($A93,Outcomes!$B$3:$I$209,6,FALSE)</f>
        <v>0</v>
      </c>
      <c r="T93">
        <f>VLOOKUP($A93,Outcomes!$B$3:$I$209,7,FALSE)</f>
        <v>-8</v>
      </c>
      <c r="U93" t="str">
        <f t="shared" si="11"/>
        <v>HomDog</v>
      </c>
      <c r="V93" s="5">
        <f t="shared" si="12"/>
        <v>1</v>
      </c>
      <c r="W93">
        <f t="shared" si="8"/>
        <v>100</v>
      </c>
      <c r="X93">
        <f t="shared" si="13"/>
        <v>202</v>
      </c>
      <c r="Y93">
        <f t="shared" si="14"/>
        <v>102</v>
      </c>
      <c r="Z93" s="2">
        <f t="shared" si="15"/>
        <v>1.02</v>
      </c>
      <c r="AA93" t="str">
        <f>VLOOKUP($A93,ScionOutput!$A$3:$BL$215,64,FALSE)</f>
        <v xml:space="preserve">824019. VF plays are disallowed. No play due to strategy constraints. </v>
      </c>
    </row>
    <row r="94" spans="1:27" x14ac:dyDescent="0.2">
      <c r="A94">
        <v>824508</v>
      </c>
      <c r="B94" s="3">
        <f>VLOOKUP($A94,ScionOutput!$A$3:$BL$215,3,FALSE)</f>
        <v>46186</v>
      </c>
      <c r="C94">
        <f>VLOOKUP($A94,ScionOutput!$A$3:$BL$215,22,FALSE)</f>
        <v>6</v>
      </c>
      <c r="D94" t="str">
        <f>VLOOKUP($A94,ScionOutput!$A$3:$BL$215,23,FALSE)</f>
        <v>CIN</v>
      </c>
      <c r="E94">
        <f>VLOOKUP($A94,ScionOutput!$A$3:$BL$215,6,FALSE)</f>
        <v>1</v>
      </c>
      <c r="F94" t="str">
        <f>VLOOKUP($A94,ScionOutput!$A$3:$BL$215,7,FALSE)</f>
        <v>ARZ</v>
      </c>
      <c r="G94">
        <f>VLOOKUP($A94,ScionOutput!$A$3:$BL$215,26,FALSE)</f>
        <v>136</v>
      </c>
      <c r="H94">
        <f>VLOOKUP($A94,ScionOutput!$A$3:$BL$215,10,FALSE)</f>
        <v>-148</v>
      </c>
      <c r="I94" s="6" t="str">
        <f>VLOOKUP($A94,ScionOutput!$A$3:$BL$215,55,FALSE)</f>
        <v>VisFave</v>
      </c>
      <c r="J94" s="6">
        <f>VLOOKUP($A94,ScionOutput!$A$3:$BL$215,56,FALSE)</f>
        <v>0</v>
      </c>
      <c r="K94" t="str">
        <f>VLOOKUP($A94,ScionOutput!$A$3:$BL$215,58,FALSE)</f>
        <v>No Play</v>
      </c>
      <c r="L94">
        <f>VLOOKUP($A94,ScionOutput!$A$3:$BL$215,59,FALSE)</f>
        <v>0</v>
      </c>
      <c r="M94">
        <f>VLOOKUP($A94,ScionOutput!$A$3:$BL$215,62,FALSE)</f>
        <v>0</v>
      </c>
      <c r="N94">
        <f>VLOOKUP($A94,ScionOutput!$A$3:$BL$215,63,FALSE)</f>
        <v>0</v>
      </c>
      <c r="O94" t="b">
        <f t="shared" si="9"/>
        <v>0</v>
      </c>
      <c r="P94">
        <f>VLOOKUP($A94,Outcomes!$B$3:$I$209,8,FALSE)</f>
        <v>3</v>
      </c>
      <c r="Q94">
        <f t="shared" si="10"/>
        <v>1</v>
      </c>
      <c r="R94">
        <f>VLOOKUP($A94,Outcomes!$B$3:$I$209,5,FALSE)</f>
        <v>2</v>
      </c>
      <c r="S94">
        <f>VLOOKUP($A94,Outcomes!$B$3:$I$209,6,FALSE)</f>
        <v>1</v>
      </c>
      <c r="T94">
        <f>VLOOKUP($A94,Outcomes!$B$3:$I$209,7,FALSE)</f>
        <v>-1</v>
      </c>
      <c r="U94" t="str">
        <f t="shared" si="11"/>
        <v>HomDog</v>
      </c>
      <c r="V94" s="5" t="str">
        <f t="shared" si="12"/>
        <v/>
      </c>
      <c r="W94" t="str">
        <f t="shared" si="8"/>
        <v/>
      </c>
      <c r="X94" t="str">
        <f t="shared" si="13"/>
        <v/>
      </c>
      <c r="Y94" t="str">
        <f t="shared" si="14"/>
        <v/>
      </c>
      <c r="Z94" s="2" t="str">
        <f t="shared" si="15"/>
        <v/>
      </c>
      <c r="AA94" t="str">
        <f>VLOOKUP($A94,ScionOutput!$A$3:$BL$215,64,FALSE)</f>
        <v xml:space="preserve">824508. VF plays are disallowed. No play due to strategy constraints. </v>
      </c>
    </row>
    <row r="95" spans="1:27" x14ac:dyDescent="0.2">
      <c r="A95">
        <v>824426</v>
      </c>
      <c r="B95" s="3">
        <f>VLOOKUP($A95,ScionOutput!$A$3:$BL$215,3,FALSE)</f>
        <v>46186</v>
      </c>
      <c r="C95">
        <f>VLOOKUP($A95,ScionOutput!$A$3:$BL$215,22,FALSE)</f>
        <v>7</v>
      </c>
      <c r="D95" t="str">
        <f>VLOOKUP($A95,ScionOutput!$A$3:$BL$215,23,FALSE)</f>
        <v>CLE</v>
      </c>
      <c r="E95">
        <f>VLOOKUP($A95,ScionOutput!$A$3:$BL$215,6,FALSE)</f>
        <v>10</v>
      </c>
      <c r="F95" t="str">
        <f>VLOOKUP($A95,ScionOutput!$A$3:$BL$215,7,FALSE)</f>
        <v>DET</v>
      </c>
      <c r="G95">
        <f>VLOOKUP($A95,ScionOutput!$A$3:$BL$215,26,FALSE)</f>
        <v>121</v>
      </c>
      <c r="H95">
        <f>VLOOKUP($A95,ScionOutput!$A$3:$BL$215,10,FALSE)</f>
        <v>-131</v>
      </c>
      <c r="I95" s="6" t="str">
        <f>VLOOKUP($A95,ScionOutput!$A$3:$BL$215,55,FALSE)</f>
        <v>VisFave</v>
      </c>
      <c r="J95" s="6">
        <f>VLOOKUP($A95,ScionOutput!$A$3:$BL$215,56,FALSE)</f>
        <v>0</v>
      </c>
      <c r="K95" t="str">
        <f>VLOOKUP($A95,ScionOutput!$A$3:$BL$215,58,FALSE)</f>
        <v>No Play</v>
      </c>
      <c r="L95">
        <f>VLOOKUP($A95,ScionOutput!$A$3:$BL$215,59,FALSE)</f>
        <v>0</v>
      </c>
      <c r="M95">
        <f>VLOOKUP($A95,ScionOutput!$A$3:$BL$215,62,FALSE)</f>
        <v>0</v>
      </c>
      <c r="N95">
        <f>VLOOKUP($A95,ScionOutput!$A$3:$BL$215,63,FALSE)</f>
        <v>0</v>
      </c>
      <c r="O95" t="b">
        <f t="shared" si="9"/>
        <v>0</v>
      </c>
      <c r="P95">
        <f>VLOOKUP($A95,Outcomes!$B$3:$I$209,8,FALSE)</f>
        <v>4</v>
      </c>
      <c r="Q95">
        <f t="shared" si="10"/>
        <v>1</v>
      </c>
      <c r="R95">
        <f>VLOOKUP($A95,Outcomes!$B$3:$I$209,5,FALSE)</f>
        <v>3</v>
      </c>
      <c r="S95">
        <f>VLOOKUP($A95,Outcomes!$B$3:$I$209,6,FALSE)</f>
        <v>1</v>
      </c>
      <c r="T95">
        <f>VLOOKUP($A95,Outcomes!$B$3:$I$209,7,FALSE)</f>
        <v>-2</v>
      </c>
      <c r="U95" t="str">
        <f t="shared" si="11"/>
        <v>HomDog</v>
      </c>
      <c r="V95" s="5" t="str">
        <f t="shared" si="12"/>
        <v/>
      </c>
      <c r="W95" t="str">
        <f t="shared" si="8"/>
        <v/>
      </c>
      <c r="X95" t="str">
        <f t="shared" si="13"/>
        <v/>
      </c>
      <c r="Y95" t="str">
        <f t="shared" si="14"/>
        <v/>
      </c>
      <c r="Z95" s="2" t="str">
        <f t="shared" si="15"/>
        <v/>
      </c>
      <c r="AA95" t="str">
        <f>VLOOKUP($A95,ScionOutput!$A$3:$BL$215,64,FALSE)</f>
        <v xml:space="preserve">824426. VF plays are disallowed. No play due to strategy constraints. </v>
      </c>
    </row>
    <row r="96" spans="1:27" x14ac:dyDescent="0.2">
      <c r="A96">
        <v>824587</v>
      </c>
      <c r="B96" s="3">
        <f>VLOOKUP($A96,ScionOutput!$A$3:$BL$215,3,FALSE)</f>
        <v>46186</v>
      </c>
      <c r="C96">
        <f>VLOOKUP($A96,ScionOutput!$A$3:$BL$215,22,FALSE)</f>
        <v>9</v>
      </c>
      <c r="D96" t="str">
        <f>VLOOKUP($A96,ScionOutput!$A$3:$BL$215,23,FALSE)</f>
        <v>CWS</v>
      </c>
      <c r="E96">
        <f>VLOOKUP($A96,ScionOutput!$A$3:$BL$215,6,FALSE)</f>
        <v>14</v>
      </c>
      <c r="F96" t="str">
        <f>VLOOKUP($A96,ScionOutput!$A$3:$BL$215,7,FALSE)</f>
        <v>LA</v>
      </c>
      <c r="G96">
        <f>VLOOKUP($A96,ScionOutput!$A$3:$BL$215,26,FALSE)</f>
        <v>185</v>
      </c>
      <c r="H96">
        <f>VLOOKUP($A96,ScionOutput!$A$3:$BL$215,10,FALSE)</f>
        <v>-203</v>
      </c>
      <c r="I96" s="6" t="str">
        <f>VLOOKUP($A96,ScionOutput!$A$3:$BL$215,55,FALSE)</f>
        <v>VisFave</v>
      </c>
      <c r="J96" s="6">
        <f>VLOOKUP($A96,ScionOutput!$A$3:$BL$215,56,FALSE)</f>
        <v>0</v>
      </c>
      <c r="K96" t="str">
        <f>VLOOKUP($A96,ScionOutput!$A$3:$BL$215,58,FALSE)</f>
        <v>No Play</v>
      </c>
      <c r="L96">
        <f>VLOOKUP($A96,ScionOutput!$A$3:$BL$215,59,FALSE)</f>
        <v>0</v>
      </c>
      <c r="M96">
        <f>VLOOKUP($A96,ScionOutput!$A$3:$BL$215,62,FALSE)</f>
        <v>0</v>
      </c>
      <c r="N96">
        <f>VLOOKUP($A96,ScionOutput!$A$3:$BL$215,63,FALSE)</f>
        <v>0</v>
      </c>
      <c r="O96" t="b">
        <f t="shared" si="9"/>
        <v>0</v>
      </c>
      <c r="P96">
        <f>VLOOKUP($A96,Outcomes!$B$3:$I$209,8,FALSE)</f>
        <v>8</v>
      </c>
      <c r="Q96">
        <f t="shared" si="10"/>
        <v>-1</v>
      </c>
      <c r="R96">
        <f>VLOOKUP($A96,Outcomes!$B$3:$I$209,5,FALSE)</f>
        <v>1</v>
      </c>
      <c r="S96">
        <f>VLOOKUP($A96,Outcomes!$B$3:$I$209,6,FALSE)</f>
        <v>7</v>
      </c>
      <c r="T96">
        <f>VLOOKUP($A96,Outcomes!$B$3:$I$209,7,FALSE)</f>
        <v>6</v>
      </c>
      <c r="U96" t="str">
        <f t="shared" si="11"/>
        <v>VisFave</v>
      </c>
      <c r="V96" s="5" t="str">
        <f t="shared" si="12"/>
        <v/>
      </c>
      <c r="W96" t="str">
        <f t="shared" si="8"/>
        <v/>
      </c>
      <c r="X96" t="str">
        <f t="shared" si="13"/>
        <v/>
      </c>
      <c r="Y96" t="str">
        <f t="shared" si="14"/>
        <v/>
      </c>
      <c r="Z96" s="2" t="str">
        <f t="shared" si="15"/>
        <v/>
      </c>
      <c r="AA96" t="str">
        <f>VLOOKUP($A96,ScionOutput!$A$3:$BL$215,64,FALSE)</f>
        <v xml:space="preserve">824587. LineStatEns is NoPlay as bookie-line outside range. StatOnlyEns is NoPlay as bookie-line outside range. No play due to strategy constraints. </v>
      </c>
    </row>
    <row r="97" spans="1:27" x14ac:dyDescent="0.2">
      <c r="A97">
        <v>824100</v>
      </c>
      <c r="B97" s="3">
        <f>VLOOKUP($A97,ScionOutput!$A$3:$BL$215,3,FALSE)</f>
        <v>46186</v>
      </c>
      <c r="C97">
        <f>VLOOKUP($A97,ScionOutput!$A$3:$BL$215,22,FALSE)</f>
        <v>13</v>
      </c>
      <c r="D97" t="str">
        <f>VLOOKUP($A97,ScionOutput!$A$3:$BL$215,23,FALSE)</f>
        <v>KC</v>
      </c>
      <c r="E97">
        <f>VLOOKUP($A97,ScionOutput!$A$3:$BL$215,6,FALSE)</f>
        <v>12</v>
      </c>
      <c r="F97" t="str">
        <f>VLOOKUP($A97,ScionOutput!$A$3:$BL$215,7,FALSE)</f>
        <v>HOU</v>
      </c>
      <c r="G97">
        <f>VLOOKUP($A97,ScionOutput!$A$3:$BL$215,26,FALSE)</f>
        <v>-121</v>
      </c>
      <c r="H97">
        <f>VLOOKUP($A97,ScionOutput!$A$3:$BL$215,10,FALSE)</f>
        <v>112</v>
      </c>
      <c r="I97" s="6" t="str">
        <f>VLOOKUP($A97,ScionOutput!$A$3:$BL$215,55,FALSE)</f>
        <v>VisDog</v>
      </c>
      <c r="J97" s="6">
        <f>VLOOKUP($A97,ScionOutput!$A$3:$BL$215,56,FALSE)</f>
        <v>1</v>
      </c>
      <c r="K97" t="str">
        <f>VLOOKUP($A97,ScionOutput!$A$3:$BL$215,58,FALSE)</f>
        <v>VisDog</v>
      </c>
      <c r="L97">
        <f>VLOOKUP($A97,ScionOutput!$A$3:$BL$215,59,FALSE)</f>
        <v>-5.7189999999999998E-2</v>
      </c>
      <c r="M97">
        <f>VLOOKUP($A97,ScionOutput!$A$3:$BL$215,62,FALSE)</f>
        <v>5</v>
      </c>
      <c r="N97">
        <f>VLOOKUP($A97,ScionOutput!$A$3:$BL$215,63,FALSE)</f>
        <v>0.67</v>
      </c>
      <c r="O97" t="b">
        <f t="shared" si="9"/>
        <v>1</v>
      </c>
      <c r="P97">
        <f>VLOOKUP($A97,Outcomes!$B$3:$I$209,8,FALSE)</f>
        <v>15</v>
      </c>
      <c r="Q97">
        <f t="shared" si="10"/>
        <v>-1</v>
      </c>
      <c r="R97">
        <f>VLOOKUP($A97,Outcomes!$B$3:$I$209,5,FALSE)</f>
        <v>7</v>
      </c>
      <c r="S97">
        <f>VLOOKUP($A97,Outcomes!$B$3:$I$209,6,FALSE)</f>
        <v>8</v>
      </c>
      <c r="T97">
        <f>VLOOKUP($A97,Outcomes!$B$3:$I$209,7,FALSE)</f>
        <v>1</v>
      </c>
      <c r="U97" t="str">
        <f t="shared" si="11"/>
        <v>VisDog</v>
      </c>
      <c r="V97" s="5">
        <f t="shared" si="12"/>
        <v>1</v>
      </c>
      <c r="W97">
        <f t="shared" si="8"/>
        <v>100</v>
      </c>
      <c r="X97">
        <f t="shared" si="13"/>
        <v>212</v>
      </c>
      <c r="Y97">
        <f t="shared" si="14"/>
        <v>112</v>
      </c>
      <c r="Z97" s="2">
        <f t="shared" si="15"/>
        <v>1.1200000000000001</v>
      </c>
      <c r="AA97" t="str">
        <f>VLOOKUP($A97,ScionOutput!$A$3:$BL$215,64,FALSE)</f>
        <v xml:space="preserve">824100. Play determined by LineStatEns and StatOnlyEns agreement. </v>
      </c>
    </row>
    <row r="98" spans="1:27" x14ac:dyDescent="0.2">
      <c r="A98">
        <v>823694</v>
      </c>
      <c r="B98" s="3">
        <f>VLOOKUP($A98,ScionOutput!$A$3:$BL$215,3,FALSE)</f>
        <v>46186</v>
      </c>
      <c r="C98">
        <f>VLOOKUP($A98,ScionOutput!$A$3:$BL$215,22,FALSE)</f>
        <v>15</v>
      </c>
      <c r="D98" t="str">
        <f>VLOOKUP($A98,ScionOutput!$A$3:$BL$215,23,FALSE)</f>
        <v>MIN</v>
      </c>
      <c r="E98">
        <f>VLOOKUP($A98,ScionOutput!$A$3:$BL$215,6,FALSE)</f>
        <v>26</v>
      </c>
      <c r="F98" t="str">
        <f>VLOOKUP($A98,ScionOutput!$A$3:$BL$215,7,FALSE)</f>
        <v>STL</v>
      </c>
      <c r="G98">
        <f>VLOOKUP($A98,ScionOutput!$A$3:$BL$215,26,FALSE)</f>
        <v>102</v>
      </c>
      <c r="H98">
        <f>VLOOKUP($A98,ScionOutput!$A$3:$BL$215,10,FALSE)</f>
        <v>-110</v>
      </c>
      <c r="I98" s="6" t="str">
        <f>VLOOKUP($A98,ScionOutput!$A$3:$BL$215,55,FALSE)</f>
        <v>HomDog</v>
      </c>
      <c r="J98" s="6">
        <f>VLOOKUP($A98,ScionOutput!$A$3:$BL$215,56,FALSE)</f>
        <v>1</v>
      </c>
      <c r="K98" t="str">
        <f>VLOOKUP($A98,ScionOutput!$A$3:$BL$215,58,FALSE)</f>
        <v>HomDog</v>
      </c>
      <c r="L98">
        <f>VLOOKUP($A98,ScionOutput!$A$3:$BL$215,59,FALSE)</f>
        <v>1.4109999999999999E-2</v>
      </c>
      <c r="M98">
        <f>VLOOKUP($A98,ScionOutput!$A$3:$BL$215,62,FALSE)</f>
        <v>5</v>
      </c>
      <c r="N98">
        <f>VLOOKUP($A98,ScionOutput!$A$3:$BL$215,63,FALSE)</f>
        <v>0.53</v>
      </c>
      <c r="O98" t="b">
        <f t="shared" si="9"/>
        <v>1</v>
      </c>
      <c r="P98">
        <f>VLOOKUP($A98,Outcomes!$B$3:$I$209,8,FALSE)</f>
        <v>15</v>
      </c>
      <c r="Q98">
        <f t="shared" si="10"/>
        <v>-1</v>
      </c>
      <c r="R98">
        <f>VLOOKUP($A98,Outcomes!$B$3:$I$209,5,FALSE)</f>
        <v>6</v>
      </c>
      <c r="S98">
        <f>VLOOKUP($A98,Outcomes!$B$3:$I$209,6,FALSE)</f>
        <v>9</v>
      </c>
      <c r="T98">
        <f>VLOOKUP($A98,Outcomes!$B$3:$I$209,7,FALSE)</f>
        <v>3</v>
      </c>
      <c r="U98" t="str">
        <f t="shared" si="11"/>
        <v>VisFave</v>
      </c>
      <c r="V98" s="5">
        <f t="shared" si="12"/>
        <v>0</v>
      </c>
      <c r="W98">
        <f t="shared" si="8"/>
        <v>100</v>
      </c>
      <c r="X98">
        <f t="shared" si="13"/>
        <v>0</v>
      </c>
      <c r="Y98">
        <f t="shared" si="14"/>
        <v>-100</v>
      </c>
      <c r="Z98" s="2">
        <f t="shared" si="15"/>
        <v>-1</v>
      </c>
      <c r="AA98" t="str">
        <f>VLOOKUP($A98,ScionOutput!$A$3:$BL$215,64,FALSE)</f>
        <v xml:space="preserve">823694. Play determined by LineStatEns and StatOnlyEns agreement. </v>
      </c>
    </row>
    <row r="99" spans="1:27" x14ac:dyDescent="0.2">
      <c r="A99">
        <v>822725</v>
      </c>
      <c r="B99" s="3">
        <f>VLOOKUP($A99,ScionOutput!$A$3:$BL$215,3,FALSE)</f>
        <v>46186</v>
      </c>
      <c r="C99">
        <f>VLOOKUP($A99,ScionOutput!$A$3:$BL$215,22,FALSE)</f>
        <v>16</v>
      </c>
      <c r="D99" t="str">
        <f>VLOOKUP($A99,ScionOutput!$A$3:$BL$215,23,FALSE)</f>
        <v>WAS</v>
      </c>
      <c r="E99">
        <f>VLOOKUP($A99,ScionOutput!$A$3:$BL$215,6,FALSE)</f>
        <v>24</v>
      </c>
      <c r="F99" t="str">
        <f>VLOOKUP($A99,ScionOutput!$A$3:$BL$215,7,FALSE)</f>
        <v>SEA</v>
      </c>
      <c r="G99">
        <f>VLOOKUP($A99,ScionOutput!$A$3:$BL$215,26,FALSE)</f>
        <v>-116</v>
      </c>
      <c r="H99">
        <f>VLOOKUP($A99,ScionOutput!$A$3:$BL$215,10,FALSE)</f>
        <v>108</v>
      </c>
      <c r="I99" s="6" t="str">
        <f>VLOOKUP($A99,ScionOutput!$A$3:$BL$215,55,FALSE)</f>
        <v>VisDog</v>
      </c>
      <c r="J99" s="6">
        <f>VLOOKUP($A99,ScionOutput!$A$3:$BL$215,56,FALSE)</f>
        <v>1</v>
      </c>
      <c r="K99" t="str">
        <f>VLOOKUP($A99,ScionOutput!$A$3:$BL$215,58,FALSE)</f>
        <v>VisDog</v>
      </c>
      <c r="L99">
        <f>VLOOKUP($A99,ScionOutput!$A$3:$BL$215,59,FALSE)</f>
        <v>-4.7640000000000002E-2</v>
      </c>
      <c r="M99">
        <f>VLOOKUP($A99,ScionOutput!$A$3:$BL$215,62,FALSE)</f>
        <v>5</v>
      </c>
      <c r="N99">
        <f>VLOOKUP($A99,ScionOutput!$A$3:$BL$215,63,FALSE)</f>
        <v>0.73</v>
      </c>
      <c r="O99" t="b">
        <f t="shared" si="9"/>
        <v>1</v>
      </c>
      <c r="P99">
        <f>VLOOKUP($A99,Outcomes!$B$3:$I$209,8,FALSE)</f>
        <v>11</v>
      </c>
      <c r="Q99">
        <f t="shared" si="10"/>
        <v>1</v>
      </c>
      <c r="R99">
        <f>VLOOKUP($A99,Outcomes!$B$3:$I$209,5,FALSE)</f>
        <v>8</v>
      </c>
      <c r="S99">
        <f>VLOOKUP($A99,Outcomes!$B$3:$I$209,6,FALSE)</f>
        <v>3</v>
      </c>
      <c r="T99">
        <f>VLOOKUP($A99,Outcomes!$B$3:$I$209,7,FALSE)</f>
        <v>-5</v>
      </c>
      <c r="U99" t="str">
        <f t="shared" si="11"/>
        <v>HomFave</v>
      </c>
      <c r="V99" s="5">
        <f t="shared" si="12"/>
        <v>0</v>
      </c>
      <c r="W99">
        <f t="shared" si="8"/>
        <v>100</v>
      </c>
      <c r="X99">
        <f t="shared" si="13"/>
        <v>0</v>
      </c>
      <c r="Y99">
        <f t="shared" si="14"/>
        <v>-100</v>
      </c>
      <c r="Z99" s="2">
        <f t="shared" si="15"/>
        <v>-1</v>
      </c>
      <c r="AA99" t="str">
        <f>VLOOKUP($A99,ScionOutput!$A$3:$BL$215,64,FALSE)</f>
        <v xml:space="preserve">822725. Play determined by LineStatEns and StatOnlyEns agreement. </v>
      </c>
    </row>
    <row r="100" spans="1:27" x14ac:dyDescent="0.2">
      <c r="A100">
        <v>823776</v>
      </c>
      <c r="B100" s="3">
        <f>VLOOKUP($A100,ScionOutput!$A$3:$BL$215,3,FALSE)</f>
        <v>46186</v>
      </c>
      <c r="C100">
        <f>VLOOKUP($A100,ScionOutput!$A$3:$BL$215,22,FALSE)</f>
        <v>17</v>
      </c>
      <c r="D100" t="str">
        <f>VLOOKUP($A100,ScionOutput!$A$3:$BL$215,23,FALSE)</f>
        <v>MLW</v>
      </c>
      <c r="E100">
        <f>VLOOKUP($A100,ScionOutput!$A$3:$BL$215,6,FALSE)</f>
        <v>21</v>
      </c>
      <c r="F100" t="str">
        <f>VLOOKUP($A100,ScionOutput!$A$3:$BL$215,7,FALSE)</f>
        <v>PHI</v>
      </c>
      <c r="G100">
        <f>VLOOKUP($A100,ScionOutput!$A$3:$BL$215,26,FALSE)</f>
        <v>-163</v>
      </c>
      <c r="H100">
        <f>VLOOKUP($A100,ScionOutput!$A$3:$BL$215,10,FALSE)</f>
        <v>150</v>
      </c>
      <c r="I100" s="6" t="str">
        <f>VLOOKUP($A100,ScionOutput!$A$3:$BL$215,55,FALSE)</f>
        <v>HomFave</v>
      </c>
      <c r="J100" s="6">
        <f>VLOOKUP($A100,ScionOutput!$A$3:$BL$215,56,FALSE)</f>
        <v>0</v>
      </c>
      <c r="K100" t="str">
        <f>VLOOKUP($A100,ScionOutput!$A$3:$BL$215,58,FALSE)</f>
        <v>No Play</v>
      </c>
      <c r="L100">
        <f>VLOOKUP($A100,ScionOutput!$A$3:$BL$215,59,FALSE)</f>
        <v>0</v>
      </c>
      <c r="M100">
        <f>VLOOKUP($A100,ScionOutput!$A$3:$BL$215,62,FALSE)</f>
        <v>0</v>
      </c>
      <c r="N100">
        <f>VLOOKUP($A100,ScionOutput!$A$3:$BL$215,63,FALSE)</f>
        <v>0</v>
      </c>
      <c r="O100" t="b">
        <f t="shared" si="9"/>
        <v>0</v>
      </c>
      <c r="P100">
        <f>VLOOKUP($A100,Outcomes!$B$3:$I$209,8,FALSE)</f>
        <v>17</v>
      </c>
      <c r="Q100">
        <f t="shared" si="10"/>
        <v>-1</v>
      </c>
      <c r="R100">
        <f>VLOOKUP($A100,Outcomes!$B$3:$I$209,5,FALSE)</f>
        <v>8</v>
      </c>
      <c r="S100">
        <f>VLOOKUP($A100,Outcomes!$B$3:$I$209,6,FALSE)</f>
        <v>9</v>
      </c>
      <c r="T100">
        <f>VLOOKUP($A100,Outcomes!$B$3:$I$209,7,FALSE)</f>
        <v>1</v>
      </c>
      <c r="U100" t="str">
        <f t="shared" si="11"/>
        <v>VisDog</v>
      </c>
      <c r="V100" s="5" t="str">
        <f t="shared" si="12"/>
        <v/>
      </c>
      <c r="W100" t="str">
        <f t="shared" si="8"/>
        <v/>
      </c>
      <c r="X100" t="str">
        <f t="shared" si="13"/>
        <v/>
      </c>
      <c r="Y100" t="str">
        <f t="shared" si="14"/>
        <v/>
      </c>
      <c r="Z100" s="2" t="str">
        <f t="shared" si="15"/>
        <v/>
      </c>
      <c r="AA100" t="str">
        <f>VLOOKUP($A100,ScionOutput!$A$3:$BL$215,64,FALSE)</f>
        <v xml:space="preserve">823776. LineStatEns is NoPlay as bookie-line outside range. StatOnlyEns is NoPlay as bookie-line outside range. No play due to strategy constraints. </v>
      </c>
    </row>
    <row r="101" spans="1:27" x14ac:dyDescent="0.2">
      <c r="A101">
        <v>823616</v>
      </c>
      <c r="B101" s="3">
        <f>VLOOKUP($A101,ScionOutput!$A$3:$BL$215,3,FALSE)</f>
        <v>46186</v>
      </c>
      <c r="C101">
        <f>VLOOKUP($A101,ScionOutput!$A$3:$BL$215,22,FALSE)</f>
        <v>18</v>
      </c>
      <c r="D101" t="str">
        <f>VLOOKUP($A101,ScionOutput!$A$3:$BL$215,23,FALSE)</f>
        <v>NYM</v>
      </c>
      <c r="E101">
        <f>VLOOKUP($A101,ScionOutput!$A$3:$BL$215,6,FALSE)</f>
        <v>0</v>
      </c>
      <c r="F101" t="str">
        <f>VLOOKUP($A101,ScionOutput!$A$3:$BL$215,7,FALSE)</f>
        <v>ATL</v>
      </c>
      <c r="G101">
        <f>VLOOKUP($A101,ScionOutput!$A$3:$BL$215,26,FALSE)</f>
        <v>-114</v>
      </c>
      <c r="H101">
        <f>VLOOKUP($A101,ScionOutput!$A$3:$BL$215,10,FALSE)</f>
        <v>105</v>
      </c>
      <c r="I101" s="6" t="str">
        <f>VLOOKUP($A101,ScionOutput!$A$3:$BL$215,55,FALSE)</f>
        <v>VisDog</v>
      </c>
      <c r="J101" s="6">
        <f>VLOOKUP($A101,ScionOutput!$A$3:$BL$215,56,FALSE)</f>
        <v>1</v>
      </c>
      <c r="K101" t="str">
        <f>VLOOKUP($A101,ScionOutput!$A$3:$BL$215,58,FALSE)</f>
        <v>No Play</v>
      </c>
      <c r="L101">
        <f>VLOOKUP($A101,ScionOutput!$A$3:$BL$215,59,FALSE)</f>
        <v>0</v>
      </c>
      <c r="M101">
        <f>VLOOKUP($A101,ScionOutput!$A$3:$BL$215,62,FALSE)</f>
        <v>0</v>
      </c>
      <c r="N101">
        <f>VLOOKUP($A101,ScionOutput!$A$3:$BL$215,63,FALSE)</f>
        <v>0</v>
      </c>
      <c r="O101" t="b">
        <f t="shared" si="9"/>
        <v>0</v>
      </c>
      <c r="P101">
        <f>VLOOKUP($A101,Outcomes!$B$3:$I$209,8,FALSE)</f>
        <v>4</v>
      </c>
      <c r="Q101">
        <f t="shared" si="10"/>
        <v>-1</v>
      </c>
      <c r="R101">
        <f>VLOOKUP($A101,Outcomes!$B$3:$I$209,5,FALSE)</f>
        <v>1</v>
      </c>
      <c r="S101">
        <f>VLOOKUP($A101,Outcomes!$B$3:$I$209,6,FALSE)</f>
        <v>3</v>
      </c>
      <c r="T101">
        <f>VLOOKUP($A101,Outcomes!$B$3:$I$209,7,FALSE)</f>
        <v>2</v>
      </c>
      <c r="U101" t="str">
        <f t="shared" si="11"/>
        <v>VisDog</v>
      </c>
      <c r="V101" s="5">
        <f t="shared" si="12"/>
        <v>1</v>
      </c>
      <c r="W101">
        <f t="shared" si="8"/>
        <v>100</v>
      </c>
      <c r="X101">
        <f t="shared" si="13"/>
        <v>205</v>
      </c>
      <c r="Y101">
        <f t="shared" si="14"/>
        <v>105</v>
      </c>
      <c r="Z101" s="2">
        <f t="shared" si="15"/>
        <v>1.05</v>
      </c>
      <c r="AA101" t="str">
        <f>VLOOKUP($A101,ScionOutput!$A$3:$BL$215,64,FALSE)</f>
        <v xml:space="preserve">823616. LineStatEns probability points gap does not exceed threshold (no edge found)! No play due to strategy constraints. </v>
      </c>
    </row>
    <row r="102" spans="1:27" x14ac:dyDescent="0.2">
      <c r="A102">
        <v>824995</v>
      </c>
      <c r="B102" s="3">
        <f>VLOOKUP($A102,ScionOutput!$A$3:$BL$215,3,FALSE)</f>
        <v>46186</v>
      </c>
      <c r="C102">
        <f>VLOOKUP($A102,ScionOutput!$A$3:$BL$215,22,FALSE)</f>
        <v>20</v>
      </c>
      <c r="D102" t="str">
        <f>VLOOKUP($A102,ScionOutput!$A$3:$BL$215,23,FALSE)</f>
        <v>OAK</v>
      </c>
      <c r="E102">
        <f>VLOOKUP($A102,ScionOutput!$A$3:$BL$215,6,FALSE)</f>
        <v>8</v>
      </c>
      <c r="F102" t="str">
        <f>VLOOKUP($A102,ScionOutput!$A$3:$BL$215,7,FALSE)</f>
        <v>COL</v>
      </c>
      <c r="G102">
        <f>VLOOKUP($A102,ScionOutput!$A$3:$BL$215,26,FALSE)</f>
        <v>-148</v>
      </c>
      <c r="H102">
        <f>VLOOKUP($A102,ScionOutput!$A$3:$BL$215,10,FALSE)</f>
        <v>136</v>
      </c>
      <c r="I102" s="6" t="str">
        <f>VLOOKUP($A102,ScionOutput!$A$3:$BL$215,55,FALSE)</f>
        <v>HomFave</v>
      </c>
      <c r="J102" s="6">
        <f>VLOOKUP($A102,ScionOutput!$A$3:$BL$215,56,FALSE)</f>
        <v>0</v>
      </c>
      <c r="K102" t="str">
        <f>VLOOKUP($A102,ScionOutput!$A$3:$BL$215,58,FALSE)</f>
        <v>No Play</v>
      </c>
      <c r="L102">
        <f>VLOOKUP($A102,ScionOutput!$A$3:$BL$215,59,FALSE)</f>
        <v>0</v>
      </c>
      <c r="M102">
        <f>VLOOKUP($A102,ScionOutput!$A$3:$BL$215,62,FALSE)</f>
        <v>0</v>
      </c>
      <c r="N102">
        <f>VLOOKUP($A102,ScionOutput!$A$3:$BL$215,63,FALSE)</f>
        <v>0</v>
      </c>
      <c r="O102" t="b">
        <f t="shared" si="9"/>
        <v>0</v>
      </c>
      <c r="P102">
        <f>VLOOKUP($A102,Outcomes!$B$3:$I$209,8,FALSE)</f>
        <v>12</v>
      </c>
      <c r="Q102">
        <f t="shared" si="10"/>
        <v>1</v>
      </c>
      <c r="R102">
        <f>VLOOKUP($A102,Outcomes!$B$3:$I$209,5,FALSE)</f>
        <v>7</v>
      </c>
      <c r="S102">
        <f>VLOOKUP($A102,Outcomes!$B$3:$I$209,6,FALSE)</f>
        <v>5</v>
      </c>
      <c r="T102">
        <f>VLOOKUP($A102,Outcomes!$B$3:$I$209,7,FALSE)</f>
        <v>-2</v>
      </c>
      <c r="U102" t="str">
        <f t="shared" si="11"/>
        <v>HomFave</v>
      </c>
      <c r="V102" s="5" t="str">
        <f t="shared" si="12"/>
        <v/>
      </c>
      <c r="W102" t="str">
        <f t="shared" si="8"/>
        <v/>
      </c>
      <c r="X102" t="str">
        <f t="shared" si="13"/>
        <v/>
      </c>
      <c r="Y102" t="str">
        <f t="shared" si="14"/>
        <v/>
      </c>
      <c r="Z102" s="2" t="str">
        <f t="shared" si="15"/>
        <v/>
      </c>
      <c r="AA102" t="str">
        <f>VLOOKUP($A102,ScionOutput!$A$3:$BL$215,64,FALSE)</f>
        <v xml:space="preserve">824995. H_SP is Null, team-based avg used. NoPlay as H_SP is Null. </v>
      </c>
    </row>
    <row r="103" spans="1:27" x14ac:dyDescent="0.2">
      <c r="A103">
        <v>823369</v>
      </c>
      <c r="B103" s="3">
        <f>VLOOKUP($A103,ScionOutput!$A$3:$BL$215,3,FALSE)</f>
        <v>46186</v>
      </c>
      <c r="C103">
        <f>VLOOKUP($A103,ScionOutput!$A$3:$BL$215,22,FALSE)</f>
        <v>22</v>
      </c>
      <c r="D103" t="str">
        <f>VLOOKUP($A103,ScionOutput!$A$3:$BL$215,23,FALSE)</f>
        <v>PIT</v>
      </c>
      <c r="E103">
        <f>VLOOKUP($A103,ScionOutput!$A$3:$BL$215,6,FALSE)</f>
        <v>11</v>
      </c>
      <c r="F103" t="str">
        <f>VLOOKUP($A103,ScionOutput!$A$3:$BL$215,7,FALSE)</f>
        <v>FLO</v>
      </c>
      <c r="G103">
        <f>VLOOKUP($A103,ScionOutput!$A$3:$BL$215,26,FALSE)</f>
        <v>-110</v>
      </c>
      <c r="H103">
        <f>VLOOKUP($A103,ScionOutput!$A$3:$BL$215,10,FALSE)</f>
        <v>102</v>
      </c>
      <c r="I103" s="6" t="str">
        <f>VLOOKUP($A103,ScionOutput!$A$3:$BL$215,55,FALSE)</f>
        <v>VisDog</v>
      </c>
      <c r="J103" s="6">
        <f>VLOOKUP($A103,ScionOutput!$A$3:$BL$215,56,FALSE)</f>
        <v>1</v>
      </c>
      <c r="K103" t="str">
        <f>VLOOKUP($A103,ScionOutput!$A$3:$BL$215,58,FALSE)</f>
        <v>VisDog</v>
      </c>
      <c r="L103">
        <f>VLOOKUP($A103,ScionOutput!$A$3:$BL$215,59,FALSE)</f>
        <v>-2.4109999999999999E-2</v>
      </c>
      <c r="M103">
        <f>VLOOKUP($A103,ScionOutput!$A$3:$BL$215,62,FALSE)</f>
        <v>5</v>
      </c>
      <c r="N103">
        <f>VLOOKUP($A103,ScionOutput!$A$3:$BL$215,63,FALSE)</f>
        <v>0.6</v>
      </c>
      <c r="O103" t="b">
        <f t="shared" si="9"/>
        <v>1</v>
      </c>
      <c r="P103">
        <f>VLOOKUP($A103,Outcomes!$B$3:$I$209,8,FALSE)</f>
        <v>5</v>
      </c>
      <c r="Q103">
        <f t="shared" si="10"/>
        <v>1</v>
      </c>
      <c r="R103">
        <f>VLOOKUP($A103,Outcomes!$B$3:$I$209,5,FALSE)</f>
        <v>3</v>
      </c>
      <c r="S103">
        <f>VLOOKUP($A103,Outcomes!$B$3:$I$209,6,FALSE)</f>
        <v>2</v>
      </c>
      <c r="T103">
        <f>VLOOKUP($A103,Outcomes!$B$3:$I$209,7,FALSE)</f>
        <v>-1</v>
      </c>
      <c r="U103" t="str">
        <f t="shared" si="11"/>
        <v>HomFave</v>
      </c>
      <c r="V103" s="5">
        <f t="shared" si="12"/>
        <v>0</v>
      </c>
      <c r="W103">
        <f t="shared" si="8"/>
        <v>100</v>
      </c>
      <c r="X103">
        <f t="shared" si="13"/>
        <v>0</v>
      </c>
      <c r="Y103">
        <f t="shared" si="14"/>
        <v>-100</v>
      </c>
      <c r="Z103" s="2">
        <f t="shared" si="15"/>
        <v>-1</v>
      </c>
      <c r="AA103" t="str">
        <f>VLOOKUP($A103,ScionOutput!$A$3:$BL$215,64,FALSE)</f>
        <v xml:space="preserve">823369. Play determined by LineStatEns and StatOnlyEns agreement. </v>
      </c>
    </row>
    <row r="104" spans="1:27" x14ac:dyDescent="0.2">
      <c r="A104">
        <v>823213</v>
      </c>
      <c r="B104" s="3">
        <f>VLOOKUP($A104,ScionOutput!$A$3:$BL$215,3,FALSE)</f>
        <v>46186</v>
      </c>
      <c r="C104">
        <f>VLOOKUP($A104,ScionOutput!$A$3:$BL$215,22,FALSE)</f>
        <v>25</v>
      </c>
      <c r="D104" t="str">
        <f>VLOOKUP($A104,ScionOutput!$A$3:$BL$215,23,FALSE)</f>
        <v>SF</v>
      </c>
      <c r="E104">
        <f>VLOOKUP($A104,ScionOutput!$A$3:$BL$215,6,FALSE)</f>
        <v>5</v>
      </c>
      <c r="F104" t="str">
        <f>VLOOKUP($A104,ScionOutput!$A$3:$BL$215,7,FALSE)</f>
        <v>CHC</v>
      </c>
      <c r="G104">
        <f>VLOOKUP($A104,ScionOutput!$A$3:$BL$215,26,FALSE)</f>
        <v>105</v>
      </c>
      <c r="H104">
        <f>VLOOKUP($A104,ScionOutput!$A$3:$BL$215,10,FALSE)</f>
        <v>-114</v>
      </c>
      <c r="I104" s="6" t="str">
        <f>VLOOKUP($A104,ScionOutput!$A$3:$BL$215,55,FALSE)</f>
        <v>VisFave</v>
      </c>
      <c r="J104" s="6">
        <f>VLOOKUP($A104,ScionOutput!$A$3:$BL$215,56,FALSE)</f>
        <v>0</v>
      </c>
      <c r="K104" t="str">
        <f>VLOOKUP($A104,ScionOutput!$A$3:$BL$215,58,FALSE)</f>
        <v>No Play</v>
      </c>
      <c r="L104">
        <f>VLOOKUP($A104,ScionOutput!$A$3:$BL$215,59,FALSE)</f>
        <v>0</v>
      </c>
      <c r="M104">
        <f>VLOOKUP($A104,ScionOutput!$A$3:$BL$215,62,FALSE)</f>
        <v>0</v>
      </c>
      <c r="N104">
        <f>VLOOKUP($A104,ScionOutput!$A$3:$BL$215,63,FALSE)</f>
        <v>0</v>
      </c>
      <c r="O104" t="b">
        <f t="shared" si="9"/>
        <v>0</v>
      </c>
      <c r="P104">
        <f>VLOOKUP($A104,Outcomes!$B$3:$I$209,8,FALSE)</f>
        <v>7</v>
      </c>
      <c r="Q104">
        <f t="shared" si="10"/>
        <v>-1</v>
      </c>
      <c r="R104">
        <f>VLOOKUP($A104,Outcomes!$B$3:$I$209,5,FALSE)</f>
        <v>1</v>
      </c>
      <c r="S104">
        <f>VLOOKUP($A104,Outcomes!$B$3:$I$209,6,FALSE)</f>
        <v>6</v>
      </c>
      <c r="T104">
        <f>VLOOKUP($A104,Outcomes!$B$3:$I$209,7,FALSE)</f>
        <v>5</v>
      </c>
      <c r="U104" t="str">
        <f t="shared" si="11"/>
        <v>VisFave</v>
      </c>
      <c r="V104" s="5" t="str">
        <f t="shared" si="12"/>
        <v/>
      </c>
      <c r="W104" t="str">
        <f t="shared" si="8"/>
        <v/>
      </c>
      <c r="X104" t="str">
        <f t="shared" si="13"/>
        <v/>
      </c>
      <c r="Y104" t="str">
        <f t="shared" si="14"/>
        <v/>
      </c>
      <c r="Z104" s="2" t="str">
        <f t="shared" si="15"/>
        <v/>
      </c>
      <c r="AA104" t="str">
        <f>VLOOKUP($A104,ScionOutput!$A$3:$BL$215,64,FALSE)</f>
        <v xml:space="preserve">823213. VF plays are disallowed. No play due to strategy constraints. </v>
      </c>
    </row>
    <row r="105" spans="1:27" x14ac:dyDescent="0.2">
      <c r="A105">
        <v>822802</v>
      </c>
      <c r="B105" s="3">
        <f>VLOOKUP($A105,ScionOutput!$A$3:$BL$215,3,FALSE)</f>
        <v>46186</v>
      </c>
      <c r="C105">
        <f>VLOOKUP($A105,ScionOutput!$A$3:$BL$215,22,FALSE)</f>
        <v>29</v>
      </c>
      <c r="D105" t="str">
        <f>VLOOKUP($A105,ScionOutput!$A$3:$BL$215,23,FALSE)</f>
        <v>TOR</v>
      </c>
      <c r="E105">
        <f>VLOOKUP($A105,ScionOutput!$A$3:$BL$215,6,FALSE)</f>
        <v>19</v>
      </c>
      <c r="F105" t="str">
        <f>VLOOKUP($A105,ScionOutput!$A$3:$BL$215,7,FALSE)</f>
        <v>NYY</v>
      </c>
      <c r="G105">
        <f>VLOOKUP($A105,ScionOutput!$A$3:$BL$215,26,FALSE)</f>
        <v>105</v>
      </c>
      <c r="H105">
        <f>VLOOKUP($A105,ScionOutput!$A$3:$BL$215,10,FALSE)</f>
        <v>-114</v>
      </c>
      <c r="I105" s="6" t="str">
        <f>VLOOKUP($A105,ScionOutput!$A$3:$BL$215,55,FALSE)</f>
        <v>VisFave</v>
      </c>
      <c r="J105" s="6">
        <f>VLOOKUP($A105,ScionOutput!$A$3:$BL$215,56,FALSE)</f>
        <v>0</v>
      </c>
      <c r="K105" t="str">
        <f>VLOOKUP($A105,ScionOutput!$A$3:$BL$215,58,FALSE)</f>
        <v>No Play</v>
      </c>
      <c r="L105">
        <f>VLOOKUP($A105,ScionOutput!$A$3:$BL$215,59,FALSE)</f>
        <v>0</v>
      </c>
      <c r="M105">
        <f>VLOOKUP($A105,ScionOutput!$A$3:$BL$215,62,FALSE)</f>
        <v>0</v>
      </c>
      <c r="N105">
        <f>VLOOKUP($A105,ScionOutput!$A$3:$BL$215,63,FALSE)</f>
        <v>0</v>
      </c>
      <c r="O105" t="b">
        <f t="shared" si="9"/>
        <v>0</v>
      </c>
      <c r="P105">
        <f>VLOOKUP($A105,Outcomes!$B$3:$I$209,8,FALSE)</f>
        <v>4</v>
      </c>
      <c r="Q105">
        <f t="shared" si="10"/>
        <v>-1</v>
      </c>
      <c r="R105">
        <f>VLOOKUP($A105,Outcomes!$B$3:$I$209,5,FALSE)</f>
        <v>1</v>
      </c>
      <c r="S105">
        <f>VLOOKUP($A105,Outcomes!$B$3:$I$209,6,FALSE)</f>
        <v>3</v>
      </c>
      <c r="T105">
        <f>VLOOKUP($A105,Outcomes!$B$3:$I$209,7,FALSE)</f>
        <v>2</v>
      </c>
      <c r="U105" t="str">
        <f t="shared" si="11"/>
        <v>VisFave</v>
      </c>
      <c r="V105" s="5" t="str">
        <f t="shared" si="12"/>
        <v/>
      </c>
      <c r="W105" t="str">
        <f t="shared" si="8"/>
        <v/>
      </c>
      <c r="X105" t="str">
        <f t="shared" si="13"/>
        <v/>
      </c>
      <c r="Y105" t="str">
        <f t="shared" si="14"/>
        <v/>
      </c>
      <c r="Z105" s="2" t="str">
        <f t="shared" si="15"/>
        <v/>
      </c>
      <c r="AA105" t="str">
        <f>VLOOKUP($A105,ScionOutput!$A$3:$BL$215,64,FALSE)</f>
        <v xml:space="preserve">822802. VF plays are disallowed. No play due to strategy constraints. </v>
      </c>
    </row>
    <row r="106" spans="1:27" x14ac:dyDescent="0.2">
      <c r="A106">
        <v>824823</v>
      </c>
      <c r="B106" s="3">
        <f>VLOOKUP($A106,ScionOutput!$A$3:$BL$215,3,FALSE)</f>
        <v>46187</v>
      </c>
      <c r="C106">
        <f>VLOOKUP($A106,ScionOutput!$A$3:$BL$215,22,FALSE)</f>
        <v>2</v>
      </c>
      <c r="D106" t="str">
        <f>VLOOKUP($A106,ScionOutput!$A$3:$BL$215,23,FALSE)</f>
        <v>BAL</v>
      </c>
      <c r="E106">
        <f>VLOOKUP($A106,ScionOutput!$A$3:$BL$215,6,FALSE)</f>
        <v>23</v>
      </c>
      <c r="F106" t="str">
        <f>VLOOKUP($A106,ScionOutput!$A$3:$BL$215,7,FALSE)</f>
        <v>SD</v>
      </c>
      <c r="G106">
        <f>VLOOKUP($A106,ScionOutput!$A$3:$BL$215,26,FALSE)</f>
        <v>-134</v>
      </c>
      <c r="H106">
        <f>VLOOKUP($A106,ScionOutput!$A$3:$BL$215,10,FALSE)</f>
        <v>123</v>
      </c>
      <c r="I106" s="6" t="str">
        <f>VLOOKUP($A106,ScionOutput!$A$3:$BL$215,55,FALSE)</f>
        <v>HomFave</v>
      </c>
      <c r="J106" s="6">
        <f>VLOOKUP($A106,ScionOutput!$A$3:$BL$215,56,FALSE)</f>
        <v>0</v>
      </c>
      <c r="K106" t="str">
        <f>VLOOKUP($A106,ScionOutput!$A$3:$BL$215,58,FALSE)</f>
        <v>No Play</v>
      </c>
      <c r="L106">
        <f>VLOOKUP($A106,ScionOutput!$A$3:$BL$215,59,FALSE)</f>
        <v>0</v>
      </c>
      <c r="M106">
        <f>VLOOKUP($A106,ScionOutput!$A$3:$BL$215,62,FALSE)</f>
        <v>0</v>
      </c>
      <c r="N106">
        <f>VLOOKUP($A106,ScionOutput!$A$3:$BL$215,63,FALSE)</f>
        <v>0</v>
      </c>
      <c r="O106" t="b">
        <f t="shared" si="9"/>
        <v>0</v>
      </c>
      <c r="P106">
        <f>VLOOKUP($A106,Outcomes!$B$3:$I$209,8,FALSE)</f>
        <v>7</v>
      </c>
      <c r="Q106">
        <f t="shared" si="10"/>
        <v>-1</v>
      </c>
      <c r="R106">
        <f>VLOOKUP($A106,Outcomes!$B$3:$I$209,5,FALSE)</f>
        <v>2</v>
      </c>
      <c r="S106">
        <f>VLOOKUP($A106,Outcomes!$B$3:$I$209,6,FALSE)</f>
        <v>5</v>
      </c>
      <c r="T106">
        <f>VLOOKUP($A106,Outcomes!$B$3:$I$209,7,FALSE)</f>
        <v>3</v>
      </c>
      <c r="U106" t="str">
        <f t="shared" si="11"/>
        <v>VisDog</v>
      </c>
      <c r="V106" s="5" t="str">
        <f t="shared" si="12"/>
        <v/>
      </c>
      <c r="W106" t="str">
        <f t="shared" si="8"/>
        <v/>
      </c>
      <c r="X106" t="str">
        <f t="shared" si="13"/>
        <v/>
      </c>
      <c r="Y106" t="str">
        <f t="shared" si="14"/>
        <v/>
      </c>
      <c r="Z106" s="2" t="str">
        <f t="shared" si="15"/>
        <v/>
      </c>
      <c r="AA106" t="str">
        <f>VLOOKUP($A106,ScionOutput!$A$3:$BL$215,64,FALSE)</f>
        <v xml:space="preserve">824823. LineStatEns probability points gap does not exceed threshold (no edge found)! StatOnlyEns probability points gap does not exceed threshold (no edge found)! No play due to strategy constraints. </v>
      </c>
    </row>
    <row r="107" spans="1:27" x14ac:dyDescent="0.2">
      <c r="A107">
        <v>824751</v>
      </c>
      <c r="B107" s="3">
        <f>VLOOKUP($A107,ScionOutput!$A$3:$BL$215,3,FALSE)</f>
        <v>46187</v>
      </c>
      <c r="C107">
        <f>VLOOKUP($A107,ScionOutput!$A$3:$BL$215,22,FALSE)</f>
        <v>3</v>
      </c>
      <c r="D107" t="str">
        <f>VLOOKUP($A107,ScionOutput!$A$3:$BL$215,23,FALSE)</f>
        <v>BOS</v>
      </c>
      <c r="E107">
        <f>VLOOKUP($A107,ScionOutput!$A$3:$BL$215,6,FALSE)</f>
        <v>28</v>
      </c>
      <c r="F107" t="str">
        <f>VLOOKUP($A107,ScionOutput!$A$3:$BL$215,7,FALSE)</f>
        <v>TEX</v>
      </c>
      <c r="G107">
        <f>VLOOKUP($A107,ScionOutput!$A$3:$BL$215,26,FALSE)</f>
        <v>-107</v>
      </c>
      <c r="H107">
        <f>VLOOKUP($A107,ScionOutput!$A$3:$BL$215,10,FALSE)</f>
        <v>-101</v>
      </c>
      <c r="I107" s="6" t="str">
        <f>VLOOKUP($A107,ScionOutput!$A$3:$BL$215,55,FALSE)</f>
        <v>HomFave</v>
      </c>
      <c r="J107" s="6">
        <f>VLOOKUP($A107,ScionOutput!$A$3:$BL$215,56,FALSE)</f>
        <v>0</v>
      </c>
      <c r="K107" t="str">
        <f>VLOOKUP($A107,ScionOutput!$A$3:$BL$215,58,FALSE)</f>
        <v>VisDog</v>
      </c>
      <c r="L107">
        <f>VLOOKUP($A107,ScionOutput!$A$3:$BL$215,59,FALSE)</f>
        <v>-1.7069999999999998E-2</v>
      </c>
      <c r="M107">
        <f>VLOOKUP($A107,ScionOutput!$A$3:$BL$215,62,FALSE)</f>
        <v>3</v>
      </c>
      <c r="N107">
        <f>VLOOKUP($A107,ScionOutput!$A$3:$BL$215,63,FALSE)</f>
        <v>0.6</v>
      </c>
      <c r="O107" t="b">
        <f t="shared" si="9"/>
        <v>0</v>
      </c>
      <c r="P107">
        <f>VLOOKUP($A107,Outcomes!$B$3:$I$209,8,FALSE)</f>
        <v>10</v>
      </c>
      <c r="Q107">
        <f t="shared" si="10"/>
        <v>-1</v>
      </c>
      <c r="R107">
        <f>VLOOKUP($A107,Outcomes!$B$3:$I$209,5,FALSE)</f>
        <v>4</v>
      </c>
      <c r="S107">
        <f>VLOOKUP($A107,Outcomes!$B$3:$I$209,6,FALSE)</f>
        <v>6</v>
      </c>
      <c r="T107">
        <f>VLOOKUP($A107,Outcomes!$B$3:$I$209,7,FALSE)</f>
        <v>2</v>
      </c>
      <c r="U107" t="str">
        <f t="shared" si="11"/>
        <v>VisDog</v>
      </c>
      <c r="V107" s="5" t="str">
        <f t="shared" si="12"/>
        <v/>
      </c>
      <c r="W107" t="str">
        <f t="shared" si="8"/>
        <v/>
      </c>
      <c r="X107" t="str">
        <f t="shared" si="13"/>
        <v/>
      </c>
      <c r="Y107" t="str">
        <f t="shared" si="14"/>
        <v/>
      </c>
      <c r="Z107" s="2" t="str">
        <f t="shared" si="15"/>
        <v/>
      </c>
      <c r="AA107" t="str">
        <f>VLOOKUP($A107,ScionOutput!$A$3:$BL$215,64,FALSE)</f>
        <v xml:space="preserve">824751. StatOnlyEns probability points gap does not exceed threshold (no edge found)! Play determined by LineStatEns only. </v>
      </c>
    </row>
    <row r="108" spans="1:27" x14ac:dyDescent="0.2">
      <c r="A108">
        <v>824021</v>
      </c>
      <c r="B108" s="3">
        <f>VLOOKUP($A108,ScionOutput!$A$3:$BL$215,3,FALSE)</f>
        <v>46187</v>
      </c>
      <c r="C108">
        <f>VLOOKUP($A108,ScionOutput!$A$3:$BL$215,22,FALSE)</f>
        <v>4</v>
      </c>
      <c r="D108" t="str">
        <f>VLOOKUP($A108,ScionOutput!$A$3:$BL$215,23,FALSE)</f>
        <v>LAA</v>
      </c>
      <c r="E108">
        <f>VLOOKUP($A108,ScionOutput!$A$3:$BL$215,6,FALSE)</f>
        <v>27</v>
      </c>
      <c r="F108" t="str">
        <f>VLOOKUP($A108,ScionOutput!$A$3:$BL$215,7,FALSE)</f>
        <v>TB</v>
      </c>
      <c r="G108">
        <f>VLOOKUP($A108,ScionOutput!$A$3:$BL$215,26,FALSE)</f>
        <v>106</v>
      </c>
      <c r="H108">
        <f>VLOOKUP($A108,ScionOutput!$A$3:$BL$215,10,FALSE)</f>
        <v>-115</v>
      </c>
      <c r="I108" s="6" t="str">
        <f>VLOOKUP($A108,ScionOutput!$A$3:$BL$215,55,FALSE)</f>
        <v>VisFave</v>
      </c>
      <c r="J108" s="6">
        <f>VLOOKUP($A108,ScionOutput!$A$3:$BL$215,56,FALSE)</f>
        <v>0</v>
      </c>
      <c r="K108" t="str">
        <f>VLOOKUP($A108,ScionOutput!$A$3:$BL$215,58,FALSE)</f>
        <v>No Play</v>
      </c>
      <c r="L108">
        <f>VLOOKUP($A108,ScionOutput!$A$3:$BL$215,59,FALSE)</f>
        <v>0</v>
      </c>
      <c r="M108">
        <f>VLOOKUP($A108,ScionOutput!$A$3:$BL$215,62,FALSE)</f>
        <v>0</v>
      </c>
      <c r="N108">
        <f>VLOOKUP($A108,ScionOutput!$A$3:$BL$215,63,FALSE)</f>
        <v>0</v>
      </c>
      <c r="O108" t="b">
        <f t="shared" si="9"/>
        <v>0</v>
      </c>
      <c r="P108">
        <f>VLOOKUP($A108,Outcomes!$B$3:$I$209,8,FALSE)</f>
        <v>11</v>
      </c>
      <c r="Q108">
        <f t="shared" si="10"/>
        <v>-1</v>
      </c>
      <c r="R108">
        <f>VLOOKUP($A108,Outcomes!$B$3:$I$209,5,FALSE)</f>
        <v>3</v>
      </c>
      <c r="S108">
        <f>VLOOKUP($A108,Outcomes!$B$3:$I$209,6,FALSE)</f>
        <v>8</v>
      </c>
      <c r="T108">
        <f>VLOOKUP($A108,Outcomes!$B$3:$I$209,7,FALSE)</f>
        <v>5</v>
      </c>
      <c r="U108" t="str">
        <f t="shared" si="11"/>
        <v>VisFave</v>
      </c>
      <c r="V108" s="5" t="str">
        <f t="shared" si="12"/>
        <v/>
      </c>
      <c r="W108" t="str">
        <f t="shared" si="8"/>
        <v/>
      </c>
      <c r="X108" t="str">
        <f t="shared" si="13"/>
        <v/>
      </c>
      <c r="Y108" t="str">
        <f t="shared" si="14"/>
        <v/>
      </c>
      <c r="Z108" s="2" t="str">
        <f t="shared" si="15"/>
        <v/>
      </c>
      <c r="AA108" t="str">
        <f>VLOOKUP($A108,ScionOutput!$A$3:$BL$215,64,FALSE)</f>
        <v xml:space="preserve">824021. V_SP is Null, team-based avg used. NoPlay as V_SP is Null. </v>
      </c>
    </row>
    <row r="109" spans="1:27" x14ac:dyDescent="0.2">
      <c r="A109">
        <v>824506</v>
      </c>
      <c r="B109" s="3">
        <f>VLOOKUP($A109,ScionOutput!$A$3:$BL$215,3,FALSE)</f>
        <v>46187</v>
      </c>
      <c r="C109">
        <f>VLOOKUP($A109,ScionOutput!$A$3:$BL$215,22,FALSE)</f>
        <v>6</v>
      </c>
      <c r="D109" t="str">
        <f>VLOOKUP($A109,ScionOutput!$A$3:$BL$215,23,FALSE)</f>
        <v>CIN</v>
      </c>
      <c r="E109">
        <f>VLOOKUP($A109,ScionOutput!$A$3:$BL$215,6,FALSE)</f>
        <v>1</v>
      </c>
      <c r="F109" t="str">
        <f>VLOOKUP($A109,ScionOutput!$A$3:$BL$215,7,FALSE)</f>
        <v>ARZ</v>
      </c>
      <c r="G109">
        <f>VLOOKUP($A109,ScionOutput!$A$3:$BL$215,26,FALSE)</f>
        <v>-101</v>
      </c>
      <c r="H109">
        <f>VLOOKUP($A109,ScionOutput!$A$3:$BL$215,10,FALSE)</f>
        <v>-107</v>
      </c>
      <c r="I109" s="6" t="str">
        <f>VLOOKUP($A109,ScionOutput!$A$3:$BL$215,55,FALSE)</f>
        <v>VisFave</v>
      </c>
      <c r="J109" s="6">
        <f>VLOOKUP($A109,ScionOutput!$A$3:$BL$215,56,FALSE)</f>
        <v>0</v>
      </c>
      <c r="K109" t="str">
        <f>VLOOKUP($A109,ScionOutput!$A$3:$BL$215,58,FALSE)</f>
        <v>No Play</v>
      </c>
      <c r="L109">
        <f>VLOOKUP($A109,ScionOutput!$A$3:$BL$215,59,FALSE)</f>
        <v>0</v>
      </c>
      <c r="M109">
        <f>VLOOKUP($A109,ScionOutput!$A$3:$BL$215,62,FALSE)</f>
        <v>0</v>
      </c>
      <c r="N109">
        <f>VLOOKUP($A109,ScionOutput!$A$3:$BL$215,63,FALSE)</f>
        <v>0</v>
      </c>
      <c r="O109" t="b">
        <f t="shared" si="9"/>
        <v>0</v>
      </c>
      <c r="P109">
        <f>VLOOKUP($A109,Outcomes!$B$3:$I$209,8,FALSE)</f>
        <v>8</v>
      </c>
      <c r="Q109">
        <f t="shared" si="10"/>
        <v>-1</v>
      </c>
      <c r="R109">
        <f>VLOOKUP($A109,Outcomes!$B$3:$I$209,5,FALSE)</f>
        <v>3</v>
      </c>
      <c r="S109">
        <f>VLOOKUP($A109,Outcomes!$B$3:$I$209,6,FALSE)</f>
        <v>5</v>
      </c>
      <c r="T109">
        <f>VLOOKUP($A109,Outcomes!$B$3:$I$209,7,FALSE)</f>
        <v>2</v>
      </c>
      <c r="U109" t="str">
        <f t="shared" si="11"/>
        <v>VisFave</v>
      </c>
      <c r="V109" s="5" t="str">
        <f t="shared" si="12"/>
        <v/>
      </c>
      <c r="W109" t="str">
        <f t="shared" si="8"/>
        <v/>
      </c>
      <c r="X109" t="str">
        <f t="shared" si="13"/>
        <v/>
      </c>
      <c r="Y109" t="str">
        <f t="shared" si="14"/>
        <v/>
      </c>
      <c r="Z109" s="2" t="str">
        <f t="shared" si="15"/>
        <v/>
      </c>
      <c r="AA109" t="str">
        <f>VLOOKUP($A109,ScionOutput!$A$3:$BL$215,64,FALSE)</f>
        <v xml:space="preserve">824506. VF plays are disallowed. No play due to strategy constraints. </v>
      </c>
    </row>
    <row r="110" spans="1:27" x14ac:dyDescent="0.2">
      <c r="A110">
        <v>824586</v>
      </c>
      <c r="B110" s="3">
        <f>VLOOKUP($A110,ScionOutput!$A$3:$BL$215,3,FALSE)</f>
        <v>46187</v>
      </c>
      <c r="C110">
        <f>VLOOKUP($A110,ScionOutput!$A$3:$BL$215,22,FALSE)</f>
        <v>9</v>
      </c>
      <c r="D110" t="str">
        <f>VLOOKUP($A110,ScionOutput!$A$3:$BL$215,23,FALSE)</f>
        <v>CWS</v>
      </c>
      <c r="E110">
        <f>VLOOKUP($A110,ScionOutput!$A$3:$BL$215,6,FALSE)</f>
        <v>14</v>
      </c>
      <c r="F110" t="str">
        <f>VLOOKUP($A110,ScionOutput!$A$3:$BL$215,7,FALSE)</f>
        <v>LA</v>
      </c>
      <c r="G110">
        <f>VLOOKUP($A110,ScionOutput!$A$3:$BL$215,26,FALSE)</f>
        <v>171</v>
      </c>
      <c r="H110">
        <f>VLOOKUP($A110,ScionOutput!$A$3:$BL$215,10,FALSE)</f>
        <v>-188</v>
      </c>
      <c r="I110" s="6" t="str">
        <f>VLOOKUP($A110,ScionOutput!$A$3:$BL$215,55,FALSE)</f>
        <v>VisFave</v>
      </c>
      <c r="J110" s="6">
        <f>VLOOKUP($A110,ScionOutput!$A$3:$BL$215,56,FALSE)</f>
        <v>0</v>
      </c>
      <c r="K110" t="str">
        <f>VLOOKUP($A110,ScionOutput!$A$3:$BL$215,58,FALSE)</f>
        <v>No Play</v>
      </c>
      <c r="L110">
        <f>VLOOKUP($A110,ScionOutput!$A$3:$BL$215,59,FALSE)</f>
        <v>0</v>
      </c>
      <c r="M110">
        <f>VLOOKUP($A110,ScionOutput!$A$3:$BL$215,62,FALSE)</f>
        <v>0</v>
      </c>
      <c r="N110">
        <f>VLOOKUP($A110,ScionOutput!$A$3:$BL$215,63,FALSE)</f>
        <v>0</v>
      </c>
      <c r="O110" t="b">
        <f t="shared" si="9"/>
        <v>0</v>
      </c>
      <c r="P110">
        <f>VLOOKUP($A110,Outcomes!$B$3:$I$209,8,FALSE)</f>
        <v>10</v>
      </c>
      <c r="Q110">
        <f t="shared" si="10"/>
        <v>1</v>
      </c>
      <c r="R110">
        <f>VLOOKUP($A110,Outcomes!$B$3:$I$209,5,FALSE)</f>
        <v>6</v>
      </c>
      <c r="S110">
        <f>VLOOKUP($A110,Outcomes!$B$3:$I$209,6,FALSE)</f>
        <v>4</v>
      </c>
      <c r="T110">
        <f>VLOOKUP($A110,Outcomes!$B$3:$I$209,7,FALSE)</f>
        <v>-2</v>
      </c>
      <c r="U110" t="str">
        <f t="shared" si="11"/>
        <v>HomDog</v>
      </c>
      <c r="V110" s="5" t="str">
        <f t="shared" si="12"/>
        <v/>
      </c>
      <c r="W110" t="str">
        <f t="shared" si="8"/>
        <v/>
      </c>
      <c r="X110" t="str">
        <f t="shared" si="13"/>
        <v/>
      </c>
      <c r="Y110" t="str">
        <f t="shared" si="14"/>
        <v/>
      </c>
      <c r="Z110" s="2" t="str">
        <f t="shared" si="15"/>
        <v/>
      </c>
      <c r="AA110" t="str">
        <f>VLOOKUP($A110,ScionOutput!$A$3:$BL$215,64,FALSE)</f>
        <v xml:space="preserve">824586. LineStatEns is NoPlay as bookie-line outside range. StatOnlyEns is NoPlay as bookie-line outside range. No play due to strategy constraints. </v>
      </c>
    </row>
    <row r="111" spans="1:27" x14ac:dyDescent="0.2">
      <c r="A111">
        <v>824099</v>
      </c>
      <c r="B111" s="3">
        <f>VLOOKUP($A111,ScionOutput!$A$3:$BL$215,3,FALSE)</f>
        <v>46187</v>
      </c>
      <c r="C111">
        <f>VLOOKUP($A111,ScionOutput!$A$3:$BL$215,22,FALSE)</f>
        <v>13</v>
      </c>
      <c r="D111" t="str">
        <f>VLOOKUP($A111,ScionOutput!$A$3:$BL$215,23,FALSE)</f>
        <v>KC</v>
      </c>
      <c r="E111">
        <f>VLOOKUP($A111,ScionOutput!$A$3:$BL$215,6,FALSE)</f>
        <v>12</v>
      </c>
      <c r="F111" t="str">
        <f>VLOOKUP($A111,ScionOutput!$A$3:$BL$215,7,FALSE)</f>
        <v>HOU</v>
      </c>
      <c r="G111">
        <f>VLOOKUP($A111,ScionOutput!$A$3:$BL$215,26,FALSE)</f>
        <v>-116</v>
      </c>
      <c r="H111">
        <f>VLOOKUP($A111,ScionOutput!$A$3:$BL$215,10,FALSE)</f>
        <v>107</v>
      </c>
      <c r="I111" s="6" t="str">
        <f>VLOOKUP($A111,ScionOutput!$A$3:$BL$215,55,FALSE)</f>
        <v>HomFave</v>
      </c>
      <c r="J111" s="6">
        <f>VLOOKUP($A111,ScionOutput!$A$3:$BL$215,56,FALSE)</f>
        <v>0</v>
      </c>
      <c r="K111" t="str">
        <f>VLOOKUP($A111,ScionOutput!$A$3:$BL$215,58,FALSE)</f>
        <v>VisDog</v>
      </c>
      <c r="L111">
        <f>VLOOKUP($A111,ScionOutput!$A$3:$BL$215,59,FALSE)</f>
        <v>-4.6440000000000002E-2</v>
      </c>
      <c r="M111">
        <f>VLOOKUP($A111,ScionOutput!$A$3:$BL$215,62,FALSE)</f>
        <v>3</v>
      </c>
      <c r="N111">
        <f>VLOOKUP($A111,ScionOutput!$A$3:$BL$215,63,FALSE)</f>
        <v>0.73</v>
      </c>
      <c r="O111" t="b">
        <f t="shared" si="9"/>
        <v>0</v>
      </c>
      <c r="P111">
        <f>VLOOKUP($A111,Outcomes!$B$3:$I$209,8,FALSE)</f>
        <v>4</v>
      </c>
      <c r="Q111">
        <f t="shared" si="10"/>
        <v>1</v>
      </c>
      <c r="R111">
        <f>VLOOKUP($A111,Outcomes!$B$3:$I$209,5,FALSE)</f>
        <v>4</v>
      </c>
      <c r="S111">
        <f>VLOOKUP($A111,Outcomes!$B$3:$I$209,6,FALSE)</f>
        <v>0</v>
      </c>
      <c r="T111">
        <f>VLOOKUP($A111,Outcomes!$B$3:$I$209,7,FALSE)</f>
        <v>-4</v>
      </c>
      <c r="U111" t="str">
        <f t="shared" si="11"/>
        <v>HomFave</v>
      </c>
      <c r="V111" s="5" t="str">
        <f t="shared" si="12"/>
        <v/>
      </c>
      <c r="W111" t="str">
        <f t="shared" si="8"/>
        <v/>
      </c>
      <c r="X111" t="str">
        <f t="shared" si="13"/>
        <v/>
      </c>
      <c r="Y111" t="str">
        <f t="shared" si="14"/>
        <v/>
      </c>
      <c r="Z111" s="2" t="str">
        <f t="shared" si="15"/>
        <v/>
      </c>
      <c r="AA111" t="str">
        <f>VLOOKUP($A111,ScionOutput!$A$3:$BL$215,64,FALSE)</f>
        <v xml:space="preserve">824099. StatOnlyEns probability points gap does not exceed threshold (no edge found)! Play determined by LineStatEns only. </v>
      </c>
    </row>
    <row r="112" spans="1:27" x14ac:dyDescent="0.2">
      <c r="A112">
        <v>823693</v>
      </c>
      <c r="B112" s="3">
        <f>VLOOKUP($A112,ScionOutput!$A$3:$BL$215,3,FALSE)</f>
        <v>46187</v>
      </c>
      <c r="C112">
        <f>VLOOKUP($A112,ScionOutput!$A$3:$BL$215,22,FALSE)</f>
        <v>15</v>
      </c>
      <c r="D112" t="str">
        <f>VLOOKUP($A112,ScionOutput!$A$3:$BL$215,23,FALSE)</f>
        <v>MIN</v>
      </c>
      <c r="E112">
        <f>VLOOKUP($A112,ScionOutput!$A$3:$BL$215,6,FALSE)</f>
        <v>26</v>
      </c>
      <c r="F112" t="str">
        <f>VLOOKUP($A112,ScionOutput!$A$3:$BL$215,7,FALSE)</f>
        <v>STL</v>
      </c>
      <c r="G112">
        <f>VLOOKUP($A112,ScionOutput!$A$3:$BL$215,26,FALSE)</f>
        <v>-108</v>
      </c>
      <c r="H112">
        <f>VLOOKUP($A112,ScionOutput!$A$3:$BL$215,10,FALSE)</f>
        <v>100</v>
      </c>
      <c r="I112" s="6" t="str">
        <f>VLOOKUP($A112,ScionOutput!$A$3:$BL$215,55,FALSE)</f>
        <v>HomFave</v>
      </c>
      <c r="J112" s="6">
        <f>VLOOKUP($A112,ScionOutput!$A$3:$BL$215,56,FALSE)</f>
        <v>0</v>
      </c>
      <c r="K112" t="str">
        <f>VLOOKUP($A112,ScionOutput!$A$3:$BL$215,58,FALSE)</f>
        <v>No Play</v>
      </c>
      <c r="L112">
        <f>VLOOKUP($A112,ScionOutput!$A$3:$BL$215,59,FALSE)</f>
        <v>0</v>
      </c>
      <c r="M112">
        <f>VLOOKUP($A112,ScionOutput!$A$3:$BL$215,62,FALSE)</f>
        <v>0</v>
      </c>
      <c r="N112">
        <f>VLOOKUP($A112,ScionOutput!$A$3:$BL$215,63,FALSE)</f>
        <v>0</v>
      </c>
      <c r="O112" t="b">
        <f t="shared" si="9"/>
        <v>0</v>
      </c>
      <c r="P112">
        <f>VLOOKUP($A112,Outcomes!$B$3:$I$209,8,FALSE)</f>
        <v>9</v>
      </c>
      <c r="Q112">
        <f t="shared" si="10"/>
        <v>1</v>
      </c>
      <c r="R112">
        <f>VLOOKUP($A112,Outcomes!$B$3:$I$209,5,FALSE)</f>
        <v>5</v>
      </c>
      <c r="S112">
        <f>VLOOKUP($A112,Outcomes!$B$3:$I$209,6,FALSE)</f>
        <v>4</v>
      </c>
      <c r="T112">
        <f>VLOOKUP($A112,Outcomes!$B$3:$I$209,7,FALSE)</f>
        <v>-1</v>
      </c>
      <c r="U112" t="str">
        <f t="shared" si="11"/>
        <v>HomFave</v>
      </c>
      <c r="V112" s="5" t="str">
        <f t="shared" si="12"/>
        <v/>
      </c>
      <c r="W112" t="str">
        <f t="shared" si="8"/>
        <v/>
      </c>
      <c r="X112" t="str">
        <f t="shared" si="13"/>
        <v/>
      </c>
      <c r="Y112" t="str">
        <f t="shared" si="14"/>
        <v/>
      </c>
      <c r="Z112" s="2" t="str">
        <f t="shared" si="15"/>
        <v/>
      </c>
      <c r="AA112" t="str">
        <f>VLOOKUP($A112,ScionOutput!$A$3:$BL$215,64,FALSE)</f>
        <v xml:space="preserve">823693. LineStatEns probability points gap does not exceed threshold (no edge found)! StatOnlyEns probability points gap does not exceed threshold (no edge found)! No play due to strategy constraints. </v>
      </c>
    </row>
    <row r="113" spans="1:27" x14ac:dyDescent="0.2">
      <c r="A113">
        <v>822722</v>
      </c>
      <c r="B113" s="3">
        <f>VLOOKUP($A113,ScionOutput!$A$3:$BL$215,3,FALSE)</f>
        <v>46187</v>
      </c>
      <c r="C113">
        <f>VLOOKUP($A113,ScionOutput!$A$3:$BL$215,22,FALSE)</f>
        <v>16</v>
      </c>
      <c r="D113" t="str">
        <f>VLOOKUP($A113,ScionOutput!$A$3:$BL$215,23,FALSE)</f>
        <v>WAS</v>
      </c>
      <c r="E113">
        <f>VLOOKUP($A113,ScionOutput!$A$3:$BL$215,6,FALSE)</f>
        <v>24</v>
      </c>
      <c r="F113" t="str">
        <f>VLOOKUP($A113,ScionOutput!$A$3:$BL$215,7,FALSE)</f>
        <v>SEA</v>
      </c>
      <c r="G113">
        <f>VLOOKUP($A113,ScionOutput!$A$3:$BL$215,26,FALSE)</f>
        <v>119</v>
      </c>
      <c r="H113">
        <f>VLOOKUP($A113,ScionOutput!$A$3:$BL$215,10,FALSE)</f>
        <v>-129</v>
      </c>
      <c r="I113" s="6" t="str">
        <f>VLOOKUP($A113,ScionOutput!$A$3:$BL$215,55,FALSE)</f>
        <v>VisFave</v>
      </c>
      <c r="J113" s="6">
        <f>VLOOKUP($A113,ScionOutput!$A$3:$BL$215,56,FALSE)</f>
        <v>0</v>
      </c>
      <c r="K113" t="str">
        <f>VLOOKUP($A113,ScionOutput!$A$3:$BL$215,58,FALSE)</f>
        <v>No Play</v>
      </c>
      <c r="L113">
        <f>VLOOKUP($A113,ScionOutput!$A$3:$BL$215,59,FALSE)</f>
        <v>0</v>
      </c>
      <c r="M113">
        <f>VLOOKUP($A113,ScionOutput!$A$3:$BL$215,62,FALSE)</f>
        <v>0</v>
      </c>
      <c r="N113">
        <f>VLOOKUP($A113,ScionOutput!$A$3:$BL$215,63,FALSE)</f>
        <v>0</v>
      </c>
      <c r="O113" t="b">
        <f t="shared" si="9"/>
        <v>0</v>
      </c>
      <c r="P113">
        <f>VLOOKUP($A113,Outcomes!$B$3:$I$209,8,FALSE)</f>
        <v>11</v>
      </c>
      <c r="Q113">
        <f t="shared" si="10"/>
        <v>1</v>
      </c>
      <c r="R113">
        <f>VLOOKUP($A113,Outcomes!$B$3:$I$209,5,FALSE)</f>
        <v>10</v>
      </c>
      <c r="S113">
        <f>VLOOKUP($A113,Outcomes!$B$3:$I$209,6,FALSE)</f>
        <v>1</v>
      </c>
      <c r="T113">
        <f>VLOOKUP($A113,Outcomes!$B$3:$I$209,7,FALSE)</f>
        <v>-9</v>
      </c>
      <c r="U113" t="str">
        <f t="shared" si="11"/>
        <v>HomDog</v>
      </c>
      <c r="V113" s="5" t="str">
        <f t="shared" si="12"/>
        <v/>
      </c>
      <c r="W113" t="str">
        <f t="shared" si="8"/>
        <v/>
      </c>
      <c r="X113" t="str">
        <f t="shared" si="13"/>
        <v/>
      </c>
      <c r="Y113" t="str">
        <f t="shared" si="14"/>
        <v/>
      </c>
      <c r="Z113" s="2" t="str">
        <f t="shared" si="15"/>
        <v/>
      </c>
      <c r="AA113" t="str">
        <f>VLOOKUP($A113,ScionOutput!$A$3:$BL$215,64,FALSE)</f>
        <v xml:space="preserve">822722. VF plays are disallowed. No play due to strategy constraints. </v>
      </c>
    </row>
    <row r="114" spans="1:27" x14ac:dyDescent="0.2">
      <c r="A114">
        <v>823777</v>
      </c>
      <c r="B114" s="3">
        <f>VLOOKUP($A114,ScionOutput!$A$3:$BL$215,3,FALSE)</f>
        <v>46187</v>
      </c>
      <c r="C114">
        <f>VLOOKUP($A114,ScionOutput!$A$3:$BL$215,22,FALSE)</f>
        <v>17</v>
      </c>
      <c r="D114" t="str">
        <f>VLOOKUP($A114,ScionOutput!$A$3:$BL$215,23,FALSE)</f>
        <v>MLW</v>
      </c>
      <c r="E114">
        <f>VLOOKUP($A114,ScionOutput!$A$3:$BL$215,6,FALSE)</f>
        <v>21</v>
      </c>
      <c r="F114" t="str">
        <f>VLOOKUP($A114,ScionOutput!$A$3:$BL$215,7,FALSE)</f>
        <v>PHI</v>
      </c>
      <c r="G114">
        <f>VLOOKUP($A114,ScionOutput!$A$3:$BL$215,26,FALSE)</f>
        <v>113</v>
      </c>
      <c r="H114">
        <f>VLOOKUP($A114,ScionOutput!$A$3:$BL$215,10,FALSE)</f>
        <v>-122</v>
      </c>
      <c r="I114" s="6" t="str">
        <f>VLOOKUP($A114,ScionOutput!$A$3:$BL$215,55,FALSE)</f>
        <v>HomDog</v>
      </c>
      <c r="J114" s="6">
        <f>VLOOKUP($A114,ScionOutput!$A$3:$BL$215,56,FALSE)</f>
        <v>1</v>
      </c>
      <c r="K114" t="str">
        <f>VLOOKUP($A114,ScionOutput!$A$3:$BL$215,58,FALSE)</f>
        <v>No Play</v>
      </c>
      <c r="L114">
        <f>VLOOKUP($A114,ScionOutput!$A$3:$BL$215,59,FALSE)</f>
        <v>0</v>
      </c>
      <c r="M114">
        <f>VLOOKUP($A114,ScionOutput!$A$3:$BL$215,62,FALSE)</f>
        <v>0</v>
      </c>
      <c r="N114">
        <f>VLOOKUP($A114,ScionOutput!$A$3:$BL$215,63,FALSE)</f>
        <v>0</v>
      </c>
      <c r="O114" t="b">
        <f t="shared" si="9"/>
        <v>0</v>
      </c>
      <c r="P114">
        <f>VLOOKUP($A114,Outcomes!$B$3:$I$209,8,FALSE)</f>
        <v>4</v>
      </c>
      <c r="Q114">
        <f t="shared" si="10"/>
        <v>1</v>
      </c>
      <c r="R114">
        <f>VLOOKUP($A114,Outcomes!$B$3:$I$209,5,FALSE)</f>
        <v>4</v>
      </c>
      <c r="S114">
        <f>VLOOKUP($A114,Outcomes!$B$3:$I$209,6,FALSE)</f>
        <v>0</v>
      </c>
      <c r="T114">
        <f>VLOOKUP($A114,Outcomes!$B$3:$I$209,7,FALSE)</f>
        <v>-4</v>
      </c>
      <c r="U114" t="str">
        <f t="shared" si="11"/>
        <v>HomDog</v>
      </c>
      <c r="V114" s="5">
        <f t="shared" si="12"/>
        <v>1</v>
      </c>
      <c r="W114">
        <f t="shared" si="8"/>
        <v>100</v>
      </c>
      <c r="X114">
        <f t="shared" si="13"/>
        <v>213</v>
      </c>
      <c r="Y114">
        <f t="shared" si="14"/>
        <v>113</v>
      </c>
      <c r="Z114" s="2">
        <f t="shared" si="15"/>
        <v>1.1299999999999999</v>
      </c>
      <c r="AA114" t="str">
        <f>VLOOKUP($A114,ScionOutput!$A$3:$BL$215,64,FALSE)</f>
        <v xml:space="preserve">823777. VF plays are disallowed. No play due to strategy constraints. </v>
      </c>
    </row>
    <row r="115" spans="1:27" x14ac:dyDescent="0.2">
      <c r="A115">
        <v>823615</v>
      </c>
      <c r="B115" s="3">
        <f>VLOOKUP($A115,ScionOutput!$A$3:$BL$215,3,FALSE)</f>
        <v>46187</v>
      </c>
      <c r="C115">
        <f>VLOOKUP($A115,ScionOutput!$A$3:$BL$215,22,FALSE)</f>
        <v>18</v>
      </c>
      <c r="D115" t="str">
        <f>VLOOKUP($A115,ScionOutput!$A$3:$BL$215,23,FALSE)</f>
        <v>NYM</v>
      </c>
      <c r="E115">
        <f>VLOOKUP($A115,ScionOutput!$A$3:$BL$215,6,FALSE)</f>
        <v>0</v>
      </c>
      <c r="F115" t="str">
        <f>VLOOKUP($A115,ScionOutput!$A$3:$BL$215,7,FALSE)</f>
        <v>ATL</v>
      </c>
      <c r="G115">
        <f>VLOOKUP($A115,ScionOutput!$A$3:$BL$215,26,FALSE)</f>
        <v>-122</v>
      </c>
      <c r="H115">
        <f>VLOOKUP($A115,ScionOutput!$A$3:$BL$215,10,FALSE)</f>
        <v>113</v>
      </c>
      <c r="I115" s="6" t="str">
        <f>VLOOKUP($A115,ScionOutput!$A$3:$BL$215,55,FALSE)</f>
        <v>VisDog</v>
      </c>
      <c r="J115" s="6">
        <f>VLOOKUP($A115,ScionOutput!$A$3:$BL$215,56,FALSE)</f>
        <v>1</v>
      </c>
      <c r="K115" t="str">
        <f>VLOOKUP($A115,ScionOutput!$A$3:$BL$215,58,FALSE)</f>
        <v>No Play</v>
      </c>
      <c r="L115">
        <f>VLOOKUP($A115,ScionOutput!$A$3:$BL$215,59,FALSE)</f>
        <v>0</v>
      </c>
      <c r="M115">
        <f>VLOOKUP($A115,ScionOutput!$A$3:$BL$215,62,FALSE)</f>
        <v>0</v>
      </c>
      <c r="N115">
        <f>VLOOKUP($A115,ScionOutput!$A$3:$BL$215,63,FALSE)</f>
        <v>0</v>
      </c>
      <c r="O115" t="b">
        <f t="shared" si="9"/>
        <v>0</v>
      </c>
      <c r="P115">
        <f>VLOOKUP($A115,Outcomes!$B$3:$I$209,8,FALSE)</f>
        <v>9</v>
      </c>
      <c r="Q115">
        <f t="shared" si="10"/>
        <v>1</v>
      </c>
      <c r="R115">
        <f>VLOOKUP($A115,Outcomes!$B$3:$I$209,5,FALSE)</f>
        <v>8</v>
      </c>
      <c r="S115">
        <f>VLOOKUP($A115,Outcomes!$B$3:$I$209,6,FALSE)</f>
        <v>1</v>
      </c>
      <c r="T115">
        <f>VLOOKUP($A115,Outcomes!$B$3:$I$209,7,FALSE)</f>
        <v>-7</v>
      </c>
      <c r="U115" t="str">
        <f t="shared" si="11"/>
        <v>HomFave</v>
      </c>
      <c r="V115" s="5">
        <f t="shared" si="12"/>
        <v>0</v>
      </c>
      <c r="W115">
        <f t="shared" si="8"/>
        <v>100</v>
      </c>
      <c r="X115">
        <f t="shared" si="13"/>
        <v>0</v>
      </c>
      <c r="Y115">
        <f t="shared" si="14"/>
        <v>-100</v>
      </c>
      <c r="Z115" s="2">
        <f t="shared" si="15"/>
        <v>-1</v>
      </c>
      <c r="AA115" t="str">
        <f>VLOOKUP($A115,ScionOutput!$A$3:$BL$215,64,FALSE)</f>
        <v xml:space="preserve">823615. LineStatEns probability points gap does not exceed threshold (no edge found)! No play due to strategy constraints. </v>
      </c>
    </row>
    <row r="116" spans="1:27" x14ac:dyDescent="0.2">
      <c r="A116">
        <v>824994</v>
      </c>
      <c r="B116" s="3">
        <f>VLOOKUP($A116,ScionOutput!$A$3:$BL$215,3,FALSE)</f>
        <v>46187</v>
      </c>
      <c r="C116">
        <f>VLOOKUP($A116,ScionOutput!$A$3:$BL$215,22,FALSE)</f>
        <v>20</v>
      </c>
      <c r="D116" t="str">
        <f>VLOOKUP($A116,ScionOutput!$A$3:$BL$215,23,FALSE)</f>
        <v>OAK</v>
      </c>
      <c r="E116">
        <f>VLOOKUP($A116,ScionOutput!$A$3:$BL$215,6,FALSE)</f>
        <v>8</v>
      </c>
      <c r="F116" t="str">
        <f>VLOOKUP($A116,ScionOutput!$A$3:$BL$215,7,FALSE)</f>
        <v>COL</v>
      </c>
      <c r="G116">
        <f>VLOOKUP($A116,ScionOutput!$A$3:$BL$215,26,FALSE)</f>
        <v>-188</v>
      </c>
      <c r="H116">
        <f>VLOOKUP($A116,ScionOutput!$A$3:$BL$215,10,FALSE)</f>
        <v>171</v>
      </c>
      <c r="I116" s="6" t="str">
        <f>VLOOKUP($A116,ScionOutput!$A$3:$BL$215,55,FALSE)</f>
        <v>HomFave</v>
      </c>
      <c r="J116" s="6">
        <f>VLOOKUP($A116,ScionOutput!$A$3:$BL$215,56,FALSE)</f>
        <v>0</v>
      </c>
      <c r="K116" t="str">
        <f>VLOOKUP($A116,ScionOutput!$A$3:$BL$215,58,FALSE)</f>
        <v>No Play</v>
      </c>
      <c r="L116">
        <f>VLOOKUP($A116,ScionOutput!$A$3:$BL$215,59,FALSE)</f>
        <v>0</v>
      </c>
      <c r="M116">
        <f>VLOOKUP($A116,ScionOutput!$A$3:$BL$215,62,FALSE)</f>
        <v>0</v>
      </c>
      <c r="N116">
        <f>VLOOKUP($A116,ScionOutput!$A$3:$BL$215,63,FALSE)</f>
        <v>0</v>
      </c>
      <c r="O116" t="b">
        <f t="shared" si="9"/>
        <v>0</v>
      </c>
      <c r="P116">
        <f>VLOOKUP($A116,Outcomes!$B$3:$I$209,8,FALSE)</f>
        <v>32</v>
      </c>
      <c r="Q116">
        <f t="shared" si="10"/>
        <v>-1</v>
      </c>
      <c r="R116">
        <f>VLOOKUP($A116,Outcomes!$B$3:$I$209,5,FALSE)</f>
        <v>9</v>
      </c>
      <c r="S116">
        <f>VLOOKUP($A116,Outcomes!$B$3:$I$209,6,FALSE)</f>
        <v>23</v>
      </c>
      <c r="T116">
        <f>VLOOKUP($A116,Outcomes!$B$3:$I$209,7,FALSE)</f>
        <v>14</v>
      </c>
      <c r="U116" t="str">
        <f t="shared" si="11"/>
        <v>VisDog</v>
      </c>
      <c r="V116" s="5" t="str">
        <f t="shared" si="12"/>
        <v/>
      </c>
      <c r="W116" t="str">
        <f t="shared" si="8"/>
        <v/>
      </c>
      <c r="X116" t="str">
        <f t="shared" si="13"/>
        <v/>
      </c>
      <c r="Y116" t="str">
        <f t="shared" si="14"/>
        <v/>
      </c>
      <c r="Z116" s="2" t="str">
        <f t="shared" si="15"/>
        <v/>
      </c>
      <c r="AA116" t="str">
        <f>VLOOKUP($A116,ScionOutput!$A$3:$BL$215,64,FALSE)</f>
        <v xml:space="preserve">824994. LineStatEns is NoPlay as bookie-line outside range. StatOnlyEns is NoPlay as bookie-line outside range. No play due to strategy constraints. </v>
      </c>
    </row>
    <row r="117" spans="1:27" x14ac:dyDescent="0.2">
      <c r="A117">
        <v>823368</v>
      </c>
      <c r="B117" s="3">
        <f>VLOOKUP($A117,ScionOutput!$A$3:$BL$215,3,FALSE)</f>
        <v>46187</v>
      </c>
      <c r="C117">
        <f>VLOOKUP($A117,ScionOutput!$A$3:$BL$215,22,FALSE)</f>
        <v>22</v>
      </c>
      <c r="D117" t="str">
        <f>VLOOKUP($A117,ScionOutput!$A$3:$BL$215,23,FALSE)</f>
        <v>PIT</v>
      </c>
      <c r="E117">
        <f>VLOOKUP($A117,ScionOutput!$A$3:$BL$215,6,FALSE)</f>
        <v>11</v>
      </c>
      <c r="F117" t="str">
        <f>VLOOKUP($A117,ScionOutput!$A$3:$BL$215,7,FALSE)</f>
        <v>FLO</v>
      </c>
      <c r="G117">
        <f>VLOOKUP($A117,ScionOutput!$A$3:$BL$215,26,FALSE)</f>
        <v>-150</v>
      </c>
      <c r="H117">
        <f>VLOOKUP($A117,ScionOutput!$A$3:$BL$215,10,FALSE)</f>
        <v>138</v>
      </c>
      <c r="I117" s="6" t="str">
        <f>VLOOKUP($A117,ScionOutput!$A$3:$BL$215,55,FALSE)</f>
        <v>VisDog</v>
      </c>
      <c r="J117" s="6">
        <f>VLOOKUP($A117,ScionOutput!$A$3:$BL$215,56,FALSE)</f>
        <v>1</v>
      </c>
      <c r="K117" t="str">
        <f>VLOOKUP($A117,ScionOutput!$A$3:$BL$215,58,FALSE)</f>
        <v>No Play</v>
      </c>
      <c r="L117">
        <f>VLOOKUP($A117,ScionOutput!$A$3:$BL$215,59,FALSE)</f>
        <v>0</v>
      </c>
      <c r="M117">
        <f>VLOOKUP($A117,ScionOutput!$A$3:$BL$215,62,FALSE)</f>
        <v>0</v>
      </c>
      <c r="N117">
        <f>VLOOKUP($A117,ScionOutput!$A$3:$BL$215,63,FALSE)</f>
        <v>0</v>
      </c>
      <c r="O117" t="b">
        <f t="shared" si="9"/>
        <v>0</v>
      </c>
      <c r="P117">
        <f>VLOOKUP($A117,Outcomes!$B$3:$I$209,8,FALSE)</f>
        <v>6</v>
      </c>
      <c r="Q117">
        <f t="shared" si="10"/>
        <v>-1</v>
      </c>
      <c r="R117">
        <f>VLOOKUP($A117,Outcomes!$B$3:$I$209,5,FALSE)</f>
        <v>2</v>
      </c>
      <c r="S117">
        <f>VLOOKUP($A117,Outcomes!$B$3:$I$209,6,FALSE)</f>
        <v>4</v>
      </c>
      <c r="T117">
        <f>VLOOKUP($A117,Outcomes!$B$3:$I$209,7,FALSE)</f>
        <v>2</v>
      </c>
      <c r="U117" t="str">
        <f t="shared" si="11"/>
        <v>VisDog</v>
      </c>
      <c r="V117" s="5">
        <f t="shared" si="12"/>
        <v>1</v>
      </c>
      <c r="W117">
        <f t="shared" si="8"/>
        <v>100</v>
      </c>
      <c r="X117">
        <f t="shared" si="13"/>
        <v>238</v>
      </c>
      <c r="Y117">
        <f t="shared" si="14"/>
        <v>138</v>
      </c>
      <c r="Z117" s="2">
        <f t="shared" si="15"/>
        <v>1.38</v>
      </c>
      <c r="AA117" t="str">
        <f>VLOOKUP($A117,ScionOutput!$A$3:$BL$215,64,FALSE)</f>
        <v xml:space="preserve">823368. LineStatEns probability points gap does not exceed threshold (no edge found)! No play due to strategy constraints. </v>
      </c>
    </row>
    <row r="118" spans="1:27" x14ac:dyDescent="0.2">
      <c r="A118">
        <v>823212</v>
      </c>
      <c r="B118" s="3">
        <f>VLOOKUP($A118,ScionOutput!$A$3:$BL$215,3,FALSE)</f>
        <v>46187</v>
      </c>
      <c r="C118">
        <f>VLOOKUP($A118,ScionOutput!$A$3:$BL$215,22,FALSE)</f>
        <v>25</v>
      </c>
      <c r="D118" t="str">
        <f>VLOOKUP($A118,ScionOutput!$A$3:$BL$215,23,FALSE)</f>
        <v>SF</v>
      </c>
      <c r="E118">
        <f>VLOOKUP($A118,ScionOutput!$A$3:$BL$215,6,FALSE)</f>
        <v>5</v>
      </c>
      <c r="F118" t="str">
        <f>VLOOKUP($A118,ScionOutput!$A$3:$BL$215,7,FALSE)</f>
        <v>CHC</v>
      </c>
      <c r="G118">
        <f>VLOOKUP($A118,ScionOutput!$A$3:$BL$215,26,FALSE)</f>
        <v>-124</v>
      </c>
      <c r="H118">
        <f>VLOOKUP($A118,ScionOutput!$A$3:$BL$215,10,FALSE)</f>
        <v>115</v>
      </c>
      <c r="I118" s="6" t="str">
        <f>VLOOKUP($A118,ScionOutput!$A$3:$BL$215,55,FALSE)</f>
        <v>HomFave</v>
      </c>
      <c r="J118" s="6">
        <f>VLOOKUP($A118,ScionOutput!$A$3:$BL$215,56,FALSE)</f>
        <v>0</v>
      </c>
      <c r="K118" t="str">
        <f>VLOOKUP($A118,ScionOutput!$A$3:$BL$215,58,FALSE)</f>
        <v>No Play</v>
      </c>
      <c r="L118">
        <f>VLOOKUP($A118,ScionOutput!$A$3:$BL$215,59,FALSE)</f>
        <v>0</v>
      </c>
      <c r="M118">
        <f>VLOOKUP($A118,ScionOutput!$A$3:$BL$215,62,FALSE)</f>
        <v>0</v>
      </c>
      <c r="N118">
        <f>VLOOKUP($A118,ScionOutput!$A$3:$BL$215,63,FALSE)</f>
        <v>0</v>
      </c>
      <c r="O118" t="b">
        <f t="shared" si="9"/>
        <v>0</v>
      </c>
      <c r="P118">
        <f>VLOOKUP($A118,Outcomes!$B$3:$I$209,8,FALSE)</f>
        <v>6</v>
      </c>
      <c r="Q118">
        <f t="shared" si="10"/>
        <v>1</v>
      </c>
      <c r="R118">
        <f>VLOOKUP($A118,Outcomes!$B$3:$I$209,5,FALSE)</f>
        <v>5</v>
      </c>
      <c r="S118">
        <f>VLOOKUP($A118,Outcomes!$B$3:$I$209,6,FALSE)</f>
        <v>1</v>
      </c>
      <c r="T118">
        <f>VLOOKUP($A118,Outcomes!$B$3:$I$209,7,FALSE)</f>
        <v>-4</v>
      </c>
      <c r="U118" t="str">
        <f t="shared" si="11"/>
        <v>HomFave</v>
      </c>
      <c r="V118" s="5" t="str">
        <f t="shared" si="12"/>
        <v/>
      </c>
      <c r="W118" t="str">
        <f t="shared" si="8"/>
        <v/>
      </c>
      <c r="X118" t="str">
        <f t="shared" si="13"/>
        <v/>
      </c>
      <c r="Y118" t="str">
        <f t="shared" si="14"/>
        <v/>
      </c>
      <c r="Z118" s="2" t="str">
        <f t="shared" si="15"/>
        <v/>
      </c>
      <c r="AA118" t="str">
        <f>VLOOKUP($A118,ScionOutput!$A$3:$BL$215,64,FALSE)</f>
        <v xml:space="preserve">823212. V_SP is Null, team-based avg used. NoPlay as V_SP is Null. </v>
      </c>
    </row>
    <row r="119" spans="1:27" x14ac:dyDescent="0.2">
      <c r="A119">
        <v>822801</v>
      </c>
      <c r="B119" s="3">
        <f>VLOOKUP($A119,ScionOutput!$A$3:$BL$215,3,FALSE)</f>
        <v>46187</v>
      </c>
      <c r="C119">
        <f>VLOOKUP($A119,ScionOutput!$A$3:$BL$215,22,FALSE)</f>
        <v>29</v>
      </c>
      <c r="D119" t="str">
        <f>VLOOKUP($A119,ScionOutput!$A$3:$BL$215,23,FALSE)</f>
        <v>TOR</v>
      </c>
      <c r="E119">
        <f>VLOOKUP($A119,ScionOutput!$A$3:$BL$215,6,FALSE)</f>
        <v>19</v>
      </c>
      <c r="F119" t="str">
        <f>VLOOKUP($A119,ScionOutput!$A$3:$BL$215,7,FALSE)</f>
        <v>NYY</v>
      </c>
      <c r="G119">
        <f>VLOOKUP($A119,ScionOutput!$A$3:$BL$215,26,FALSE)</f>
        <v>112</v>
      </c>
      <c r="H119">
        <f>VLOOKUP($A119,ScionOutput!$A$3:$BL$215,10,FALSE)</f>
        <v>-121</v>
      </c>
      <c r="I119" s="6" t="str">
        <f>VLOOKUP($A119,ScionOutput!$A$3:$BL$215,55,FALSE)</f>
        <v>VisFave</v>
      </c>
      <c r="J119" s="6">
        <f>VLOOKUP($A119,ScionOutput!$A$3:$BL$215,56,FALSE)</f>
        <v>0</v>
      </c>
      <c r="K119" t="str">
        <f>VLOOKUP($A119,ScionOutput!$A$3:$BL$215,58,FALSE)</f>
        <v>No Play</v>
      </c>
      <c r="L119">
        <f>VLOOKUP($A119,ScionOutput!$A$3:$BL$215,59,FALSE)</f>
        <v>0</v>
      </c>
      <c r="M119">
        <f>VLOOKUP($A119,ScionOutput!$A$3:$BL$215,62,FALSE)</f>
        <v>0</v>
      </c>
      <c r="N119">
        <f>VLOOKUP($A119,ScionOutput!$A$3:$BL$215,63,FALSE)</f>
        <v>0</v>
      </c>
      <c r="O119" t="b">
        <f t="shared" si="9"/>
        <v>0</v>
      </c>
      <c r="P119">
        <f>VLOOKUP($A119,Outcomes!$B$3:$I$209,8,FALSE)</f>
        <v>11</v>
      </c>
      <c r="Q119">
        <f t="shared" si="10"/>
        <v>-1</v>
      </c>
      <c r="R119">
        <f>VLOOKUP($A119,Outcomes!$B$3:$I$209,5,FALSE)</f>
        <v>3</v>
      </c>
      <c r="S119">
        <f>VLOOKUP($A119,Outcomes!$B$3:$I$209,6,FALSE)</f>
        <v>8</v>
      </c>
      <c r="T119">
        <f>VLOOKUP($A119,Outcomes!$B$3:$I$209,7,FALSE)</f>
        <v>5</v>
      </c>
      <c r="U119" t="str">
        <f t="shared" si="11"/>
        <v>VisFave</v>
      </c>
      <c r="V119" s="5" t="str">
        <f t="shared" si="12"/>
        <v/>
      </c>
      <c r="W119" t="str">
        <f t="shared" si="8"/>
        <v/>
      </c>
      <c r="X119" t="str">
        <f t="shared" si="13"/>
        <v/>
      </c>
      <c r="Y119" t="str">
        <f t="shared" si="14"/>
        <v/>
      </c>
      <c r="Z119" s="2" t="str">
        <f t="shared" si="15"/>
        <v/>
      </c>
      <c r="AA119" t="str">
        <f>VLOOKUP($A119,ScionOutput!$A$3:$BL$215,64,FALSE)</f>
        <v xml:space="preserve">822801. VF plays are disallowed. No play due to strategy constraints. </v>
      </c>
    </row>
    <row r="120" spans="1:27" x14ac:dyDescent="0.2">
      <c r="A120">
        <v>825071</v>
      </c>
      <c r="B120" s="3">
        <f>VLOOKUP($A120,ScionOutput!$A$3:$BL$215,3,FALSE)</f>
        <v>46188</v>
      </c>
      <c r="C120">
        <f>VLOOKUP($A120,ScionOutput!$A$3:$BL$215,22,FALSE)</f>
        <v>1</v>
      </c>
      <c r="D120" t="str">
        <f>VLOOKUP($A120,ScionOutput!$A$3:$BL$215,23,FALSE)</f>
        <v>ARZ</v>
      </c>
      <c r="E120">
        <f>VLOOKUP($A120,ScionOutput!$A$3:$BL$215,6,FALSE)</f>
        <v>4</v>
      </c>
      <c r="F120" t="str">
        <f>VLOOKUP($A120,ScionOutput!$A$3:$BL$215,7,FALSE)</f>
        <v>LAA</v>
      </c>
      <c r="G120">
        <f>VLOOKUP($A120,ScionOutput!$A$3:$BL$215,26,FALSE)</f>
        <v>-125</v>
      </c>
      <c r="H120">
        <f>VLOOKUP($A120,ScionOutput!$A$3:$BL$215,10,FALSE)</f>
        <v>116</v>
      </c>
      <c r="I120" s="6" t="str">
        <f>VLOOKUP($A120,ScionOutput!$A$3:$BL$215,55,FALSE)</f>
        <v>HomFave</v>
      </c>
      <c r="J120" s="6">
        <f>VLOOKUP($A120,ScionOutput!$A$3:$BL$215,56,FALSE)</f>
        <v>0</v>
      </c>
      <c r="K120" t="str">
        <f>VLOOKUP($A120,ScionOutput!$A$3:$BL$215,58,FALSE)</f>
        <v>No Play</v>
      </c>
      <c r="L120">
        <f>VLOOKUP($A120,ScionOutput!$A$3:$BL$215,59,FALSE)</f>
        <v>0</v>
      </c>
      <c r="M120">
        <f>VLOOKUP($A120,ScionOutput!$A$3:$BL$215,62,FALSE)</f>
        <v>0</v>
      </c>
      <c r="N120">
        <f>VLOOKUP($A120,ScionOutput!$A$3:$BL$215,63,FALSE)</f>
        <v>0</v>
      </c>
      <c r="O120" t="b">
        <f t="shared" si="9"/>
        <v>0</v>
      </c>
      <c r="P120">
        <f>VLOOKUP($A120,Outcomes!$B$3:$I$209,8,FALSE)</f>
        <v>7</v>
      </c>
      <c r="Q120">
        <f t="shared" si="10"/>
        <v>1</v>
      </c>
      <c r="R120">
        <f>VLOOKUP($A120,Outcomes!$B$3:$I$209,5,FALSE)</f>
        <v>4</v>
      </c>
      <c r="S120">
        <f>VLOOKUP($A120,Outcomes!$B$3:$I$209,6,FALSE)</f>
        <v>3</v>
      </c>
      <c r="T120">
        <f>VLOOKUP($A120,Outcomes!$B$3:$I$209,7,FALSE)</f>
        <v>-1</v>
      </c>
      <c r="U120" t="str">
        <f t="shared" si="11"/>
        <v>HomFave</v>
      </c>
      <c r="V120" s="5" t="str">
        <f t="shared" si="12"/>
        <v/>
      </c>
      <c r="W120" t="str">
        <f t="shared" si="8"/>
        <v/>
      </c>
      <c r="X120" t="str">
        <f t="shared" si="13"/>
        <v/>
      </c>
      <c r="Y120" t="str">
        <f t="shared" si="14"/>
        <v/>
      </c>
      <c r="Z120" s="2" t="str">
        <f t="shared" si="15"/>
        <v/>
      </c>
      <c r="AA120" t="str">
        <f>VLOOKUP($A120,ScionOutput!$A$3:$BL$215,64,FALSE)</f>
        <v xml:space="preserve">825071. LineStatEns probability points gap does not exceed threshold (no edge found)! StatOnlyEns probability points gap does not exceed threshold (no edge found)! No play due to strategy constraints. </v>
      </c>
    </row>
    <row r="121" spans="1:27" x14ac:dyDescent="0.2">
      <c r="A121">
        <v>824666</v>
      </c>
      <c r="B121" s="3">
        <f>VLOOKUP($A121,ScionOutput!$A$3:$BL$215,3,FALSE)</f>
        <v>46188</v>
      </c>
      <c r="C121">
        <f>VLOOKUP($A121,ScionOutput!$A$3:$BL$215,22,FALSE)</f>
        <v>5</v>
      </c>
      <c r="D121" t="str">
        <f>VLOOKUP($A121,ScionOutput!$A$3:$BL$215,23,FALSE)</f>
        <v>CHC</v>
      </c>
      <c r="E121">
        <f>VLOOKUP($A121,ScionOutput!$A$3:$BL$215,6,FALSE)</f>
        <v>8</v>
      </c>
      <c r="F121" t="str">
        <f>VLOOKUP($A121,ScionOutput!$A$3:$BL$215,7,FALSE)</f>
        <v>COL</v>
      </c>
      <c r="G121">
        <f>VLOOKUP($A121,ScionOutput!$A$3:$BL$215,26,FALSE)</f>
        <v>-205</v>
      </c>
      <c r="H121">
        <f>VLOOKUP($A121,ScionOutput!$A$3:$BL$215,10,FALSE)</f>
        <v>186</v>
      </c>
      <c r="I121" s="6" t="str">
        <f>VLOOKUP($A121,ScionOutput!$A$3:$BL$215,55,FALSE)</f>
        <v>HomFave</v>
      </c>
      <c r="J121" s="6">
        <f>VLOOKUP($A121,ScionOutput!$A$3:$BL$215,56,FALSE)</f>
        <v>0</v>
      </c>
      <c r="K121" t="str">
        <f>VLOOKUP($A121,ScionOutput!$A$3:$BL$215,58,FALSE)</f>
        <v>No Play</v>
      </c>
      <c r="L121">
        <f>VLOOKUP($A121,ScionOutput!$A$3:$BL$215,59,FALSE)</f>
        <v>0</v>
      </c>
      <c r="M121">
        <f>VLOOKUP($A121,ScionOutput!$A$3:$BL$215,62,FALSE)</f>
        <v>0</v>
      </c>
      <c r="N121">
        <f>VLOOKUP($A121,ScionOutput!$A$3:$BL$215,63,FALSE)</f>
        <v>0</v>
      </c>
      <c r="O121" t="b">
        <f t="shared" si="9"/>
        <v>0</v>
      </c>
      <c r="P121">
        <f>VLOOKUP($A121,Outcomes!$B$3:$I$209,8,FALSE)</f>
        <v>9</v>
      </c>
      <c r="Q121">
        <f t="shared" si="10"/>
        <v>1</v>
      </c>
      <c r="R121">
        <f>VLOOKUP($A121,Outcomes!$B$3:$I$209,5,FALSE)</f>
        <v>5</v>
      </c>
      <c r="S121">
        <f>VLOOKUP($A121,Outcomes!$B$3:$I$209,6,FALSE)</f>
        <v>4</v>
      </c>
      <c r="T121">
        <f>VLOOKUP($A121,Outcomes!$B$3:$I$209,7,FALSE)</f>
        <v>-1</v>
      </c>
      <c r="U121" t="str">
        <f t="shared" si="11"/>
        <v>HomFave</v>
      </c>
      <c r="V121" s="5" t="str">
        <f t="shared" si="12"/>
        <v/>
      </c>
      <c r="W121" t="str">
        <f t="shared" si="8"/>
        <v/>
      </c>
      <c r="X121" t="str">
        <f t="shared" si="13"/>
        <v/>
      </c>
      <c r="Y121" t="str">
        <f t="shared" si="14"/>
        <v/>
      </c>
      <c r="Z121" s="2" t="str">
        <f t="shared" si="15"/>
        <v/>
      </c>
      <c r="AA121" t="str">
        <f>VLOOKUP($A121,ScionOutput!$A$3:$BL$215,64,FALSE)</f>
        <v xml:space="preserve">824666. LineStatEns is NoPlay as bookie-line outside range. StatOnlyEns is NoPlay as bookie-line outside range. No play due to strategy constraints. </v>
      </c>
    </row>
    <row r="122" spans="1:27" x14ac:dyDescent="0.2">
      <c r="A122">
        <v>824505</v>
      </c>
      <c r="B122" s="3">
        <f>VLOOKUP($A122,ScionOutput!$A$3:$BL$215,3,FALSE)</f>
        <v>46188</v>
      </c>
      <c r="C122">
        <f>VLOOKUP($A122,ScionOutput!$A$3:$BL$215,22,FALSE)</f>
        <v>6</v>
      </c>
      <c r="D122" t="str">
        <f>VLOOKUP($A122,ScionOutput!$A$3:$BL$215,23,FALSE)</f>
        <v>CIN</v>
      </c>
      <c r="E122">
        <f>VLOOKUP($A122,ScionOutput!$A$3:$BL$215,6,FALSE)</f>
        <v>18</v>
      </c>
      <c r="F122" t="str">
        <f>VLOOKUP($A122,ScionOutput!$A$3:$BL$215,7,FALSE)</f>
        <v>NYM</v>
      </c>
      <c r="G122">
        <f>VLOOKUP($A122,ScionOutput!$A$3:$BL$215,26,FALSE)</f>
        <v>-131</v>
      </c>
      <c r="H122">
        <f>VLOOKUP($A122,ScionOutput!$A$3:$BL$215,10,FALSE)</f>
        <v>121</v>
      </c>
      <c r="I122" s="6" t="str">
        <f>VLOOKUP($A122,ScionOutput!$A$3:$BL$215,55,FALSE)</f>
        <v>HomFave</v>
      </c>
      <c r="J122" s="6">
        <f>VLOOKUP($A122,ScionOutput!$A$3:$BL$215,56,FALSE)</f>
        <v>0</v>
      </c>
      <c r="K122" t="str">
        <f>VLOOKUP($A122,ScionOutput!$A$3:$BL$215,58,FALSE)</f>
        <v>No Play</v>
      </c>
      <c r="L122">
        <f>VLOOKUP($A122,ScionOutput!$A$3:$BL$215,59,FALSE)</f>
        <v>0</v>
      </c>
      <c r="M122">
        <f>VLOOKUP($A122,ScionOutput!$A$3:$BL$215,62,FALSE)</f>
        <v>0</v>
      </c>
      <c r="N122">
        <f>VLOOKUP($A122,ScionOutput!$A$3:$BL$215,63,FALSE)</f>
        <v>0</v>
      </c>
      <c r="O122" t="b">
        <f t="shared" si="9"/>
        <v>0</v>
      </c>
      <c r="P122">
        <f>VLOOKUP($A122,Outcomes!$B$3:$I$209,8,FALSE)</f>
        <v>12</v>
      </c>
      <c r="Q122">
        <f t="shared" si="10"/>
        <v>1</v>
      </c>
      <c r="R122">
        <f>VLOOKUP($A122,Outcomes!$B$3:$I$209,5,FALSE)</f>
        <v>12</v>
      </c>
      <c r="S122">
        <f>VLOOKUP($A122,Outcomes!$B$3:$I$209,6,FALSE)</f>
        <v>0</v>
      </c>
      <c r="T122">
        <f>VLOOKUP($A122,Outcomes!$B$3:$I$209,7,FALSE)</f>
        <v>-12</v>
      </c>
      <c r="U122" t="str">
        <f t="shared" si="11"/>
        <v>HomFave</v>
      </c>
      <c r="V122" s="5" t="str">
        <f t="shared" si="12"/>
        <v/>
      </c>
      <c r="W122" t="str">
        <f t="shared" si="8"/>
        <v/>
      </c>
      <c r="X122" t="str">
        <f t="shared" si="13"/>
        <v/>
      </c>
      <c r="Y122" t="str">
        <f t="shared" si="14"/>
        <v/>
      </c>
      <c r="Z122" s="2" t="str">
        <f t="shared" si="15"/>
        <v/>
      </c>
      <c r="AA122" t="str">
        <f>VLOOKUP($A122,ScionOutput!$A$3:$BL$215,64,FALSE)</f>
        <v xml:space="preserve">824505. LineStatEns probability points gap does not exceed threshold (no edge found)! StatOnlyEns probability points gap does not exceed threshold (no edge found)! No play due to strategy constraints. </v>
      </c>
    </row>
    <row r="123" spans="1:27" x14ac:dyDescent="0.2">
      <c r="A123">
        <v>824181</v>
      </c>
      <c r="B123" s="3">
        <f>VLOOKUP($A123,ScionOutput!$A$3:$BL$215,3,FALSE)</f>
        <v>46188</v>
      </c>
      <c r="C123">
        <f>VLOOKUP($A123,ScionOutput!$A$3:$BL$215,22,FALSE)</f>
        <v>12</v>
      </c>
      <c r="D123" t="str">
        <f>VLOOKUP($A123,ScionOutput!$A$3:$BL$215,23,FALSE)</f>
        <v>HOU</v>
      </c>
      <c r="E123">
        <f>VLOOKUP($A123,ScionOutput!$A$3:$BL$215,6,FALSE)</f>
        <v>10</v>
      </c>
      <c r="F123" t="str">
        <f>VLOOKUP($A123,ScionOutput!$A$3:$BL$215,7,FALSE)</f>
        <v>DET</v>
      </c>
      <c r="G123">
        <f>VLOOKUP($A123,ScionOutput!$A$3:$BL$215,26,FALSE)</f>
        <v>-114</v>
      </c>
      <c r="H123">
        <f>VLOOKUP($A123,ScionOutput!$A$3:$BL$215,10,FALSE)</f>
        <v>106</v>
      </c>
      <c r="I123" s="6" t="str">
        <f>VLOOKUP($A123,ScionOutput!$A$3:$BL$215,55,FALSE)</f>
        <v>VisDog</v>
      </c>
      <c r="J123" s="6">
        <f>VLOOKUP($A123,ScionOutput!$A$3:$BL$215,56,FALSE)</f>
        <v>1</v>
      </c>
      <c r="K123" t="str">
        <f>VLOOKUP($A123,ScionOutput!$A$3:$BL$215,58,FALSE)</f>
        <v>VisDog</v>
      </c>
      <c r="L123">
        <f>VLOOKUP($A123,ScionOutput!$A$3:$BL$215,59,FALSE)</f>
        <v>-3.322E-2</v>
      </c>
      <c r="M123">
        <f>VLOOKUP($A123,ScionOutput!$A$3:$BL$215,62,FALSE)</f>
        <v>5</v>
      </c>
      <c r="N123">
        <f>VLOOKUP($A123,ScionOutput!$A$3:$BL$215,63,FALSE)</f>
        <v>0.8</v>
      </c>
      <c r="O123" t="b">
        <f t="shared" si="9"/>
        <v>1</v>
      </c>
      <c r="P123">
        <f>VLOOKUP($A123,Outcomes!$B$3:$I$209,8,FALSE)</f>
        <v>12</v>
      </c>
      <c r="Q123">
        <f t="shared" si="10"/>
        <v>-1</v>
      </c>
      <c r="R123">
        <f>VLOOKUP($A123,Outcomes!$B$3:$I$209,5,FALSE)</f>
        <v>3</v>
      </c>
      <c r="S123">
        <f>VLOOKUP($A123,Outcomes!$B$3:$I$209,6,FALSE)</f>
        <v>9</v>
      </c>
      <c r="T123">
        <f>VLOOKUP($A123,Outcomes!$B$3:$I$209,7,FALSE)</f>
        <v>6</v>
      </c>
      <c r="U123" t="str">
        <f t="shared" si="11"/>
        <v>VisDog</v>
      </c>
      <c r="V123" s="5">
        <f t="shared" si="12"/>
        <v>1</v>
      </c>
      <c r="W123">
        <f t="shared" si="8"/>
        <v>100</v>
      </c>
      <c r="X123">
        <f t="shared" si="13"/>
        <v>206</v>
      </c>
      <c r="Y123">
        <f t="shared" si="14"/>
        <v>106</v>
      </c>
      <c r="Z123" s="2">
        <f t="shared" si="15"/>
        <v>1.06</v>
      </c>
      <c r="AA123" t="str">
        <f>VLOOKUP($A123,ScionOutput!$A$3:$BL$215,64,FALSE)</f>
        <v xml:space="preserve">824181. Play determined by LineStatEns and StatOnlyEns agreement. </v>
      </c>
    </row>
    <row r="124" spans="1:27" x14ac:dyDescent="0.2">
      <c r="A124">
        <v>823938</v>
      </c>
      <c r="B124" s="3">
        <f>VLOOKUP($A124,ScionOutput!$A$3:$BL$215,3,FALSE)</f>
        <v>46188</v>
      </c>
      <c r="C124">
        <f>VLOOKUP($A124,ScionOutput!$A$3:$BL$215,22,FALSE)</f>
        <v>14</v>
      </c>
      <c r="D124" t="str">
        <f>VLOOKUP($A124,ScionOutput!$A$3:$BL$215,23,FALSE)</f>
        <v>LA</v>
      </c>
      <c r="E124">
        <f>VLOOKUP($A124,ScionOutput!$A$3:$BL$215,6,FALSE)</f>
        <v>27</v>
      </c>
      <c r="F124" t="str">
        <f>VLOOKUP($A124,ScionOutput!$A$3:$BL$215,7,FALSE)</f>
        <v>TB</v>
      </c>
      <c r="G124">
        <f>VLOOKUP($A124,ScionOutput!$A$3:$BL$215,26,FALSE)</f>
        <v>-172</v>
      </c>
      <c r="H124">
        <f>VLOOKUP($A124,ScionOutput!$A$3:$BL$215,10,FALSE)</f>
        <v>158</v>
      </c>
      <c r="I124" s="6" t="str">
        <f>VLOOKUP($A124,ScionOutput!$A$3:$BL$215,55,FALSE)</f>
        <v>HomFave</v>
      </c>
      <c r="J124" s="6">
        <f>VLOOKUP($A124,ScionOutput!$A$3:$BL$215,56,FALSE)</f>
        <v>0</v>
      </c>
      <c r="K124" t="str">
        <f>VLOOKUP($A124,ScionOutput!$A$3:$BL$215,58,FALSE)</f>
        <v>No Play</v>
      </c>
      <c r="L124">
        <f>VLOOKUP($A124,ScionOutput!$A$3:$BL$215,59,FALSE)</f>
        <v>0</v>
      </c>
      <c r="M124">
        <f>VLOOKUP($A124,ScionOutput!$A$3:$BL$215,62,FALSE)</f>
        <v>0</v>
      </c>
      <c r="N124">
        <f>VLOOKUP($A124,ScionOutput!$A$3:$BL$215,63,FALSE)</f>
        <v>0</v>
      </c>
      <c r="O124" t="b">
        <f t="shared" si="9"/>
        <v>0</v>
      </c>
      <c r="P124">
        <f>VLOOKUP($A124,Outcomes!$B$3:$I$209,8,FALSE)</f>
        <v>7</v>
      </c>
      <c r="Q124">
        <f t="shared" si="10"/>
        <v>1</v>
      </c>
      <c r="R124">
        <f>VLOOKUP($A124,Outcomes!$B$3:$I$209,5,FALSE)</f>
        <v>4</v>
      </c>
      <c r="S124">
        <f>VLOOKUP($A124,Outcomes!$B$3:$I$209,6,FALSE)</f>
        <v>3</v>
      </c>
      <c r="T124">
        <f>VLOOKUP($A124,Outcomes!$B$3:$I$209,7,FALSE)</f>
        <v>-1</v>
      </c>
      <c r="U124" t="str">
        <f t="shared" si="11"/>
        <v>HomFave</v>
      </c>
      <c r="V124" s="5" t="str">
        <f t="shared" si="12"/>
        <v/>
      </c>
      <c r="W124" t="str">
        <f t="shared" si="8"/>
        <v/>
      </c>
      <c r="X124" t="str">
        <f t="shared" si="13"/>
        <v/>
      </c>
      <c r="Y124" t="str">
        <f t="shared" si="14"/>
        <v/>
      </c>
      <c r="Z124" s="2" t="str">
        <f t="shared" si="15"/>
        <v/>
      </c>
      <c r="AA124" t="str">
        <f>VLOOKUP($A124,ScionOutput!$A$3:$BL$215,64,FALSE)</f>
        <v xml:space="preserve">823938. LineStatEns is NoPlay as bookie-line outside range. StatOnlyEns is NoPlay as bookie-line outside range. No play due to strategy constraints. </v>
      </c>
    </row>
    <row r="125" spans="1:27" x14ac:dyDescent="0.2">
      <c r="A125">
        <v>822724</v>
      </c>
      <c r="B125" s="3">
        <f>VLOOKUP($A125,ScionOutput!$A$3:$BL$215,3,FALSE)</f>
        <v>46188</v>
      </c>
      <c r="C125">
        <f>VLOOKUP($A125,ScionOutput!$A$3:$BL$215,22,FALSE)</f>
        <v>16</v>
      </c>
      <c r="D125" t="str">
        <f>VLOOKUP($A125,ScionOutput!$A$3:$BL$215,23,FALSE)</f>
        <v>WAS</v>
      </c>
      <c r="E125">
        <f>VLOOKUP($A125,ScionOutput!$A$3:$BL$215,6,FALSE)</f>
        <v>13</v>
      </c>
      <c r="F125" t="str">
        <f>VLOOKUP($A125,ScionOutput!$A$3:$BL$215,7,FALSE)</f>
        <v>KC</v>
      </c>
      <c r="G125">
        <f>VLOOKUP($A125,ScionOutput!$A$3:$BL$215,26,FALSE)</f>
        <v>-127</v>
      </c>
      <c r="H125">
        <f>VLOOKUP($A125,ScionOutput!$A$3:$BL$215,10,FALSE)</f>
        <v>118</v>
      </c>
      <c r="I125" s="6" t="str">
        <f>VLOOKUP($A125,ScionOutput!$A$3:$BL$215,55,FALSE)</f>
        <v>VisDog</v>
      </c>
      <c r="J125" s="6">
        <f>VLOOKUP($A125,ScionOutput!$A$3:$BL$215,56,FALSE)</f>
        <v>0</v>
      </c>
      <c r="K125" t="str">
        <f>VLOOKUP($A125,ScionOutput!$A$3:$BL$215,58,FALSE)</f>
        <v>No Play</v>
      </c>
      <c r="L125">
        <f>VLOOKUP($A125,ScionOutput!$A$3:$BL$215,59,FALSE)</f>
        <v>0</v>
      </c>
      <c r="M125">
        <f>VLOOKUP($A125,ScionOutput!$A$3:$BL$215,62,FALSE)</f>
        <v>0</v>
      </c>
      <c r="N125">
        <f>VLOOKUP($A125,ScionOutput!$A$3:$BL$215,63,FALSE)</f>
        <v>0</v>
      </c>
      <c r="O125" t="b">
        <f t="shared" si="9"/>
        <v>0</v>
      </c>
      <c r="P125">
        <f>VLOOKUP($A125,Outcomes!$B$3:$I$209,8,FALSE)</f>
        <v>10</v>
      </c>
      <c r="Q125">
        <f t="shared" si="10"/>
        <v>1</v>
      </c>
      <c r="R125">
        <f>VLOOKUP($A125,Outcomes!$B$3:$I$209,5,FALSE)</f>
        <v>7</v>
      </c>
      <c r="S125">
        <f>VLOOKUP($A125,Outcomes!$B$3:$I$209,6,FALSE)</f>
        <v>3</v>
      </c>
      <c r="T125">
        <f>VLOOKUP($A125,Outcomes!$B$3:$I$209,7,FALSE)</f>
        <v>-4</v>
      </c>
      <c r="U125" t="str">
        <f t="shared" si="11"/>
        <v>HomFave</v>
      </c>
      <c r="V125" s="5" t="str">
        <f t="shared" si="12"/>
        <v/>
      </c>
      <c r="W125" t="str">
        <f t="shared" si="8"/>
        <v/>
      </c>
      <c r="X125" t="str">
        <f t="shared" si="13"/>
        <v/>
      </c>
      <c r="Y125" t="str">
        <f t="shared" si="14"/>
        <v/>
      </c>
      <c r="Z125" s="2" t="str">
        <f t="shared" si="15"/>
        <v/>
      </c>
      <c r="AA125" t="str">
        <f>VLOOKUP($A125,ScionOutput!$A$3:$BL$215,64,FALSE)</f>
        <v xml:space="preserve">822724. V_SP is Null, team-based avg used. NoPlay as V_SP is Null. </v>
      </c>
    </row>
    <row r="126" spans="1:27" x14ac:dyDescent="0.2">
      <c r="A126">
        <v>824993</v>
      </c>
      <c r="B126" s="3">
        <f>VLOOKUP($A126,ScionOutput!$A$3:$BL$215,3,FALSE)</f>
        <v>46188</v>
      </c>
      <c r="C126">
        <f>VLOOKUP($A126,ScionOutput!$A$3:$BL$215,22,FALSE)</f>
        <v>20</v>
      </c>
      <c r="D126" t="str">
        <f>VLOOKUP($A126,ScionOutput!$A$3:$BL$215,23,FALSE)</f>
        <v>OAK</v>
      </c>
      <c r="E126">
        <f>VLOOKUP($A126,ScionOutput!$A$3:$BL$215,6,FALSE)</f>
        <v>22</v>
      </c>
      <c r="F126" t="str">
        <f>VLOOKUP($A126,ScionOutput!$A$3:$BL$215,7,FALSE)</f>
        <v>PIT</v>
      </c>
      <c r="G126">
        <f>VLOOKUP($A126,ScionOutput!$A$3:$BL$215,26,FALSE)</f>
        <v>-116</v>
      </c>
      <c r="H126">
        <f>VLOOKUP($A126,ScionOutput!$A$3:$BL$215,10,FALSE)</f>
        <v>107</v>
      </c>
      <c r="I126" s="6" t="str">
        <f>VLOOKUP($A126,ScionOutput!$A$3:$BL$215,55,FALSE)</f>
        <v>HomFave</v>
      </c>
      <c r="J126" s="6">
        <f>VLOOKUP($A126,ScionOutput!$A$3:$BL$215,56,FALSE)</f>
        <v>1</v>
      </c>
      <c r="K126" t="str">
        <f>VLOOKUP($A126,ScionOutput!$A$3:$BL$215,58,FALSE)</f>
        <v>HomFave</v>
      </c>
      <c r="L126">
        <f>VLOOKUP($A126,ScionOutput!$A$3:$BL$215,59,FALSE)</f>
        <v>1.3559999999999999E-2</v>
      </c>
      <c r="M126">
        <f>VLOOKUP($A126,ScionOutput!$A$3:$BL$215,62,FALSE)</f>
        <v>1</v>
      </c>
      <c r="N126">
        <f>VLOOKUP($A126,ScionOutput!$A$3:$BL$215,63,FALSE)</f>
        <v>1</v>
      </c>
      <c r="O126" t="b">
        <f t="shared" si="9"/>
        <v>1</v>
      </c>
      <c r="P126">
        <f>VLOOKUP($A126,Outcomes!$B$3:$I$209,8,FALSE)</f>
        <v>13</v>
      </c>
      <c r="Q126">
        <f t="shared" si="10"/>
        <v>1</v>
      </c>
      <c r="R126">
        <f>VLOOKUP($A126,Outcomes!$B$3:$I$209,5,FALSE)</f>
        <v>11</v>
      </c>
      <c r="S126">
        <f>VLOOKUP($A126,Outcomes!$B$3:$I$209,6,FALSE)</f>
        <v>2</v>
      </c>
      <c r="T126">
        <f>VLOOKUP($A126,Outcomes!$B$3:$I$209,7,FALSE)</f>
        <v>-9</v>
      </c>
      <c r="U126" t="str">
        <f t="shared" si="11"/>
        <v>HomFave</v>
      </c>
      <c r="V126" s="5">
        <f t="shared" si="12"/>
        <v>1</v>
      </c>
      <c r="W126">
        <f t="shared" si="8"/>
        <v>116</v>
      </c>
      <c r="X126">
        <f t="shared" si="13"/>
        <v>216</v>
      </c>
      <c r="Y126">
        <f t="shared" si="14"/>
        <v>100</v>
      </c>
      <c r="Z126" s="2">
        <f t="shared" si="15"/>
        <v>0.86206896551724133</v>
      </c>
      <c r="AA126" t="str">
        <f>VLOOKUP($A126,ScionOutput!$A$3:$BL$215,64,FALSE)</f>
        <v xml:space="preserve">824993. Play determined by LineStatEns and StatOnlyEns agreement. </v>
      </c>
    </row>
    <row r="127" spans="1:27" x14ac:dyDescent="0.2">
      <c r="A127">
        <v>823452</v>
      </c>
      <c r="B127" s="3">
        <f>VLOOKUP($A127,ScionOutput!$A$3:$BL$215,3,FALSE)</f>
        <v>46188</v>
      </c>
      <c r="C127">
        <f>VLOOKUP($A127,ScionOutput!$A$3:$BL$215,22,FALSE)</f>
        <v>21</v>
      </c>
      <c r="D127" t="str">
        <f>VLOOKUP($A127,ScionOutput!$A$3:$BL$215,23,FALSE)</f>
        <v>PHI</v>
      </c>
      <c r="E127">
        <f>VLOOKUP($A127,ScionOutput!$A$3:$BL$215,6,FALSE)</f>
        <v>11</v>
      </c>
      <c r="F127" t="str">
        <f>VLOOKUP($A127,ScionOutput!$A$3:$BL$215,7,FALSE)</f>
        <v>FLO</v>
      </c>
      <c r="G127">
        <f>VLOOKUP($A127,ScionOutput!$A$3:$BL$215,26,FALSE)</f>
        <v>-186</v>
      </c>
      <c r="H127">
        <f>VLOOKUP($A127,ScionOutput!$A$3:$BL$215,10,FALSE)</f>
        <v>170</v>
      </c>
      <c r="I127" s="6" t="str">
        <f>VLOOKUP($A127,ScionOutput!$A$3:$BL$215,55,FALSE)</f>
        <v>HomFave</v>
      </c>
      <c r="J127" s="6">
        <f>VLOOKUP($A127,ScionOutput!$A$3:$BL$215,56,FALSE)</f>
        <v>0</v>
      </c>
      <c r="K127" t="str">
        <f>VLOOKUP($A127,ScionOutput!$A$3:$BL$215,58,FALSE)</f>
        <v>No Play</v>
      </c>
      <c r="L127">
        <f>VLOOKUP($A127,ScionOutput!$A$3:$BL$215,59,FALSE)</f>
        <v>0</v>
      </c>
      <c r="M127">
        <f>VLOOKUP($A127,ScionOutput!$A$3:$BL$215,62,FALSE)</f>
        <v>0</v>
      </c>
      <c r="N127">
        <f>VLOOKUP($A127,ScionOutput!$A$3:$BL$215,63,FALSE)</f>
        <v>0</v>
      </c>
      <c r="O127" t="b">
        <f t="shared" si="9"/>
        <v>0</v>
      </c>
      <c r="P127">
        <f>VLOOKUP($A127,Outcomes!$B$3:$I$209,8,FALSE)</f>
        <v>7</v>
      </c>
      <c r="Q127">
        <f t="shared" si="10"/>
        <v>1</v>
      </c>
      <c r="R127">
        <f>VLOOKUP($A127,Outcomes!$B$3:$I$209,5,FALSE)</f>
        <v>7</v>
      </c>
      <c r="S127">
        <f>VLOOKUP($A127,Outcomes!$B$3:$I$209,6,FALSE)</f>
        <v>0</v>
      </c>
      <c r="T127">
        <f>VLOOKUP($A127,Outcomes!$B$3:$I$209,7,FALSE)</f>
        <v>-7</v>
      </c>
      <c r="U127" t="str">
        <f t="shared" si="11"/>
        <v>HomFave</v>
      </c>
      <c r="V127" s="5" t="str">
        <f t="shared" si="12"/>
        <v/>
      </c>
      <c r="W127" t="str">
        <f t="shared" si="8"/>
        <v/>
      </c>
      <c r="X127" t="str">
        <f t="shared" si="13"/>
        <v/>
      </c>
      <c r="Y127" t="str">
        <f t="shared" si="14"/>
        <v/>
      </c>
      <c r="Z127" s="2" t="str">
        <f t="shared" si="15"/>
        <v/>
      </c>
      <c r="AA127" t="str">
        <f>VLOOKUP($A127,ScionOutput!$A$3:$BL$215,64,FALSE)</f>
        <v xml:space="preserve">823452. LineStatEns is NoPlay as bookie-line outside range. StatOnlyEns is NoPlay as bookie-line outside range. No play due to strategy constraints. </v>
      </c>
    </row>
    <row r="128" spans="1:27" x14ac:dyDescent="0.2">
      <c r="A128">
        <v>823046</v>
      </c>
      <c r="B128" s="3">
        <f>VLOOKUP($A128,ScionOutput!$A$3:$BL$215,3,FALSE)</f>
        <v>46188</v>
      </c>
      <c r="C128">
        <f>VLOOKUP($A128,ScionOutput!$A$3:$BL$215,22,FALSE)</f>
        <v>26</v>
      </c>
      <c r="D128" t="str">
        <f>VLOOKUP($A128,ScionOutput!$A$3:$BL$215,23,FALSE)</f>
        <v>STL</v>
      </c>
      <c r="E128">
        <f>VLOOKUP($A128,ScionOutput!$A$3:$BL$215,6,FALSE)</f>
        <v>23</v>
      </c>
      <c r="F128" t="str">
        <f>VLOOKUP($A128,ScionOutput!$A$3:$BL$215,7,FALSE)</f>
        <v>SD</v>
      </c>
      <c r="G128">
        <f>VLOOKUP($A128,ScionOutput!$A$3:$BL$215,26,FALSE)</f>
        <v>-159</v>
      </c>
      <c r="H128">
        <f>VLOOKUP($A128,ScionOutput!$A$3:$BL$215,10,FALSE)</f>
        <v>146</v>
      </c>
      <c r="I128" s="6" t="str">
        <f>VLOOKUP($A128,ScionOutput!$A$3:$BL$215,55,FALSE)</f>
        <v>VisDog</v>
      </c>
      <c r="J128" s="6">
        <f>VLOOKUP($A128,ScionOutput!$A$3:$BL$215,56,FALSE)</f>
        <v>0</v>
      </c>
      <c r="K128" t="str">
        <f>VLOOKUP($A128,ScionOutput!$A$3:$BL$215,58,FALSE)</f>
        <v>No Play</v>
      </c>
      <c r="L128">
        <f>VLOOKUP($A128,ScionOutput!$A$3:$BL$215,59,FALSE)</f>
        <v>0</v>
      </c>
      <c r="M128">
        <f>VLOOKUP($A128,ScionOutput!$A$3:$BL$215,62,FALSE)</f>
        <v>0</v>
      </c>
      <c r="N128">
        <f>VLOOKUP($A128,ScionOutput!$A$3:$BL$215,63,FALSE)</f>
        <v>0</v>
      </c>
      <c r="O128" t="b">
        <f t="shared" si="9"/>
        <v>0</v>
      </c>
      <c r="P128">
        <f>VLOOKUP($A128,Outcomes!$B$3:$I$209,8,FALSE)</f>
        <v>3</v>
      </c>
      <c r="Q128">
        <f t="shared" si="10"/>
        <v>1</v>
      </c>
      <c r="R128">
        <f>VLOOKUP($A128,Outcomes!$B$3:$I$209,5,FALSE)</f>
        <v>3</v>
      </c>
      <c r="S128">
        <f>VLOOKUP($A128,Outcomes!$B$3:$I$209,6,FALSE)</f>
        <v>0</v>
      </c>
      <c r="T128">
        <f>VLOOKUP($A128,Outcomes!$B$3:$I$209,7,FALSE)</f>
        <v>-3</v>
      </c>
      <c r="U128" t="str">
        <f t="shared" si="11"/>
        <v>HomFave</v>
      </c>
      <c r="V128" s="5" t="str">
        <f t="shared" si="12"/>
        <v/>
      </c>
      <c r="W128" t="str">
        <f t="shared" si="8"/>
        <v/>
      </c>
      <c r="X128" t="str">
        <f t="shared" si="13"/>
        <v/>
      </c>
      <c r="Y128" t="str">
        <f t="shared" si="14"/>
        <v/>
      </c>
      <c r="Z128" s="2" t="str">
        <f t="shared" si="15"/>
        <v/>
      </c>
      <c r="AA128" t="str">
        <f>VLOOKUP($A128,ScionOutput!$A$3:$BL$215,64,FALSE)</f>
        <v xml:space="preserve">823046. LineStatEns is NoPlay as bookie-line outside range. StatOnlyEns is NoPlay as bookie-line outside range. No play due to strategy constraints. </v>
      </c>
    </row>
    <row r="129" spans="1:27" x14ac:dyDescent="0.2">
      <c r="A129">
        <v>822887</v>
      </c>
      <c r="B129" s="3">
        <f>VLOOKUP($A129,ScionOutput!$A$3:$BL$215,3,FALSE)</f>
        <v>46188</v>
      </c>
      <c r="C129">
        <f>VLOOKUP($A129,ScionOutput!$A$3:$BL$215,22,FALSE)</f>
        <v>28</v>
      </c>
      <c r="D129" t="str">
        <f>VLOOKUP($A129,ScionOutput!$A$3:$BL$215,23,FALSE)</f>
        <v>TEX</v>
      </c>
      <c r="E129">
        <f>VLOOKUP($A129,ScionOutput!$A$3:$BL$215,6,FALSE)</f>
        <v>15</v>
      </c>
      <c r="F129" t="str">
        <f>VLOOKUP($A129,ScionOutput!$A$3:$BL$215,7,FALSE)</f>
        <v>MIN</v>
      </c>
      <c r="G129">
        <f>VLOOKUP($A129,ScionOutput!$A$3:$BL$215,26,FALSE)</f>
        <v>-150</v>
      </c>
      <c r="H129">
        <f>VLOOKUP($A129,ScionOutput!$A$3:$BL$215,10,FALSE)</f>
        <v>138</v>
      </c>
      <c r="I129" s="6" t="str">
        <f>VLOOKUP($A129,ScionOutput!$A$3:$BL$215,55,FALSE)</f>
        <v>HomFave</v>
      </c>
      <c r="J129" s="6">
        <f>VLOOKUP($A129,ScionOutput!$A$3:$BL$215,56,FALSE)</f>
        <v>0</v>
      </c>
      <c r="K129" t="str">
        <f>VLOOKUP($A129,ScionOutput!$A$3:$BL$215,58,FALSE)</f>
        <v>No Play</v>
      </c>
      <c r="L129">
        <f>VLOOKUP($A129,ScionOutput!$A$3:$BL$215,59,FALSE)</f>
        <v>0</v>
      </c>
      <c r="M129">
        <f>VLOOKUP($A129,ScionOutput!$A$3:$BL$215,62,FALSE)</f>
        <v>0</v>
      </c>
      <c r="N129">
        <f>VLOOKUP($A129,ScionOutput!$A$3:$BL$215,63,FALSE)</f>
        <v>0</v>
      </c>
      <c r="O129" t="b">
        <f t="shared" si="9"/>
        <v>0</v>
      </c>
      <c r="P129">
        <f>VLOOKUP($A129,Outcomes!$B$3:$I$209,8,FALSE)</f>
        <v>6</v>
      </c>
      <c r="Q129">
        <f t="shared" si="10"/>
        <v>-1</v>
      </c>
      <c r="R129">
        <f>VLOOKUP($A129,Outcomes!$B$3:$I$209,5,FALSE)</f>
        <v>2</v>
      </c>
      <c r="S129">
        <f>VLOOKUP($A129,Outcomes!$B$3:$I$209,6,FALSE)</f>
        <v>4</v>
      </c>
      <c r="T129">
        <f>VLOOKUP($A129,Outcomes!$B$3:$I$209,7,FALSE)</f>
        <v>2</v>
      </c>
      <c r="U129" t="str">
        <f t="shared" si="11"/>
        <v>VisDog</v>
      </c>
      <c r="V129" s="5" t="str">
        <f t="shared" si="12"/>
        <v/>
      </c>
      <c r="W129" t="str">
        <f t="shared" si="8"/>
        <v/>
      </c>
      <c r="X129" t="str">
        <f t="shared" si="13"/>
        <v/>
      </c>
      <c r="Y129" t="str">
        <f t="shared" si="14"/>
        <v/>
      </c>
      <c r="Z129" s="2" t="str">
        <f t="shared" si="15"/>
        <v/>
      </c>
      <c r="AA129" t="str">
        <f>VLOOKUP($A129,ScionOutput!$A$3:$BL$215,64,FALSE)</f>
        <v xml:space="preserve">822887. LineStatEns probability points gap does not exceed threshold (no edge found)! StatOnlyEns probability points gap does not exceed threshold (no edge found)! No play due to strategy constraints. </v>
      </c>
    </row>
    <row r="130" spans="1:27" x14ac:dyDescent="0.2">
      <c r="A130">
        <v>824912</v>
      </c>
      <c r="B130" s="3">
        <f>VLOOKUP($A130,ScionOutput!$A$3:$BL$215,3,FALSE)</f>
        <v>46189</v>
      </c>
      <c r="C130">
        <f>VLOOKUP($A130,ScionOutput!$A$3:$BL$215,22,FALSE)</f>
        <v>0</v>
      </c>
      <c r="D130" t="str">
        <f>VLOOKUP($A130,ScionOutput!$A$3:$BL$215,23,FALSE)</f>
        <v>ATL</v>
      </c>
      <c r="E130">
        <f>VLOOKUP($A130,ScionOutput!$A$3:$BL$215,6,FALSE)</f>
        <v>25</v>
      </c>
      <c r="F130" t="str">
        <f>VLOOKUP($A130,ScionOutput!$A$3:$BL$215,7,FALSE)</f>
        <v>SF</v>
      </c>
      <c r="G130">
        <f>VLOOKUP($A130,ScionOutput!$A$3:$BL$215,26,FALSE)</f>
        <v>-169</v>
      </c>
      <c r="H130">
        <f>VLOOKUP($A130,ScionOutput!$A$3:$BL$215,10,FALSE)</f>
        <v>154</v>
      </c>
      <c r="I130" s="6" t="str">
        <f>VLOOKUP($A130,ScionOutput!$A$3:$BL$215,55,FALSE)</f>
        <v>HomFave</v>
      </c>
      <c r="J130" s="6">
        <f>VLOOKUP($A130,ScionOutput!$A$3:$BL$215,56,FALSE)</f>
        <v>0</v>
      </c>
      <c r="K130" t="str">
        <f>VLOOKUP($A130,ScionOutput!$A$3:$BL$215,58,FALSE)</f>
        <v>No Play</v>
      </c>
      <c r="L130">
        <f>VLOOKUP($A130,ScionOutput!$A$3:$BL$215,59,FALSE)</f>
        <v>0</v>
      </c>
      <c r="M130">
        <f>VLOOKUP($A130,ScionOutput!$A$3:$BL$215,62,FALSE)</f>
        <v>0</v>
      </c>
      <c r="N130">
        <f>VLOOKUP($A130,ScionOutput!$A$3:$BL$215,63,FALSE)</f>
        <v>0</v>
      </c>
      <c r="O130" t="b">
        <f t="shared" si="9"/>
        <v>0</v>
      </c>
      <c r="P130">
        <f>VLOOKUP($A130,Outcomes!$B$3:$I$209,8,FALSE)</f>
        <v>9</v>
      </c>
      <c r="Q130">
        <f t="shared" si="10"/>
        <v>-1</v>
      </c>
      <c r="R130">
        <f>VLOOKUP($A130,Outcomes!$B$3:$I$209,5,FALSE)</f>
        <v>2</v>
      </c>
      <c r="S130">
        <f>VLOOKUP($A130,Outcomes!$B$3:$I$209,6,FALSE)</f>
        <v>7</v>
      </c>
      <c r="T130">
        <f>VLOOKUP($A130,Outcomes!$B$3:$I$209,7,FALSE)</f>
        <v>5</v>
      </c>
      <c r="U130" t="str">
        <f t="shared" si="11"/>
        <v>VisDog</v>
      </c>
      <c r="V130" s="5" t="str">
        <f t="shared" si="12"/>
        <v/>
      </c>
      <c r="W130" t="str">
        <f t="shared" ref="W130:W193" si="16">IF(V130="","",IF(G130&lt;H130,IF(K130="HomFave",ABS(G130),IF(H130&lt;0,ABS(H130),100)),IF(K130="VisFave",ABS(H130),IF(G130&lt;0,ABS(G130),100))))</f>
        <v/>
      </c>
      <c r="X130" t="str">
        <f t="shared" si="13"/>
        <v/>
      </c>
      <c r="Y130" t="str">
        <f t="shared" si="14"/>
        <v/>
      </c>
      <c r="Z130" s="2" t="str">
        <f t="shared" si="15"/>
        <v/>
      </c>
      <c r="AA130" t="str">
        <f>VLOOKUP($A130,ScionOutput!$A$3:$BL$215,64,FALSE)</f>
        <v xml:space="preserve">824912. LineStatEns is NoPlay as bookie-line outside range. StatOnlyEns is NoPlay as bookie-line outside range. No play due to strategy constraints. </v>
      </c>
    </row>
    <row r="131" spans="1:27" x14ac:dyDescent="0.2">
      <c r="A131">
        <v>825070</v>
      </c>
      <c r="B131" s="3">
        <f>VLOOKUP($A131,ScionOutput!$A$3:$BL$215,3,FALSE)</f>
        <v>46189</v>
      </c>
      <c r="C131">
        <f>VLOOKUP($A131,ScionOutput!$A$3:$BL$215,22,FALSE)</f>
        <v>1</v>
      </c>
      <c r="D131" t="str">
        <f>VLOOKUP($A131,ScionOutput!$A$3:$BL$215,23,FALSE)</f>
        <v>ARZ</v>
      </c>
      <c r="E131">
        <f>VLOOKUP($A131,ScionOutput!$A$3:$BL$215,6,FALSE)</f>
        <v>4</v>
      </c>
      <c r="F131" t="str">
        <f>VLOOKUP($A131,ScionOutput!$A$3:$BL$215,7,FALSE)</f>
        <v>LAA</v>
      </c>
      <c r="G131">
        <f>VLOOKUP($A131,ScionOutput!$A$3:$BL$215,26,FALSE)</f>
        <v>-101</v>
      </c>
      <c r="H131">
        <f>VLOOKUP($A131,ScionOutput!$A$3:$BL$215,10,FALSE)</f>
        <v>-107</v>
      </c>
      <c r="I131" s="6" t="str">
        <f>VLOOKUP($A131,ScionOutput!$A$3:$BL$215,55,FALSE)</f>
        <v>HomDog</v>
      </c>
      <c r="J131" s="6">
        <f>VLOOKUP($A131,ScionOutput!$A$3:$BL$215,56,FALSE)</f>
        <v>1</v>
      </c>
      <c r="K131" t="str">
        <f>VLOOKUP($A131,ScionOutput!$A$3:$BL$215,58,FALSE)</f>
        <v>No Play</v>
      </c>
      <c r="L131">
        <f>VLOOKUP($A131,ScionOutput!$A$3:$BL$215,59,FALSE)</f>
        <v>0</v>
      </c>
      <c r="M131">
        <f>VLOOKUP($A131,ScionOutput!$A$3:$BL$215,62,FALSE)</f>
        <v>0</v>
      </c>
      <c r="N131">
        <f>VLOOKUP($A131,ScionOutput!$A$3:$BL$215,63,FALSE)</f>
        <v>0</v>
      </c>
      <c r="O131" t="b">
        <f t="shared" ref="O131:O194" si="17">ISNUMBER(SEARCH("Play determined by LineStatEns and StatOnlyEns agreement", AA131))</f>
        <v>0</v>
      </c>
      <c r="P131">
        <f>VLOOKUP($A131,Outcomes!$B$3:$I$209,8,FALSE)</f>
        <v>7</v>
      </c>
      <c r="Q131">
        <f t="shared" ref="Q131:Q194" si="18">IF(R131&gt;S131,1,IF(R131&lt;S131,-1,0))</f>
        <v>-1</v>
      </c>
      <c r="R131">
        <f>VLOOKUP($A131,Outcomes!$B$3:$I$209,5,FALSE)</f>
        <v>0</v>
      </c>
      <c r="S131">
        <f>VLOOKUP($A131,Outcomes!$B$3:$I$209,6,FALSE)</f>
        <v>7</v>
      </c>
      <c r="T131">
        <f>VLOOKUP($A131,Outcomes!$B$3:$I$209,7,FALSE)</f>
        <v>7</v>
      </c>
      <c r="U131" t="str">
        <f t="shared" ref="U131:U194" si="19">IF(T131=0,"Push",IF(G131&lt;H131,IF(T131&lt;0,"HomFave","VisDog"),IF(T131&gt;0,"VisFave","HomDog")))</f>
        <v>VisFave</v>
      </c>
      <c r="V131" s="5">
        <f t="shared" ref="V131:V194" si="20">IF(OR(T131=0,I131="No Play",J131&lt;&gt;1),"",IF(U131=I131,1,0))</f>
        <v>0</v>
      </c>
      <c r="W131">
        <f t="shared" si="16"/>
        <v>101</v>
      </c>
      <c r="X131">
        <f t="shared" ref="X131:X194" si="21">IF(V131="","",IF(V131=0,0,IF(G131&lt;H131,IF(K131="HomFave",W131+100,IF(H131&lt;0,100+W131,W131+ABS(H131))),IF(K131="VisFave",W131+100,IF(G131&lt;0,100+W131,W131+ABS(G131))))))</f>
        <v>0</v>
      </c>
      <c r="Y131">
        <f t="shared" ref="Y131:Y194" si="22">IF(V131="","",X131-W131)</f>
        <v>-101</v>
      </c>
      <c r="Z131" s="2">
        <f t="shared" ref="Z131:Z194" si="23">IF(V131="","",Y131/W131)</f>
        <v>-1</v>
      </c>
      <c r="AA131" t="str">
        <f>VLOOKUP($A131,ScionOutput!$A$3:$BL$215,64,FALSE)</f>
        <v xml:space="preserve">825070. VF plays are disallowed. No play due to strategy constraints. </v>
      </c>
    </row>
    <row r="132" spans="1:27" x14ac:dyDescent="0.2">
      <c r="A132">
        <v>824750</v>
      </c>
      <c r="B132" s="3">
        <f>VLOOKUP($A132,ScionOutput!$A$3:$BL$215,3,FALSE)</f>
        <v>46189</v>
      </c>
      <c r="C132">
        <f>VLOOKUP($A132,ScionOutput!$A$3:$BL$215,22,FALSE)</f>
        <v>3</v>
      </c>
      <c r="D132" t="str">
        <f>VLOOKUP($A132,ScionOutput!$A$3:$BL$215,23,FALSE)</f>
        <v>BOS</v>
      </c>
      <c r="E132">
        <f>VLOOKUP($A132,ScionOutput!$A$3:$BL$215,6,FALSE)</f>
        <v>29</v>
      </c>
      <c r="F132" t="str">
        <f>VLOOKUP($A132,ScionOutput!$A$3:$BL$215,7,FALSE)</f>
        <v>TOR</v>
      </c>
      <c r="G132">
        <f>VLOOKUP($A132,ScionOutput!$A$3:$BL$215,26,FALSE)</f>
        <v>105</v>
      </c>
      <c r="H132">
        <f>VLOOKUP($A132,ScionOutput!$A$3:$BL$215,10,FALSE)</f>
        <v>-114</v>
      </c>
      <c r="I132" s="6" t="str">
        <f>VLOOKUP($A132,ScionOutput!$A$3:$BL$215,55,FALSE)</f>
        <v>VisFave</v>
      </c>
      <c r="J132" s="6">
        <f>VLOOKUP($A132,ScionOutput!$A$3:$BL$215,56,FALSE)</f>
        <v>0</v>
      </c>
      <c r="K132" t="str">
        <f>VLOOKUP($A132,ScionOutput!$A$3:$BL$215,58,FALSE)</f>
        <v>No Play</v>
      </c>
      <c r="L132">
        <f>VLOOKUP($A132,ScionOutput!$A$3:$BL$215,59,FALSE)</f>
        <v>0</v>
      </c>
      <c r="M132">
        <f>VLOOKUP($A132,ScionOutput!$A$3:$BL$215,62,FALSE)</f>
        <v>0</v>
      </c>
      <c r="N132">
        <f>VLOOKUP($A132,ScionOutput!$A$3:$BL$215,63,FALSE)</f>
        <v>0</v>
      </c>
      <c r="O132" t="b">
        <f t="shared" si="17"/>
        <v>0</v>
      </c>
      <c r="P132">
        <f>VLOOKUP($A132,Outcomes!$B$3:$I$209,8,FALSE)</f>
        <v>7</v>
      </c>
      <c r="Q132">
        <f t="shared" si="18"/>
        <v>-1</v>
      </c>
      <c r="R132">
        <f>VLOOKUP($A132,Outcomes!$B$3:$I$209,5,FALSE)</f>
        <v>1</v>
      </c>
      <c r="S132">
        <f>VLOOKUP($A132,Outcomes!$B$3:$I$209,6,FALSE)</f>
        <v>6</v>
      </c>
      <c r="T132">
        <f>VLOOKUP($A132,Outcomes!$B$3:$I$209,7,FALSE)</f>
        <v>5</v>
      </c>
      <c r="U132" t="str">
        <f t="shared" si="19"/>
        <v>VisFave</v>
      </c>
      <c r="V132" s="5" t="str">
        <f t="shared" si="20"/>
        <v/>
      </c>
      <c r="W132" t="str">
        <f t="shared" si="16"/>
        <v/>
      </c>
      <c r="X132" t="str">
        <f t="shared" si="21"/>
        <v/>
      </c>
      <c r="Y132" t="str">
        <f t="shared" si="22"/>
        <v/>
      </c>
      <c r="Z132" s="2" t="str">
        <f t="shared" si="23"/>
        <v/>
      </c>
      <c r="AA132" t="str">
        <f>VLOOKUP($A132,ScionOutput!$A$3:$BL$215,64,FALSE)</f>
        <v xml:space="preserve">824750. VF plays are disallowed. No play due to strategy constraints. </v>
      </c>
    </row>
    <row r="133" spans="1:27" x14ac:dyDescent="0.2">
      <c r="A133">
        <v>824667</v>
      </c>
      <c r="B133" s="3">
        <f>VLOOKUP($A133,ScionOutput!$A$3:$BL$215,3,FALSE)</f>
        <v>46189</v>
      </c>
      <c r="C133">
        <f>VLOOKUP($A133,ScionOutput!$A$3:$BL$215,22,FALSE)</f>
        <v>5</v>
      </c>
      <c r="D133" t="str">
        <f>VLOOKUP($A133,ScionOutput!$A$3:$BL$215,23,FALSE)</f>
        <v>CHC</v>
      </c>
      <c r="E133">
        <f>VLOOKUP($A133,ScionOutput!$A$3:$BL$215,6,FALSE)</f>
        <v>8</v>
      </c>
      <c r="F133" t="str">
        <f>VLOOKUP($A133,ScionOutput!$A$3:$BL$215,7,FALSE)</f>
        <v>COL</v>
      </c>
      <c r="G133">
        <f>VLOOKUP($A133,ScionOutput!$A$3:$BL$215,26,FALSE)</f>
        <v>-194</v>
      </c>
      <c r="H133">
        <f>VLOOKUP($A133,ScionOutput!$A$3:$BL$215,10,FALSE)</f>
        <v>176</v>
      </c>
      <c r="I133" s="6" t="str">
        <f>VLOOKUP($A133,ScionOutput!$A$3:$BL$215,55,FALSE)</f>
        <v>HomFave</v>
      </c>
      <c r="J133" s="6">
        <f>VLOOKUP($A133,ScionOutput!$A$3:$BL$215,56,FALSE)</f>
        <v>0</v>
      </c>
      <c r="K133" t="str">
        <f>VLOOKUP($A133,ScionOutput!$A$3:$BL$215,58,FALSE)</f>
        <v>No Play</v>
      </c>
      <c r="L133">
        <f>VLOOKUP($A133,ScionOutput!$A$3:$BL$215,59,FALSE)</f>
        <v>0</v>
      </c>
      <c r="M133">
        <f>VLOOKUP($A133,ScionOutput!$A$3:$BL$215,62,FALSE)</f>
        <v>0</v>
      </c>
      <c r="N133">
        <f>VLOOKUP($A133,ScionOutput!$A$3:$BL$215,63,FALSE)</f>
        <v>0</v>
      </c>
      <c r="O133" t="b">
        <f t="shared" si="17"/>
        <v>0</v>
      </c>
      <c r="P133">
        <f>VLOOKUP($A133,Outcomes!$B$3:$I$209,8,FALSE)</f>
        <v>7</v>
      </c>
      <c r="Q133">
        <f t="shared" si="18"/>
        <v>-1</v>
      </c>
      <c r="R133">
        <f>VLOOKUP($A133,Outcomes!$B$3:$I$209,5,FALSE)</f>
        <v>2</v>
      </c>
      <c r="S133">
        <f>VLOOKUP($A133,Outcomes!$B$3:$I$209,6,FALSE)</f>
        <v>5</v>
      </c>
      <c r="T133">
        <f>VLOOKUP($A133,Outcomes!$B$3:$I$209,7,FALSE)</f>
        <v>3</v>
      </c>
      <c r="U133" t="str">
        <f t="shared" si="19"/>
        <v>VisDog</v>
      </c>
      <c r="V133" s="5" t="str">
        <f t="shared" si="20"/>
        <v/>
      </c>
      <c r="W133" t="str">
        <f t="shared" si="16"/>
        <v/>
      </c>
      <c r="X133" t="str">
        <f t="shared" si="21"/>
        <v/>
      </c>
      <c r="Y133" t="str">
        <f t="shared" si="22"/>
        <v/>
      </c>
      <c r="Z133" s="2" t="str">
        <f t="shared" si="23"/>
        <v/>
      </c>
      <c r="AA133" t="str">
        <f>VLOOKUP($A133,ScionOutput!$A$3:$BL$215,64,FALSE)</f>
        <v xml:space="preserve">824667. LineStatEns is NoPlay as bookie-line outside range. StatOnlyEns is NoPlay as bookie-line outside range. No play due to strategy constraints. </v>
      </c>
    </row>
    <row r="134" spans="1:27" x14ac:dyDescent="0.2">
      <c r="A134">
        <v>824504</v>
      </c>
      <c r="B134" s="3">
        <f>VLOOKUP($A134,ScionOutput!$A$3:$BL$215,3,FALSE)</f>
        <v>46189</v>
      </c>
      <c r="C134">
        <f>VLOOKUP($A134,ScionOutput!$A$3:$BL$215,22,FALSE)</f>
        <v>6</v>
      </c>
      <c r="D134" t="str">
        <f>VLOOKUP($A134,ScionOutput!$A$3:$BL$215,23,FALSE)</f>
        <v>CIN</v>
      </c>
      <c r="E134">
        <f>VLOOKUP($A134,ScionOutput!$A$3:$BL$215,6,FALSE)</f>
        <v>18</v>
      </c>
      <c r="F134" t="str">
        <f>VLOOKUP($A134,ScionOutput!$A$3:$BL$215,7,FALSE)</f>
        <v>NYM</v>
      </c>
      <c r="G134">
        <f>VLOOKUP($A134,ScionOutput!$A$3:$BL$215,26,FALSE)</f>
        <v>107</v>
      </c>
      <c r="H134">
        <f>VLOOKUP($A134,ScionOutput!$A$3:$BL$215,10,FALSE)</f>
        <v>-115</v>
      </c>
      <c r="I134" s="6" t="str">
        <f>VLOOKUP($A134,ScionOutput!$A$3:$BL$215,55,FALSE)</f>
        <v>HomDog</v>
      </c>
      <c r="J134" s="6">
        <f>VLOOKUP($A134,ScionOutput!$A$3:$BL$215,56,FALSE)</f>
        <v>1</v>
      </c>
      <c r="K134" t="str">
        <f>VLOOKUP($A134,ScionOutput!$A$3:$BL$215,58,FALSE)</f>
        <v>No Play</v>
      </c>
      <c r="L134">
        <f>VLOOKUP($A134,ScionOutput!$A$3:$BL$215,59,FALSE)</f>
        <v>0</v>
      </c>
      <c r="M134">
        <f>VLOOKUP($A134,ScionOutput!$A$3:$BL$215,62,FALSE)</f>
        <v>0</v>
      </c>
      <c r="N134">
        <f>VLOOKUP($A134,ScionOutput!$A$3:$BL$215,63,FALSE)</f>
        <v>0</v>
      </c>
      <c r="O134" t="b">
        <f t="shared" si="17"/>
        <v>0</v>
      </c>
      <c r="P134">
        <f>VLOOKUP($A134,Outcomes!$B$3:$I$209,8,FALSE)</f>
        <v>8</v>
      </c>
      <c r="Q134">
        <f t="shared" si="18"/>
        <v>1</v>
      </c>
      <c r="R134">
        <f>VLOOKUP($A134,Outcomes!$B$3:$I$209,5,FALSE)</f>
        <v>5</v>
      </c>
      <c r="S134">
        <f>VLOOKUP($A134,Outcomes!$B$3:$I$209,6,FALSE)</f>
        <v>3</v>
      </c>
      <c r="T134">
        <f>VLOOKUP($A134,Outcomes!$B$3:$I$209,7,FALSE)</f>
        <v>-2</v>
      </c>
      <c r="U134" t="str">
        <f t="shared" si="19"/>
        <v>HomDog</v>
      </c>
      <c r="V134" s="5">
        <f t="shared" si="20"/>
        <v>1</v>
      </c>
      <c r="W134">
        <f t="shared" si="16"/>
        <v>100</v>
      </c>
      <c r="X134">
        <f t="shared" si="21"/>
        <v>207</v>
      </c>
      <c r="Y134">
        <f t="shared" si="22"/>
        <v>107</v>
      </c>
      <c r="Z134" s="2">
        <f t="shared" si="23"/>
        <v>1.07</v>
      </c>
      <c r="AA134" t="str">
        <f>VLOOKUP($A134,ScionOutput!$A$3:$BL$215,64,FALSE)</f>
        <v xml:space="preserve">824504. VF plays are disallowed. No play due to strategy constraints. </v>
      </c>
    </row>
    <row r="135" spans="1:27" x14ac:dyDescent="0.2">
      <c r="A135">
        <v>824182</v>
      </c>
      <c r="B135" s="3">
        <f>VLOOKUP($A135,ScionOutput!$A$3:$BL$215,3,FALSE)</f>
        <v>46189</v>
      </c>
      <c r="C135">
        <f>VLOOKUP($A135,ScionOutput!$A$3:$BL$215,22,FALSE)</f>
        <v>12</v>
      </c>
      <c r="D135" t="str">
        <f>VLOOKUP($A135,ScionOutput!$A$3:$BL$215,23,FALSE)</f>
        <v>HOU</v>
      </c>
      <c r="E135">
        <f>VLOOKUP($A135,ScionOutput!$A$3:$BL$215,6,FALSE)</f>
        <v>10</v>
      </c>
      <c r="F135" t="str">
        <f>VLOOKUP($A135,ScionOutput!$A$3:$BL$215,7,FALSE)</f>
        <v>DET</v>
      </c>
      <c r="G135">
        <f>VLOOKUP($A135,ScionOutput!$A$3:$BL$215,26,FALSE)</f>
        <v>-167</v>
      </c>
      <c r="H135">
        <f>VLOOKUP($A135,ScionOutput!$A$3:$BL$215,10,FALSE)</f>
        <v>153</v>
      </c>
      <c r="I135" s="6" t="str">
        <f>VLOOKUP($A135,ScionOutput!$A$3:$BL$215,55,FALSE)</f>
        <v>HomFave</v>
      </c>
      <c r="J135" s="6">
        <f>VLOOKUP($A135,ScionOutput!$A$3:$BL$215,56,FALSE)</f>
        <v>0</v>
      </c>
      <c r="K135" t="str">
        <f>VLOOKUP($A135,ScionOutput!$A$3:$BL$215,58,FALSE)</f>
        <v>No Play</v>
      </c>
      <c r="L135">
        <f>VLOOKUP($A135,ScionOutput!$A$3:$BL$215,59,FALSE)</f>
        <v>0</v>
      </c>
      <c r="M135">
        <f>VLOOKUP($A135,ScionOutput!$A$3:$BL$215,62,FALSE)</f>
        <v>0</v>
      </c>
      <c r="N135">
        <f>VLOOKUP($A135,ScionOutput!$A$3:$BL$215,63,FALSE)</f>
        <v>0</v>
      </c>
      <c r="O135" t="b">
        <f t="shared" si="17"/>
        <v>0</v>
      </c>
      <c r="P135">
        <f>VLOOKUP($A135,Outcomes!$B$3:$I$209,8,FALSE)</f>
        <v>6</v>
      </c>
      <c r="Q135">
        <f t="shared" si="18"/>
        <v>1</v>
      </c>
      <c r="R135">
        <f>VLOOKUP($A135,Outcomes!$B$3:$I$209,5,FALSE)</f>
        <v>4</v>
      </c>
      <c r="S135">
        <f>VLOOKUP($A135,Outcomes!$B$3:$I$209,6,FALSE)</f>
        <v>2</v>
      </c>
      <c r="T135">
        <f>VLOOKUP($A135,Outcomes!$B$3:$I$209,7,FALSE)</f>
        <v>-2</v>
      </c>
      <c r="U135" t="str">
        <f t="shared" si="19"/>
        <v>HomFave</v>
      </c>
      <c r="V135" s="5" t="str">
        <f t="shared" si="20"/>
        <v/>
      </c>
      <c r="W135" t="str">
        <f t="shared" si="16"/>
        <v/>
      </c>
      <c r="X135" t="str">
        <f t="shared" si="21"/>
        <v/>
      </c>
      <c r="Y135" t="str">
        <f t="shared" si="22"/>
        <v/>
      </c>
      <c r="Z135" s="2" t="str">
        <f t="shared" si="23"/>
        <v/>
      </c>
      <c r="AA135" t="str">
        <f>VLOOKUP($A135,ScionOutput!$A$3:$BL$215,64,FALSE)</f>
        <v xml:space="preserve">824182. LineStatEns is NoPlay as bookie-line outside range. StatOnlyEns is NoPlay as bookie-line outside range. No play due to strategy constraints. </v>
      </c>
    </row>
    <row r="136" spans="1:27" x14ac:dyDescent="0.2">
      <c r="A136">
        <v>823939</v>
      </c>
      <c r="B136" s="3">
        <f>VLOOKUP($A136,ScionOutput!$A$3:$BL$215,3,FALSE)</f>
        <v>46189</v>
      </c>
      <c r="C136">
        <f>VLOOKUP($A136,ScionOutput!$A$3:$BL$215,22,FALSE)</f>
        <v>14</v>
      </c>
      <c r="D136" t="str">
        <f>VLOOKUP($A136,ScionOutput!$A$3:$BL$215,23,FALSE)</f>
        <v>LA</v>
      </c>
      <c r="E136">
        <f>VLOOKUP($A136,ScionOutput!$A$3:$BL$215,6,FALSE)</f>
        <v>27</v>
      </c>
      <c r="F136" t="str">
        <f>VLOOKUP($A136,ScionOutput!$A$3:$BL$215,7,FALSE)</f>
        <v>TB</v>
      </c>
      <c r="G136">
        <f>VLOOKUP($A136,ScionOutput!$A$3:$BL$215,26,FALSE)</f>
        <v>-144</v>
      </c>
      <c r="H136">
        <f>VLOOKUP($A136,ScionOutput!$A$3:$BL$215,10,FALSE)</f>
        <v>133</v>
      </c>
      <c r="I136" s="6" t="str">
        <f>VLOOKUP($A136,ScionOutput!$A$3:$BL$215,55,FALSE)</f>
        <v>HomFave</v>
      </c>
      <c r="J136" s="6">
        <f>VLOOKUP($A136,ScionOutput!$A$3:$BL$215,56,FALSE)</f>
        <v>0</v>
      </c>
      <c r="K136" t="str">
        <f>VLOOKUP($A136,ScionOutput!$A$3:$BL$215,58,FALSE)</f>
        <v>No Play</v>
      </c>
      <c r="L136">
        <f>VLOOKUP($A136,ScionOutput!$A$3:$BL$215,59,FALSE)</f>
        <v>0</v>
      </c>
      <c r="M136">
        <f>VLOOKUP($A136,ScionOutput!$A$3:$BL$215,62,FALSE)</f>
        <v>0</v>
      </c>
      <c r="N136">
        <f>VLOOKUP($A136,ScionOutput!$A$3:$BL$215,63,FALSE)</f>
        <v>0</v>
      </c>
      <c r="O136" t="b">
        <f t="shared" si="17"/>
        <v>0</v>
      </c>
      <c r="P136">
        <f>VLOOKUP($A136,Outcomes!$B$3:$I$209,8,FALSE)</f>
        <v>1</v>
      </c>
      <c r="Q136">
        <f t="shared" si="18"/>
        <v>1</v>
      </c>
      <c r="R136">
        <f>VLOOKUP($A136,Outcomes!$B$3:$I$209,5,FALSE)</f>
        <v>1</v>
      </c>
      <c r="S136">
        <f>VLOOKUP($A136,Outcomes!$B$3:$I$209,6,FALSE)</f>
        <v>0</v>
      </c>
      <c r="T136">
        <f>VLOOKUP($A136,Outcomes!$B$3:$I$209,7,FALSE)</f>
        <v>-1</v>
      </c>
      <c r="U136" t="str">
        <f t="shared" si="19"/>
        <v>HomFave</v>
      </c>
      <c r="V136" s="5" t="str">
        <f t="shared" si="20"/>
        <v/>
      </c>
      <c r="W136" t="str">
        <f t="shared" si="16"/>
        <v/>
      </c>
      <c r="X136" t="str">
        <f t="shared" si="21"/>
        <v/>
      </c>
      <c r="Y136" t="str">
        <f t="shared" si="22"/>
        <v/>
      </c>
      <c r="Z136" s="2" t="str">
        <f t="shared" si="23"/>
        <v/>
      </c>
      <c r="AA136" t="str">
        <f>VLOOKUP($A136,ScionOutput!$A$3:$BL$215,64,FALSE)</f>
        <v xml:space="preserve">823939. LineStatEns probability points gap does not exceed threshold (no edge found)! StatOnlyEns probability points gap does not exceed threshold (no edge found)! No play due to strategy constraints. </v>
      </c>
    </row>
    <row r="137" spans="1:27" x14ac:dyDescent="0.2">
      <c r="A137">
        <v>822723</v>
      </c>
      <c r="B137" s="3">
        <f>VLOOKUP($A137,ScionOutput!$A$3:$BL$215,3,FALSE)</f>
        <v>46189</v>
      </c>
      <c r="C137">
        <f>VLOOKUP($A137,ScionOutput!$A$3:$BL$215,22,FALSE)</f>
        <v>16</v>
      </c>
      <c r="D137" t="str">
        <f>VLOOKUP($A137,ScionOutput!$A$3:$BL$215,23,FALSE)</f>
        <v>WAS</v>
      </c>
      <c r="E137">
        <f>VLOOKUP($A137,ScionOutput!$A$3:$BL$215,6,FALSE)</f>
        <v>13</v>
      </c>
      <c r="F137" t="str">
        <f>VLOOKUP($A137,ScionOutput!$A$3:$BL$215,7,FALSE)</f>
        <v>KC</v>
      </c>
      <c r="G137">
        <f>VLOOKUP($A137,ScionOutput!$A$3:$BL$215,26,FALSE)</f>
        <v>-131</v>
      </c>
      <c r="H137">
        <f>VLOOKUP($A137,ScionOutput!$A$3:$BL$215,10,FALSE)</f>
        <v>121</v>
      </c>
      <c r="I137" s="6" t="str">
        <f>VLOOKUP($A137,ScionOutput!$A$3:$BL$215,55,FALSE)</f>
        <v>HomFave</v>
      </c>
      <c r="J137" s="6">
        <f>VLOOKUP($A137,ScionOutput!$A$3:$BL$215,56,FALSE)</f>
        <v>0</v>
      </c>
      <c r="K137" t="str">
        <f>VLOOKUP($A137,ScionOutput!$A$3:$BL$215,58,FALSE)</f>
        <v>No Play</v>
      </c>
      <c r="L137">
        <f>VLOOKUP($A137,ScionOutput!$A$3:$BL$215,59,FALSE)</f>
        <v>0</v>
      </c>
      <c r="M137">
        <f>VLOOKUP($A137,ScionOutput!$A$3:$BL$215,62,FALSE)</f>
        <v>0</v>
      </c>
      <c r="N137">
        <f>VLOOKUP($A137,ScionOutput!$A$3:$BL$215,63,FALSE)</f>
        <v>0</v>
      </c>
      <c r="O137" t="b">
        <f t="shared" si="17"/>
        <v>0</v>
      </c>
      <c r="P137">
        <f>VLOOKUP($A137,Outcomes!$B$3:$I$209,8,FALSE)</f>
        <v>10</v>
      </c>
      <c r="Q137">
        <f t="shared" si="18"/>
        <v>1</v>
      </c>
      <c r="R137">
        <f>VLOOKUP($A137,Outcomes!$B$3:$I$209,5,FALSE)</f>
        <v>6</v>
      </c>
      <c r="S137">
        <f>VLOOKUP($A137,Outcomes!$B$3:$I$209,6,FALSE)</f>
        <v>4</v>
      </c>
      <c r="T137">
        <f>VLOOKUP($A137,Outcomes!$B$3:$I$209,7,FALSE)</f>
        <v>-2</v>
      </c>
      <c r="U137" t="str">
        <f t="shared" si="19"/>
        <v>HomFave</v>
      </c>
      <c r="V137" s="5" t="str">
        <f t="shared" si="20"/>
        <v/>
      </c>
      <c r="W137" t="str">
        <f t="shared" si="16"/>
        <v/>
      </c>
      <c r="X137" t="str">
        <f t="shared" si="21"/>
        <v/>
      </c>
      <c r="Y137" t="str">
        <f t="shared" si="22"/>
        <v/>
      </c>
      <c r="Z137" s="2" t="str">
        <f t="shared" si="23"/>
        <v/>
      </c>
      <c r="AA137" t="str">
        <f>VLOOKUP($A137,ScionOutput!$A$3:$BL$215,64,FALSE)</f>
        <v xml:space="preserve">822723. LineStatEns probability points gap does not exceed threshold (no edge found)! StatOnlyEns probability points gap does not exceed threshold (no edge found)! No play due to strategy constraints. </v>
      </c>
    </row>
    <row r="138" spans="1:27" x14ac:dyDescent="0.2">
      <c r="A138">
        <v>823775</v>
      </c>
      <c r="B138" s="3">
        <f>VLOOKUP($A138,ScionOutput!$A$3:$BL$215,3,FALSE)</f>
        <v>46189</v>
      </c>
      <c r="C138">
        <f>VLOOKUP($A138,ScionOutput!$A$3:$BL$215,22,FALSE)</f>
        <v>17</v>
      </c>
      <c r="D138" t="str">
        <f>VLOOKUP($A138,ScionOutput!$A$3:$BL$215,23,FALSE)</f>
        <v>MLW</v>
      </c>
      <c r="E138">
        <f>VLOOKUP($A138,ScionOutput!$A$3:$BL$215,6,FALSE)</f>
        <v>7</v>
      </c>
      <c r="F138" t="str">
        <f>VLOOKUP($A138,ScionOutput!$A$3:$BL$215,7,FALSE)</f>
        <v>CLE</v>
      </c>
      <c r="G138">
        <f>VLOOKUP($A138,ScionOutput!$A$3:$BL$215,26,FALSE)</f>
        <v>-151</v>
      </c>
      <c r="H138">
        <f>VLOOKUP($A138,ScionOutput!$A$3:$BL$215,10,FALSE)</f>
        <v>139</v>
      </c>
      <c r="I138" s="6" t="str">
        <f>VLOOKUP($A138,ScionOutput!$A$3:$BL$215,55,FALSE)</f>
        <v>HomFave</v>
      </c>
      <c r="J138" s="6">
        <f>VLOOKUP($A138,ScionOutput!$A$3:$BL$215,56,FALSE)</f>
        <v>0</v>
      </c>
      <c r="K138" t="str">
        <f>VLOOKUP($A138,ScionOutput!$A$3:$BL$215,58,FALSE)</f>
        <v>No Play</v>
      </c>
      <c r="L138">
        <f>VLOOKUP($A138,ScionOutput!$A$3:$BL$215,59,FALSE)</f>
        <v>0</v>
      </c>
      <c r="M138">
        <f>VLOOKUP($A138,ScionOutput!$A$3:$BL$215,62,FALSE)</f>
        <v>0</v>
      </c>
      <c r="N138">
        <f>VLOOKUP($A138,ScionOutput!$A$3:$BL$215,63,FALSE)</f>
        <v>0</v>
      </c>
      <c r="O138" t="b">
        <f t="shared" si="17"/>
        <v>0</v>
      </c>
      <c r="P138">
        <f>VLOOKUP($A138,Outcomes!$B$3:$I$209,8,FALSE)</f>
        <v>3</v>
      </c>
      <c r="Q138">
        <f t="shared" si="18"/>
        <v>1</v>
      </c>
      <c r="R138">
        <f>VLOOKUP($A138,Outcomes!$B$3:$I$209,5,FALSE)</f>
        <v>2</v>
      </c>
      <c r="S138">
        <f>VLOOKUP($A138,Outcomes!$B$3:$I$209,6,FALSE)</f>
        <v>1</v>
      </c>
      <c r="T138">
        <f>VLOOKUP($A138,Outcomes!$B$3:$I$209,7,FALSE)</f>
        <v>-1</v>
      </c>
      <c r="U138" t="str">
        <f t="shared" si="19"/>
        <v>HomFave</v>
      </c>
      <c r="V138" s="5" t="str">
        <f t="shared" si="20"/>
        <v/>
      </c>
      <c r="W138" t="str">
        <f t="shared" si="16"/>
        <v/>
      </c>
      <c r="X138" t="str">
        <f t="shared" si="21"/>
        <v/>
      </c>
      <c r="Y138" t="str">
        <f t="shared" si="22"/>
        <v/>
      </c>
      <c r="Z138" s="2" t="str">
        <f t="shared" si="23"/>
        <v/>
      </c>
      <c r="AA138" t="str">
        <f>VLOOKUP($A138,ScionOutput!$A$3:$BL$215,64,FALSE)</f>
        <v xml:space="preserve">823775. LineStatEns is NoPlay as bookie-line outside range. StatOnlyEns is NoPlay as bookie-line outside range. No play due to strategy constraints. </v>
      </c>
    </row>
    <row r="139" spans="1:27" x14ac:dyDescent="0.2">
      <c r="A139">
        <v>823535</v>
      </c>
      <c r="B139" s="3">
        <f>VLOOKUP($A139,ScionOutput!$A$3:$BL$215,3,FALSE)</f>
        <v>46189</v>
      </c>
      <c r="C139">
        <f>VLOOKUP($A139,ScionOutput!$A$3:$BL$215,22,FALSE)</f>
        <v>19</v>
      </c>
      <c r="D139" t="str">
        <f>VLOOKUP($A139,ScionOutput!$A$3:$BL$215,23,FALSE)</f>
        <v>NYY</v>
      </c>
      <c r="E139">
        <f>VLOOKUP($A139,ScionOutput!$A$3:$BL$215,6,FALSE)</f>
        <v>9</v>
      </c>
      <c r="F139" t="str">
        <f>VLOOKUP($A139,ScionOutput!$A$3:$BL$215,7,FALSE)</f>
        <v>CWS</v>
      </c>
      <c r="G139">
        <f>VLOOKUP($A139,ScionOutput!$A$3:$BL$215,26,FALSE)</f>
        <v>-138</v>
      </c>
      <c r="H139">
        <f>VLOOKUP($A139,ScionOutput!$A$3:$BL$215,10,FALSE)</f>
        <v>127</v>
      </c>
      <c r="I139" s="6" t="str">
        <f>VLOOKUP($A139,ScionOutput!$A$3:$BL$215,55,FALSE)</f>
        <v>HomFave</v>
      </c>
      <c r="J139" s="6">
        <f>VLOOKUP($A139,ScionOutput!$A$3:$BL$215,56,FALSE)</f>
        <v>0</v>
      </c>
      <c r="K139" t="str">
        <f>VLOOKUP($A139,ScionOutput!$A$3:$BL$215,58,FALSE)</f>
        <v>No Play</v>
      </c>
      <c r="L139">
        <f>VLOOKUP($A139,ScionOutput!$A$3:$BL$215,59,FALSE)</f>
        <v>0</v>
      </c>
      <c r="M139">
        <f>VLOOKUP($A139,ScionOutput!$A$3:$BL$215,62,FALSE)</f>
        <v>0</v>
      </c>
      <c r="N139">
        <f>VLOOKUP($A139,ScionOutput!$A$3:$BL$215,63,FALSE)</f>
        <v>0</v>
      </c>
      <c r="O139" t="b">
        <f t="shared" si="17"/>
        <v>0</v>
      </c>
      <c r="P139">
        <f>VLOOKUP($A139,Outcomes!$B$3:$I$209,8,FALSE)</f>
        <v>14</v>
      </c>
      <c r="Q139">
        <f t="shared" si="18"/>
        <v>1</v>
      </c>
      <c r="R139">
        <f>VLOOKUP($A139,Outcomes!$B$3:$I$209,5,FALSE)</f>
        <v>12</v>
      </c>
      <c r="S139">
        <f>VLOOKUP($A139,Outcomes!$B$3:$I$209,6,FALSE)</f>
        <v>2</v>
      </c>
      <c r="T139">
        <f>VLOOKUP($A139,Outcomes!$B$3:$I$209,7,FALSE)</f>
        <v>-10</v>
      </c>
      <c r="U139" t="str">
        <f t="shared" si="19"/>
        <v>HomFave</v>
      </c>
      <c r="V139" s="5" t="str">
        <f t="shared" si="20"/>
        <v/>
      </c>
      <c r="W139" t="str">
        <f t="shared" si="16"/>
        <v/>
      </c>
      <c r="X139" t="str">
        <f t="shared" si="21"/>
        <v/>
      </c>
      <c r="Y139" t="str">
        <f t="shared" si="22"/>
        <v/>
      </c>
      <c r="Z139" s="2" t="str">
        <f t="shared" si="23"/>
        <v/>
      </c>
      <c r="AA139" t="str">
        <f>VLOOKUP($A139,ScionOutput!$A$3:$BL$215,64,FALSE)</f>
        <v xml:space="preserve">823535. LineStatEns probability points gap does not exceed threshold (no edge found)! StatOnlyEns probability points gap does not exceed threshold (no edge found)! No play due to strategy constraints. </v>
      </c>
    </row>
    <row r="140" spans="1:27" x14ac:dyDescent="0.2">
      <c r="A140">
        <v>824991</v>
      </c>
      <c r="B140" s="3">
        <f>VLOOKUP($A140,ScionOutput!$A$3:$BL$215,3,FALSE)</f>
        <v>46189</v>
      </c>
      <c r="C140">
        <f>VLOOKUP($A140,ScionOutput!$A$3:$BL$215,22,FALSE)</f>
        <v>20</v>
      </c>
      <c r="D140" t="str">
        <f>VLOOKUP($A140,ScionOutput!$A$3:$BL$215,23,FALSE)</f>
        <v>OAK</v>
      </c>
      <c r="E140">
        <f>VLOOKUP($A140,ScionOutput!$A$3:$BL$215,6,FALSE)</f>
        <v>22</v>
      </c>
      <c r="F140" t="str">
        <f>VLOOKUP($A140,ScionOutput!$A$3:$BL$215,7,FALSE)</f>
        <v>PIT</v>
      </c>
      <c r="G140">
        <f>VLOOKUP($A140,ScionOutput!$A$3:$BL$215,26,FALSE)</f>
        <v>-137</v>
      </c>
      <c r="H140">
        <f>VLOOKUP($A140,ScionOutput!$A$3:$BL$215,10,FALSE)</f>
        <v>126</v>
      </c>
      <c r="I140" s="6" t="str">
        <f>VLOOKUP($A140,ScionOutput!$A$3:$BL$215,55,FALSE)</f>
        <v>HomFave</v>
      </c>
      <c r="J140" s="6">
        <f>VLOOKUP($A140,ScionOutput!$A$3:$BL$215,56,FALSE)</f>
        <v>0</v>
      </c>
      <c r="K140" t="str">
        <f>VLOOKUP($A140,ScionOutput!$A$3:$BL$215,58,FALSE)</f>
        <v>No Play</v>
      </c>
      <c r="L140">
        <f>VLOOKUP($A140,ScionOutput!$A$3:$BL$215,59,FALSE)</f>
        <v>0</v>
      </c>
      <c r="M140">
        <f>VLOOKUP($A140,ScionOutput!$A$3:$BL$215,62,FALSE)</f>
        <v>0</v>
      </c>
      <c r="N140">
        <f>VLOOKUP($A140,ScionOutput!$A$3:$BL$215,63,FALSE)</f>
        <v>0</v>
      </c>
      <c r="O140" t="b">
        <f t="shared" si="17"/>
        <v>0</v>
      </c>
      <c r="P140">
        <f>VLOOKUP($A140,Outcomes!$B$3:$I$209,8,FALSE)</f>
        <v>11</v>
      </c>
      <c r="Q140">
        <f t="shared" si="18"/>
        <v>-1</v>
      </c>
      <c r="R140">
        <f>VLOOKUP($A140,Outcomes!$B$3:$I$209,5,FALSE)</f>
        <v>5</v>
      </c>
      <c r="S140">
        <f>VLOOKUP($A140,Outcomes!$B$3:$I$209,6,FALSE)</f>
        <v>6</v>
      </c>
      <c r="T140">
        <f>VLOOKUP($A140,Outcomes!$B$3:$I$209,7,FALSE)</f>
        <v>1</v>
      </c>
      <c r="U140" t="str">
        <f t="shared" si="19"/>
        <v>VisDog</v>
      </c>
      <c r="V140" s="5" t="str">
        <f t="shared" si="20"/>
        <v/>
      </c>
      <c r="W140" t="str">
        <f t="shared" si="16"/>
        <v/>
      </c>
      <c r="X140" t="str">
        <f t="shared" si="21"/>
        <v/>
      </c>
      <c r="Y140" t="str">
        <f t="shared" si="22"/>
        <v/>
      </c>
      <c r="Z140" s="2" t="str">
        <f t="shared" si="23"/>
        <v/>
      </c>
      <c r="AA140" t="str">
        <f>VLOOKUP($A140,ScionOutput!$A$3:$BL$215,64,FALSE)</f>
        <v xml:space="preserve">824991. LineStatEns probability points gap does not exceed threshold (no edge found)! StatOnlyEns probability points gap does not exceed threshold (no edge found)! No play due to strategy constraints. </v>
      </c>
    </row>
    <row r="141" spans="1:27" x14ac:dyDescent="0.2">
      <c r="A141">
        <v>823451</v>
      </c>
      <c r="B141" s="3">
        <f>VLOOKUP($A141,ScionOutput!$A$3:$BL$215,3,FALSE)</f>
        <v>46189</v>
      </c>
      <c r="C141">
        <f>VLOOKUP($A141,ScionOutput!$A$3:$BL$215,22,FALSE)</f>
        <v>21</v>
      </c>
      <c r="D141" t="str">
        <f>VLOOKUP($A141,ScionOutput!$A$3:$BL$215,23,FALSE)</f>
        <v>PHI</v>
      </c>
      <c r="E141">
        <f>VLOOKUP($A141,ScionOutput!$A$3:$BL$215,6,FALSE)</f>
        <v>11</v>
      </c>
      <c r="F141" t="str">
        <f>VLOOKUP($A141,ScionOutput!$A$3:$BL$215,7,FALSE)</f>
        <v>FLO</v>
      </c>
      <c r="G141">
        <f>VLOOKUP($A141,ScionOutput!$A$3:$BL$215,26,FALSE)</f>
        <v>-165</v>
      </c>
      <c r="H141">
        <f>VLOOKUP($A141,ScionOutput!$A$3:$BL$215,10,FALSE)</f>
        <v>152</v>
      </c>
      <c r="I141" s="6" t="str">
        <f>VLOOKUP($A141,ScionOutput!$A$3:$BL$215,55,FALSE)</f>
        <v>HomFave</v>
      </c>
      <c r="J141" s="6">
        <f>VLOOKUP($A141,ScionOutput!$A$3:$BL$215,56,FALSE)</f>
        <v>0</v>
      </c>
      <c r="K141" t="str">
        <f>VLOOKUP($A141,ScionOutput!$A$3:$BL$215,58,FALSE)</f>
        <v>No Play</v>
      </c>
      <c r="L141">
        <f>VLOOKUP($A141,ScionOutput!$A$3:$BL$215,59,FALSE)</f>
        <v>0</v>
      </c>
      <c r="M141">
        <f>VLOOKUP($A141,ScionOutput!$A$3:$BL$215,62,FALSE)</f>
        <v>0</v>
      </c>
      <c r="N141">
        <f>VLOOKUP($A141,ScionOutput!$A$3:$BL$215,63,FALSE)</f>
        <v>0</v>
      </c>
      <c r="O141" t="b">
        <f t="shared" si="17"/>
        <v>0</v>
      </c>
      <c r="P141">
        <f>VLOOKUP($A141,Outcomes!$B$3:$I$209,8,FALSE)</f>
        <v>10</v>
      </c>
      <c r="Q141">
        <f t="shared" si="18"/>
        <v>1</v>
      </c>
      <c r="R141">
        <f>VLOOKUP($A141,Outcomes!$B$3:$I$209,5,FALSE)</f>
        <v>8</v>
      </c>
      <c r="S141">
        <f>VLOOKUP($A141,Outcomes!$B$3:$I$209,6,FALSE)</f>
        <v>2</v>
      </c>
      <c r="T141">
        <f>VLOOKUP($A141,Outcomes!$B$3:$I$209,7,FALSE)</f>
        <v>-6</v>
      </c>
      <c r="U141" t="str">
        <f t="shared" si="19"/>
        <v>HomFave</v>
      </c>
      <c r="V141" s="5" t="str">
        <f t="shared" si="20"/>
        <v/>
      </c>
      <c r="W141" t="str">
        <f t="shared" si="16"/>
        <v/>
      </c>
      <c r="X141" t="str">
        <f t="shared" si="21"/>
        <v/>
      </c>
      <c r="Y141" t="str">
        <f t="shared" si="22"/>
        <v/>
      </c>
      <c r="Z141" s="2" t="str">
        <f t="shared" si="23"/>
        <v/>
      </c>
      <c r="AA141" t="str">
        <f>VLOOKUP($A141,ScionOutput!$A$3:$BL$215,64,FALSE)</f>
        <v xml:space="preserve">823451. LineStatEns is NoPlay as bookie-line outside range. StatOnlyEns is NoPlay as bookie-line outside range. No play due to strategy constraints. </v>
      </c>
    </row>
    <row r="142" spans="1:27" x14ac:dyDescent="0.2">
      <c r="A142">
        <v>823128</v>
      </c>
      <c r="B142" s="3">
        <f>VLOOKUP($A142,ScionOutput!$A$3:$BL$215,3,FALSE)</f>
        <v>46189</v>
      </c>
      <c r="C142">
        <f>VLOOKUP($A142,ScionOutput!$A$3:$BL$215,22,FALSE)</f>
        <v>24</v>
      </c>
      <c r="D142" t="str">
        <f>VLOOKUP($A142,ScionOutput!$A$3:$BL$215,23,FALSE)</f>
        <v>SEA</v>
      </c>
      <c r="E142">
        <f>VLOOKUP($A142,ScionOutput!$A$3:$BL$215,6,FALSE)</f>
        <v>2</v>
      </c>
      <c r="F142" t="str">
        <f>VLOOKUP($A142,ScionOutput!$A$3:$BL$215,7,FALSE)</f>
        <v>BAL</v>
      </c>
      <c r="G142">
        <f>VLOOKUP($A142,ScionOutput!$A$3:$BL$215,26,FALSE)</f>
        <v>-151</v>
      </c>
      <c r="H142">
        <f>VLOOKUP($A142,ScionOutput!$A$3:$BL$215,10,FALSE)</f>
        <v>139</v>
      </c>
      <c r="I142" s="6" t="str">
        <f>VLOOKUP($A142,ScionOutput!$A$3:$BL$215,55,FALSE)</f>
        <v>HomFave</v>
      </c>
      <c r="J142" s="6">
        <f>VLOOKUP($A142,ScionOutput!$A$3:$BL$215,56,FALSE)</f>
        <v>0</v>
      </c>
      <c r="K142" t="str">
        <f>VLOOKUP($A142,ScionOutput!$A$3:$BL$215,58,FALSE)</f>
        <v>No Play</v>
      </c>
      <c r="L142">
        <f>VLOOKUP($A142,ScionOutput!$A$3:$BL$215,59,FALSE)</f>
        <v>0</v>
      </c>
      <c r="M142">
        <f>VLOOKUP($A142,ScionOutput!$A$3:$BL$215,62,FALSE)</f>
        <v>0</v>
      </c>
      <c r="N142">
        <f>VLOOKUP($A142,ScionOutput!$A$3:$BL$215,63,FALSE)</f>
        <v>0</v>
      </c>
      <c r="O142" t="b">
        <f t="shared" si="17"/>
        <v>0</v>
      </c>
      <c r="P142">
        <f>VLOOKUP($A142,Outcomes!$B$3:$I$209,8,FALSE)</f>
        <v>4</v>
      </c>
      <c r="Q142">
        <f t="shared" si="18"/>
        <v>1</v>
      </c>
      <c r="R142">
        <f>VLOOKUP($A142,Outcomes!$B$3:$I$209,5,FALSE)</f>
        <v>3</v>
      </c>
      <c r="S142">
        <f>VLOOKUP($A142,Outcomes!$B$3:$I$209,6,FALSE)</f>
        <v>1</v>
      </c>
      <c r="T142">
        <f>VLOOKUP($A142,Outcomes!$B$3:$I$209,7,FALSE)</f>
        <v>-2</v>
      </c>
      <c r="U142" t="str">
        <f t="shared" si="19"/>
        <v>HomFave</v>
      </c>
      <c r="V142" s="5" t="str">
        <f t="shared" si="20"/>
        <v/>
      </c>
      <c r="W142" t="str">
        <f t="shared" si="16"/>
        <v/>
      </c>
      <c r="X142" t="str">
        <f t="shared" si="21"/>
        <v/>
      </c>
      <c r="Y142" t="str">
        <f t="shared" si="22"/>
        <v/>
      </c>
      <c r="Z142" s="2" t="str">
        <f t="shared" si="23"/>
        <v/>
      </c>
      <c r="AA142" t="str">
        <f>VLOOKUP($A142,ScionOutput!$A$3:$BL$215,64,FALSE)</f>
        <v xml:space="preserve">823128. LineStatEns is NoPlay as bookie-line outside range. StatOnlyEns is NoPlay as bookie-line outside range. No play due to strategy constraints. </v>
      </c>
    </row>
    <row r="143" spans="1:27" x14ac:dyDescent="0.2">
      <c r="A143">
        <v>823045</v>
      </c>
      <c r="B143" s="3">
        <f>VLOOKUP($A143,ScionOutput!$A$3:$BL$215,3,FALSE)</f>
        <v>46189</v>
      </c>
      <c r="C143">
        <f>VLOOKUP($A143,ScionOutput!$A$3:$BL$215,22,FALSE)</f>
        <v>26</v>
      </c>
      <c r="D143" t="str">
        <f>VLOOKUP($A143,ScionOutput!$A$3:$BL$215,23,FALSE)</f>
        <v>STL</v>
      </c>
      <c r="E143">
        <f>VLOOKUP($A143,ScionOutput!$A$3:$BL$215,6,FALSE)</f>
        <v>23</v>
      </c>
      <c r="F143" t="str">
        <f>VLOOKUP($A143,ScionOutput!$A$3:$BL$215,7,FALSE)</f>
        <v>SD</v>
      </c>
      <c r="G143">
        <f>VLOOKUP($A143,ScionOutput!$A$3:$BL$215,26,FALSE)</f>
        <v>-113</v>
      </c>
      <c r="H143">
        <f>VLOOKUP($A143,ScionOutput!$A$3:$BL$215,10,FALSE)</f>
        <v>105</v>
      </c>
      <c r="I143" s="6" t="str">
        <f>VLOOKUP($A143,ScionOutput!$A$3:$BL$215,55,FALSE)</f>
        <v>HomFave</v>
      </c>
      <c r="J143" s="6">
        <f>VLOOKUP($A143,ScionOutput!$A$3:$BL$215,56,FALSE)</f>
        <v>0</v>
      </c>
      <c r="K143" t="str">
        <f>VLOOKUP($A143,ScionOutput!$A$3:$BL$215,58,FALSE)</f>
        <v>HomFave</v>
      </c>
      <c r="L143">
        <f>VLOOKUP($A143,ScionOutput!$A$3:$BL$215,59,FALSE)</f>
        <v>1.9029999999999998E-2</v>
      </c>
      <c r="M143">
        <f>VLOOKUP($A143,ScionOutput!$A$3:$BL$215,62,FALSE)</f>
        <v>3</v>
      </c>
      <c r="N143">
        <f>VLOOKUP($A143,ScionOutput!$A$3:$BL$215,63,FALSE)</f>
        <v>0.93</v>
      </c>
      <c r="O143" t="b">
        <f t="shared" si="17"/>
        <v>0</v>
      </c>
      <c r="P143">
        <f>VLOOKUP($A143,Outcomes!$B$3:$I$209,8,FALSE)</f>
        <v>5</v>
      </c>
      <c r="Q143">
        <f t="shared" si="18"/>
        <v>1</v>
      </c>
      <c r="R143">
        <f>VLOOKUP($A143,Outcomes!$B$3:$I$209,5,FALSE)</f>
        <v>3</v>
      </c>
      <c r="S143">
        <f>VLOOKUP($A143,Outcomes!$B$3:$I$209,6,FALSE)</f>
        <v>2</v>
      </c>
      <c r="T143">
        <f>VLOOKUP($A143,Outcomes!$B$3:$I$209,7,FALSE)</f>
        <v>-1</v>
      </c>
      <c r="U143" t="str">
        <f t="shared" si="19"/>
        <v>HomFave</v>
      </c>
      <c r="V143" s="5" t="str">
        <f t="shared" si="20"/>
        <v/>
      </c>
      <c r="W143" t="str">
        <f t="shared" si="16"/>
        <v/>
      </c>
      <c r="X143" t="str">
        <f t="shared" si="21"/>
        <v/>
      </c>
      <c r="Y143" t="str">
        <f t="shared" si="22"/>
        <v/>
      </c>
      <c r="Z143" s="2" t="str">
        <f t="shared" si="23"/>
        <v/>
      </c>
      <c r="AA143" t="str">
        <f>VLOOKUP($A143,ScionOutput!$A$3:$BL$215,64,FALSE)</f>
        <v xml:space="preserve">823045. StatOnlyEns probability points gap does not exceed threshold (no edge found)! Play determined by LineStatEns only. </v>
      </c>
    </row>
    <row r="144" spans="1:27" x14ac:dyDescent="0.2">
      <c r="A144">
        <v>822888</v>
      </c>
      <c r="B144" s="3">
        <f>VLOOKUP($A144,ScionOutput!$A$3:$BL$215,3,FALSE)</f>
        <v>46189</v>
      </c>
      <c r="C144">
        <f>VLOOKUP($A144,ScionOutput!$A$3:$BL$215,22,FALSE)</f>
        <v>28</v>
      </c>
      <c r="D144" t="str">
        <f>VLOOKUP($A144,ScionOutput!$A$3:$BL$215,23,FALSE)</f>
        <v>TEX</v>
      </c>
      <c r="E144">
        <f>VLOOKUP($A144,ScionOutput!$A$3:$BL$215,6,FALSE)</f>
        <v>15</v>
      </c>
      <c r="F144" t="str">
        <f>VLOOKUP($A144,ScionOutput!$A$3:$BL$215,7,FALSE)</f>
        <v>MIN</v>
      </c>
      <c r="G144">
        <f>VLOOKUP($A144,ScionOutput!$A$3:$BL$215,26,FALSE)</f>
        <v>-120</v>
      </c>
      <c r="H144">
        <f>VLOOKUP($A144,ScionOutput!$A$3:$BL$215,10,FALSE)</f>
        <v>111</v>
      </c>
      <c r="I144" s="6" t="str">
        <f>VLOOKUP($A144,ScionOutput!$A$3:$BL$215,55,FALSE)</f>
        <v>HomFave</v>
      </c>
      <c r="J144" s="6">
        <f>VLOOKUP($A144,ScionOutput!$A$3:$BL$215,56,FALSE)</f>
        <v>0</v>
      </c>
      <c r="K144" t="str">
        <f>VLOOKUP($A144,ScionOutput!$A$3:$BL$215,58,FALSE)</f>
        <v>No Play</v>
      </c>
      <c r="L144">
        <f>VLOOKUP($A144,ScionOutput!$A$3:$BL$215,59,FALSE)</f>
        <v>0</v>
      </c>
      <c r="M144">
        <f>VLOOKUP($A144,ScionOutput!$A$3:$BL$215,62,FALSE)</f>
        <v>0</v>
      </c>
      <c r="N144">
        <f>VLOOKUP($A144,ScionOutput!$A$3:$BL$215,63,FALSE)</f>
        <v>0</v>
      </c>
      <c r="O144" t="b">
        <f t="shared" si="17"/>
        <v>0</v>
      </c>
      <c r="P144">
        <f>VLOOKUP($A144,Outcomes!$B$3:$I$209,8,FALSE)</f>
        <v>14</v>
      </c>
      <c r="Q144">
        <f t="shared" si="18"/>
        <v>-1</v>
      </c>
      <c r="R144">
        <f>VLOOKUP($A144,Outcomes!$B$3:$I$209,5,FALSE)</f>
        <v>2</v>
      </c>
      <c r="S144">
        <f>VLOOKUP($A144,Outcomes!$B$3:$I$209,6,FALSE)</f>
        <v>12</v>
      </c>
      <c r="T144">
        <f>VLOOKUP($A144,Outcomes!$B$3:$I$209,7,FALSE)</f>
        <v>10</v>
      </c>
      <c r="U144" t="str">
        <f t="shared" si="19"/>
        <v>VisDog</v>
      </c>
      <c r="V144" s="5" t="str">
        <f t="shared" si="20"/>
        <v/>
      </c>
      <c r="W144" t="str">
        <f t="shared" si="16"/>
        <v/>
      </c>
      <c r="X144" t="str">
        <f t="shared" si="21"/>
        <v/>
      </c>
      <c r="Y144" t="str">
        <f t="shared" si="22"/>
        <v/>
      </c>
      <c r="Z144" s="2" t="str">
        <f t="shared" si="23"/>
        <v/>
      </c>
      <c r="AA144" t="str">
        <f>VLOOKUP($A144,ScionOutput!$A$3:$BL$215,64,FALSE)</f>
        <v xml:space="preserve">822888. LineStatEns probability points gap does not exceed threshold (no edge found)! StatOnlyEns probability points gap does not exceed threshold (no edge found)! No play due to strategy constraints. </v>
      </c>
    </row>
    <row r="145" spans="1:27" x14ac:dyDescent="0.2">
      <c r="A145">
        <v>824912</v>
      </c>
      <c r="B145" s="3">
        <f>VLOOKUP($A145,ScionOutput!$A$3:$BL$215,3,FALSE)</f>
        <v>46189</v>
      </c>
      <c r="C145">
        <f>VLOOKUP($A145,ScionOutput!$A$3:$BL$215,22,FALSE)</f>
        <v>0</v>
      </c>
      <c r="D145" t="str">
        <f>VLOOKUP($A145,ScionOutput!$A$3:$BL$215,23,FALSE)</f>
        <v>ATL</v>
      </c>
      <c r="E145">
        <f>VLOOKUP($A145,ScionOutput!$A$3:$BL$215,6,FALSE)</f>
        <v>25</v>
      </c>
      <c r="F145" t="str">
        <f>VLOOKUP($A145,ScionOutput!$A$3:$BL$215,7,FALSE)</f>
        <v>SF</v>
      </c>
      <c r="G145">
        <f>VLOOKUP($A145,ScionOutput!$A$3:$BL$215,26,FALSE)</f>
        <v>-169</v>
      </c>
      <c r="H145">
        <f>VLOOKUP($A145,ScionOutput!$A$3:$BL$215,10,FALSE)</f>
        <v>154</v>
      </c>
      <c r="I145" s="6" t="str">
        <f>VLOOKUP($A145,ScionOutput!$A$3:$BL$215,55,FALSE)</f>
        <v>HomFave</v>
      </c>
      <c r="J145" s="6">
        <f>VLOOKUP($A145,ScionOutput!$A$3:$BL$215,56,FALSE)</f>
        <v>0</v>
      </c>
      <c r="K145" t="str">
        <f>VLOOKUP($A145,ScionOutput!$A$3:$BL$215,58,FALSE)</f>
        <v>No Play</v>
      </c>
      <c r="L145">
        <f>VLOOKUP($A145,ScionOutput!$A$3:$BL$215,59,FALSE)</f>
        <v>0</v>
      </c>
      <c r="M145">
        <f>VLOOKUP($A145,ScionOutput!$A$3:$BL$215,62,FALSE)</f>
        <v>0</v>
      </c>
      <c r="N145">
        <f>VLOOKUP($A145,ScionOutput!$A$3:$BL$215,63,FALSE)</f>
        <v>0</v>
      </c>
      <c r="O145" t="b">
        <f t="shared" si="17"/>
        <v>0</v>
      </c>
      <c r="P145">
        <f>VLOOKUP($A145,Outcomes!$B$3:$I$209,8,FALSE)</f>
        <v>9</v>
      </c>
      <c r="Q145">
        <f t="shared" si="18"/>
        <v>-1</v>
      </c>
      <c r="R145">
        <f>VLOOKUP($A145,Outcomes!$B$3:$I$209,5,FALSE)</f>
        <v>2</v>
      </c>
      <c r="S145">
        <f>VLOOKUP($A145,Outcomes!$B$3:$I$209,6,FALSE)</f>
        <v>7</v>
      </c>
      <c r="T145">
        <f>VLOOKUP($A145,Outcomes!$B$3:$I$209,7,FALSE)</f>
        <v>5</v>
      </c>
      <c r="U145" t="str">
        <f t="shared" si="19"/>
        <v>VisDog</v>
      </c>
      <c r="V145" s="5" t="str">
        <f t="shared" si="20"/>
        <v/>
      </c>
      <c r="W145" t="str">
        <f t="shared" si="16"/>
        <v/>
      </c>
      <c r="X145" t="str">
        <f t="shared" si="21"/>
        <v/>
      </c>
      <c r="Y145" t="str">
        <f t="shared" si="22"/>
        <v/>
      </c>
      <c r="Z145" s="2" t="str">
        <f t="shared" si="23"/>
        <v/>
      </c>
      <c r="AA145" t="str">
        <f>VLOOKUP($A145,ScionOutput!$A$3:$BL$215,64,FALSE)</f>
        <v xml:space="preserve">824912. LineStatEns is NoPlay as bookie-line outside range. StatOnlyEns is NoPlay as bookie-line outside range. No play due to strategy constraints. </v>
      </c>
    </row>
    <row r="146" spans="1:27" x14ac:dyDescent="0.2">
      <c r="A146">
        <v>824913</v>
      </c>
      <c r="B146" s="3">
        <f>VLOOKUP($A146,ScionOutput!$A$3:$BL$215,3,FALSE)</f>
        <v>46190</v>
      </c>
      <c r="C146">
        <f>VLOOKUP($A146,ScionOutput!$A$3:$BL$215,22,FALSE)</f>
        <v>0</v>
      </c>
      <c r="D146" t="str">
        <f>VLOOKUP($A146,ScionOutput!$A$3:$BL$215,23,FALSE)</f>
        <v>ATL</v>
      </c>
      <c r="E146">
        <f>VLOOKUP($A146,ScionOutput!$A$3:$BL$215,6,FALSE)</f>
        <v>25</v>
      </c>
      <c r="F146" t="str">
        <f>VLOOKUP($A146,ScionOutput!$A$3:$BL$215,7,FALSE)</f>
        <v>SF</v>
      </c>
      <c r="G146">
        <f>VLOOKUP($A146,ScionOutput!$A$3:$BL$215,26,FALSE)</f>
        <v>-137</v>
      </c>
      <c r="H146">
        <f>VLOOKUP($A146,ScionOutput!$A$3:$BL$215,10,FALSE)</f>
        <v>124</v>
      </c>
      <c r="I146" s="6" t="str">
        <f>VLOOKUP($A146,ScionOutput!$A$3:$BL$215,55,FALSE)</f>
        <v>HomFave</v>
      </c>
      <c r="J146" s="6">
        <f>VLOOKUP($A146,ScionOutput!$A$3:$BL$215,56,FALSE)</f>
        <v>0</v>
      </c>
      <c r="K146" t="str">
        <f>VLOOKUP($A146,ScionOutput!$A$3:$BL$215,58,FALSE)</f>
        <v>HomFave</v>
      </c>
      <c r="L146">
        <f>VLOOKUP($A146,ScionOutput!$A$3:$BL$215,59,FALSE)</f>
        <v>1.576E-2</v>
      </c>
      <c r="M146">
        <f>VLOOKUP($A146,ScionOutput!$A$3:$BL$215,62,FALSE)</f>
        <v>3</v>
      </c>
      <c r="N146">
        <f>VLOOKUP($A146,ScionOutput!$A$3:$BL$215,63,FALSE)</f>
        <v>1</v>
      </c>
      <c r="O146" t="b">
        <f t="shared" si="17"/>
        <v>0</v>
      </c>
      <c r="P146">
        <f>VLOOKUP($A146,Outcomes!$B$3:$I$209,8,FALSE)</f>
        <v>12</v>
      </c>
      <c r="Q146">
        <f t="shared" si="18"/>
        <v>-1</v>
      </c>
      <c r="R146">
        <f>VLOOKUP($A146,Outcomes!$B$3:$I$209,5,FALSE)</f>
        <v>5</v>
      </c>
      <c r="S146">
        <f>VLOOKUP($A146,Outcomes!$B$3:$I$209,6,FALSE)</f>
        <v>7</v>
      </c>
      <c r="T146">
        <f>VLOOKUP($A146,Outcomes!$B$3:$I$209,7,FALSE)</f>
        <v>2</v>
      </c>
      <c r="U146" t="str">
        <f t="shared" si="19"/>
        <v>VisDog</v>
      </c>
      <c r="V146" s="5" t="str">
        <f t="shared" si="20"/>
        <v/>
      </c>
      <c r="W146" t="str">
        <f t="shared" si="16"/>
        <v/>
      </c>
      <c r="X146" t="str">
        <f t="shared" si="21"/>
        <v/>
      </c>
      <c r="Y146" t="str">
        <f t="shared" si="22"/>
        <v/>
      </c>
      <c r="Z146" s="2" t="str">
        <f t="shared" si="23"/>
        <v/>
      </c>
      <c r="AA146" t="str">
        <f>VLOOKUP($A146,ScionOutput!$A$3:$BL$215,64,FALSE)</f>
        <v xml:space="preserve">824913. StatOnlyEns probability points gap does not exceed threshold (no edge found)! Play determined by LineStatEns only. </v>
      </c>
    </row>
    <row r="147" spans="1:27" x14ac:dyDescent="0.2">
      <c r="A147">
        <v>825072</v>
      </c>
      <c r="B147" s="3">
        <f>VLOOKUP($A147,ScionOutput!$A$3:$BL$215,3,FALSE)</f>
        <v>46190</v>
      </c>
      <c r="C147">
        <f>VLOOKUP($A147,ScionOutput!$A$3:$BL$215,22,FALSE)</f>
        <v>1</v>
      </c>
      <c r="D147" t="str">
        <f>VLOOKUP($A147,ScionOutput!$A$3:$BL$215,23,FALSE)</f>
        <v>ARZ</v>
      </c>
      <c r="E147">
        <f>VLOOKUP($A147,ScionOutput!$A$3:$BL$215,6,FALSE)</f>
        <v>4</v>
      </c>
      <c r="F147" t="str">
        <f>VLOOKUP($A147,ScionOutput!$A$3:$BL$215,7,FALSE)</f>
        <v>LAA</v>
      </c>
      <c r="G147">
        <f>VLOOKUP($A147,ScionOutput!$A$3:$BL$215,26,FALSE)</f>
        <v>-163</v>
      </c>
      <c r="H147">
        <f>VLOOKUP($A147,ScionOutput!$A$3:$BL$215,10,FALSE)</f>
        <v>146</v>
      </c>
      <c r="I147" s="6" t="str">
        <f>VLOOKUP($A147,ScionOutput!$A$3:$BL$215,55,FALSE)</f>
        <v>HomFave</v>
      </c>
      <c r="J147" s="6">
        <f>VLOOKUP($A147,ScionOutput!$A$3:$BL$215,56,FALSE)</f>
        <v>0</v>
      </c>
      <c r="K147" t="str">
        <f>VLOOKUP($A147,ScionOutput!$A$3:$BL$215,58,FALSE)</f>
        <v>No Play</v>
      </c>
      <c r="L147">
        <f>VLOOKUP($A147,ScionOutput!$A$3:$BL$215,59,FALSE)</f>
        <v>0</v>
      </c>
      <c r="M147">
        <f>VLOOKUP($A147,ScionOutput!$A$3:$BL$215,62,FALSE)</f>
        <v>0</v>
      </c>
      <c r="N147">
        <f>VLOOKUP($A147,ScionOutput!$A$3:$BL$215,63,FALSE)</f>
        <v>0</v>
      </c>
      <c r="O147" t="b">
        <f t="shared" si="17"/>
        <v>0</v>
      </c>
      <c r="P147">
        <f>VLOOKUP($A147,Outcomes!$B$3:$I$209,8,FALSE)</f>
        <v>9</v>
      </c>
      <c r="Q147">
        <f t="shared" si="18"/>
        <v>1</v>
      </c>
      <c r="R147">
        <f>VLOOKUP($A147,Outcomes!$B$3:$I$209,5,FALSE)</f>
        <v>8</v>
      </c>
      <c r="S147">
        <f>VLOOKUP($A147,Outcomes!$B$3:$I$209,6,FALSE)</f>
        <v>1</v>
      </c>
      <c r="T147">
        <f>VLOOKUP($A147,Outcomes!$B$3:$I$209,7,FALSE)</f>
        <v>-7</v>
      </c>
      <c r="U147" t="str">
        <f t="shared" si="19"/>
        <v>HomFave</v>
      </c>
      <c r="V147" s="5" t="str">
        <f t="shared" si="20"/>
        <v/>
      </c>
      <c r="W147" t="str">
        <f t="shared" si="16"/>
        <v/>
      </c>
      <c r="X147" t="str">
        <f t="shared" si="21"/>
        <v/>
      </c>
      <c r="Y147" t="str">
        <f t="shared" si="22"/>
        <v/>
      </c>
      <c r="Z147" s="2" t="str">
        <f t="shared" si="23"/>
        <v/>
      </c>
      <c r="AA147" t="str">
        <f>VLOOKUP($A147,ScionOutput!$A$3:$BL$215,64,FALSE)</f>
        <v xml:space="preserve">825072. LineStatEns is NoPlay as bookie-line outside range. StatOnlyEns is NoPlay as bookie-line outside range. No play due to strategy constraints. </v>
      </c>
    </row>
    <row r="148" spans="1:27" x14ac:dyDescent="0.2">
      <c r="A148">
        <v>824746</v>
      </c>
      <c r="B148" s="3">
        <f>VLOOKUP($A148,ScionOutput!$A$3:$BL$215,3,FALSE)</f>
        <v>46190</v>
      </c>
      <c r="C148">
        <f>VLOOKUP($A148,ScionOutput!$A$3:$BL$215,22,FALSE)</f>
        <v>3</v>
      </c>
      <c r="D148" t="str">
        <f>VLOOKUP($A148,ScionOutput!$A$3:$BL$215,23,FALSE)</f>
        <v>BOS</v>
      </c>
      <c r="E148">
        <f>VLOOKUP($A148,ScionOutput!$A$3:$BL$215,6,FALSE)</f>
        <v>29</v>
      </c>
      <c r="F148" t="str">
        <f>VLOOKUP($A148,ScionOutput!$A$3:$BL$215,7,FALSE)</f>
        <v>TOR</v>
      </c>
      <c r="G148">
        <f>VLOOKUP($A148,ScionOutput!$A$3:$BL$215,26,FALSE)</f>
        <v>-124</v>
      </c>
      <c r="H148">
        <f>VLOOKUP($A148,ScionOutput!$A$3:$BL$215,10,FALSE)</f>
        <v>112</v>
      </c>
      <c r="I148" s="6" t="str">
        <f>VLOOKUP($A148,ScionOutput!$A$3:$BL$215,55,FALSE)</f>
        <v>VisDog</v>
      </c>
      <c r="J148" s="6">
        <f>VLOOKUP($A148,ScionOutput!$A$3:$BL$215,56,FALSE)</f>
        <v>1</v>
      </c>
      <c r="K148" t="str">
        <f>VLOOKUP($A148,ScionOutput!$A$3:$BL$215,58,FALSE)</f>
        <v>No Play</v>
      </c>
      <c r="L148">
        <f>VLOOKUP($A148,ScionOutput!$A$3:$BL$215,59,FALSE)</f>
        <v>0</v>
      </c>
      <c r="M148">
        <f>VLOOKUP($A148,ScionOutput!$A$3:$BL$215,62,FALSE)</f>
        <v>0</v>
      </c>
      <c r="N148">
        <f>VLOOKUP($A148,ScionOutput!$A$3:$BL$215,63,FALSE)</f>
        <v>0</v>
      </c>
      <c r="O148" t="b">
        <f t="shared" si="17"/>
        <v>0</v>
      </c>
      <c r="P148">
        <f>VLOOKUP($A148,Outcomes!$B$3:$I$209,8,FALSE)</f>
        <v>3</v>
      </c>
      <c r="Q148">
        <f t="shared" si="18"/>
        <v>-1</v>
      </c>
      <c r="R148">
        <f>VLOOKUP($A148,Outcomes!$B$3:$I$209,5,FALSE)</f>
        <v>0</v>
      </c>
      <c r="S148">
        <f>VLOOKUP($A148,Outcomes!$B$3:$I$209,6,FALSE)</f>
        <v>3</v>
      </c>
      <c r="T148">
        <f>VLOOKUP($A148,Outcomes!$B$3:$I$209,7,FALSE)</f>
        <v>3</v>
      </c>
      <c r="U148" t="str">
        <f t="shared" si="19"/>
        <v>VisDog</v>
      </c>
      <c r="V148" s="5">
        <f t="shared" si="20"/>
        <v>1</v>
      </c>
      <c r="W148">
        <f t="shared" si="16"/>
        <v>100</v>
      </c>
      <c r="X148">
        <f t="shared" si="21"/>
        <v>212</v>
      </c>
      <c r="Y148">
        <f t="shared" si="22"/>
        <v>112</v>
      </c>
      <c r="Z148" s="2">
        <f t="shared" si="23"/>
        <v>1.1200000000000001</v>
      </c>
      <c r="AA148" t="str">
        <f>VLOOKUP($A148,ScionOutput!$A$3:$BL$215,64,FALSE)</f>
        <v xml:space="preserve">824746. LineStatEns probability points gap does not exceed threshold (no edge found)! No play due to strategy constraints. </v>
      </c>
    </row>
    <row r="149" spans="1:27" x14ac:dyDescent="0.2">
      <c r="A149">
        <v>824668</v>
      </c>
      <c r="B149" s="3">
        <f>VLOOKUP($A149,ScionOutput!$A$3:$BL$215,3,FALSE)</f>
        <v>46190</v>
      </c>
      <c r="C149">
        <f>VLOOKUP($A149,ScionOutput!$A$3:$BL$215,22,FALSE)</f>
        <v>5</v>
      </c>
      <c r="D149" t="str">
        <f>VLOOKUP($A149,ScionOutput!$A$3:$BL$215,23,FALSE)</f>
        <v>CHC</v>
      </c>
      <c r="E149">
        <f>VLOOKUP($A149,ScionOutput!$A$3:$BL$215,6,FALSE)</f>
        <v>8</v>
      </c>
      <c r="F149" t="str">
        <f>VLOOKUP($A149,ScionOutput!$A$3:$BL$215,7,FALSE)</f>
        <v>COL</v>
      </c>
      <c r="G149">
        <f>VLOOKUP($A149,ScionOutput!$A$3:$BL$215,26,FALSE)</f>
        <v>-180</v>
      </c>
      <c r="H149">
        <f>VLOOKUP($A149,ScionOutput!$A$3:$BL$215,10,FALSE)</f>
        <v>161</v>
      </c>
      <c r="I149" s="6" t="str">
        <f>VLOOKUP($A149,ScionOutput!$A$3:$BL$215,55,FALSE)</f>
        <v>HomFave</v>
      </c>
      <c r="J149" s="6">
        <f>VLOOKUP($A149,ScionOutput!$A$3:$BL$215,56,FALSE)</f>
        <v>0</v>
      </c>
      <c r="K149" t="str">
        <f>VLOOKUP($A149,ScionOutput!$A$3:$BL$215,58,FALSE)</f>
        <v>No Play</v>
      </c>
      <c r="L149">
        <f>VLOOKUP($A149,ScionOutput!$A$3:$BL$215,59,FALSE)</f>
        <v>0</v>
      </c>
      <c r="M149">
        <f>VLOOKUP($A149,ScionOutput!$A$3:$BL$215,62,FALSE)</f>
        <v>0</v>
      </c>
      <c r="N149">
        <f>VLOOKUP($A149,ScionOutput!$A$3:$BL$215,63,FALSE)</f>
        <v>0</v>
      </c>
      <c r="O149" t="b">
        <f t="shared" si="17"/>
        <v>0</v>
      </c>
      <c r="P149">
        <f>VLOOKUP($A149,Outcomes!$B$3:$I$209,8,FALSE)</f>
        <v>14</v>
      </c>
      <c r="Q149">
        <f t="shared" si="18"/>
        <v>1</v>
      </c>
      <c r="R149">
        <f>VLOOKUP($A149,Outcomes!$B$3:$I$209,5,FALSE)</f>
        <v>8</v>
      </c>
      <c r="S149">
        <f>VLOOKUP($A149,Outcomes!$B$3:$I$209,6,FALSE)</f>
        <v>6</v>
      </c>
      <c r="T149">
        <f>VLOOKUP($A149,Outcomes!$B$3:$I$209,7,FALSE)</f>
        <v>-2</v>
      </c>
      <c r="U149" t="str">
        <f t="shared" si="19"/>
        <v>HomFave</v>
      </c>
      <c r="V149" s="5" t="str">
        <f t="shared" si="20"/>
        <v/>
      </c>
      <c r="W149" t="str">
        <f t="shared" si="16"/>
        <v/>
      </c>
      <c r="X149" t="str">
        <f t="shared" si="21"/>
        <v/>
      </c>
      <c r="Y149" t="str">
        <f t="shared" si="22"/>
        <v/>
      </c>
      <c r="Z149" s="2" t="str">
        <f t="shared" si="23"/>
        <v/>
      </c>
      <c r="AA149" t="str">
        <f>VLOOKUP($A149,ScionOutput!$A$3:$BL$215,64,FALSE)</f>
        <v xml:space="preserve">824668. LineStatEns is NoPlay as bookie-line outside range. StatOnlyEns is NoPlay as bookie-line outside range. No play due to strategy constraints. </v>
      </c>
    </row>
    <row r="150" spans="1:27" x14ac:dyDescent="0.2">
      <c r="A150">
        <v>824503</v>
      </c>
      <c r="B150" s="3">
        <f>VLOOKUP($A150,ScionOutput!$A$3:$BL$215,3,FALSE)</f>
        <v>46190</v>
      </c>
      <c r="C150">
        <f>VLOOKUP($A150,ScionOutput!$A$3:$BL$215,22,FALSE)</f>
        <v>6</v>
      </c>
      <c r="D150" t="str">
        <f>VLOOKUP($A150,ScionOutput!$A$3:$BL$215,23,FALSE)</f>
        <v>CIN</v>
      </c>
      <c r="E150">
        <f>VLOOKUP($A150,ScionOutput!$A$3:$BL$215,6,FALSE)</f>
        <v>18</v>
      </c>
      <c r="F150" t="str">
        <f>VLOOKUP($A150,ScionOutput!$A$3:$BL$215,7,FALSE)</f>
        <v>NYM</v>
      </c>
      <c r="G150">
        <f>VLOOKUP($A150,ScionOutput!$A$3:$BL$215,26,FALSE)</f>
        <v>113</v>
      </c>
      <c r="H150">
        <f>VLOOKUP($A150,ScionOutput!$A$3:$BL$215,10,FALSE)</f>
        <v>-125</v>
      </c>
      <c r="I150" s="6" t="str">
        <f>VLOOKUP($A150,ScionOutput!$A$3:$BL$215,55,FALSE)</f>
        <v>VisFave</v>
      </c>
      <c r="J150" s="6">
        <f>VLOOKUP($A150,ScionOutput!$A$3:$BL$215,56,FALSE)</f>
        <v>0</v>
      </c>
      <c r="K150" t="str">
        <f>VLOOKUP($A150,ScionOutput!$A$3:$BL$215,58,FALSE)</f>
        <v>No Play</v>
      </c>
      <c r="L150">
        <f>VLOOKUP($A150,ScionOutput!$A$3:$BL$215,59,FALSE)</f>
        <v>0</v>
      </c>
      <c r="M150">
        <f>VLOOKUP($A150,ScionOutput!$A$3:$BL$215,62,FALSE)</f>
        <v>0</v>
      </c>
      <c r="N150">
        <f>VLOOKUP($A150,ScionOutput!$A$3:$BL$215,63,FALSE)</f>
        <v>0</v>
      </c>
      <c r="O150" t="b">
        <f t="shared" si="17"/>
        <v>0</v>
      </c>
      <c r="P150">
        <f>VLOOKUP($A150,Outcomes!$B$3:$I$209,8,FALSE)</f>
        <v>10</v>
      </c>
      <c r="Q150">
        <f t="shared" si="18"/>
        <v>-1</v>
      </c>
      <c r="R150">
        <f>VLOOKUP($A150,Outcomes!$B$3:$I$209,5,FALSE)</f>
        <v>1</v>
      </c>
      <c r="S150">
        <f>VLOOKUP($A150,Outcomes!$B$3:$I$209,6,FALSE)</f>
        <v>9</v>
      </c>
      <c r="T150">
        <f>VLOOKUP($A150,Outcomes!$B$3:$I$209,7,FALSE)</f>
        <v>8</v>
      </c>
      <c r="U150" t="str">
        <f t="shared" si="19"/>
        <v>VisFave</v>
      </c>
      <c r="V150" s="5" t="str">
        <f t="shared" si="20"/>
        <v/>
      </c>
      <c r="W150" t="str">
        <f t="shared" si="16"/>
        <v/>
      </c>
      <c r="X150" t="str">
        <f t="shared" si="21"/>
        <v/>
      </c>
      <c r="Y150" t="str">
        <f t="shared" si="22"/>
        <v/>
      </c>
      <c r="Z150" s="2" t="str">
        <f t="shared" si="23"/>
        <v/>
      </c>
      <c r="AA150" t="str">
        <f>VLOOKUP($A150,ScionOutput!$A$3:$BL$215,64,FALSE)</f>
        <v xml:space="preserve">824503. VF plays are disallowed. No play due to strategy constraints. </v>
      </c>
    </row>
    <row r="151" spans="1:27" x14ac:dyDescent="0.2">
      <c r="A151">
        <v>824178</v>
      </c>
      <c r="B151" s="3">
        <f>VLOOKUP($A151,ScionOutput!$A$3:$BL$215,3,FALSE)</f>
        <v>46190</v>
      </c>
      <c r="C151">
        <f>VLOOKUP($A151,ScionOutput!$A$3:$BL$215,22,FALSE)</f>
        <v>12</v>
      </c>
      <c r="D151" t="str">
        <f>VLOOKUP($A151,ScionOutput!$A$3:$BL$215,23,FALSE)</f>
        <v>HOU</v>
      </c>
      <c r="E151">
        <f>VLOOKUP($A151,ScionOutput!$A$3:$BL$215,6,FALSE)</f>
        <v>10</v>
      </c>
      <c r="F151" t="str">
        <f>VLOOKUP($A151,ScionOutput!$A$3:$BL$215,7,FALSE)</f>
        <v>DET</v>
      </c>
      <c r="G151">
        <f>VLOOKUP($A151,ScionOutput!$A$3:$BL$215,26,FALSE)</f>
        <v>-103</v>
      </c>
      <c r="H151">
        <f>VLOOKUP($A151,ScionOutput!$A$3:$BL$215,10,FALSE)</f>
        <v>-107</v>
      </c>
      <c r="I151" s="6" t="str">
        <f>VLOOKUP($A151,ScionOutput!$A$3:$BL$215,55,FALSE)</f>
        <v>HomDog</v>
      </c>
      <c r="J151" s="6">
        <f>VLOOKUP($A151,ScionOutput!$A$3:$BL$215,56,FALSE)</f>
        <v>1</v>
      </c>
      <c r="K151" t="str">
        <f>VLOOKUP($A151,ScionOutput!$A$3:$BL$215,58,FALSE)</f>
        <v>No Play</v>
      </c>
      <c r="L151">
        <f>VLOOKUP($A151,ScionOutput!$A$3:$BL$215,59,FALSE)</f>
        <v>0</v>
      </c>
      <c r="M151">
        <f>VLOOKUP($A151,ScionOutput!$A$3:$BL$215,62,FALSE)</f>
        <v>0</v>
      </c>
      <c r="N151">
        <f>VLOOKUP($A151,ScionOutput!$A$3:$BL$215,63,FALSE)</f>
        <v>0</v>
      </c>
      <c r="O151" t="b">
        <f t="shared" si="17"/>
        <v>0</v>
      </c>
      <c r="P151">
        <f>VLOOKUP($A151,Outcomes!$B$3:$I$209,8,FALSE)</f>
        <v>6</v>
      </c>
      <c r="Q151">
        <f t="shared" si="18"/>
        <v>1</v>
      </c>
      <c r="R151">
        <f>VLOOKUP($A151,Outcomes!$B$3:$I$209,5,FALSE)</f>
        <v>4</v>
      </c>
      <c r="S151">
        <f>VLOOKUP($A151,Outcomes!$B$3:$I$209,6,FALSE)</f>
        <v>2</v>
      </c>
      <c r="T151">
        <f>VLOOKUP($A151,Outcomes!$B$3:$I$209,7,FALSE)</f>
        <v>-2</v>
      </c>
      <c r="U151" t="str">
        <f t="shared" si="19"/>
        <v>HomDog</v>
      </c>
      <c r="V151" s="5">
        <f t="shared" si="20"/>
        <v>1</v>
      </c>
      <c r="W151">
        <f t="shared" si="16"/>
        <v>103</v>
      </c>
      <c r="X151">
        <f t="shared" si="21"/>
        <v>203</v>
      </c>
      <c r="Y151">
        <f t="shared" si="22"/>
        <v>100</v>
      </c>
      <c r="Z151" s="2">
        <f t="shared" si="23"/>
        <v>0.970873786407767</v>
      </c>
      <c r="AA151" t="str">
        <f>VLOOKUP($A151,ScionOutput!$A$3:$BL$215,64,FALSE)</f>
        <v xml:space="preserve">824178. VF plays are disallowed. No play due to strategy constraints. </v>
      </c>
    </row>
    <row r="152" spans="1:27" x14ac:dyDescent="0.2">
      <c r="A152">
        <v>823940</v>
      </c>
      <c r="B152" s="3">
        <f>VLOOKUP($A152,ScionOutput!$A$3:$BL$215,3,FALSE)</f>
        <v>46190</v>
      </c>
      <c r="C152">
        <f>VLOOKUP($A152,ScionOutput!$A$3:$BL$215,22,FALSE)</f>
        <v>14</v>
      </c>
      <c r="D152" t="str">
        <f>VLOOKUP($A152,ScionOutput!$A$3:$BL$215,23,FALSE)</f>
        <v>LA</v>
      </c>
      <c r="E152">
        <f>VLOOKUP($A152,ScionOutput!$A$3:$BL$215,6,FALSE)</f>
        <v>27</v>
      </c>
      <c r="F152" t="str">
        <f>VLOOKUP($A152,ScionOutput!$A$3:$BL$215,7,FALSE)</f>
        <v>TB</v>
      </c>
      <c r="G152">
        <f>VLOOKUP($A152,ScionOutput!$A$3:$BL$215,26,FALSE)</f>
        <v>-181</v>
      </c>
      <c r="H152">
        <f>VLOOKUP($A152,ScionOutput!$A$3:$BL$215,10,FALSE)</f>
        <v>162</v>
      </c>
      <c r="I152" s="6" t="str">
        <f>VLOOKUP($A152,ScionOutput!$A$3:$BL$215,55,FALSE)</f>
        <v>HomFave</v>
      </c>
      <c r="J152" s="6">
        <f>VLOOKUP($A152,ScionOutput!$A$3:$BL$215,56,FALSE)</f>
        <v>0</v>
      </c>
      <c r="K152" t="str">
        <f>VLOOKUP($A152,ScionOutput!$A$3:$BL$215,58,FALSE)</f>
        <v>No Play</v>
      </c>
      <c r="L152">
        <f>VLOOKUP($A152,ScionOutput!$A$3:$BL$215,59,FALSE)</f>
        <v>0</v>
      </c>
      <c r="M152">
        <f>VLOOKUP($A152,ScionOutput!$A$3:$BL$215,62,FALSE)</f>
        <v>0</v>
      </c>
      <c r="N152">
        <f>VLOOKUP($A152,ScionOutput!$A$3:$BL$215,63,FALSE)</f>
        <v>0</v>
      </c>
      <c r="O152" t="b">
        <f t="shared" si="17"/>
        <v>0</v>
      </c>
      <c r="P152">
        <f>VLOOKUP($A152,Outcomes!$B$3:$I$209,8,FALSE)</f>
        <v>9</v>
      </c>
      <c r="Q152">
        <f t="shared" si="18"/>
        <v>1</v>
      </c>
      <c r="R152">
        <f>VLOOKUP($A152,Outcomes!$B$3:$I$209,5,FALSE)</f>
        <v>5</v>
      </c>
      <c r="S152">
        <f>VLOOKUP($A152,Outcomes!$B$3:$I$209,6,FALSE)</f>
        <v>4</v>
      </c>
      <c r="T152">
        <f>VLOOKUP($A152,Outcomes!$B$3:$I$209,7,FALSE)</f>
        <v>-1</v>
      </c>
      <c r="U152" t="str">
        <f t="shared" si="19"/>
        <v>HomFave</v>
      </c>
      <c r="V152" s="5" t="str">
        <f t="shared" si="20"/>
        <v/>
      </c>
      <c r="W152" t="str">
        <f t="shared" si="16"/>
        <v/>
      </c>
      <c r="X152" t="str">
        <f t="shared" si="21"/>
        <v/>
      </c>
      <c r="Y152" t="str">
        <f t="shared" si="22"/>
        <v/>
      </c>
      <c r="Z152" s="2" t="str">
        <f t="shared" si="23"/>
        <v/>
      </c>
      <c r="AA152" t="str">
        <f>VLOOKUP($A152,ScionOutput!$A$3:$BL$215,64,FALSE)</f>
        <v xml:space="preserve">823940. LineStatEns is NoPlay as bookie-line outside range. StatOnlyEns is NoPlay as bookie-line outside range. No play due to strategy constraints. </v>
      </c>
    </row>
    <row r="153" spans="1:27" x14ac:dyDescent="0.2">
      <c r="A153">
        <v>822721</v>
      </c>
      <c r="B153" s="3">
        <f>VLOOKUP($A153,ScionOutput!$A$3:$BL$215,3,FALSE)</f>
        <v>46190</v>
      </c>
      <c r="C153">
        <f>VLOOKUP($A153,ScionOutput!$A$3:$BL$215,22,FALSE)</f>
        <v>16</v>
      </c>
      <c r="D153" t="str">
        <f>VLOOKUP($A153,ScionOutput!$A$3:$BL$215,23,FALSE)</f>
        <v>WAS</v>
      </c>
      <c r="E153">
        <f>VLOOKUP($A153,ScionOutput!$A$3:$BL$215,6,FALSE)</f>
        <v>13</v>
      </c>
      <c r="F153" t="str">
        <f>VLOOKUP($A153,ScionOutput!$A$3:$BL$215,7,FALSE)</f>
        <v>KC</v>
      </c>
      <c r="G153">
        <f>VLOOKUP($A153,ScionOutput!$A$3:$BL$215,26,FALSE)</f>
        <v>-125</v>
      </c>
      <c r="H153">
        <f>VLOOKUP($A153,ScionOutput!$A$3:$BL$215,10,FALSE)</f>
        <v>113</v>
      </c>
      <c r="I153" s="6" t="str">
        <f>VLOOKUP($A153,ScionOutput!$A$3:$BL$215,55,FALSE)</f>
        <v>HomFave</v>
      </c>
      <c r="J153" s="6">
        <f>VLOOKUP($A153,ScionOutput!$A$3:$BL$215,56,FALSE)</f>
        <v>0</v>
      </c>
      <c r="K153" t="str">
        <f>VLOOKUP($A153,ScionOutput!$A$3:$BL$215,58,FALSE)</f>
        <v>No Play</v>
      </c>
      <c r="L153">
        <f>VLOOKUP($A153,ScionOutput!$A$3:$BL$215,59,FALSE)</f>
        <v>0</v>
      </c>
      <c r="M153">
        <f>VLOOKUP($A153,ScionOutput!$A$3:$BL$215,62,FALSE)</f>
        <v>0</v>
      </c>
      <c r="N153">
        <f>VLOOKUP($A153,ScionOutput!$A$3:$BL$215,63,FALSE)</f>
        <v>0</v>
      </c>
      <c r="O153" t="b">
        <f t="shared" si="17"/>
        <v>0</v>
      </c>
      <c r="P153">
        <f>VLOOKUP($A153,Outcomes!$B$3:$I$209,8,FALSE)</f>
        <v>8</v>
      </c>
      <c r="Q153">
        <f t="shared" si="18"/>
        <v>-1</v>
      </c>
      <c r="R153">
        <f>VLOOKUP($A153,Outcomes!$B$3:$I$209,5,FALSE)</f>
        <v>2</v>
      </c>
      <c r="S153">
        <f>VLOOKUP($A153,Outcomes!$B$3:$I$209,6,FALSE)</f>
        <v>6</v>
      </c>
      <c r="T153">
        <f>VLOOKUP($A153,Outcomes!$B$3:$I$209,7,FALSE)</f>
        <v>4</v>
      </c>
      <c r="U153" t="str">
        <f t="shared" si="19"/>
        <v>VisDog</v>
      </c>
      <c r="V153" s="5" t="str">
        <f t="shared" si="20"/>
        <v/>
      </c>
      <c r="W153" t="str">
        <f t="shared" si="16"/>
        <v/>
      </c>
      <c r="X153" t="str">
        <f t="shared" si="21"/>
        <v/>
      </c>
      <c r="Y153" t="str">
        <f t="shared" si="22"/>
        <v/>
      </c>
      <c r="Z153" s="2" t="str">
        <f t="shared" si="23"/>
        <v/>
      </c>
      <c r="AA153" t="str">
        <f>VLOOKUP($A153,ScionOutput!$A$3:$BL$215,64,FALSE)</f>
        <v xml:space="preserve">822721. LineStatEns probability points gap does not exceed threshold (no edge found)! StatOnlyEns probability points gap does not exceed threshold (no edge found)! No play due to strategy constraints. </v>
      </c>
    </row>
    <row r="154" spans="1:27" x14ac:dyDescent="0.2">
      <c r="A154">
        <v>823774</v>
      </c>
      <c r="B154" s="3">
        <f>VLOOKUP($A154,ScionOutput!$A$3:$BL$215,3,FALSE)</f>
        <v>46190</v>
      </c>
      <c r="C154">
        <f>VLOOKUP($A154,ScionOutput!$A$3:$BL$215,22,FALSE)</f>
        <v>17</v>
      </c>
      <c r="D154" t="str">
        <f>VLOOKUP($A154,ScionOutput!$A$3:$BL$215,23,FALSE)</f>
        <v>MLW</v>
      </c>
      <c r="E154">
        <f>VLOOKUP($A154,ScionOutput!$A$3:$BL$215,6,FALSE)</f>
        <v>7</v>
      </c>
      <c r="F154" t="str">
        <f>VLOOKUP($A154,ScionOutput!$A$3:$BL$215,7,FALSE)</f>
        <v>CLE</v>
      </c>
      <c r="G154">
        <f>VLOOKUP($A154,ScionOutput!$A$3:$BL$215,26,FALSE)</f>
        <v>-118</v>
      </c>
      <c r="H154">
        <f>VLOOKUP($A154,ScionOutput!$A$3:$BL$215,10,FALSE)</f>
        <v>107</v>
      </c>
      <c r="I154" s="6" t="str">
        <f>VLOOKUP($A154,ScionOutput!$A$3:$BL$215,55,FALSE)</f>
        <v>VisDog</v>
      </c>
      <c r="J154" s="6">
        <f>VLOOKUP($A154,ScionOutput!$A$3:$BL$215,56,FALSE)</f>
        <v>1</v>
      </c>
      <c r="K154" t="str">
        <f>VLOOKUP($A154,ScionOutput!$A$3:$BL$215,58,FALSE)</f>
        <v>No Play</v>
      </c>
      <c r="L154">
        <f>VLOOKUP($A154,ScionOutput!$A$3:$BL$215,59,FALSE)</f>
        <v>0</v>
      </c>
      <c r="M154">
        <f>VLOOKUP($A154,ScionOutput!$A$3:$BL$215,62,FALSE)</f>
        <v>0</v>
      </c>
      <c r="N154">
        <f>VLOOKUP($A154,ScionOutput!$A$3:$BL$215,63,FALSE)</f>
        <v>0</v>
      </c>
      <c r="O154" t="b">
        <f t="shared" si="17"/>
        <v>0</v>
      </c>
      <c r="P154">
        <f>VLOOKUP($A154,Outcomes!$B$3:$I$209,8,FALSE)</f>
        <v>13</v>
      </c>
      <c r="Q154">
        <f t="shared" si="18"/>
        <v>1</v>
      </c>
      <c r="R154">
        <f>VLOOKUP($A154,Outcomes!$B$3:$I$209,5,FALSE)</f>
        <v>9</v>
      </c>
      <c r="S154">
        <f>VLOOKUP($A154,Outcomes!$B$3:$I$209,6,FALSE)</f>
        <v>4</v>
      </c>
      <c r="T154">
        <f>VLOOKUP($A154,Outcomes!$B$3:$I$209,7,FALSE)</f>
        <v>-5</v>
      </c>
      <c r="U154" t="str">
        <f t="shared" si="19"/>
        <v>HomFave</v>
      </c>
      <c r="V154" s="5">
        <f t="shared" si="20"/>
        <v>0</v>
      </c>
      <c r="W154">
        <f t="shared" si="16"/>
        <v>100</v>
      </c>
      <c r="X154">
        <f t="shared" si="21"/>
        <v>0</v>
      </c>
      <c r="Y154">
        <f t="shared" si="22"/>
        <v>-100</v>
      </c>
      <c r="Z154" s="2">
        <f t="shared" si="23"/>
        <v>-1</v>
      </c>
      <c r="AA154" t="str">
        <f>VLOOKUP($A154,ScionOutput!$A$3:$BL$215,64,FALSE)</f>
        <v xml:space="preserve">823774. LineStatEns probability points gap does not exceed threshold (no edge found)! No play due to strategy constraints. </v>
      </c>
    </row>
    <row r="155" spans="1:27" x14ac:dyDescent="0.2">
      <c r="A155">
        <v>823536</v>
      </c>
      <c r="B155" s="3">
        <f>VLOOKUP($A155,ScionOutput!$A$3:$BL$215,3,FALSE)</f>
        <v>46190</v>
      </c>
      <c r="C155">
        <f>VLOOKUP($A155,ScionOutput!$A$3:$BL$215,22,FALSE)</f>
        <v>19</v>
      </c>
      <c r="D155" t="str">
        <f>VLOOKUP($A155,ScionOutput!$A$3:$BL$215,23,FALSE)</f>
        <v>NYY</v>
      </c>
      <c r="E155">
        <f>VLOOKUP($A155,ScionOutput!$A$3:$BL$215,6,FALSE)</f>
        <v>9</v>
      </c>
      <c r="F155" t="str">
        <f>VLOOKUP($A155,ScionOutput!$A$3:$BL$215,7,FALSE)</f>
        <v>CWS</v>
      </c>
      <c r="G155">
        <f>VLOOKUP($A155,ScionOutput!$A$3:$BL$215,26,FALSE)</f>
        <v>-170</v>
      </c>
      <c r="H155">
        <f>VLOOKUP($A155,ScionOutput!$A$3:$BL$215,10,FALSE)</f>
        <v>153</v>
      </c>
      <c r="I155" s="6" t="str">
        <f>VLOOKUP($A155,ScionOutput!$A$3:$BL$215,55,FALSE)</f>
        <v>HomFave</v>
      </c>
      <c r="J155" s="6">
        <f>VLOOKUP($A155,ScionOutput!$A$3:$BL$215,56,FALSE)</f>
        <v>0</v>
      </c>
      <c r="K155" t="str">
        <f>VLOOKUP($A155,ScionOutput!$A$3:$BL$215,58,FALSE)</f>
        <v>No Play</v>
      </c>
      <c r="L155">
        <f>VLOOKUP($A155,ScionOutput!$A$3:$BL$215,59,FALSE)</f>
        <v>0</v>
      </c>
      <c r="M155">
        <f>VLOOKUP($A155,ScionOutput!$A$3:$BL$215,62,FALSE)</f>
        <v>0</v>
      </c>
      <c r="N155">
        <f>VLOOKUP($A155,ScionOutput!$A$3:$BL$215,63,FALSE)</f>
        <v>0</v>
      </c>
      <c r="O155" t="b">
        <f t="shared" si="17"/>
        <v>0</v>
      </c>
      <c r="P155">
        <f>VLOOKUP($A155,Outcomes!$B$3:$I$209,8,FALSE)</f>
        <v>15</v>
      </c>
      <c r="Q155">
        <f t="shared" si="18"/>
        <v>1</v>
      </c>
      <c r="R155">
        <f>VLOOKUP($A155,Outcomes!$B$3:$I$209,5,FALSE)</f>
        <v>10</v>
      </c>
      <c r="S155">
        <f>VLOOKUP($A155,Outcomes!$B$3:$I$209,6,FALSE)</f>
        <v>5</v>
      </c>
      <c r="T155">
        <f>VLOOKUP($A155,Outcomes!$B$3:$I$209,7,FALSE)</f>
        <v>-5</v>
      </c>
      <c r="U155" t="str">
        <f t="shared" si="19"/>
        <v>HomFave</v>
      </c>
      <c r="V155" s="5" t="str">
        <f t="shared" si="20"/>
        <v/>
      </c>
      <c r="W155" t="str">
        <f t="shared" si="16"/>
        <v/>
      </c>
      <c r="X155" t="str">
        <f t="shared" si="21"/>
        <v/>
      </c>
      <c r="Y155" t="str">
        <f t="shared" si="22"/>
        <v/>
      </c>
      <c r="Z155" s="2" t="str">
        <f t="shared" si="23"/>
        <v/>
      </c>
      <c r="AA155" t="str">
        <f>VLOOKUP($A155,ScionOutput!$A$3:$BL$215,64,FALSE)</f>
        <v xml:space="preserve">823536. LineStatEns is NoPlay as bookie-line outside range. StatOnlyEns is NoPlay as bookie-line outside range. No play due to strategy constraints. </v>
      </c>
    </row>
    <row r="156" spans="1:27" x14ac:dyDescent="0.2">
      <c r="A156">
        <v>824992</v>
      </c>
      <c r="B156" s="3">
        <f>VLOOKUP($A156,ScionOutput!$A$3:$BL$215,3,FALSE)</f>
        <v>46190</v>
      </c>
      <c r="C156">
        <f>VLOOKUP($A156,ScionOutput!$A$3:$BL$215,22,FALSE)</f>
        <v>20</v>
      </c>
      <c r="D156" t="str">
        <f>VLOOKUP($A156,ScionOutput!$A$3:$BL$215,23,FALSE)</f>
        <v>OAK</v>
      </c>
      <c r="E156">
        <f>VLOOKUP($A156,ScionOutput!$A$3:$BL$215,6,FALSE)</f>
        <v>22</v>
      </c>
      <c r="F156" t="str">
        <f>VLOOKUP($A156,ScionOutput!$A$3:$BL$215,7,FALSE)</f>
        <v>PIT</v>
      </c>
      <c r="G156">
        <f>VLOOKUP($A156,ScionOutput!$A$3:$BL$215,26,FALSE)</f>
        <v>104</v>
      </c>
      <c r="H156">
        <f>VLOOKUP($A156,ScionOutput!$A$3:$BL$215,10,FALSE)</f>
        <v>-114</v>
      </c>
      <c r="I156" s="6" t="str">
        <f>VLOOKUP($A156,ScionOutput!$A$3:$BL$215,55,FALSE)</f>
        <v>HomDog</v>
      </c>
      <c r="J156" s="6">
        <f>VLOOKUP($A156,ScionOutput!$A$3:$BL$215,56,FALSE)</f>
        <v>1</v>
      </c>
      <c r="K156" t="str">
        <f>VLOOKUP($A156,ScionOutput!$A$3:$BL$215,58,FALSE)</f>
        <v>HomDog</v>
      </c>
      <c r="L156">
        <f>VLOOKUP($A156,ScionOutput!$A$3:$BL$215,59,FALSE)</f>
        <v>2.078E-2</v>
      </c>
      <c r="M156">
        <f>VLOOKUP($A156,ScionOutput!$A$3:$BL$215,62,FALSE)</f>
        <v>5</v>
      </c>
      <c r="N156">
        <f>VLOOKUP($A156,ScionOutput!$A$3:$BL$215,63,FALSE)</f>
        <v>0.53</v>
      </c>
      <c r="O156" t="b">
        <f t="shared" si="17"/>
        <v>1</v>
      </c>
      <c r="P156">
        <f>VLOOKUP($A156,Outcomes!$B$3:$I$209,8,FALSE)</f>
        <v>16</v>
      </c>
      <c r="Q156">
        <f t="shared" si="18"/>
        <v>-1</v>
      </c>
      <c r="R156">
        <f>VLOOKUP($A156,Outcomes!$B$3:$I$209,5,FALSE)</f>
        <v>4</v>
      </c>
      <c r="S156">
        <f>VLOOKUP($A156,Outcomes!$B$3:$I$209,6,FALSE)</f>
        <v>12</v>
      </c>
      <c r="T156">
        <f>VLOOKUP($A156,Outcomes!$B$3:$I$209,7,FALSE)</f>
        <v>8</v>
      </c>
      <c r="U156" t="str">
        <f t="shared" si="19"/>
        <v>VisFave</v>
      </c>
      <c r="V156" s="5">
        <f t="shared" si="20"/>
        <v>0</v>
      </c>
      <c r="W156">
        <f t="shared" si="16"/>
        <v>100</v>
      </c>
      <c r="X156">
        <f t="shared" si="21"/>
        <v>0</v>
      </c>
      <c r="Y156">
        <f t="shared" si="22"/>
        <v>-100</v>
      </c>
      <c r="Z156" s="2">
        <f t="shared" si="23"/>
        <v>-1</v>
      </c>
      <c r="AA156" t="str">
        <f>VLOOKUP($A156,ScionOutput!$A$3:$BL$215,64,FALSE)</f>
        <v xml:space="preserve">824992. Play determined by LineStatEns and StatOnlyEns agreement. </v>
      </c>
    </row>
    <row r="157" spans="1:27" x14ac:dyDescent="0.2">
      <c r="A157">
        <v>823450</v>
      </c>
      <c r="B157" s="3">
        <f>VLOOKUP($A157,ScionOutput!$A$3:$BL$215,3,FALSE)</f>
        <v>46190</v>
      </c>
      <c r="C157">
        <f>VLOOKUP($A157,ScionOutput!$A$3:$BL$215,22,FALSE)</f>
        <v>21</v>
      </c>
      <c r="D157" t="str">
        <f>VLOOKUP($A157,ScionOutput!$A$3:$BL$215,23,FALSE)</f>
        <v>PHI</v>
      </c>
      <c r="E157">
        <f>VLOOKUP($A157,ScionOutput!$A$3:$BL$215,6,FALSE)</f>
        <v>11</v>
      </c>
      <c r="F157" t="str">
        <f>VLOOKUP($A157,ScionOutput!$A$3:$BL$215,7,FALSE)</f>
        <v>FLO</v>
      </c>
      <c r="G157">
        <f>VLOOKUP($A157,ScionOutput!$A$3:$BL$215,26,FALSE)</f>
        <v>-111</v>
      </c>
      <c r="H157">
        <f>VLOOKUP($A157,ScionOutput!$A$3:$BL$215,10,FALSE)</f>
        <v>100</v>
      </c>
      <c r="I157" s="6" t="str">
        <f>VLOOKUP($A157,ScionOutput!$A$3:$BL$215,55,FALSE)</f>
        <v>HomFave</v>
      </c>
      <c r="J157" s="6">
        <f>VLOOKUP($A157,ScionOutput!$A$3:$BL$215,56,FALSE)</f>
        <v>0</v>
      </c>
      <c r="K157" t="str">
        <f>VLOOKUP($A157,ScionOutput!$A$3:$BL$215,58,FALSE)</f>
        <v>HomFave</v>
      </c>
      <c r="L157">
        <f>VLOOKUP($A157,ScionOutput!$A$3:$BL$215,59,FALSE)</f>
        <v>7.3000000000000001E-3</v>
      </c>
      <c r="M157">
        <f>VLOOKUP($A157,ScionOutput!$A$3:$BL$215,62,FALSE)</f>
        <v>3</v>
      </c>
      <c r="N157">
        <f>VLOOKUP($A157,ScionOutput!$A$3:$BL$215,63,FALSE)</f>
        <v>0.93</v>
      </c>
      <c r="O157" t="b">
        <f t="shared" si="17"/>
        <v>0</v>
      </c>
      <c r="P157">
        <f>VLOOKUP($A157,Outcomes!$B$3:$I$209,8,FALSE)</f>
        <v>16</v>
      </c>
      <c r="Q157">
        <f t="shared" si="18"/>
        <v>-1</v>
      </c>
      <c r="R157">
        <f>VLOOKUP($A157,Outcomes!$B$3:$I$209,5,FALSE)</f>
        <v>4</v>
      </c>
      <c r="S157">
        <f>VLOOKUP($A157,Outcomes!$B$3:$I$209,6,FALSE)</f>
        <v>12</v>
      </c>
      <c r="T157">
        <f>VLOOKUP($A157,Outcomes!$B$3:$I$209,7,FALSE)</f>
        <v>8</v>
      </c>
      <c r="U157" t="str">
        <f t="shared" si="19"/>
        <v>VisDog</v>
      </c>
      <c r="V157" s="5" t="str">
        <f t="shared" si="20"/>
        <v/>
      </c>
      <c r="W157" t="str">
        <f t="shared" si="16"/>
        <v/>
      </c>
      <c r="X157" t="str">
        <f t="shared" si="21"/>
        <v/>
      </c>
      <c r="Y157" t="str">
        <f t="shared" si="22"/>
        <v/>
      </c>
      <c r="Z157" s="2" t="str">
        <f t="shared" si="23"/>
        <v/>
      </c>
      <c r="AA157" t="str">
        <f>VLOOKUP($A157,ScionOutput!$A$3:$BL$215,64,FALSE)</f>
        <v xml:space="preserve">823450. StatOnlyEns probability points gap does not exceed threshold (no edge found)! Play determined by LineStatEns only. </v>
      </c>
    </row>
    <row r="158" spans="1:27" x14ac:dyDescent="0.2">
      <c r="A158">
        <v>823127</v>
      </c>
      <c r="B158" s="3">
        <f>VLOOKUP($A158,ScionOutput!$A$3:$BL$215,3,FALSE)</f>
        <v>46190</v>
      </c>
      <c r="C158">
        <f>VLOOKUP($A158,ScionOutput!$A$3:$BL$215,22,FALSE)</f>
        <v>24</v>
      </c>
      <c r="D158" t="str">
        <f>VLOOKUP($A158,ScionOutput!$A$3:$BL$215,23,FALSE)</f>
        <v>SEA</v>
      </c>
      <c r="E158">
        <f>VLOOKUP($A158,ScionOutput!$A$3:$BL$215,6,FALSE)</f>
        <v>2</v>
      </c>
      <c r="F158" t="str">
        <f>VLOOKUP($A158,ScionOutput!$A$3:$BL$215,7,FALSE)</f>
        <v>BAL</v>
      </c>
      <c r="G158">
        <f>VLOOKUP($A158,ScionOutput!$A$3:$BL$215,26,FALSE)</f>
        <v>-139</v>
      </c>
      <c r="H158">
        <f>VLOOKUP($A158,ScionOutput!$A$3:$BL$215,10,FALSE)</f>
        <v>126</v>
      </c>
      <c r="I158" s="6" t="str">
        <f>VLOOKUP($A158,ScionOutput!$A$3:$BL$215,55,FALSE)</f>
        <v>HomFave</v>
      </c>
      <c r="J158" s="6">
        <f>VLOOKUP($A158,ScionOutput!$A$3:$BL$215,56,FALSE)</f>
        <v>0</v>
      </c>
      <c r="K158" t="str">
        <f>VLOOKUP($A158,ScionOutput!$A$3:$BL$215,58,FALSE)</f>
        <v>No Play</v>
      </c>
      <c r="L158">
        <f>VLOOKUP($A158,ScionOutput!$A$3:$BL$215,59,FALSE)</f>
        <v>0</v>
      </c>
      <c r="M158">
        <f>VLOOKUP($A158,ScionOutput!$A$3:$BL$215,62,FALSE)</f>
        <v>0</v>
      </c>
      <c r="N158">
        <f>VLOOKUP($A158,ScionOutput!$A$3:$BL$215,63,FALSE)</f>
        <v>0</v>
      </c>
      <c r="O158" t="b">
        <f t="shared" si="17"/>
        <v>0</v>
      </c>
      <c r="P158">
        <f>VLOOKUP($A158,Outcomes!$B$3:$I$209,8,FALSE)</f>
        <v>8</v>
      </c>
      <c r="Q158">
        <f t="shared" si="18"/>
        <v>-1</v>
      </c>
      <c r="R158">
        <f>VLOOKUP($A158,Outcomes!$B$3:$I$209,5,FALSE)</f>
        <v>3</v>
      </c>
      <c r="S158">
        <f>VLOOKUP($A158,Outcomes!$B$3:$I$209,6,FALSE)</f>
        <v>5</v>
      </c>
      <c r="T158">
        <f>VLOOKUP($A158,Outcomes!$B$3:$I$209,7,FALSE)</f>
        <v>2</v>
      </c>
      <c r="U158" t="str">
        <f t="shared" si="19"/>
        <v>VisDog</v>
      </c>
      <c r="V158" s="5" t="str">
        <f t="shared" si="20"/>
        <v/>
      </c>
      <c r="W158" t="str">
        <f t="shared" si="16"/>
        <v/>
      </c>
      <c r="X158" t="str">
        <f t="shared" si="21"/>
        <v/>
      </c>
      <c r="Y158" t="str">
        <f t="shared" si="22"/>
        <v/>
      </c>
      <c r="Z158" s="2" t="str">
        <f t="shared" si="23"/>
        <v/>
      </c>
      <c r="AA158" t="str">
        <f>VLOOKUP($A158,ScionOutput!$A$3:$BL$215,64,FALSE)</f>
        <v xml:space="preserve">823127. LineStatEns probability points gap does not exceed threshold (no edge found)! StatOnlyEns probability points gap does not exceed threshold (no edge found)! No play due to strategy constraints. </v>
      </c>
    </row>
    <row r="159" spans="1:27" x14ac:dyDescent="0.2">
      <c r="A159">
        <v>823044</v>
      </c>
      <c r="B159" s="3">
        <f>VLOOKUP($A159,ScionOutput!$A$3:$BL$215,3,FALSE)</f>
        <v>46190</v>
      </c>
      <c r="C159">
        <f>VLOOKUP($A159,ScionOutput!$A$3:$BL$215,22,FALSE)</f>
        <v>26</v>
      </c>
      <c r="D159" t="str">
        <f>VLOOKUP($A159,ScionOutput!$A$3:$BL$215,23,FALSE)</f>
        <v>STL</v>
      </c>
      <c r="E159">
        <f>VLOOKUP($A159,ScionOutput!$A$3:$BL$215,6,FALSE)</f>
        <v>23</v>
      </c>
      <c r="F159" t="str">
        <f>VLOOKUP($A159,ScionOutput!$A$3:$BL$215,7,FALSE)</f>
        <v>SD</v>
      </c>
      <c r="G159">
        <f>VLOOKUP($A159,ScionOutput!$A$3:$BL$215,26,FALSE)</f>
        <v>-124</v>
      </c>
      <c r="H159">
        <f>VLOOKUP($A159,ScionOutput!$A$3:$BL$215,10,FALSE)</f>
        <v>112</v>
      </c>
      <c r="I159" s="6" t="str">
        <f>VLOOKUP($A159,ScionOutput!$A$3:$BL$215,55,FALSE)</f>
        <v>HomFave</v>
      </c>
      <c r="J159" s="6">
        <f>VLOOKUP($A159,ScionOutput!$A$3:$BL$215,56,FALSE)</f>
        <v>0</v>
      </c>
      <c r="K159" t="str">
        <f>VLOOKUP($A159,ScionOutput!$A$3:$BL$215,58,FALSE)</f>
        <v>No Play</v>
      </c>
      <c r="L159">
        <f>VLOOKUP($A159,ScionOutput!$A$3:$BL$215,59,FALSE)</f>
        <v>0</v>
      </c>
      <c r="M159">
        <f>VLOOKUP($A159,ScionOutput!$A$3:$BL$215,62,FALSE)</f>
        <v>0</v>
      </c>
      <c r="N159">
        <f>VLOOKUP($A159,ScionOutput!$A$3:$BL$215,63,FALSE)</f>
        <v>0</v>
      </c>
      <c r="O159" t="b">
        <f t="shared" si="17"/>
        <v>0</v>
      </c>
      <c r="P159">
        <f>VLOOKUP($A159,Outcomes!$B$3:$I$209,8,FALSE)</f>
        <v>7</v>
      </c>
      <c r="Q159">
        <f t="shared" si="18"/>
        <v>-1</v>
      </c>
      <c r="R159">
        <f>VLOOKUP($A159,Outcomes!$B$3:$I$209,5,FALSE)</f>
        <v>1</v>
      </c>
      <c r="S159">
        <f>VLOOKUP($A159,Outcomes!$B$3:$I$209,6,FALSE)</f>
        <v>6</v>
      </c>
      <c r="T159">
        <f>VLOOKUP($A159,Outcomes!$B$3:$I$209,7,FALSE)</f>
        <v>5</v>
      </c>
      <c r="U159" t="str">
        <f t="shared" si="19"/>
        <v>VisDog</v>
      </c>
      <c r="V159" s="5" t="str">
        <f t="shared" si="20"/>
        <v/>
      </c>
      <c r="W159" t="str">
        <f t="shared" si="16"/>
        <v/>
      </c>
      <c r="X159" t="str">
        <f t="shared" si="21"/>
        <v/>
      </c>
      <c r="Y159" t="str">
        <f t="shared" si="22"/>
        <v/>
      </c>
      <c r="Z159" s="2" t="str">
        <f t="shared" si="23"/>
        <v/>
      </c>
      <c r="AA159" t="str">
        <f>VLOOKUP($A159,ScionOutput!$A$3:$BL$215,64,FALSE)</f>
        <v xml:space="preserve">823044. LineStatEns probability points gap does not exceed threshold (no edge found)! StatOnlyEns probability points gap does not exceed threshold (no edge found)! No play due to strategy constraints. </v>
      </c>
    </row>
    <row r="160" spans="1:27" x14ac:dyDescent="0.2">
      <c r="A160">
        <v>824748</v>
      </c>
      <c r="B160" s="3">
        <f>VLOOKUP($A160,ScionOutput!$A$3:$BL$215,3,FALSE)</f>
        <v>46191</v>
      </c>
      <c r="C160">
        <f>VLOOKUP($A160,ScionOutput!$A$3:$BL$215,22,FALSE)</f>
        <v>3</v>
      </c>
      <c r="D160" t="str">
        <f>VLOOKUP($A160,ScionOutput!$A$3:$BL$215,23,FALSE)</f>
        <v>BOS</v>
      </c>
      <c r="E160">
        <f>VLOOKUP($A160,ScionOutput!$A$3:$BL$215,6,FALSE)</f>
        <v>29</v>
      </c>
      <c r="F160" t="str">
        <f>VLOOKUP($A160,ScionOutput!$A$3:$BL$215,7,FALSE)</f>
        <v>TOR</v>
      </c>
      <c r="G160">
        <f>VLOOKUP($A160,ScionOutput!$A$3:$BL$215,26,FALSE)</f>
        <v>-131</v>
      </c>
      <c r="H160">
        <f>VLOOKUP($A160,ScionOutput!$A$3:$BL$215,10,FALSE)</f>
        <v>120</v>
      </c>
      <c r="I160" s="6" t="str">
        <f>VLOOKUP($A160,ScionOutput!$A$3:$BL$215,55,FALSE)</f>
        <v>VisDog</v>
      </c>
      <c r="J160" s="6">
        <f>VLOOKUP($A160,ScionOutput!$A$3:$BL$215,56,FALSE)</f>
        <v>1</v>
      </c>
      <c r="K160" t="str">
        <f>VLOOKUP($A160,ScionOutput!$A$3:$BL$215,58,FALSE)</f>
        <v>No Play</v>
      </c>
      <c r="L160">
        <f>VLOOKUP($A160,ScionOutput!$A$3:$BL$215,59,FALSE)</f>
        <v>0</v>
      </c>
      <c r="M160">
        <f>VLOOKUP($A160,ScionOutput!$A$3:$BL$215,62,FALSE)</f>
        <v>0</v>
      </c>
      <c r="N160">
        <f>VLOOKUP($A160,ScionOutput!$A$3:$BL$215,63,FALSE)</f>
        <v>0</v>
      </c>
      <c r="O160" t="b">
        <f t="shared" si="17"/>
        <v>0</v>
      </c>
      <c r="P160">
        <f>VLOOKUP($A160,Outcomes!$B$3:$I$209,8,FALSE)</f>
        <v>7</v>
      </c>
      <c r="Q160">
        <f t="shared" si="18"/>
        <v>-1</v>
      </c>
      <c r="R160">
        <f>VLOOKUP($A160,Outcomes!$B$3:$I$209,5,FALSE)</f>
        <v>3</v>
      </c>
      <c r="S160">
        <f>VLOOKUP($A160,Outcomes!$B$3:$I$209,6,FALSE)</f>
        <v>4</v>
      </c>
      <c r="T160">
        <f>VLOOKUP($A160,Outcomes!$B$3:$I$209,7,FALSE)</f>
        <v>1</v>
      </c>
      <c r="U160" t="str">
        <f t="shared" si="19"/>
        <v>VisDog</v>
      </c>
      <c r="V160" s="5">
        <f t="shared" si="20"/>
        <v>1</v>
      </c>
      <c r="W160">
        <f t="shared" si="16"/>
        <v>100</v>
      </c>
      <c r="X160">
        <f t="shared" si="21"/>
        <v>220</v>
      </c>
      <c r="Y160">
        <f t="shared" si="22"/>
        <v>120</v>
      </c>
      <c r="Z160" s="2">
        <f t="shared" si="23"/>
        <v>1.2</v>
      </c>
      <c r="AA160" t="str">
        <f>VLOOKUP($A160,ScionOutput!$A$3:$BL$215,64,FALSE)</f>
        <v xml:space="preserve">824748. LineStatEns probability points gap does not exceed threshold (no edge found)! No play due to strategy constraints. </v>
      </c>
    </row>
    <row r="161" spans="1:27" x14ac:dyDescent="0.2">
      <c r="A161">
        <v>824098</v>
      </c>
      <c r="B161" s="3">
        <f>VLOOKUP($A161,ScionOutput!$A$3:$BL$215,3,FALSE)</f>
        <v>46191</v>
      </c>
      <c r="C161">
        <f>VLOOKUP($A161,ScionOutput!$A$3:$BL$215,22,FALSE)</f>
        <v>13</v>
      </c>
      <c r="D161" t="str">
        <f>VLOOKUP($A161,ScionOutput!$A$3:$BL$215,23,FALSE)</f>
        <v>KC</v>
      </c>
      <c r="E161">
        <f>VLOOKUP($A161,ScionOutput!$A$3:$BL$215,6,FALSE)</f>
        <v>26</v>
      </c>
      <c r="F161" t="str">
        <f>VLOOKUP($A161,ScionOutput!$A$3:$BL$215,7,FALSE)</f>
        <v>STL</v>
      </c>
      <c r="G161">
        <f>VLOOKUP($A161,ScionOutput!$A$3:$BL$215,26,FALSE)</f>
        <v>-111</v>
      </c>
      <c r="H161">
        <f>VLOOKUP($A161,ScionOutput!$A$3:$BL$215,10,FALSE)</f>
        <v>103</v>
      </c>
      <c r="I161" s="6" t="str">
        <f>VLOOKUP($A161,ScionOutput!$A$3:$BL$215,55,FALSE)</f>
        <v>HomFave</v>
      </c>
      <c r="J161" s="6">
        <f>VLOOKUP($A161,ScionOutput!$A$3:$BL$215,56,FALSE)</f>
        <v>1</v>
      </c>
      <c r="K161" t="str">
        <f>VLOOKUP($A161,ScionOutput!$A$3:$BL$215,58,FALSE)</f>
        <v>No Play</v>
      </c>
      <c r="L161">
        <f>VLOOKUP($A161,ScionOutput!$A$3:$BL$215,59,FALSE)</f>
        <v>0</v>
      </c>
      <c r="M161">
        <f>VLOOKUP($A161,ScionOutput!$A$3:$BL$215,62,FALSE)</f>
        <v>0</v>
      </c>
      <c r="N161">
        <f>VLOOKUP($A161,ScionOutput!$A$3:$BL$215,63,FALSE)</f>
        <v>0</v>
      </c>
      <c r="O161" t="b">
        <f t="shared" si="17"/>
        <v>0</v>
      </c>
      <c r="P161">
        <f>VLOOKUP($A161,Outcomes!$B$3:$I$209,8,FALSE)</f>
        <v>20</v>
      </c>
      <c r="Q161">
        <f t="shared" si="18"/>
        <v>1</v>
      </c>
      <c r="R161">
        <f>VLOOKUP($A161,Outcomes!$B$3:$I$209,5,FALSE)</f>
        <v>14</v>
      </c>
      <c r="S161">
        <f>VLOOKUP($A161,Outcomes!$B$3:$I$209,6,FALSE)</f>
        <v>6</v>
      </c>
      <c r="T161">
        <f>VLOOKUP($A161,Outcomes!$B$3:$I$209,7,FALSE)</f>
        <v>-8</v>
      </c>
      <c r="U161" t="str">
        <f t="shared" si="19"/>
        <v>HomFave</v>
      </c>
      <c r="V161" s="5">
        <f t="shared" si="20"/>
        <v>1</v>
      </c>
      <c r="W161">
        <f t="shared" si="16"/>
        <v>100</v>
      </c>
      <c r="X161">
        <f t="shared" si="21"/>
        <v>203</v>
      </c>
      <c r="Y161">
        <f t="shared" si="22"/>
        <v>103</v>
      </c>
      <c r="Z161" s="2">
        <f t="shared" si="23"/>
        <v>1.03</v>
      </c>
      <c r="AA161" t="str">
        <f>VLOOKUP($A161,ScionOutput!$A$3:$BL$215,64,FALSE)</f>
        <v xml:space="preserve">824098. LineStatEns probability points gap does not exceed threshold (no edge found)! No play due to strategy constraints. </v>
      </c>
    </row>
    <row r="162" spans="1:27" x14ac:dyDescent="0.2">
      <c r="A162">
        <v>823772</v>
      </c>
      <c r="B162" s="3">
        <f>VLOOKUP($A162,ScionOutput!$A$3:$BL$215,3,FALSE)</f>
        <v>46191</v>
      </c>
      <c r="C162">
        <f>VLOOKUP($A162,ScionOutput!$A$3:$BL$215,22,FALSE)</f>
        <v>17</v>
      </c>
      <c r="D162" t="str">
        <f>VLOOKUP($A162,ScionOutput!$A$3:$BL$215,23,FALSE)</f>
        <v>MLW</v>
      </c>
      <c r="E162">
        <f>VLOOKUP($A162,ScionOutput!$A$3:$BL$215,6,FALSE)</f>
        <v>7</v>
      </c>
      <c r="F162" t="str">
        <f>VLOOKUP($A162,ScionOutput!$A$3:$BL$215,7,FALSE)</f>
        <v>CLE</v>
      </c>
      <c r="G162">
        <f>VLOOKUP($A162,ScionOutput!$A$3:$BL$215,26,FALSE)</f>
        <v>-138</v>
      </c>
      <c r="H162">
        <f>VLOOKUP($A162,ScionOutput!$A$3:$BL$215,10,FALSE)</f>
        <v>127</v>
      </c>
      <c r="I162" s="6" t="str">
        <f>VLOOKUP($A162,ScionOutput!$A$3:$BL$215,55,FALSE)</f>
        <v>HomFave</v>
      </c>
      <c r="J162" s="6">
        <f>VLOOKUP($A162,ScionOutput!$A$3:$BL$215,56,FALSE)</f>
        <v>0</v>
      </c>
      <c r="K162" t="str">
        <f>VLOOKUP($A162,ScionOutput!$A$3:$BL$215,58,FALSE)</f>
        <v>No Play</v>
      </c>
      <c r="L162">
        <f>VLOOKUP($A162,ScionOutput!$A$3:$BL$215,59,FALSE)</f>
        <v>0</v>
      </c>
      <c r="M162">
        <f>VLOOKUP($A162,ScionOutput!$A$3:$BL$215,62,FALSE)</f>
        <v>0</v>
      </c>
      <c r="N162">
        <f>VLOOKUP($A162,ScionOutput!$A$3:$BL$215,63,FALSE)</f>
        <v>0</v>
      </c>
      <c r="O162" t="b">
        <f t="shared" si="17"/>
        <v>0</v>
      </c>
      <c r="P162">
        <f>VLOOKUP($A162,Outcomes!$B$3:$I$209,8,FALSE)</f>
        <v>6</v>
      </c>
      <c r="Q162">
        <f t="shared" si="18"/>
        <v>-1</v>
      </c>
      <c r="R162">
        <f>VLOOKUP($A162,Outcomes!$B$3:$I$209,5,FALSE)</f>
        <v>2</v>
      </c>
      <c r="S162">
        <f>VLOOKUP($A162,Outcomes!$B$3:$I$209,6,FALSE)</f>
        <v>4</v>
      </c>
      <c r="T162">
        <f>VLOOKUP($A162,Outcomes!$B$3:$I$209,7,FALSE)</f>
        <v>2</v>
      </c>
      <c r="U162" t="str">
        <f t="shared" si="19"/>
        <v>VisDog</v>
      </c>
      <c r="V162" s="5" t="str">
        <f t="shared" si="20"/>
        <v/>
      </c>
      <c r="W162" t="str">
        <f t="shared" si="16"/>
        <v/>
      </c>
      <c r="X162" t="str">
        <f t="shared" si="21"/>
        <v/>
      </c>
      <c r="Y162" t="str">
        <f t="shared" si="22"/>
        <v/>
      </c>
      <c r="Z162" s="2" t="str">
        <f t="shared" si="23"/>
        <v/>
      </c>
      <c r="AA162" t="str">
        <f>VLOOKUP($A162,ScionOutput!$A$3:$BL$215,64,FALSE)</f>
        <v xml:space="preserve">823772. LineStatEns probability points gap does not exceed threshold (no edge found)! StatOnlyEns probability points gap does not exceed threshold (no edge found)! No play due to strategy constraints. </v>
      </c>
    </row>
    <row r="163" spans="1:27" x14ac:dyDescent="0.2">
      <c r="A163">
        <v>823533</v>
      </c>
      <c r="B163" s="3">
        <f>VLOOKUP($A163,ScionOutput!$A$3:$BL$215,3,FALSE)</f>
        <v>46191</v>
      </c>
      <c r="C163">
        <f>VLOOKUP($A163,ScionOutput!$A$3:$BL$215,22,FALSE)</f>
        <v>19</v>
      </c>
      <c r="D163" t="str">
        <f>VLOOKUP($A163,ScionOutput!$A$3:$BL$215,23,FALSE)</f>
        <v>NYY</v>
      </c>
      <c r="E163">
        <f>VLOOKUP($A163,ScionOutput!$A$3:$BL$215,6,FALSE)</f>
        <v>9</v>
      </c>
      <c r="F163" t="str">
        <f>VLOOKUP($A163,ScionOutput!$A$3:$BL$215,7,FALSE)</f>
        <v>CWS</v>
      </c>
      <c r="G163">
        <f>VLOOKUP($A163,ScionOutput!$A$3:$BL$215,26,FALSE)</f>
        <v>-157</v>
      </c>
      <c r="H163">
        <f>VLOOKUP($A163,ScionOutput!$A$3:$BL$215,10,FALSE)</f>
        <v>144</v>
      </c>
      <c r="I163" s="6" t="str">
        <f>VLOOKUP($A163,ScionOutput!$A$3:$BL$215,55,FALSE)</f>
        <v>HomFave</v>
      </c>
      <c r="J163" s="6">
        <f>VLOOKUP($A163,ScionOutput!$A$3:$BL$215,56,FALSE)</f>
        <v>0</v>
      </c>
      <c r="K163" t="str">
        <f>VLOOKUP($A163,ScionOutput!$A$3:$BL$215,58,FALSE)</f>
        <v>No Play</v>
      </c>
      <c r="L163">
        <f>VLOOKUP($A163,ScionOutput!$A$3:$BL$215,59,FALSE)</f>
        <v>0</v>
      </c>
      <c r="M163">
        <f>VLOOKUP($A163,ScionOutput!$A$3:$BL$215,62,FALSE)</f>
        <v>0</v>
      </c>
      <c r="N163">
        <f>VLOOKUP($A163,ScionOutput!$A$3:$BL$215,63,FALSE)</f>
        <v>0</v>
      </c>
      <c r="O163" t="b">
        <f t="shared" si="17"/>
        <v>0</v>
      </c>
      <c r="P163">
        <f>VLOOKUP($A163,Outcomes!$B$3:$I$209,8,FALSE)</f>
        <v>6</v>
      </c>
      <c r="Q163">
        <f t="shared" si="18"/>
        <v>-1</v>
      </c>
      <c r="R163">
        <f>VLOOKUP($A163,Outcomes!$B$3:$I$209,5,FALSE)</f>
        <v>1</v>
      </c>
      <c r="S163">
        <f>VLOOKUP($A163,Outcomes!$B$3:$I$209,6,FALSE)</f>
        <v>5</v>
      </c>
      <c r="T163">
        <f>VLOOKUP($A163,Outcomes!$B$3:$I$209,7,FALSE)</f>
        <v>4</v>
      </c>
      <c r="U163" t="str">
        <f t="shared" si="19"/>
        <v>VisDog</v>
      </c>
      <c r="V163" s="5" t="str">
        <f t="shared" si="20"/>
        <v/>
      </c>
      <c r="W163" t="str">
        <f t="shared" si="16"/>
        <v/>
      </c>
      <c r="X163" t="str">
        <f t="shared" si="21"/>
        <v/>
      </c>
      <c r="Y163" t="str">
        <f t="shared" si="22"/>
        <v/>
      </c>
      <c r="Z163" s="2" t="str">
        <f t="shared" si="23"/>
        <v/>
      </c>
      <c r="AA163" t="str">
        <f>VLOOKUP($A163,ScionOutput!$A$3:$BL$215,64,FALSE)</f>
        <v xml:space="preserve">823533. LineStatEns is NoPlay as bookie-line outside range. StatOnlyEns is NoPlay as bookie-line outside range. No play due to strategy constraints. </v>
      </c>
    </row>
    <row r="164" spans="1:27" x14ac:dyDescent="0.2">
      <c r="A164">
        <v>824989</v>
      </c>
      <c r="B164" s="3">
        <f>VLOOKUP($A164,ScionOutput!$A$3:$BL$215,3,FALSE)</f>
        <v>46191</v>
      </c>
      <c r="C164">
        <f>VLOOKUP($A164,ScionOutput!$A$3:$BL$215,22,FALSE)</f>
        <v>20</v>
      </c>
      <c r="D164" t="str">
        <f>VLOOKUP($A164,ScionOutput!$A$3:$BL$215,23,FALSE)</f>
        <v>OAK</v>
      </c>
      <c r="E164">
        <f>VLOOKUP($A164,ScionOutput!$A$3:$BL$215,6,FALSE)</f>
        <v>4</v>
      </c>
      <c r="F164" t="str">
        <f>VLOOKUP($A164,ScionOutput!$A$3:$BL$215,7,FALSE)</f>
        <v>LAA</v>
      </c>
      <c r="G164">
        <f>VLOOKUP($A164,ScionOutput!$A$3:$BL$215,26,FALSE)</f>
        <v>-133</v>
      </c>
      <c r="H164">
        <f>VLOOKUP($A164,ScionOutput!$A$3:$BL$215,10,FALSE)</f>
        <v>123</v>
      </c>
      <c r="I164" s="6" t="str">
        <f>VLOOKUP($A164,ScionOutput!$A$3:$BL$215,55,FALSE)</f>
        <v>HomFave</v>
      </c>
      <c r="J164" s="6">
        <f>VLOOKUP($A164,ScionOutput!$A$3:$BL$215,56,FALSE)</f>
        <v>1</v>
      </c>
      <c r="K164" t="str">
        <f>VLOOKUP($A164,ScionOutput!$A$3:$BL$215,58,FALSE)</f>
        <v>No Play</v>
      </c>
      <c r="L164">
        <f>VLOOKUP($A164,ScionOutput!$A$3:$BL$215,59,FALSE)</f>
        <v>0</v>
      </c>
      <c r="M164">
        <f>VLOOKUP($A164,ScionOutput!$A$3:$BL$215,62,FALSE)</f>
        <v>0</v>
      </c>
      <c r="N164">
        <f>VLOOKUP($A164,ScionOutput!$A$3:$BL$215,63,FALSE)</f>
        <v>0</v>
      </c>
      <c r="O164" t="b">
        <f t="shared" si="17"/>
        <v>0</v>
      </c>
      <c r="P164">
        <f>VLOOKUP($A164,Outcomes!$B$3:$I$209,8,FALSE)</f>
        <v>5</v>
      </c>
      <c r="Q164">
        <f t="shared" si="18"/>
        <v>1</v>
      </c>
      <c r="R164">
        <f>VLOOKUP($A164,Outcomes!$B$3:$I$209,5,FALSE)</f>
        <v>5</v>
      </c>
      <c r="S164">
        <f>VLOOKUP($A164,Outcomes!$B$3:$I$209,6,FALSE)</f>
        <v>0</v>
      </c>
      <c r="T164">
        <f>VLOOKUP($A164,Outcomes!$B$3:$I$209,7,FALSE)</f>
        <v>-5</v>
      </c>
      <c r="U164" t="str">
        <f t="shared" si="19"/>
        <v>HomFave</v>
      </c>
      <c r="V164" s="5">
        <f t="shared" si="20"/>
        <v>1</v>
      </c>
      <c r="W164">
        <f t="shared" si="16"/>
        <v>100</v>
      </c>
      <c r="X164">
        <f t="shared" si="21"/>
        <v>223</v>
      </c>
      <c r="Y164">
        <f t="shared" si="22"/>
        <v>123</v>
      </c>
      <c r="Z164" s="2">
        <f t="shared" si="23"/>
        <v>1.23</v>
      </c>
      <c r="AA164" t="str">
        <f>VLOOKUP($A164,ScionOutput!$A$3:$BL$215,64,FALSE)</f>
        <v xml:space="preserve">824989. LineStatEns probability points gap does not exceed threshold (no edge found)! No play due to strategy constraints. </v>
      </c>
    </row>
    <row r="165" spans="1:27" x14ac:dyDescent="0.2">
      <c r="A165">
        <v>823448</v>
      </c>
      <c r="B165" s="3">
        <f>VLOOKUP($A165,ScionOutput!$A$3:$BL$215,3,FALSE)</f>
        <v>46191</v>
      </c>
      <c r="C165">
        <f>VLOOKUP($A165,ScionOutput!$A$3:$BL$215,22,FALSE)</f>
        <v>21</v>
      </c>
      <c r="D165" t="str">
        <f>VLOOKUP($A165,ScionOutput!$A$3:$BL$215,23,FALSE)</f>
        <v>PHI</v>
      </c>
      <c r="E165">
        <f>VLOOKUP($A165,ScionOutput!$A$3:$BL$215,6,FALSE)</f>
        <v>18</v>
      </c>
      <c r="F165" t="str">
        <f>VLOOKUP($A165,ScionOutput!$A$3:$BL$215,7,FALSE)</f>
        <v>NYM</v>
      </c>
      <c r="G165">
        <f>VLOOKUP($A165,ScionOutput!$A$3:$BL$215,26,FALSE)</f>
        <v>-114</v>
      </c>
      <c r="H165">
        <f>VLOOKUP($A165,ScionOutput!$A$3:$BL$215,10,FALSE)</f>
        <v>105</v>
      </c>
      <c r="I165" s="6" t="str">
        <f>VLOOKUP($A165,ScionOutput!$A$3:$BL$215,55,FALSE)</f>
        <v>HomFave</v>
      </c>
      <c r="J165" s="6">
        <f>VLOOKUP($A165,ScionOutput!$A$3:$BL$215,56,FALSE)</f>
        <v>0</v>
      </c>
      <c r="K165" t="str">
        <f>VLOOKUP($A165,ScionOutput!$A$3:$BL$215,58,FALSE)</f>
        <v>VisDog</v>
      </c>
      <c r="L165">
        <f>VLOOKUP($A165,ScionOutput!$A$3:$BL$215,59,FALSE)</f>
        <v>-4.2000000000000003E-2</v>
      </c>
      <c r="M165">
        <f>VLOOKUP($A165,ScionOutput!$A$3:$BL$215,62,FALSE)</f>
        <v>3</v>
      </c>
      <c r="N165">
        <f>VLOOKUP($A165,ScionOutput!$A$3:$BL$215,63,FALSE)</f>
        <v>0.67</v>
      </c>
      <c r="O165" t="b">
        <f t="shared" si="17"/>
        <v>0</v>
      </c>
      <c r="P165">
        <f>VLOOKUP($A165,Outcomes!$B$3:$I$209,8,FALSE)</f>
        <v>10</v>
      </c>
      <c r="Q165">
        <f t="shared" si="18"/>
        <v>-1</v>
      </c>
      <c r="R165">
        <f>VLOOKUP($A165,Outcomes!$B$3:$I$209,5,FALSE)</f>
        <v>4</v>
      </c>
      <c r="S165">
        <f>VLOOKUP($A165,Outcomes!$B$3:$I$209,6,FALSE)</f>
        <v>6</v>
      </c>
      <c r="T165">
        <f>VLOOKUP($A165,Outcomes!$B$3:$I$209,7,FALSE)</f>
        <v>2</v>
      </c>
      <c r="U165" t="str">
        <f t="shared" si="19"/>
        <v>VisDog</v>
      </c>
      <c r="V165" s="5" t="str">
        <f t="shared" si="20"/>
        <v/>
      </c>
      <c r="W165" t="str">
        <f t="shared" si="16"/>
        <v/>
      </c>
      <c r="X165" t="str">
        <f t="shared" si="21"/>
        <v/>
      </c>
      <c r="Y165" t="str">
        <f t="shared" si="22"/>
        <v/>
      </c>
      <c r="Z165" s="2" t="str">
        <f t="shared" si="23"/>
        <v/>
      </c>
      <c r="AA165" t="str">
        <f>VLOOKUP($A165,ScionOutput!$A$3:$BL$215,64,FALSE)</f>
        <v xml:space="preserve">823448. StatOnlyEns probability points gap does not exceed threshold (no edge found)! Play determined by LineStatEns only. </v>
      </c>
    </row>
    <row r="166" spans="1:27" x14ac:dyDescent="0.2">
      <c r="A166">
        <v>823125</v>
      </c>
      <c r="B166" s="3">
        <f>VLOOKUP($A166,ScionOutput!$A$3:$BL$215,3,FALSE)</f>
        <v>46191</v>
      </c>
      <c r="C166">
        <f>VLOOKUP($A166,ScionOutput!$A$3:$BL$215,22,FALSE)</f>
        <v>24</v>
      </c>
      <c r="D166" t="str">
        <f>VLOOKUP($A166,ScionOutput!$A$3:$BL$215,23,FALSE)</f>
        <v>SEA</v>
      </c>
      <c r="E166">
        <f>VLOOKUP($A166,ScionOutput!$A$3:$BL$215,6,FALSE)</f>
        <v>2</v>
      </c>
      <c r="F166" t="str">
        <f>VLOOKUP($A166,ScionOutput!$A$3:$BL$215,7,FALSE)</f>
        <v>BAL</v>
      </c>
      <c r="G166">
        <f>VLOOKUP($A166,ScionOutput!$A$3:$BL$215,26,FALSE)</f>
        <v>-133</v>
      </c>
      <c r="H166">
        <f>VLOOKUP($A166,ScionOutput!$A$3:$BL$215,10,FALSE)</f>
        <v>122</v>
      </c>
      <c r="I166" s="6" t="str">
        <f>VLOOKUP($A166,ScionOutput!$A$3:$BL$215,55,FALSE)</f>
        <v>HomFave</v>
      </c>
      <c r="J166" s="6">
        <f>VLOOKUP($A166,ScionOutput!$A$3:$BL$215,56,FALSE)</f>
        <v>0</v>
      </c>
      <c r="K166" t="str">
        <f>VLOOKUP($A166,ScionOutput!$A$3:$BL$215,58,FALSE)</f>
        <v>No Play</v>
      </c>
      <c r="L166">
        <f>VLOOKUP($A166,ScionOutput!$A$3:$BL$215,59,FALSE)</f>
        <v>0</v>
      </c>
      <c r="M166">
        <f>VLOOKUP($A166,ScionOutput!$A$3:$BL$215,62,FALSE)</f>
        <v>0</v>
      </c>
      <c r="N166">
        <f>VLOOKUP($A166,ScionOutput!$A$3:$BL$215,63,FALSE)</f>
        <v>0</v>
      </c>
      <c r="O166" t="b">
        <f t="shared" si="17"/>
        <v>0</v>
      </c>
      <c r="P166">
        <f>VLOOKUP($A166,Outcomes!$B$3:$I$209,8,FALSE)</f>
        <v>3</v>
      </c>
      <c r="Q166">
        <f t="shared" si="18"/>
        <v>1</v>
      </c>
      <c r="R166">
        <f>VLOOKUP($A166,Outcomes!$B$3:$I$209,5,FALSE)</f>
        <v>3</v>
      </c>
      <c r="S166">
        <f>VLOOKUP($A166,Outcomes!$B$3:$I$209,6,FALSE)</f>
        <v>0</v>
      </c>
      <c r="T166">
        <f>VLOOKUP($A166,Outcomes!$B$3:$I$209,7,FALSE)</f>
        <v>-3</v>
      </c>
      <c r="U166" t="str">
        <f t="shared" si="19"/>
        <v>HomFave</v>
      </c>
      <c r="V166" s="5" t="str">
        <f t="shared" si="20"/>
        <v/>
      </c>
      <c r="W166" t="str">
        <f t="shared" si="16"/>
        <v/>
      </c>
      <c r="X166" t="str">
        <f t="shared" si="21"/>
        <v/>
      </c>
      <c r="Y166" t="str">
        <f t="shared" si="22"/>
        <v/>
      </c>
      <c r="Z166" s="2" t="str">
        <f t="shared" si="23"/>
        <v/>
      </c>
      <c r="AA166" t="str">
        <f>VLOOKUP($A166,ScionOutput!$A$3:$BL$215,64,FALSE)</f>
        <v xml:space="preserve">823125. LineStatEns probability points gap does not exceed threshold (no edge found)! StatOnlyEns probability points gap does not exceed threshold (no edge found)! No play due to strategy constraints. </v>
      </c>
    </row>
    <row r="167" spans="1:27" x14ac:dyDescent="0.2">
      <c r="A167">
        <v>822889</v>
      </c>
      <c r="B167" s="3">
        <f>VLOOKUP($A167,ScionOutput!$A$3:$BL$215,3,FALSE)</f>
        <v>46191</v>
      </c>
      <c r="C167">
        <f>VLOOKUP($A167,ScionOutput!$A$3:$BL$215,22,FALSE)</f>
        <v>28</v>
      </c>
      <c r="D167" t="str">
        <f>VLOOKUP($A167,ScionOutput!$A$3:$BL$215,23,FALSE)</f>
        <v>TEX</v>
      </c>
      <c r="E167">
        <f>VLOOKUP($A167,ScionOutput!$A$3:$BL$215,6,FALSE)</f>
        <v>15</v>
      </c>
      <c r="F167" t="str">
        <f>VLOOKUP($A167,ScionOutput!$A$3:$BL$215,7,FALSE)</f>
        <v>MIN</v>
      </c>
      <c r="G167">
        <f>VLOOKUP($A167,ScionOutput!$A$3:$BL$215,26,FALSE)</f>
        <v>108</v>
      </c>
      <c r="H167">
        <f>VLOOKUP($A167,ScionOutput!$A$3:$BL$215,10,FALSE)</f>
        <v>-117</v>
      </c>
      <c r="I167" s="6" t="str">
        <f>VLOOKUP($A167,ScionOutput!$A$3:$BL$215,55,FALSE)</f>
        <v>HomDog</v>
      </c>
      <c r="J167" s="6">
        <f>VLOOKUP($A167,ScionOutput!$A$3:$BL$215,56,FALSE)</f>
        <v>1</v>
      </c>
      <c r="K167" t="str">
        <f>VLOOKUP($A167,ScionOutput!$A$3:$BL$215,58,FALSE)</f>
        <v>No Play</v>
      </c>
      <c r="L167">
        <f>VLOOKUP($A167,ScionOutput!$A$3:$BL$215,59,FALSE)</f>
        <v>0</v>
      </c>
      <c r="M167">
        <f>VLOOKUP($A167,ScionOutput!$A$3:$BL$215,62,FALSE)</f>
        <v>0</v>
      </c>
      <c r="N167">
        <f>VLOOKUP($A167,ScionOutput!$A$3:$BL$215,63,FALSE)</f>
        <v>0</v>
      </c>
      <c r="O167" t="b">
        <f t="shared" si="17"/>
        <v>0</v>
      </c>
      <c r="P167">
        <f>VLOOKUP($A167,Outcomes!$B$3:$I$209,8,FALSE)</f>
        <v>12</v>
      </c>
      <c r="Q167">
        <f t="shared" si="18"/>
        <v>-1</v>
      </c>
      <c r="R167">
        <f>VLOOKUP($A167,Outcomes!$B$3:$I$209,5,FALSE)</f>
        <v>3</v>
      </c>
      <c r="S167">
        <f>VLOOKUP($A167,Outcomes!$B$3:$I$209,6,FALSE)</f>
        <v>9</v>
      </c>
      <c r="T167">
        <f>VLOOKUP($A167,Outcomes!$B$3:$I$209,7,FALSE)</f>
        <v>6</v>
      </c>
      <c r="U167" t="str">
        <f t="shared" si="19"/>
        <v>VisFave</v>
      </c>
      <c r="V167" s="5">
        <f t="shared" si="20"/>
        <v>0</v>
      </c>
      <c r="W167">
        <f t="shared" si="16"/>
        <v>100</v>
      </c>
      <c r="X167">
        <f t="shared" si="21"/>
        <v>0</v>
      </c>
      <c r="Y167">
        <f t="shared" si="22"/>
        <v>-100</v>
      </c>
      <c r="Z167" s="2">
        <f t="shared" si="23"/>
        <v>-1</v>
      </c>
      <c r="AA167" t="str">
        <f>VLOOKUP($A167,ScionOutput!$A$3:$BL$215,64,FALSE)</f>
        <v xml:space="preserve">822889. VF plays are disallowed. No play due to strategy constraints. </v>
      </c>
    </row>
    <row r="168" spans="1:27" x14ac:dyDescent="0.2">
      <c r="A168">
        <v>824910</v>
      </c>
      <c r="B168" s="3">
        <f>VLOOKUP($A168,ScionOutput!$A$3:$BL$215,3,FALSE)</f>
        <v>46192</v>
      </c>
      <c r="C168">
        <f>VLOOKUP($A168,ScionOutput!$A$3:$BL$215,22,FALSE)</f>
        <v>0</v>
      </c>
      <c r="D168" t="str">
        <f>VLOOKUP($A168,ScionOutput!$A$3:$BL$215,23,FALSE)</f>
        <v>ATL</v>
      </c>
      <c r="E168">
        <f>VLOOKUP($A168,ScionOutput!$A$3:$BL$215,6,FALSE)</f>
        <v>17</v>
      </c>
      <c r="F168" t="str">
        <f>VLOOKUP($A168,ScionOutput!$A$3:$BL$215,7,FALSE)</f>
        <v>MLW</v>
      </c>
      <c r="G168">
        <f>VLOOKUP($A168,ScionOutput!$A$3:$BL$215,26,FALSE)</f>
        <v>143</v>
      </c>
      <c r="H168">
        <f>VLOOKUP($A168,ScionOutput!$A$3:$BL$215,10,FALSE)</f>
        <v>-156</v>
      </c>
      <c r="I168" s="6" t="str">
        <f>VLOOKUP($A168,ScionOutput!$A$3:$BL$215,55,FALSE)</f>
        <v>VisFave</v>
      </c>
      <c r="J168" s="6">
        <f>VLOOKUP($A168,ScionOutput!$A$3:$BL$215,56,FALSE)</f>
        <v>0</v>
      </c>
      <c r="K168" t="str">
        <f>VLOOKUP($A168,ScionOutput!$A$3:$BL$215,58,FALSE)</f>
        <v>No Play</v>
      </c>
      <c r="L168">
        <f>VLOOKUP($A168,ScionOutput!$A$3:$BL$215,59,FALSE)</f>
        <v>0</v>
      </c>
      <c r="M168">
        <f>VLOOKUP($A168,ScionOutput!$A$3:$BL$215,62,FALSE)</f>
        <v>0</v>
      </c>
      <c r="N168">
        <f>VLOOKUP($A168,ScionOutput!$A$3:$BL$215,63,FALSE)</f>
        <v>0</v>
      </c>
      <c r="O168" t="b">
        <f t="shared" si="17"/>
        <v>0</v>
      </c>
      <c r="P168">
        <f>VLOOKUP($A168,Outcomes!$B$3:$I$209,8,FALSE)</f>
        <v>5</v>
      </c>
      <c r="Q168">
        <f t="shared" si="18"/>
        <v>1</v>
      </c>
      <c r="R168">
        <f>VLOOKUP($A168,Outcomes!$B$3:$I$209,5,FALSE)</f>
        <v>3</v>
      </c>
      <c r="S168">
        <f>VLOOKUP($A168,Outcomes!$B$3:$I$209,6,FALSE)</f>
        <v>2</v>
      </c>
      <c r="T168">
        <f>VLOOKUP($A168,Outcomes!$B$3:$I$209,7,FALSE)</f>
        <v>-1</v>
      </c>
      <c r="U168" t="str">
        <f t="shared" si="19"/>
        <v>HomDog</v>
      </c>
      <c r="V168" s="5" t="str">
        <f t="shared" si="20"/>
        <v/>
      </c>
      <c r="W168" t="str">
        <f t="shared" si="16"/>
        <v/>
      </c>
      <c r="X168" t="str">
        <f t="shared" si="21"/>
        <v/>
      </c>
      <c r="Y168" t="str">
        <f t="shared" si="22"/>
        <v/>
      </c>
      <c r="Z168" s="2" t="str">
        <f t="shared" si="23"/>
        <v/>
      </c>
      <c r="AA168" t="str">
        <f>VLOOKUP($A168,ScionOutput!$A$3:$BL$215,64,FALSE)</f>
        <v xml:space="preserve">824910. VF plays are disallowed. No play due to strategy constraints. </v>
      </c>
    </row>
    <row r="169" spans="1:27" x14ac:dyDescent="0.2">
      <c r="A169">
        <v>825069</v>
      </c>
      <c r="B169" s="3">
        <f>VLOOKUP($A169,ScionOutput!$A$3:$BL$215,3,FALSE)</f>
        <v>46192</v>
      </c>
      <c r="C169">
        <f>VLOOKUP($A169,ScionOutput!$A$3:$BL$215,22,FALSE)</f>
        <v>1</v>
      </c>
      <c r="D169" t="str">
        <f>VLOOKUP($A169,ScionOutput!$A$3:$BL$215,23,FALSE)</f>
        <v>ARZ</v>
      </c>
      <c r="E169">
        <f>VLOOKUP($A169,ScionOutput!$A$3:$BL$215,6,FALSE)</f>
        <v>15</v>
      </c>
      <c r="F169" t="str">
        <f>VLOOKUP($A169,ScionOutput!$A$3:$BL$215,7,FALSE)</f>
        <v>MIN</v>
      </c>
      <c r="G169">
        <f>VLOOKUP($A169,ScionOutput!$A$3:$BL$215,26,FALSE)</f>
        <v>-165</v>
      </c>
      <c r="H169">
        <f>VLOOKUP($A169,ScionOutput!$A$3:$BL$215,10,FALSE)</f>
        <v>152</v>
      </c>
      <c r="I169" s="6" t="str">
        <f>VLOOKUP($A169,ScionOutput!$A$3:$BL$215,55,FALSE)</f>
        <v>HomFave</v>
      </c>
      <c r="J169" s="6">
        <f>VLOOKUP($A169,ScionOutput!$A$3:$BL$215,56,FALSE)</f>
        <v>0</v>
      </c>
      <c r="K169" t="str">
        <f>VLOOKUP($A169,ScionOutput!$A$3:$BL$215,58,FALSE)</f>
        <v>No Play</v>
      </c>
      <c r="L169">
        <f>VLOOKUP($A169,ScionOutput!$A$3:$BL$215,59,FALSE)</f>
        <v>0</v>
      </c>
      <c r="M169">
        <f>VLOOKUP($A169,ScionOutput!$A$3:$BL$215,62,FALSE)</f>
        <v>0</v>
      </c>
      <c r="N169">
        <f>VLOOKUP($A169,ScionOutput!$A$3:$BL$215,63,FALSE)</f>
        <v>0</v>
      </c>
      <c r="O169" t="b">
        <f t="shared" si="17"/>
        <v>0</v>
      </c>
      <c r="P169">
        <f>VLOOKUP($A169,Outcomes!$B$3:$I$209,8,FALSE)</f>
        <v>14</v>
      </c>
      <c r="Q169">
        <f t="shared" si="18"/>
        <v>1</v>
      </c>
      <c r="R169">
        <f>VLOOKUP($A169,Outcomes!$B$3:$I$209,5,FALSE)</f>
        <v>9</v>
      </c>
      <c r="S169">
        <f>VLOOKUP($A169,Outcomes!$B$3:$I$209,6,FALSE)</f>
        <v>5</v>
      </c>
      <c r="T169">
        <f>VLOOKUP($A169,Outcomes!$B$3:$I$209,7,FALSE)</f>
        <v>-4</v>
      </c>
      <c r="U169" t="str">
        <f t="shared" si="19"/>
        <v>HomFave</v>
      </c>
      <c r="V169" s="5" t="str">
        <f t="shared" si="20"/>
        <v/>
      </c>
      <c r="W169" t="str">
        <f t="shared" si="16"/>
        <v/>
      </c>
      <c r="X169" t="str">
        <f t="shared" si="21"/>
        <v/>
      </c>
      <c r="Y169" t="str">
        <f t="shared" si="22"/>
        <v/>
      </c>
      <c r="Z169" s="2" t="str">
        <f t="shared" si="23"/>
        <v/>
      </c>
      <c r="AA169" t="str">
        <f>VLOOKUP($A169,ScionOutput!$A$3:$BL$215,64,FALSE)</f>
        <v xml:space="preserve">825069. LineStatEns is NoPlay as bookie-line outside range. StatOnlyEns is NoPlay as bookie-line outside range. No play due to strategy constraints. </v>
      </c>
    </row>
    <row r="170" spans="1:27" x14ac:dyDescent="0.2">
      <c r="A170">
        <v>824663</v>
      </c>
      <c r="B170" s="3">
        <f>VLOOKUP($A170,ScionOutput!$A$3:$BL$215,3,FALSE)</f>
        <v>46192</v>
      </c>
      <c r="C170">
        <f>VLOOKUP($A170,ScionOutput!$A$3:$BL$215,22,FALSE)</f>
        <v>5</v>
      </c>
      <c r="D170" t="str">
        <f>VLOOKUP($A170,ScionOutput!$A$3:$BL$215,23,FALSE)</f>
        <v>CHC</v>
      </c>
      <c r="E170">
        <f>VLOOKUP($A170,ScionOutput!$A$3:$BL$215,6,FALSE)</f>
        <v>29</v>
      </c>
      <c r="F170" t="str">
        <f>VLOOKUP($A170,ScionOutput!$A$3:$BL$215,7,FALSE)</f>
        <v>TOR</v>
      </c>
      <c r="G170">
        <f>VLOOKUP($A170,ScionOutput!$A$3:$BL$215,26,FALSE)</f>
        <v>-120</v>
      </c>
      <c r="H170">
        <f>VLOOKUP($A170,ScionOutput!$A$3:$BL$215,10,FALSE)</f>
        <v>111</v>
      </c>
      <c r="I170" s="6" t="str">
        <f>VLOOKUP($A170,ScionOutput!$A$3:$BL$215,55,FALSE)</f>
        <v>HomFave</v>
      </c>
      <c r="J170" s="6">
        <f>VLOOKUP($A170,ScionOutput!$A$3:$BL$215,56,FALSE)</f>
        <v>0</v>
      </c>
      <c r="K170" t="str">
        <f>VLOOKUP($A170,ScionOutput!$A$3:$BL$215,58,FALSE)</f>
        <v>No Play</v>
      </c>
      <c r="L170">
        <f>VLOOKUP($A170,ScionOutput!$A$3:$BL$215,59,FALSE)</f>
        <v>0</v>
      </c>
      <c r="M170">
        <f>VLOOKUP($A170,ScionOutput!$A$3:$BL$215,62,FALSE)</f>
        <v>0</v>
      </c>
      <c r="N170">
        <f>VLOOKUP($A170,ScionOutput!$A$3:$BL$215,63,FALSE)</f>
        <v>0</v>
      </c>
      <c r="O170" t="b">
        <f t="shared" si="17"/>
        <v>0</v>
      </c>
      <c r="P170">
        <f>VLOOKUP($A170,Outcomes!$B$3:$I$209,8,FALSE)</f>
        <v>18</v>
      </c>
      <c r="Q170">
        <f t="shared" si="18"/>
        <v>1</v>
      </c>
      <c r="R170">
        <f>VLOOKUP($A170,Outcomes!$B$3:$I$209,5,FALSE)</f>
        <v>16</v>
      </c>
      <c r="S170">
        <f>VLOOKUP($A170,Outcomes!$B$3:$I$209,6,FALSE)</f>
        <v>2</v>
      </c>
      <c r="T170">
        <f>VLOOKUP($A170,Outcomes!$B$3:$I$209,7,FALSE)</f>
        <v>-14</v>
      </c>
      <c r="U170" t="str">
        <f t="shared" si="19"/>
        <v>HomFave</v>
      </c>
      <c r="V170" s="5" t="str">
        <f t="shared" si="20"/>
        <v/>
      </c>
      <c r="W170" t="str">
        <f t="shared" si="16"/>
        <v/>
      </c>
      <c r="X170" t="str">
        <f t="shared" si="21"/>
        <v/>
      </c>
      <c r="Y170" t="str">
        <f t="shared" si="22"/>
        <v/>
      </c>
      <c r="Z170" s="2" t="str">
        <f t="shared" si="23"/>
        <v/>
      </c>
      <c r="AA170" t="str">
        <f>VLOOKUP($A170,ScionOutput!$A$3:$BL$215,64,FALSE)</f>
        <v xml:space="preserve">824663. LineStatEns probability points gap does not exceed threshold (no edge found)! StatOnlyEns probability points gap does not exceed threshold (no edge found)! No play due to strategy constraints. </v>
      </c>
    </row>
    <row r="171" spans="1:27" x14ac:dyDescent="0.2">
      <c r="A171">
        <v>824345</v>
      </c>
      <c r="B171" s="3">
        <f>VLOOKUP($A171,ScionOutput!$A$3:$BL$215,3,FALSE)</f>
        <v>46192</v>
      </c>
      <c r="C171">
        <f>VLOOKUP($A171,ScionOutput!$A$3:$BL$215,22,FALSE)</f>
        <v>8</v>
      </c>
      <c r="D171" t="str">
        <f>VLOOKUP($A171,ScionOutput!$A$3:$BL$215,23,FALSE)</f>
        <v>COL</v>
      </c>
      <c r="E171">
        <f>VLOOKUP($A171,ScionOutput!$A$3:$BL$215,6,FALSE)</f>
        <v>22</v>
      </c>
      <c r="F171" t="str">
        <f>VLOOKUP($A171,ScionOutput!$A$3:$BL$215,7,FALSE)</f>
        <v>PIT</v>
      </c>
      <c r="G171">
        <f>VLOOKUP($A171,ScionOutput!$A$3:$BL$215,26,FALSE)</f>
        <v>122</v>
      </c>
      <c r="H171">
        <f>VLOOKUP($A171,ScionOutput!$A$3:$BL$215,10,FALSE)</f>
        <v>-132</v>
      </c>
      <c r="I171" s="6" t="str">
        <f>VLOOKUP($A171,ScionOutput!$A$3:$BL$215,55,FALSE)</f>
        <v>VisFave</v>
      </c>
      <c r="J171" s="6">
        <f>VLOOKUP($A171,ScionOutput!$A$3:$BL$215,56,FALSE)</f>
        <v>0</v>
      </c>
      <c r="K171" t="str">
        <f>VLOOKUP($A171,ScionOutput!$A$3:$BL$215,58,FALSE)</f>
        <v>No Play</v>
      </c>
      <c r="L171">
        <f>VLOOKUP($A171,ScionOutput!$A$3:$BL$215,59,FALSE)</f>
        <v>0</v>
      </c>
      <c r="M171">
        <f>VLOOKUP($A171,ScionOutput!$A$3:$BL$215,62,FALSE)</f>
        <v>0</v>
      </c>
      <c r="N171">
        <f>VLOOKUP($A171,ScionOutput!$A$3:$BL$215,63,FALSE)</f>
        <v>0</v>
      </c>
      <c r="O171" t="b">
        <f t="shared" si="17"/>
        <v>0</v>
      </c>
      <c r="P171">
        <f>VLOOKUP($A171,Outcomes!$B$3:$I$209,8,FALSE)</f>
        <v>7</v>
      </c>
      <c r="Q171">
        <f t="shared" si="18"/>
        <v>1</v>
      </c>
      <c r="R171">
        <f>VLOOKUP($A171,Outcomes!$B$3:$I$209,5,FALSE)</f>
        <v>4</v>
      </c>
      <c r="S171">
        <f>VLOOKUP($A171,Outcomes!$B$3:$I$209,6,FALSE)</f>
        <v>3</v>
      </c>
      <c r="T171">
        <f>VLOOKUP($A171,Outcomes!$B$3:$I$209,7,FALSE)</f>
        <v>-1</v>
      </c>
      <c r="U171" t="str">
        <f t="shared" si="19"/>
        <v>HomDog</v>
      </c>
      <c r="V171" s="5" t="str">
        <f t="shared" si="20"/>
        <v/>
      </c>
      <c r="W171" t="str">
        <f t="shared" si="16"/>
        <v/>
      </c>
      <c r="X171" t="str">
        <f t="shared" si="21"/>
        <v/>
      </c>
      <c r="Y171" t="str">
        <f t="shared" si="22"/>
        <v/>
      </c>
      <c r="Z171" s="2" t="str">
        <f t="shared" si="23"/>
        <v/>
      </c>
      <c r="AA171" t="str">
        <f>VLOOKUP($A171,ScionOutput!$A$3:$BL$215,64,FALSE)</f>
        <v xml:space="preserve">824345. VF plays are disallowed. No play due to strategy constraints. </v>
      </c>
    </row>
    <row r="172" spans="1:27" x14ac:dyDescent="0.2">
      <c r="A172">
        <v>824264</v>
      </c>
      <c r="B172" s="3">
        <f>VLOOKUP($A172,ScionOutput!$A$3:$BL$215,3,FALSE)</f>
        <v>46192</v>
      </c>
      <c r="C172">
        <f>VLOOKUP($A172,ScionOutput!$A$3:$BL$215,22,FALSE)</f>
        <v>10</v>
      </c>
      <c r="D172" t="str">
        <f>VLOOKUP($A172,ScionOutput!$A$3:$BL$215,23,FALSE)</f>
        <v>DET</v>
      </c>
      <c r="E172">
        <f>VLOOKUP($A172,ScionOutput!$A$3:$BL$215,6,FALSE)</f>
        <v>9</v>
      </c>
      <c r="F172" t="str">
        <f>VLOOKUP($A172,ScionOutput!$A$3:$BL$215,7,FALSE)</f>
        <v>CWS</v>
      </c>
      <c r="G172">
        <f>VLOOKUP($A172,ScionOutput!$A$3:$BL$215,26,FALSE)</f>
        <v>-182</v>
      </c>
      <c r="H172">
        <f>VLOOKUP($A172,ScionOutput!$A$3:$BL$215,10,FALSE)</f>
        <v>166</v>
      </c>
      <c r="I172" s="6" t="str">
        <f>VLOOKUP($A172,ScionOutput!$A$3:$BL$215,55,FALSE)</f>
        <v>HomFave</v>
      </c>
      <c r="J172" s="6">
        <f>VLOOKUP($A172,ScionOutput!$A$3:$BL$215,56,FALSE)</f>
        <v>0</v>
      </c>
      <c r="K172" t="str">
        <f>VLOOKUP($A172,ScionOutput!$A$3:$BL$215,58,FALSE)</f>
        <v>No Play</v>
      </c>
      <c r="L172">
        <f>VLOOKUP($A172,ScionOutput!$A$3:$BL$215,59,FALSE)</f>
        <v>0</v>
      </c>
      <c r="M172">
        <f>VLOOKUP($A172,ScionOutput!$A$3:$BL$215,62,FALSE)</f>
        <v>0</v>
      </c>
      <c r="N172">
        <f>VLOOKUP($A172,ScionOutput!$A$3:$BL$215,63,FALSE)</f>
        <v>0</v>
      </c>
      <c r="O172" t="b">
        <f t="shared" si="17"/>
        <v>0</v>
      </c>
      <c r="P172">
        <f>VLOOKUP($A172,Outcomes!$B$3:$I$209,8,FALSE)</f>
        <v>7</v>
      </c>
      <c r="Q172">
        <f t="shared" si="18"/>
        <v>1</v>
      </c>
      <c r="R172">
        <f>VLOOKUP($A172,Outcomes!$B$3:$I$209,5,FALSE)</f>
        <v>4</v>
      </c>
      <c r="S172">
        <f>VLOOKUP($A172,Outcomes!$B$3:$I$209,6,FALSE)</f>
        <v>3</v>
      </c>
      <c r="T172">
        <f>VLOOKUP($A172,Outcomes!$B$3:$I$209,7,FALSE)</f>
        <v>-1</v>
      </c>
      <c r="U172" t="str">
        <f t="shared" si="19"/>
        <v>HomFave</v>
      </c>
      <c r="V172" s="5" t="str">
        <f t="shared" si="20"/>
        <v/>
      </c>
      <c r="W172" t="str">
        <f t="shared" si="16"/>
        <v/>
      </c>
      <c r="X172" t="str">
        <f t="shared" si="21"/>
        <v/>
      </c>
      <c r="Y172" t="str">
        <f t="shared" si="22"/>
        <v/>
      </c>
      <c r="Z172" s="2" t="str">
        <f t="shared" si="23"/>
        <v/>
      </c>
      <c r="AA172" t="str">
        <f>VLOOKUP($A172,ScionOutput!$A$3:$BL$215,64,FALSE)</f>
        <v xml:space="preserve">824264. LineStatEns is NoPlay as bookie-line outside range. StatOnlyEns is NoPlay as bookie-line outside range. No play due to strategy constraints. </v>
      </c>
    </row>
    <row r="173" spans="1:27" x14ac:dyDescent="0.2">
      <c r="A173">
        <v>823853</v>
      </c>
      <c r="B173" s="3">
        <f>VLOOKUP($A173,ScionOutput!$A$3:$BL$215,3,FALSE)</f>
        <v>46192</v>
      </c>
      <c r="C173">
        <f>VLOOKUP($A173,ScionOutput!$A$3:$BL$215,22,FALSE)</f>
        <v>11</v>
      </c>
      <c r="D173" t="str">
        <f>VLOOKUP($A173,ScionOutput!$A$3:$BL$215,23,FALSE)</f>
        <v>FLO</v>
      </c>
      <c r="E173">
        <f>VLOOKUP($A173,ScionOutput!$A$3:$BL$215,6,FALSE)</f>
        <v>25</v>
      </c>
      <c r="F173" t="str">
        <f>VLOOKUP($A173,ScionOutput!$A$3:$BL$215,7,FALSE)</f>
        <v>SF</v>
      </c>
      <c r="G173">
        <f>VLOOKUP($A173,ScionOutput!$A$3:$BL$215,26,FALSE)</f>
        <v>-111</v>
      </c>
      <c r="H173">
        <f>VLOOKUP($A173,ScionOutput!$A$3:$BL$215,10,FALSE)</f>
        <v>103</v>
      </c>
      <c r="I173" s="6" t="str">
        <f>VLOOKUP($A173,ScionOutput!$A$3:$BL$215,55,FALSE)</f>
        <v>HomFave</v>
      </c>
      <c r="J173" s="6">
        <f>VLOOKUP($A173,ScionOutput!$A$3:$BL$215,56,FALSE)</f>
        <v>0</v>
      </c>
      <c r="K173" t="str">
        <f>VLOOKUP($A173,ScionOutput!$A$3:$BL$215,58,FALSE)</f>
        <v>No Play</v>
      </c>
      <c r="L173">
        <f>VLOOKUP($A173,ScionOutput!$A$3:$BL$215,59,FALSE)</f>
        <v>0</v>
      </c>
      <c r="M173">
        <f>VLOOKUP($A173,ScionOutput!$A$3:$BL$215,62,FALSE)</f>
        <v>0</v>
      </c>
      <c r="N173">
        <f>VLOOKUP($A173,ScionOutput!$A$3:$BL$215,63,FALSE)</f>
        <v>0</v>
      </c>
      <c r="O173" t="b">
        <f t="shared" si="17"/>
        <v>0</v>
      </c>
      <c r="P173">
        <f>VLOOKUP($A173,Outcomes!$B$3:$I$209,8,FALSE)</f>
        <v>7</v>
      </c>
      <c r="Q173">
        <f t="shared" si="18"/>
        <v>1</v>
      </c>
      <c r="R173">
        <f>VLOOKUP($A173,Outcomes!$B$3:$I$209,5,FALSE)</f>
        <v>4</v>
      </c>
      <c r="S173">
        <f>VLOOKUP($A173,Outcomes!$B$3:$I$209,6,FALSE)</f>
        <v>3</v>
      </c>
      <c r="T173">
        <f>VLOOKUP($A173,Outcomes!$B$3:$I$209,7,FALSE)</f>
        <v>-1</v>
      </c>
      <c r="U173" t="str">
        <f t="shared" si="19"/>
        <v>HomFave</v>
      </c>
      <c r="V173" s="5" t="str">
        <f t="shared" si="20"/>
        <v/>
      </c>
      <c r="W173" t="str">
        <f t="shared" si="16"/>
        <v/>
      </c>
      <c r="X173" t="str">
        <f t="shared" si="21"/>
        <v/>
      </c>
      <c r="Y173" t="str">
        <f t="shared" si="22"/>
        <v/>
      </c>
      <c r="Z173" s="2" t="str">
        <f t="shared" si="23"/>
        <v/>
      </c>
      <c r="AA173" t="str">
        <f>VLOOKUP($A173,ScionOutput!$A$3:$BL$215,64,FALSE)</f>
        <v xml:space="preserve">823853. LineStatEns probability points gap does not exceed threshold (no edge found)! StatOnlyEns probability points gap does not exceed threshold (no edge found)! No play due to strategy constraints. </v>
      </c>
    </row>
    <row r="174" spans="1:27" x14ac:dyDescent="0.2">
      <c r="A174">
        <v>824179</v>
      </c>
      <c r="B174" s="3">
        <f>VLOOKUP($A174,ScionOutput!$A$3:$BL$215,3,FALSE)</f>
        <v>46192</v>
      </c>
      <c r="C174">
        <f>VLOOKUP($A174,ScionOutput!$A$3:$BL$215,22,FALSE)</f>
        <v>12</v>
      </c>
      <c r="D174" t="str">
        <f>VLOOKUP($A174,ScionOutput!$A$3:$BL$215,23,FALSE)</f>
        <v>HOU</v>
      </c>
      <c r="E174">
        <f>VLOOKUP($A174,ScionOutput!$A$3:$BL$215,6,FALSE)</f>
        <v>7</v>
      </c>
      <c r="F174" t="str">
        <f>VLOOKUP($A174,ScionOutput!$A$3:$BL$215,7,FALSE)</f>
        <v>CLE</v>
      </c>
      <c r="G174">
        <f>VLOOKUP($A174,ScionOutput!$A$3:$BL$215,26,FALSE)</f>
        <v>-121</v>
      </c>
      <c r="H174">
        <f>VLOOKUP($A174,ScionOutput!$A$3:$BL$215,10,FALSE)</f>
        <v>111</v>
      </c>
      <c r="I174" s="6" t="str">
        <f>VLOOKUP($A174,ScionOutput!$A$3:$BL$215,55,FALSE)</f>
        <v>VisDog</v>
      </c>
      <c r="J174" s="6">
        <f>VLOOKUP($A174,ScionOutput!$A$3:$BL$215,56,FALSE)</f>
        <v>1</v>
      </c>
      <c r="K174" t="str">
        <f>VLOOKUP($A174,ScionOutput!$A$3:$BL$215,58,FALSE)</f>
        <v>VisDog</v>
      </c>
      <c r="L174">
        <f>VLOOKUP($A174,ScionOutput!$A$3:$BL$215,59,FALSE)</f>
        <v>-5.602E-2</v>
      </c>
      <c r="M174">
        <f>VLOOKUP($A174,ScionOutput!$A$3:$BL$215,62,FALSE)</f>
        <v>5</v>
      </c>
      <c r="N174">
        <f>VLOOKUP($A174,ScionOutput!$A$3:$BL$215,63,FALSE)</f>
        <v>0.67</v>
      </c>
      <c r="O174" t="b">
        <f t="shared" si="17"/>
        <v>1</v>
      </c>
      <c r="P174">
        <f>VLOOKUP($A174,Outcomes!$B$3:$I$209,8,FALSE)</f>
        <v>12</v>
      </c>
      <c r="Q174">
        <f t="shared" si="18"/>
        <v>1</v>
      </c>
      <c r="R174">
        <f>VLOOKUP($A174,Outcomes!$B$3:$I$209,5,FALSE)</f>
        <v>9</v>
      </c>
      <c r="S174">
        <f>VLOOKUP($A174,Outcomes!$B$3:$I$209,6,FALSE)</f>
        <v>3</v>
      </c>
      <c r="T174">
        <f>VLOOKUP($A174,Outcomes!$B$3:$I$209,7,FALSE)</f>
        <v>-6</v>
      </c>
      <c r="U174" t="str">
        <f t="shared" si="19"/>
        <v>HomFave</v>
      </c>
      <c r="V174" s="5">
        <f t="shared" si="20"/>
        <v>0</v>
      </c>
      <c r="W174">
        <f t="shared" si="16"/>
        <v>100</v>
      </c>
      <c r="X174">
        <f t="shared" si="21"/>
        <v>0</v>
      </c>
      <c r="Y174">
        <f t="shared" si="22"/>
        <v>-100</v>
      </c>
      <c r="Z174" s="2">
        <f t="shared" si="23"/>
        <v>-1</v>
      </c>
      <c r="AA174" t="str">
        <f>VLOOKUP($A174,ScionOutput!$A$3:$BL$215,64,FALSE)</f>
        <v xml:space="preserve">824179. Play determined by LineStatEns and StatOnlyEns agreement. </v>
      </c>
    </row>
    <row r="175" spans="1:27" x14ac:dyDescent="0.2">
      <c r="A175">
        <v>824097</v>
      </c>
      <c r="B175" s="3">
        <f>VLOOKUP($A175,ScionOutput!$A$3:$BL$215,3,FALSE)</f>
        <v>46192</v>
      </c>
      <c r="C175">
        <f>VLOOKUP($A175,ScionOutput!$A$3:$BL$215,22,FALSE)</f>
        <v>13</v>
      </c>
      <c r="D175" t="str">
        <f>VLOOKUP($A175,ScionOutput!$A$3:$BL$215,23,FALSE)</f>
        <v>KC</v>
      </c>
      <c r="E175">
        <f>VLOOKUP($A175,ScionOutput!$A$3:$BL$215,6,FALSE)</f>
        <v>26</v>
      </c>
      <c r="F175" t="str">
        <f>VLOOKUP($A175,ScionOutput!$A$3:$BL$215,7,FALSE)</f>
        <v>STL</v>
      </c>
      <c r="G175">
        <f>VLOOKUP($A175,ScionOutput!$A$3:$BL$215,26,FALSE)</f>
        <v>105</v>
      </c>
      <c r="H175">
        <f>VLOOKUP($A175,ScionOutput!$A$3:$BL$215,10,FALSE)</f>
        <v>-114</v>
      </c>
      <c r="I175" s="6" t="str">
        <f>VLOOKUP($A175,ScionOutput!$A$3:$BL$215,55,FALSE)</f>
        <v>HomDog</v>
      </c>
      <c r="J175" s="6">
        <f>VLOOKUP($A175,ScionOutput!$A$3:$BL$215,56,FALSE)</f>
        <v>1</v>
      </c>
      <c r="K175" t="str">
        <f>VLOOKUP($A175,ScionOutput!$A$3:$BL$215,58,FALSE)</f>
        <v>No Play</v>
      </c>
      <c r="L175">
        <f>VLOOKUP($A175,ScionOutput!$A$3:$BL$215,59,FALSE)</f>
        <v>0</v>
      </c>
      <c r="M175">
        <f>VLOOKUP($A175,ScionOutput!$A$3:$BL$215,62,FALSE)</f>
        <v>0</v>
      </c>
      <c r="N175">
        <f>VLOOKUP($A175,ScionOutput!$A$3:$BL$215,63,FALSE)</f>
        <v>0</v>
      </c>
      <c r="O175" t="b">
        <f t="shared" si="17"/>
        <v>0</v>
      </c>
      <c r="P175">
        <f>VLOOKUP($A175,Outcomes!$B$3:$I$209,8,FALSE)</f>
        <v>11</v>
      </c>
      <c r="Q175">
        <f t="shared" si="18"/>
        <v>1</v>
      </c>
      <c r="R175">
        <f>VLOOKUP($A175,Outcomes!$B$3:$I$209,5,FALSE)</f>
        <v>6</v>
      </c>
      <c r="S175">
        <f>VLOOKUP($A175,Outcomes!$B$3:$I$209,6,FALSE)</f>
        <v>5</v>
      </c>
      <c r="T175">
        <f>VLOOKUP($A175,Outcomes!$B$3:$I$209,7,FALSE)</f>
        <v>-1</v>
      </c>
      <c r="U175" t="str">
        <f t="shared" si="19"/>
        <v>HomDog</v>
      </c>
      <c r="V175" s="5">
        <f t="shared" si="20"/>
        <v>1</v>
      </c>
      <c r="W175">
        <f t="shared" si="16"/>
        <v>100</v>
      </c>
      <c r="X175">
        <f t="shared" si="21"/>
        <v>205</v>
      </c>
      <c r="Y175">
        <f t="shared" si="22"/>
        <v>105</v>
      </c>
      <c r="Z175" s="2">
        <f t="shared" si="23"/>
        <v>1.05</v>
      </c>
      <c r="AA175" t="str">
        <f>VLOOKUP($A175,ScionOutput!$A$3:$BL$215,64,FALSE)</f>
        <v xml:space="preserve">824097. VF plays are disallowed. No play due to strategy constraints. </v>
      </c>
    </row>
    <row r="176" spans="1:27" x14ac:dyDescent="0.2">
      <c r="A176">
        <v>823936</v>
      </c>
      <c r="B176" s="3">
        <f>VLOOKUP($A176,ScionOutput!$A$3:$BL$215,3,FALSE)</f>
        <v>46192</v>
      </c>
      <c r="C176">
        <f>VLOOKUP($A176,ScionOutput!$A$3:$BL$215,22,FALSE)</f>
        <v>14</v>
      </c>
      <c r="D176" t="str">
        <f>VLOOKUP($A176,ScionOutput!$A$3:$BL$215,23,FALSE)</f>
        <v>LA</v>
      </c>
      <c r="E176">
        <f>VLOOKUP($A176,ScionOutput!$A$3:$BL$215,6,FALSE)</f>
        <v>2</v>
      </c>
      <c r="F176" t="str">
        <f>VLOOKUP($A176,ScionOutput!$A$3:$BL$215,7,FALSE)</f>
        <v>BAL</v>
      </c>
      <c r="G176">
        <f>VLOOKUP($A176,ScionOutput!$A$3:$BL$215,26,FALSE)</f>
        <v>-206</v>
      </c>
      <c r="H176">
        <f>VLOOKUP($A176,ScionOutput!$A$3:$BL$215,10,FALSE)</f>
        <v>187</v>
      </c>
      <c r="I176" s="6" t="str">
        <f>VLOOKUP($A176,ScionOutput!$A$3:$BL$215,55,FALSE)</f>
        <v>HomFave</v>
      </c>
      <c r="J176" s="6">
        <f>VLOOKUP($A176,ScionOutput!$A$3:$BL$215,56,FALSE)</f>
        <v>0</v>
      </c>
      <c r="K176" t="str">
        <f>VLOOKUP($A176,ScionOutput!$A$3:$BL$215,58,FALSE)</f>
        <v>No Play</v>
      </c>
      <c r="L176">
        <f>VLOOKUP($A176,ScionOutput!$A$3:$BL$215,59,FALSE)</f>
        <v>0</v>
      </c>
      <c r="M176">
        <f>VLOOKUP($A176,ScionOutput!$A$3:$BL$215,62,FALSE)</f>
        <v>0</v>
      </c>
      <c r="N176">
        <f>VLOOKUP($A176,ScionOutput!$A$3:$BL$215,63,FALSE)</f>
        <v>0</v>
      </c>
      <c r="O176" t="b">
        <f t="shared" si="17"/>
        <v>0</v>
      </c>
      <c r="P176">
        <f>VLOOKUP($A176,Outcomes!$B$3:$I$209,8,FALSE)</f>
        <v>11</v>
      </c>
      <c r="Q176">
        <f t="shared" si="18"/>
        <v>1</v>
      </c>
      <c r="R176">
        <f>VLOOKUP($A176,Outcomes!$B$3:$I$209,5,FALSE)</f>
        <v>6</v>
      </c>
      <c r="S176">
        <f>VLOOKUP($A176,Outcomes!$B$3:$I$209,6,FALSE)</f>
        <v>5</v>
      </c>
      <c r="T176">
        <f>VLOOKUP($A176,Outcomes!$B$3:$I$209,7,FALSE)</f>
        <v>-1</v>
      </c>
      <c r="U176" t="str">
        <f t="shared" si="19"/>
        <v>HomFave</v>
      </c>
      <c r="V176" s="5" t="str">
        <f t="shared" si="20"/>
        <v/>
      </c>
      <c r="W176" t="str">
        <f t="shared" si="16"/>
        <v/>
      </c>
      <c r="X176" t="str">
        <f t="shared" si="21"/>
        <v/>
      </c>
      <c r="Y176" t="str">
        <f t="shared" si="22"/>
        <v/>
      </c>
      <c r="Z176" s="2" t="str">
        <f t="shared" si="23"/>
        <v/>
      </c>
      <c r="AA176" t="str">
        <f>VLOOKUP($A176,ScionOutput!$A$3:$BL$215,64,FALSE)</f>
        <v xml:space="preserve">823936. LineStatEns is NoPlay as bookie-line outside range. StatOnlyEns is NoPlay as bookie-line outside range. No play due to strategy constraints. </v>
      </c>
    </row>
    <row r="177" spans="1:27" x14ac:dyDescent="0.2">
      <c r="A177">
        <v>823534</v>
      </c>
      <c r="B177" s="3">
        <f>VLOOKUP($A177,ScionOutput!$A$3:$BL$215,3,FALSE)</f>
        <v>46192</v>
      </c>
      <c r="C177">
        <f>VLOOKUP($A177,ScionOutput!$A$3:$BL$215,22,FALSE)</f>
        <v>19</v>
      </c>
      <c r="D177" t="str">
        <f>VLOOKUP($A177,ScionOutput!$A$3:$BL$215,23,FALSE)</f>
        <v>NYY</v>
      </c>
      <c r="E177">
        <f>VLOOKUP($A177,ScionOutput!$A$3:$BL$215,6,FALSE)</f>
        <v>6</v>
      </c>
      <c r="F177" t="str">
        <f>VLOOKUP($A177,ScionOutput!$A$3:$BL$215,7,FALSE)</f>
        <v>CIN</v>
      </c>
      <c r="G177">
        <f>VLOOKUP($A177,ScionOutput!$A$3:$BL$215,26,FALSE)</f>
        <v>-269</v>
      </c>
      <c r="H177">
        <f>VLOOKUP($A177,ScionOutput!$A$3:$BL$215,10,FALSE)</f>
        <v>240</v>
      </c>
      <c r="I177" s="6" t="str">
        <f>VLOOKUP($A177,ScionOutput!$A$3:$BL$215,55,FALSE)</f>
        <v>HomFave</v>
      </c>
      <c r="J177" s="6">
        <f>VLOOKUP($A177,ScionOutput!$A$3:$BL$215,56,FALSE)</f>
        <v>0</v>
      </c>
      <c r="K177" t="str">
        <f>VLOOKUP($A177,ScionOutput!$A$3:$BL$215,58,FALSE)</f>
        <v>No Play</v>
      </c>
      <c r="L177">
        <f>VLOOKUP($A177,ScionOutput!$A$3:$BL$215,59,FALSE)</f>
        <v>0</v>
      </c>
      <c r="M177">
        <f>VLOOKUP($A177,ScionOutput!$A$3:$BL$215,62,FALSE)</f>
        <v>0</v>
      </c>
      <c r="N177">
        <f>VLOOKUP($A177,ScionOutput!$A$3:$BL$215,63,FALSE)</f>
        <v>0</v>
      </c>
      <c r="O177" t="b">
        <f t="shared" si="17"/>
        <v>0</v>
      </c>
      <c r="P177">
        <f>VLOOKUP($A177,Outcomes!$B$3:$I$209,8,FALSE)</f>
        <v>5</v>
      </c>
      <c r="Q177">
        <f t="shared" si="18"/>
        <v>1</v>
      </c>
      <c r="R177">
        <f>VLOOKUP($A177,Outcomes!$B$3:$I$209,5,FALSE)</f>
        <v>5</v>
      </c>
      <c r="S177">
        <f>VLOOKUP($A177,Outcomes!$B$3:$I$209,6,FALSE)</f>
        <v>0</v>
      </c>
      <c r="T177">
        <f>VLOOKUP($A177,Outcomes!$B$3:$I$209,7,FALSE)</f>
        <v>-5</v>
      </c>
      <c r="U177" t="str">
        <f t="shared" si="19"/>
        <v>HomFave</v>
      </c>
      <c r="V177" s="5" t="str">
        <f t="shared" si="20"/>
        <v/>
      </c>
      <c r="W177" t="str">
        <f t="shared" si="16"/>
        <v/>
      </c>
      <c r="X177" t="str">
        <f t="shared" si="21"/>
        <v/>
      </c>
      <c r="Y177" t="str">
        <f t="shared" si="22"/>
        <v/>
      </c>
      <c r="Z177" s="2" t="str">
        <f t="shared" si="23"/>
        <v/>
      </c>
      <c r="AA177" t="str">
        <f>VLOOKUP($A177,ScionOutput!$A$3:$BL$215,64,FALSE)</f>
        <v xml:space="preserve">823534. LineStatEns is NoPlay as bookie-line outside range. StatOnlyEns is NoPlay as bookie-line outside range. No play due to strategy constraints. </v>
      </c>
    </row>
    <row r="178" spans="1:27" x14ac:dyDescent="0.2">
      <c r="A178">
        <v>824990</v>
      </c>
      <c r="B178" s="3">
        <f>VLOOKUP($A178,ScionOutput!$A$3:$BL$215,3,FALSE)</f>
        <v>46192</v>
      </c>
      <c r="C178">
        <f>VLOOKUP($A178,ScionOutput!$A$3:$BL$215,22,FALSE)</f>
        <v>20</v>
      </c>
      <c r="D178" t="str">
        <f>VLOOKUP($A178,ScionOutput!$A$3:$BL$215,23,FALSE)</f>
        <v>OAK</v>
      </c>
      <c r="E178">
        <f>VLOOKUP($A178,ScionOutput!$A$3:$BL$215,6,FALSE)</f>
        <v>4</v>
      </c>
      <c r="F178" t="str">
        <f>VLOOKUP($A178,ScionOutput!$A$3:$BL$215,7,FALSE)</f>
        <v>LAA</v>
      </c>
      <c r="G178">
        <f>VLOOKUP($A178,ScionOutput!$A$3:$BL$215,26,FALSE)</f>
        <v>-153</v>
      </c>
      <c r="H178">
        <f>VLOOKUP($A178,ScionOutput!$A$3:$BL$215,10,FALSE)</f>
        <v>141</v>
      </c>
      <c r="I178" s="6" t="str">
        <f>VLOOKUP($A178,ScionOutput!$A$3:$BL$215,55,FALSE)</f>
        <v>HomFave</v>
      </c>
      <c r="J178" s="6">
        <f>VLOOKUP($A178,ScionOutput!$A$3:$BL$215,56,FALSE)</f>
        <v>0</v>
      </c>
      <c r="K178" t="str">
        <f>VLOOKUP($A178,ScionOutput!$A$3:$BL$215,58,FALSE)</f>
        <v>No Play</v>
      </c>
      <c r="L178">
        <f>VLOOKUP($A178,ScionOutput!$A$3:$BL$215,59,FALSE)</f>
        <v>0</v>
      </c>
      <c r="M178">
        <f>VLOOKUP($A178,ScionOutput!$A$3:$BL$215,62,FALSE)</f>
        <v>0</v>
      </c>
      <c r="N178">
        <f>VLOOKUP($A178,ScionOutput!$A$3:$BL$215,63,FALSE)</f>
        <v>0</v>
      </c>
      <c r="O178" t="b">
        <f t="shared" si="17"/>
        <v>0</v>
      </c>
      <c r="P178">
        <f>VLOOKUP($A178,Outcomes!$B$3:$I$209,8,FALSE)</f>
        <v>23</v>
      </c>
      <c r="Q178">
        <f t="shared" si="18"/>
        <v>1</v>
      </c>
      <c r="R178">
        <f>VLOOKUP($A178,Outcomes!$B$3:$I$209,5,FALSE)</f>
        <v>12</v>
      </c>
      <c r="S178">
        <f>VLOOKUP($A178,Outcomes!$B$3:$I$209,6,FALSE)</f>
        <v>11</v>
      </c>
      <c r="T178">
        <f>VLOOKUP($A178,Outcomes!$B$3:$I$209,7,FALSE)</f>
        <v>-1</v>
      </c>
      <c r="U178" t="str">
        <f t="shared" si="19"/>
        <v>HomFave</v>
      </c>
      <c r="V178" s="5" t="str">
        <f t="shared" si="20"/>
        <v/>
      </c>
      <c r="W178" t="str">
        <f t="shared" si="16"/>
        <v/>
      </c>
      <c r="X178" t="str">
        <f t="shared" si="21"/>
        <v/>
      </c>
      <c r="Y178" t="str">
        <f t="shared" si="22"/>
        <v/>
      </c>
      <c r="Z178" s="2" t="str">
        <f t="shared" si="23"/>
        <v/>
      </c>
      <c r="AA178" t="str">
        <f>VLOOKUP($A178,ScionOutput!$A$3:$BL$215,64,FALSE)</f>
        <v xml:space="preserve">824990. LineStatEns is NoPlay as bookie-line outside range. StatOnlyEns is NoPlay as bookie-line outside range. No play due to strategy constraints. </v>
      </c>
    </row>
    <row r="179" spans="1:27" x14ac:dyDescent="0.2">
      <c r="A179">
        <v>823124</v>
      </c>
      <c r="B179" s="3">
        <f>VLOOKUP($A179,ScionOutput!$A$3:$BL$215,3,FALSE)</f>
        <v>46192</v>
      </c>
      <c r="C179">
        <f>VLOOKUP($A179,ScionOutput!$A$3:$BL$215,22,FALSE)</f>
        <v>24</v>
      </c>
      <c r="D179" t="str">
        <f>VLOOKUP($A179,ScionOutput!$A$3:$BL$215,23,FALSE)</f>
        <v>SEA</v>
      </c>
      <c r="E179">
        <f>VLOOKUP($A179,ScionOutput!$A$3:$BL$215,6,FALSE)</f>
        <v>3</v>
      </c>
      <c r="F179" t="str">
        <f>VLOOKUP($A179,ScionOutput!$A$3:$BL$215,7,FALSE)</f>
        <v>BOS</v>
      </c>
      <c r="G179">
        <f>VLOOKUP($A179,ScionOutput!$A$3:$BL$215,26,FALSE)</f>
        <v>-108</v>
      </c>
      <c r="H179">
        <f>VLOOKUP($A179,ScionOutput!$A$3:$BL$215,10,FALSE)</f>
        <v>100</v>
      </c>
      <c r="I179" s="6" t="str">
        <f>VLOOKUP($A179,ScionOutput!$A$3:$BL$215,55,FALSE)</f>
        <v>HomFave</v>
      </c>
      <c r="J179" s="6">
        <f>VLOOKUP($A179,ScionOutput!$A$3:$BL$215,56,FALSE)</f>
        <v>1</v>
      </c>
      <c r="K179" t="str">
        <f>VLOOKUP($A179,ScionOutput!$A$3:$BL$215,58,FALSE)</f>
        <v>HomFave</v>
      </c>
      <c r="L179">
        <f>VLOOKUP($A179,ScionOutput!$A$3:$BL$215,59,FALSE)</f>
        <v>3.057E-2</v>
      </c>
      <c r="M179">
        <f>VLOOKUP($A179,ScionOutput!$A$3:$BL$215,62,FALSE)</f>
        <v>5</v>
      </c>
      <c r="N179">
        <f>VLOOKUP($A179,ScionOutput!$A$3:$BL$215,63,FALSE)</f>
        <v>0.98</v>
      </c>
      <c r="O179" t="b">
        <f t="shared" si="17"/>
        <v>0</v>
      </c>
      <c r="P179">
        <f>VLOOKUP($A179,Outcomes!$B$3:$I$209,8,FALSE)</f>
        <v>8</v>
      </c>
      <c r="Q179">
        <f t="shared" si="18"/>
        <v>-1</v>
      </c>
      <c r="R179">
        <f>VLOOKUP($A179,Outcomes!$B$3:$I$209,5,FALSE)</f>
        <v>2</v>
      </c>
      <c r="S179">
        <f>VLOOKUP($A179,Outcomes!$B$3:$I$209,6,FALSE)</f>
        <v>6</v>
      </c>
      <c r="T179">
        <f>VLOOKUP($A179,Outcomes!$B$3:$I$209,7,FALSE)</f>
        <v>4</v>
      </c>
      <c r="U179" t="str">
        <f t="shared" si="19"/>
        <v>VisDog</v>
      </c>
      <c r="V179" s="5">
        <f t="shared" si="20"/>
        <v>0</v>
      </c>
      <c r="W179">
        <f t="shared" si="16"/>
        <v>108</v>
      </c>
      <c r="X179">
        <f t="shared" si="21"/>
        <v>0</v>
      </c>
      <c r="Y179">
        <f t="shared" si="22"/>
        <v>-108</v>
      </c>
      <c r="Z179" s="2">
        <f t="shared" si="23"/>
        <v>-1</v>
      </c>
      <c r="AA179" t="str">
        <f>VLOOKUP($A179,ScionOutput!$A$3:$BL$215,64,FALSE)</f>
        <v xml:space="preserve">823124. Play determined by StatOnlyEns when it disagrees with LineStatEns. </v>
      </c>
    </row>
    <row r="180" spans="1:27" x14ac:dyDescent="0.2">
      <c r="A180">
        <v>822966</v>
      </c>
      <c r="B180" s="3">
        <f>VLOOKUP($A180,ScionOutput!$A$3:$BL$215,3,FALSE)</f>
        <v>46192</v>
      </c>
      <c r="C180">
        <f>VLOOKUP($A180,ScionOutput!$A$3:$BL$215,22,FALSE)</f>
        <v>27</v>
      </c>
      <c r="D180" t="str">
        <f>VLOOKUP($A180,ScionOutput!$A$3:$BL$215,23,FALSE)</f>
        <v>TB</v>
      </c>
      <c r="E180">
        <f>VLOOKUP($A180,ScionOutput!$A$3:$BL$215,6,FALSE)</f>
        <v>16</v>
      </c>
      <c r="F180" t="str">
        <f>VLOOKUP($A180,ScionOutput!$A$3:$BL$215,7,FALSE)</f>
        <v>WAS</v>
      </c>
      <c r="G180">
        <f>VLOOKUP($A180,ScionOutput!$A$3:$BL$215,26,FALSE)</f>
        <v>-119</v>
      </c>
      <c r="H180">
        <f>VLOOKUP($A180,ScionOutput!$A$3:$BL$215,10,FALSE)</f>
        <v>110</v>
      </c>
      <c r="I180" s="6" t="str">
        <f>VLOOKUP($A180,ScionOutput!$A$3:$BL$215,55,FALSE)</f>
        <v>HomFave</v>
      </c>
      <c r="J180" s="6">
        <f>VLOOKUP($A180,ScionOutput!$A$3:$BL$215,56,FALSE)</f>
        <v>0</v>
      </c>
      <c r="K180" t="str">
        <f>VLOOKUP($A180,ScionOutput!$A$3:$BL$215,58,FALSE)</f>
        <v>No Play</v>
      </c>
      <c r="L180">
        <f>VLOOKUP($A180,ScionOutput!$A$3:$BL$215,59,FALSE)</f>
        <v>0</v>
      </c>
      <c r="M180">
        <f>VLOOKUP($A180,ScionOutput!$A$3:$BL$215,62,FALSE)</f>
        <v>0</v>
      </c>
      <c r="N180">
        <f>VLOOKUP($A180,ScionOutput!$A$3:$BL$215,63,FALSE)</f>
        <v>0</v>
      </c>
      <c r="O180" t="b">
        <f t="shared" si="17"/>
        <v>0</v>
      </c>
      <c r="P180">
        <f>VLOOKUP($A180,Outcomes!$B$3:$I$209,8,FALSE)</f>
        <v>7</v>
      </c>
      <c r="Q180">
        <f t="shared" si="18"/>
        <v>1</v>
      </c>
      <c r="R180">
        <f>VLOOKUP($A180,Outcomes!$B$3:$I$209,5,FALSE)</f>
        <v>5</v>
      </c>
      <c r="S180">
        <f>VLOOKUP($A180,Outcomes!$B$3:$I$209,6,FALSE)</f>
        <v>2</v>
      </c>
      <c r="T180">
        <f>VLOOKUP($A180,Outcomes!$B$3:$I$209,7,FALSE)</f>
        <v>-3</v>
      </c>
      <c r="U180" t="str">
        <f t="shared" si="19"/>
        <v>HomFave</v>
      </c>
      <c r="V180" s="5" t="str">
        <f t="shared" si="20"/>
        <v/>
      </c>
      <c r="W180" t="str">
        <f t="shared" si="16"/>
        <v/>
      </c>
      <c r="X180" t="str">
        <f t="shared" si="21"/>
        <v/>
      </c>
      <c r="Y180" t="str">
        <f t="shared" si="22"/>
        <v/>
      </c>
      <c r="Z180" s="2" t="str">
        <f t="shared" si="23"/>
        <v/>
      </c>
      <c r="AA180" t="str">
        <f>VLOOKUP($A180,ScionOutput!$A$3:$BL$215,64,FALSE)</f>
        <v xml:space="preserve">822966. LineStatEns probability points gap does not exceed threshold (no edge found)! StatOnlyEns probability points gap does not exceed threshold (no edge found)! No play due to strategy constraints. </v>
      </c>
    </row>
    <row r="181" spans="1:27" x14ac:dyDescent="0.2">
      <c r="A181">
        <v>822886</v>
      </c>
      <c r="B181" s="3">
        <f>VLOOKUP($A181,ScionOutput!$A$3:$BL$215,3,FALSE)</f>
        <v>46192</v>
      </c>
      <c r="C181">
        <f>VLOOKUP($A181,ScionOutput!$A$3:$BL$215,22,FALSE)</f>
        <v>28</v>
      </c>
      <c r="D181" t="str">
        <f>VLOOKUP($A181,ScionOutput!$A$3:$BL$215,23,FALSE)</f>
        <v>TEX</v>
      </c>
      <c r="E181">
        <f>VLOOKUP($A181,ScionOutput!$A$3:$BL$215,6,FALSE)</f>
        <v>23</v>
      </c>
      <c r="F181" t="str">
        <f>VLOOKUP($A181,ScionOutput!$A$3:$BL$215,7,FALSE)</f>
        <v>SD</v>
      </c>
      <c r="G181">
        <f>VLOOKUP($A181,ScionOutput!$A$3:$BL$215,26,FALSE)</f>
        <v>-154</v>
      </c>
      <c r="H181">
        <f>VLOOKUP($A181,ScionOutput!$A$3:$BL$215,10,FALSE)</f>
        <v>142</v>
      </c>
      <c r="I181" s="6" t="str">
        <f>VLOOKUP($A181,ScionOutput!$A$3:$BL$215,55,FALSE)</f>
        <v>HomFave</v>
      </c>
      <c r="J181" s="6">
        <f>VLOOKUP($A181,ScionOutput!$A$3:$BL$215,56,FALSE)</f>
        <v>0</v>
      </c>
      <c r="K181" t="str">
        <f>VLOOKUP($A181,ScionOutput!$A$3:$BL$215,58,FALSE)</f>
        <v>No Play</v>
      </c>
      <c r="L181">
        <f>VLOOKUP($A181,ScionOutput!$A$3:$BL$215,59,FALSE)</f>
        <v>0</v>
      </c>
      <c r="M181">
        <f>VLOOKUP($A181,ScionOutput!$A$3:$BL$215,62,FALSE)</f>
        <v>0</v>
      </c>
      <c r="N181">
        <f>VLOOKUP($A181,ScionOutput!$A$3:$BL$215,63,FALSE)</f>
        <v>0</v>
      </c>
      <c r="O181" t="b">
        <f t="shared" si="17"/>
        <v>0</v>
      </c>
      <c r="P181">
        <f>VLOOKUP($A181,Outcomes!$B$3:$I$209,8,FALSE)</f>
        <v>16</v>
      </c>
      <c r="Q181">
        <f t="shared" si="18"/>
        <v>1</v>
      </c>
      <c r="R181">
        <f>VLOOKUP($A181,Outcomes!$B$3:$I$209,5,FALSE)</f>
        <v>9</v>
      </c>
      <c r="S181">
        <f>VLOOKUP($A181,Outcomes!$B$3:$I$209,6,FALSE)</f>
        <v>7</v>
      </c>
      <c r="T181">
        <f>VLOOKUP($A181,Outcomes!$B$3:$I$209,7,FALSE)</f>
        <v>-2</v>
      </c>
      <c r="U181" t="str">
        <f t="shared" si="19"/>
        <v>HomFave</v>
      </c>
      <c r="V181" s="5" t="str">
        <f t="shared" si="20"/>
        <v/>
      </c>
      <c r="W181" t="str">
        <f t="shared" si="16"/>
        <v/>
      </c>
      <c r="X181" t="str">
        <f t="shared" si="21"/>
        <v/>
      </c>
      <c r="Y181" t="str">
        <f t="shared" si="22"/>
        <v/>
      </c>
      <c r="Z181" s="2" t="str">
        <f t="shared" si="23"/>
        <v/>
      </c>
      <c r="AA181" t="str">
        <f>VLOOKUP($A181,ScionOutput!$A$3:$BL$215,64,FALSE)</f>
        <v xml:space="preserve">822886. LineStatEns is NoPlay as bookie-line outside range. StatOnlyEns is NoPlay as bookie-line outside range. No play due to strategy constraints. </v>
      </c>
    </row>
    <row r="182" spans="1:27" x14ac:dyDescent="0.2">
      <c r="A182">
        <v>824909</v>
      </c>
      <c r="B182" s="3">
        <f>VLOOKUP($A182,ScionOutput!$A$3:$BL$215,3,FALSE)</f>
        <v>46193</v>
      </c>
      <c r="C182">
        <f>VLOOKUP($A182,ScionOutput!$A$3:$BL$215,22,FALSE)</f>
        <v>0</v>
      </c>
      <c r="D182" t="str">
        <f>VLOOKUP($A182,ScionOutput!$A$3:$BL$215,23,FALSE)</f>
        <v>ATL</v>
      </c>
      <c r="E182">
        <f>VLOOKUP($A182,ScionOutput!$A$3:$BL$215,6,FALSE)</f>
        <v>17</v>
      </c>
      <c r="F182" t="str">
        <f>VLOOKUP($A182,ScionOutput!$A$3:$BL$215,7,FALSE)</f>
        <v>MLW</v>
      </c>
      <c r="G182">
        <f>VLOOKUP($A182,ScionOutput!$A$3:$BL$215,26,FALSE)</f>
        <v>-128</v>
      </c>
      <c r="H182">
        <f>VLOOKUP($A182,ScionOutput!$A$3:$BL$215,10,FALSE)</f>
        <v>118</v>
      </c>
      <c r="I182" s="6" t="str">
        <f>VLOOKUP($A182,ScionOutput!$A$3:$BL$215,55,FALSE)</f>
        <v>HomFave</v>
      </c>
      <c r="J182" s="6">
        <f>VLOOKUP($A182,ScionOutput!$A$3:$BL$215,56,FALSE)</f>
        <v>0</v>
      </c>
      <c r="K182" t="str">
        <f>VLOOKUP($A182,ScionOutput!$A$3:$BL$215,58,FALSE)</f>
        <v>No Play</v>
      </c>
      <c r="L182">
        <f>VLOOKUP($A182,ScionOutput!$A$3:$BL$215,59,FALSE)</f>
        <v>0</v>
      </c>
      <c r="M182">
        <f>VLOOKUP($A182,ScionOutput!$A$3:$BL$215,62,FALSE)</f>
        <v>0</v>
      </c>
      <c r="N182">
        <f>VLOOKUP($A182,ScionOutput!$A$3:$BL$215,63,FALSE)</f>
        <v>0</v>
      </c>
      <c r="O182" t="b">
        <f t="shared" si="17"/>
        <v>0</v>
      </c>
      <c r="P182">
        <f>VLOOKUP($A182,Outcomes!$B$3:$I$209,8,FALSE)</f>
        <v>7</v>
      </c>
      <c r="Q182">
        <f t="shared" si="18"/>
        <v>1</v>
      </c>
      <c r="R182">
        <f>VLOOKUP($A182,Outcomes!$B$3:$I$209,5,FALSE)</f>
        <v>4</v>
      </c>
      <c r="S182">
        <f>VLOOKUP($A182,Outcomes!$B$3:$I$209,6,FALSE)</f>
        <v>3</v>
      </c>
      <c r="T182">
        <f>VLOOKUP($A182,Outcomes!$B$3:$I$209,7,FALSE)</f>
        <v>-1</v>
      </c>
      <c r="U182" t="str">
        <f t="shared" si="19"/>
        <v>HomFave</v>
      </c>
      <c r="V182" s="5" t="str">
        <f t="shared" si="20"/>
        <v/>
      </c>
      <c r="W182" t="str">
        <f t="shared" si="16"/>
        <v/>
      </c>
      <c r="X182" t="str">
        <f t="shared" si="21"/>
        <v/>
      </c>
      <c r="Y182" t="str">
        <f t="shared" si="22"/>
        <v/>
      </c>
      <c r="Z182" s="2" t="str">
        <f t="shared" si="23"/>
        <v/>
      </c>
      <c r="AA182" t="str">
        <f>VLOOKUP($A182,ScionOutput!$A$3:$BL$215,64,FALSE)</f>
        <v xml:space="preserve">824909. LineStatEns probability points gap does not exceed threshold (no edge found)! StatOnlyEns probability points gap does not exceed threshold (no edge found)! No play due to strategy constraints. </v>
      </c>
    </row>
    <row r="183" spans="1:27" x14ac:dyDescent="0.2">
      <c r="A183">
        <v>825068</v>
      </c>
      <c r="B183" s="3">
        <f>VLOOKUP($A183,ScionOutput!$A$3:$BL$215,3,FALSE)</f>
        <v>46193</v>
      </c>
      <c r="C183">
        <f>VLOOKUP($A183,ScionOutput!$A$3:$BL$215,22,FALSE)</f>
        <v>1</v>
      </c>
      <c r="D183" t="str">
        <f>VLOOKUP($A183,ScionOutput!$A$3:$BL$215,23,FALSE)</f>
        <v>ARZ</v>
      </c>
      <c r="E183">
        <f>VLOOKUP($A183,ScionOutput!$A$3:$BL$215,6,FALSE)</f>
        <v>15</v>
      </c>
      <c r="F183" t="str">
        <f>VLOOKUP($A183,ScionOutput!$A$3:$BL$215,7,FALSE)</f>
        <v>MIN</v>
      </c>
      <c r="G183">
        <f>VLOOKUP($A183,ScionOutput!$A$3:$BL$215,26,FALSE)</f>
        <v>-125</v>
      </c>
      <c r="H183">
        <f>VLOOKUP($A183,ScionOutput!$A$3:$BL$215,10,FALSE)</f>
        <v>115</v>
      </c>
      <c r="I183" s="6" t="str">
        <f>VLOOKUP($A183,ScionOutput!$A$3:$BL$215,55,FALSE)</f>
        <v>HomFave</v>
      </c>
      <c r="J183" s="6">
        <f>VLOOKUP($A183,ScionOutput!$A$3:$BL$215,56,FALSE)</f>
        <v>0</v>
      </c>
      <c r="K183" t="str">
        <f>VLOOKUP($A183,ScionOutput!$A$3:$BL$215,58,FALSE)</f>
        <v>No Play</v>
      </c>
      <c r="L183">
        <f>VLOOKUP($A183,ScionOutput!$A$3:$BL$215,59,FALSE)</f>
        <v>0</v>
      </c>
      <c r="M183">
        <f>VLOOKUP($A183,ScionOutput!$A$3:$BL$215,62,FALSE)</f>
        <v>0</v>
      </c>
      <c r="N183">
        <f>VLOOKUP($A183,ScionOutput!$A$3:$BL$215,63,FALSE)</f>
        <v>0</v>
      </c>
      <c r="O183" t="b">
        <f t="shared" si="17"/>
        <v>0</v>
      </c>
      <c r="P183">
        <f>VLOOKUP($A183,Outcomes!$B$3:$I$209,8,FALSE)</f>
        <v>24</v>
      </c>
      <c r="Q183">
        <f t="shared" si="18"/>
        <v>-1</v>
      </c>
      <c r="R183">
        <f>VLOOKUP($A183,Outcomes!$B$3:$I$209,5,FALSE)</f>
        <v>8</v>
      </c>
      <c r="S183">
        <f>VLOOKUP($A183,Outcomes!$B$3:$I$209,6,FALSE)</f>
        <v>16</v>
      </c>
      <c r="T183">
        <f>VLOOKUP($A183,Outcomes!$B$3:$I$209,7,FALSE)</f>
        <v>8</v>
      </c>
      <c r="U183" t="str">
        <f t="shared" si="19"/>
        <v>VisDog</v>
      </c>
      <c r="V183" s="5" t="str">
        <f t="shared" si="20"/>
        <v/>
      </c>
      <c r="W183" t="str">
        <f t="shared" si="16"/>
        <v/>
      </c>
      <c r="X183" t="str">
        <f t="shared" si="21"/>
        <v/>
      </c>
      <c r="Y183" t="str">
        <f t="shared" si="22"/>
        <v/>
      </c>
      <c r="Z183" s="2" t="str">
        <f t="shared" si="23"/>
        <v/>
      </c>
      <c r="AA183" t="str">
        <f>VLOOKUP($A183,ScionOutput!$A$3:$BL$215,64,FALSE)</f>
        <v xml:space="preserve">825068. LineStatEns probability points gap does not exceed threshold (no edge found)! StatOnlyEns probability points gap does not exceed threshold (no edge found)! No play due to strategy constraints. </v>
      </c>
    </row>
    <row r="184" spans="1:27" x14ac:dyDescent="0.2">
      <c r="A184">
        <v>824665</v>
      </c>
      <c r="B184" s="3">
        <f>VLOOKUP($A184,ScionOutput!$A$3:$BL$215,3,FALSE)</f>
        <v>46193</v>
      </c>
      <c r="C184">
        <f>VLOOKUP($A184,ScionOutput!$A$3:$BL$215,22,FALSE)</f>
        <v>5</v>
      </c>
      <c r="D184" t="str">
        <f>VLOOKUP($A184,ScionOutput!$A$3:$BL$215,23,FALSE)</f>
        <v>CHC</v>
      </c>
      <c r="E184">
        <f>VLOOKUP($A184,ScionOutput!$A$3:$BL$215,6,FALSE)</f>
        <v>29</v>
      </c>
      <c r="F184" t="str">
        <f>VLOOKUP($A184,ScionOutput!$A$3:$BL$215,7,FALSE)</f>
        <v>TOR</v>
      </c>
      <c r="G184">
        <f>VLOOKUP($A184,ScionOutput!$A$3:$BL$215,26,FALSE)</f>
        <v>-126</v>
      </c>
      <c r="H184">
        <f>VLOOKUP($A184,ScionOutput!$A$3:$BL$215,10,FALSE)</f>
        <v>116</v>
      </c>
      <c r="I184" s="6" t="str">
        <f>VLOOKUP($A184,ScionOutput!$A$3:$BL$215,55,FALSE)</f>
        <v>HomFave</v>
      </c>
      <c r="J184" s="6">
        <f>VLOOKUP($A184,ScionOutput!$A$3:$BL$215,56,FALSE)</f>
        <v>1</v>
      </c>
      <c r="K184" t="str">
        <f>VLOOKUP($A184,ScionOutput!$A$3:$BL$215,58,FALSE)</f>
        <v>HomFave</v>
      </c>
      <c r="L184">
        <f>VLOOKUP($A184,ScionOutput!$A$3:$BL$215,59,FALSE)</f>
        <v>1.367E-2</v>
      </c>
      <c r="M184">
        <f>VLOOKUP($A184,ScionOutput!$A$3:$BL$215,62,FALSE)</f>
        <v>1</v>
      </c>
      <c r="N184">
        <f>VLOOKUP($A184,ScionOutput!$A$3:$BL$215,63,FALSE)</f>
        <v>0.87</v>
      </c>
      <c r="O184" t="b">
        <f t="shared" si="17"/>
        <v>1</v>
      </c>
      <c r="P184">
        <f>VLOOKUP($A184,Outcomes!$B$3:$I$209,8,FALSE)</f>
        <v>14</v>
      </c>
      <c r="Q184">
        <f t="shared" si="18"/>
        <v>-1</v>
      </c>
      <c r="R184">
        <f>VLOOKUP($A184,Outcomes!$B$3:$I$209,5,FALSE)</f>
        <v>6</v>
      </c>
      <c r="S184">
        <f>VLOOKUP($A184,Outcomes!$B$3:$I$209,6,FALSE)</f>
        <v>8</v>
      </c>
      <c r="T184">
        <f>VLOOKUP($A184,Outcomes!$B$3:$I$209,7,FALSE)</f>
        <v>2</v>
      </c>
      <c r="U184" t="str">
        <f t="shared" si="19"/>
        <v>VisDog</v>
      </c>
      <c r="V184" s="5">
        <f t="shared" si="20"/>
        <v>0</v>
      </c>
      <c r="W184">
        <f t="shared" si="16"/>
        <v>126</v>
      </c>
      <c r="X184">
        <f t="shared" si="21"/>
        <v>0</v>
      </c>
      <c r="Y184">
        <f t="shared" si="22"/>
        <v>-126</v>
      </c>
      <c r="Z184" s="2">
        <f t="shared" si="23"/>
        <v>-1</v>
      </c>
      <c r="AA184" t="str">
        <f>VLOOKUP($A184,ScionOutput!$A$3:$BL$215,64,FALSE)</f>
        <v xml:space="preserve">824665. Play determined by LineStatEns and StatOnlyEns agreement. </v>
      </c>
    </row>
    <row r="185" spans="1:27" x14ac:dyDescent="0.2">
      <c r="A185">
        <v>824342</v>
      </c>
      <c r="B185" s="3">
        <f>VLOOKUP($A185,ScionOutput!$A$3:$BL$215,3,FALSE)</f>
        <v>46193</v>
      </c>
      <c r="C185">
        <f>VLOOKUP($A185,ScionOutput!$A$3:$BL$215,22,FALSE)</f>
        <v>8</v>
      </c>
      <c r="D185" t="str">
        <f>VLOOKUP($A185,ScionOutput!$A$3:$BL$215,23,FALSE)</f>
        <v>COL</v>
      </c>
      <c r="E185">
        <f>VLOOKUP($A185,ScionOutput!$A$3:$BL$215,6,FALSE)</f>
        <v>22</v>
      </c>
      <c r="F185" t="str">
        <f>VLOOKUP($A185,ScionOutput!$A$3:$BL$215,7,FALSE)</f>
        <v>PIT</v>
      </c>
      <c r="G185">
        <f>VLOOKUP($A185,ScionOutput!$A$3:$BL$215,26,FALSE)</f>
        <v>183</v>
      </c>
      <c r="H185">
        <f>VLOOKUP($A185,ScionOutput!$A$3:$BL$215,10,FALSE)</f>
        <v>-201</v>
      </c>
      <c r="I185" s="6" t="str">
        <f>VLOOKUP($A185,ScionOutput!$A$3:$BL$215,55,FALSE)</f>
        <v>VisFave</v>
      </c>
      <c r="J185" s="6">
        <f>VLOOKUP($A185,ScionOutput!$A$3:$BL$215,56,FALSE)</f>
        <v>0</v>
      </c>
      <c r="K185" t="str">
        <f>VLOOKUP($A185,ScionOutput!$A$3:$BL$215,58,FALSE)</f>
        <v>No Play</v>
      </c>
      <c r="L185">
        <f>VLOOKUP($A185,ScionOutput!$A$3:$BL$215,59,FALSE)</f>
        <v>0</v>
      </c>
      <c r="M185">
        <f>VLOOKUP($A185,ScionOutput!$A$3:$BL$215,62,FALSE)</f>
        <v>0</v>
      </c>
      <c r="N185">
        <f>VLOOKUP($A185,ScionOutput!$A$3:$BL$215,63,FALSE)</f>
        <v>0</v>
      </c>
      <c r="O185" t="b">
        <f t="shared" si="17"/>
        <v>0</v>
      </c>
      <c r="P185">
        <f>VLOOKUP($A185,Outcomes!$B$3:$I$209,8,FALSE)</f>
        <v>3</v>
      </c>
      <c r="Q185">
        <f t="shared" si="18"/>
        <v>1</v>
      </c>
      <c r="R185">
        <f>VLOOKUP($A185,Outcomes!$B$3:$I$209,5,FALSE)</f>
        <v>2</v>
      </c>
      <c r="S185">
        <f>VLOOKUP($A185,Outcomes!$B$3:$I$209,6,FALSE)</f>
        <v>1</v>
      </c>
      <c r="T185">
        <f>VLOOKUP($A185,Outcomes!$B$3:$I$209,7,FALSE)</f>
        <v>-1</v>
      </c>
      <c r="U185" t="str">
        <f t="shared" si="19"/>
        <v>HomDog</v>
      </c>
      <c r="V185" s="5" t="str">
        <f t="shared" si="20"/>
        <v/>
      </c>
      <c r="W185" t="str">
        <f t="shared" si="16"/>
        <v/>
      </c>
      <c r="X185" t="str">
        <f t="shared" si="21"/>
        <v/>
      </c>
      <c r="Y185" t="str">
        <f t="shared" si="22"/>
        <v/>
      </c>
      <c r="Z185" s="2" t="str">
        <f t="shared" si="23"/>
        <v/>
      </c>
      <c r="AA185" t="str">
        <f>VLOOKUP($A185,ScionOutput!$A$3:$BL$215,64,FALSE)</f>
        <v xml:space="preserve">824342. LineStatEns is NoPlay as bookie-line outside range. StatOnlyEns is NoPlay as bookie-line outside range. No play due to strategy constraints. </v>
      </c>
    </row>
    <row r="186" spans="1:27" x14ac:dyDescent="0.2">
      <c r="A186">
        <v>824263</v>
      </c>
      <c r="B186" s="3">
        <f>VLOOKUP($A186,ScionOutput!$A$3:$BL$215,3,FALSE)</f>
        <v>46193</v>
      </c>
      <c r="C186">
        <f>VLOOKUP($A186,ScionOutput!$A$3:$BL$215,22,FALSE)</f>
        <v>10</v>
      </c>
      <c r="D186" t="str">
        <f>VLOOKUP($A186,ScionOutput!$A$3:$BL$215,23,FALSE)</f>
        <v>DET</v>
      </c>
      <c r="E186">
        <f>VLOOKUP($A186,ScionOutput!$A$3:$BL$215,6,FALSE)</f>
        <v>9</v>
      </c>
      <c r="F186" t="str">
        <f>VLOOKUP($A186,ScionOutput!$A$3:$BL$215,7,FALSE)</f>
        <v>CWS</v>
      </c>
      <c r="G186">
        <f>VLOOKUP($A186,ScionOutput!$A$3:$BL$215,26,FALSE)</f>
        <v>-115</v>
      </c>
      <c r="H186">
        <f>VLOOKUP($A186,ScionOutput!$A$3:$BL$215,10,FALSE)</f>
        <v>106</v>
      </c>
      <c r="I186" s="6" t="str">
        <f>VLOOKUP($A186,ScionOutput!$A$3:$BL$215,55,FALSE)</f>
        <v>HomFave</v>
      </c>
      <c r="J186" s="6">
        <f>VLOOKUP($A186,ScionOutput!$A$3:$BL$215,56,FALSE)</f>
        <v>0</v>
      </c>
      <c r="K186" t="str">
        <f>VLOOKUP($A186,ScionOutput!$A$3:$BL$215,58,FALSE)</f>
        <v>No Play</v>
      </c>
      <c r="L186">
        <f>VLOOKUP($A186,ScionOutput!$A$3:$BL$215,59,FALSE)</f>
        <v>0</v>
      </c>
      <c r="M186">
        <f>VLOOKUP($A186,ScionOutput!$A$3:$BL$215,62,FALSE)</f>
        <v>0</v>
      </c>
      <c r="N186">
        <f>VLOOKUP($A186,ScionOutput!$A$3:$BL$215,63,FALSE)</f>
        <v>0</v>
      </c>
      <c r="O186" t="b">
        <f t="shared" si="17"/>
        <v>0</v>
      </c>
      <c r="P186">
        <f>VLOOKUP($A186,Outcomes!$B$3:$I$209,8,FALSE)</f>
        <v>5</v>
      </c>
      <c r="Q186">
        <f t="shared" si="18"/>
        <v>1</v>
      </c>
      <c r="R186">
        <f>VLOOKUP($A186,Outcomes!$B$3:$I$209,5,FALSE)</f>
        <v>4</v>
      </c>
      <c r="S186">
        <f>VLOOKUP($A186,Outcomes!$B$3:$I$209,6,FALSE)</f>
        <v>1</v>
      </c>
      <c r="T186">
        <f>VLOOKUP($A186,Outcomes!$B$3:$I$209,7,FALSE)</f>
        <v>-3</v>
      </c>
      <c r="U186" t="str">
        <f t="shared" si="19"/>
        <v>HomFave</v>
      </c>
      <c r="V186" s="5" t="str">
        <f t="shared" si="20"/>
        <v/>
      </c>
      <c r="W186" t="str">
        <f t="shared" si="16"/>
        <v/>
      </c>
      <c r="X186" t="str">
        <f t="shared" si="21"/>
        <v/>
      </c>
      <c r="Y186" t="str">
        <f t="shared" si="22"/>
        <v/>
      </c>
      <c r="Z186" s="2" t="str">
        <f t="shared" si="23"/>
        <v/>
      </c>
      <c r="AA186" t="str">
        <f>VLOOKUP($A186,ScionOutput!$A$3:$BL$215,64,FALSE)</f>
        <v xml:space="preserve">824263. V_SP is Null, team-based avg used. NoPlay as V_SP is Null. </v>
      </c>
    </row>
    <row r="187" spans="1:27" x14ac:dyDescent="0.2">
      <c r="A187">
        <v>823854</v>
      </c>
      <c r="B187" s="3">
        <f>VLOOKUP($A187,ScionOutput!$A$3:$BL$215,3,FALSE)</f>
        <v>46193</v>
      </c>
      <c r="C187">
        <f>VLOOKUP($A187,ScionOutput!$A$3:$BL$215,22,FALSE)</f>
        <v>11</v>
      </c>
      <c r="D187" t="str">
        <f>VLOOKUP($A187,ScionOutput!$A$3:$BL$215,23,FALSE)</f>
        <v>FLO</v>
      </c>
      <c r="E187">
        <f>VLOOKUP($A187,ScionOutput!$A$3:$BL$215,6,FALSE)</f>
        <v>25</v>
      </c>
      <c r="F187" t="str">
        <f>VLOOKUP($A187,ScionOutput!$A$3:$BL$215,7,FALSE)</f>
        <v>SF</v>
      </c>
      <c r="G187">
        <f>VLOOKUP($A187,ScionOutput!$A$3:$BL$215,26,FALSE)</f>
        <v>-137</v>
      </c>
      <c r="H187">
        <f>VLOOKUP($A187,ScionOutput!$A$3:$BL$215,10,FALSE)</f>
        <v>126</v>
      </c>
      <c r="I187" s="6" t="str">
        <f>VLOOKUP($A187,ScionOutput!$A$3:$BL$215,55,FALSE)</f>
        <v>HomFave</v>
      </c>
      <c r="J187" s="6">
        <f>VLOOKUP($A187,ScionOutput!$A$3:$BL$215,56,FALSE)</f>
        <v>0</v>
      </c>
      <c r="K187" t="str">
        <f>VLOOKUP($A187,ScionOutput!$A$3:$BL$215,58,FALSE)</f>
        <v>No Play</v>
      </c>
      <c r="L187">
        <f>VLOOKUP($A187,ScionOutput!$A$3:$BL$215,59,FALSE)</f>
        <v>0</v>
      </c>
      <c r="M187">
        <f>VLOOKUP($A187,ScionOutput!$A$3:$BL$215,62,FALSE)</f>
        <v>0</v>
      </c>
      <c r="N187">
        <f>VLOOKUP($A187,ScionOutput!$A$3:$BL$215,63,FALSE)</f>
        <v>0</v>
      </c>
      <c r="O187" t="b">
        <f t="shared" si="17"/>
        <v>0</v>
      </c>
      <c r="P187">
        <f>VLOOKUP($A187,Outcomes!$B$3:$I$209,8,FALSE)</f>
        <v>9</v>
      </c>
      <c r="Q187">
        <f t="shared" si="18"/>
        <v>1</v>
      </c>
      <c r="R187">
        <f>VLOOKUP($A187,Outcomes!$B$3:$I$209,5,FALSE)</f>
        <v>6</v>
      </c>
      <c r="S187">
        <f>VLOOKUP($A187,Outcomes!$B$3:$I$209,6,FALSE)</f>
        <v>3</v>
      </c>
      <c r="T187">
        <f>VLOOKUP($A187,Outcomes!$B$3:$I$209,7,FALSE)</f>
        <v>-3</v>
      </c>
      <c r="U187" t="str">
        <f t="shared" si="19"/>
        <v>HomFave</v>
      </c>
      <c r="V187" s="5" t="str">
        <f t="shared" si="20"/>
        <v/>
      </c>
      <c r="W187" t="str">
        <f t="shared" si="16"/>
        <v/>
      </c>
      <c r="X187" t="str">
        <f t="shared" si="21"/>
        <v/>
      </c>
      <c r="Y187" t="str">
        <f t="shared" si="22"/>
        <v/>
      </c>
      <c r="Z187" s="2" t="str">
        <f t="shared" si="23"/>
        <v/>
      </c>
      <c r="AA187" t="str">
        <f>VLOOKUP($A187,ScionOutput!$A$3:$BL$215,64,FALSE)</f>
        <v xml:space="preserve">823854. LineStatEns probability points gap does not exceed threshold (no edge found)! StatOnlyEns probability points gap does not exceed threshold (no edge found)! No play due to strategy constraints. </v>
      </c>
    </row>
    <row r="188" spans="1:27" x14ac:dyDescent="0.2">
      <c r="A188">
        <v>824180</v>
      </c>
      <c r="B188" s="3">
        <f>VLOOKUP($A188,ScionOutput!$A$3:$BL$215,3,FALSE)</f>
        <v>46193</v>
      </c>
      <c r="C188">
        <f>VLOOKUP($A188,ScionOutput!$A$3:$BL$215,22,FALSE)</f>
        <v>12</v>
      </c>
      <c r="D188" t="str">
        <f>VLOOKUP($A188,ScionOutput!$A$3:$BL$215,23,FALSE)</f>
        <v>HOU</v>
      </c>
      <c r="E188">
        <f>VLOOKUP($A188,ScionOutput!$A$3:$BL$215,6,FALSE)</f>
        <v>7</v>
      </c>
      <c r="F188" t="str">
        <f>VLOOKUP($A188,ScionOutput!$A$3:$BL$215,7,FALSE)</f>
        <v>CLE</v>
      </c>
      <c r="G188">
        <f>VLOOKUP($A188,ScionOutput!$A$3:$BL$215,26,FALSE)</f>
        <v>-139</v>
      </c>
      <c r="H188">
        <f>VLOOKUP($A188,ScionOutput!$A$3:$BL$215,10,FALSE)</f>
        <v>128</v>
      </c>
      <c r="I188" s="6" t="str">
        <f>VLOOKUP($A188,ScionOutput!$A$3:$BL$215,55,FALSE)</f>
        <v>HomFave</v>
      </c>
      <c r="J188" s="6">
        <f>VLOOKUP($A188,ScionOutput!$A$3:$BL$215,56,FALSE)</f>
        <v>0</v>
      </c>
      <c r="K188" t="str">
        <f>VLOOKUP($A188,ScionOutput!$A$3:$BL$215,58,FALSE)</f>
        <v>No Play</v>
      </c>
      <c r="L188">
        <f>VLOOKUP($A188,ScionOutput!$A$3:$BL$215,59,FALSE)</f>
        <v>0</v>
      </c>
      <c r="M188">
        <f>VLOOKUP($A188,ScionOutput!$A$3:$BL$215,62,FALSE)</f>
        <v>0</v>
      </c>
      <c r="N188">
        <f>VLOOKUP($A188,ScionOutput!$A$3:$BL$215,63,FALSE)</f>
        <v>0</v>
      </c>
      <c r="O188" t="b">
        <f t="shared" si="17"/>
        <v>0</v>
      </c>
      <c r="P188">
        <f>VLOOKUP($A188,Outcomes!$B$3:$I$209,8,FALSE)</f>
        <v>9</v>
      </c>
      <c r="Q188">
        <f t="shared" si="18"/>
        <v>-1</v>
      </c>
      <c r="R188">
        <f>VLOOKUP($A188,Outcomes!$B$3:$I$209,5,FALSE)</f>
        <v>1</v>
      </c>
      <c r="S188">
        <f>VLOOKUP($A188,Outcomes!$B$3:$I$209,6,FALSE)</f>
        <v>8</v>
      </c>
      <c r="T188">
        <f>VLOOKUP($A188,Outcomes!$B$3:$I$209,7,FALSE)</f>
        <v>7</v>
      </c>
      <c r="U188" t="str">
        <f t="shared" si="19"/>
        <v>VisDog</v>
      </c>
      <c r="V188" s="5" t="str">
        <f t="shared" si="20"/>
        <v/>
      </c>
      <c r="W188" t="str">
        <f t="shared" si="16"/>
        <v/>
      </c>
      <c r="X188" t="str">
        <f t="shared" si="21"/>
        <v/>
      </c>
      <c r="Y188" t="str">
        <f t="shared" si="22"/>
        <v/>
      </c>
      <c r="Z188" s="2" t="str">
        <f t="shared" si="23"/>
        <v/>
      </c>
      <c r="AA188" t="str">
        <f>VLOOKUP($A188,ScionOutput!$A$3:$BL$215,64,FALSE)</f>
        <v xml:space="preserve">824180. LineStatEns probability points gap does not exceed threshold (no edge found)! StatOnlyEns probability points gap does not exceed threshold (no edge found)! No play due to strategy constraints. </v>
      </c>
    </row>
    <row r="189" spans="1:27" x14ac:dyDescent="0.2">
      <c r="A189">
        <v>823937</v>
      </c>
      <c r="B189" s="3">
        <f>VLOOKUP($A189,ScionOutput!$A$3:$BL$215,3,FALSE)</f>
        <v>46193</v>
      </c>
      <c r="C189">
        <f>VLOOKUP($A189,ScionOutput!$A$3:$BL$215,22,FALSE)</f>
        <v>14</v>
      </c>
      <c r="D189" t="str">
        <f>VLOOKUP($A189,ScionOutput!$A$3:$BL$215,23,FALSE)</f>
        <v>LA</v>
      </c>
      <c r="E189">
        <f>VLOOKUP($A189,ScionOutput!$A$3:$BL$215,6,FALSE)</f>
        <v>2</v>
      </c>
      <c r="F189" t="str">
        <f>VLOOKUP($A189,ScionOutput!$A$3:$BL$215,7,FALSE)</f>
        <v>BAL</v>
      </c>
      <c r="G189">
        <f>VLOOKUP($A189,ScionOutput!$A$3:$BL$215,26,FALSE)</f>
        <v>-217</v>
      </c>
      <c r="H189">
        <f>VLOOKUP($A189,ScionOutput!$A$3:$BL$215,10,FALSE)</f>
        <v>196</v>
      </c>
      <c r="I189" s="6" t="str">
        <f>VLOOKUP($A189,ScionOutput!$A$3:$BL$215,55,FALSE)</f>
        <v>HomFave</v>
      </c>
      <c r="J189" s="6">
        <f>VLOOKUP($A189,ScionOutput!$A$3:$BL$215,56,FALSE)</f>
        <v>0</v>
      </c>
      <c r="K189" t="str">
        <f>VLOOKUP($A189,ScionOutput!$A$3:$BL$215,58,FALSE)</f>
        <v>No Play</v>
      </c>
      <c r="L189">
        <f>VLOOKUP($A189,ScionOutput!$A$3:$BL$215,59,FALSE)</f>
        <v>0</v>
      </c>
      <c r="M189">
        <f>VLOOKUP($A189,ScionOutput!$A$3:$BL$215,62,FALSE)</f>
        <v>0</v>
      </c>
      <c r="N189">
        <f>VLOOKUP($A189,ScionOutput!$A$3:$BL$215,63,FALSE)</f>
        <v>0</v>
      </c>
      <c r="O189" t="b">
        <f t="shared" si="17"/>
        <v>0</v>
      </c>
      <c r="P189">
        <f>VLOOKUP($A189,Outcomes!$B$3:$I$209,8,FALSE)</f>
        <v>5</v>
      </c>
      <c r="Q189">
        <f t="shared" si="18"/>
        <v>-1</v>
      </c>
      <c r="R189">
        <f>VLOOKUP($A189,Outcomes!$B$3:$I$209,5,FALSE)</f>
        <v>2</v>
      </c>
      <c r="S189">
        <f>VLOOKUP($A189,Outcomes!$B$3:$I$209,6,FALSE)</f>
        <v>3</v>
      </c>
      <c r="T189">
        <f>VLOOKUP($A189,Outcomes!$B$3:$I$209,7,FALSE)</f>
        <v>1</v>
      </c>
      <c r="U189" t="str">
        <f t="shared" si="19"/>
        <v>VisDog</v>
      </c>
      <c r="V189" s="5" t="str">
        <f t="shared" si="20"/>
        <v/>
      </c>
      <c r="W189" t="str">
        <f t="shared" si="16"/>
        <v/>
      </c>
      <c r="X189" t="str">
        <f t="shared" si="21"/>
        <v/>
      </c>
      <c r="Y189" t="str">
        <f t="shared" si="22"/>
        <v/>
      </c>
      <c r="Z189" s="2" t="str">
        <f t="shared" si="23"/>
        <v/>
      </c>
      <c r="AA189" t="str">
        <f>VLOOKUP($A189,ScionOutput!$A$3:$BL$215,64,FALSE)</f>
        <v xml:space="preserve">823937. LineStatEns is NoPlay as bookie-line outside range. StatOnlyEns is NoPlay as bookie-line outside range. No play due to strategy constraints. </v>
      </c>
    </row>
    <row r="190" spans="1:27" x14ac:dyDescent="0.2">
      <c r="A190">
        <v>823532</v>
      </c>
      <c r="B190" s="3">
        <f>VLOOKUP($A190,ScionOutput!$A$3:$BL$215,3,FALSE)</f>
        <v>46193</v>
      </c>
      <c r="C190">
        <f>VLOOKUP($A190,ScionOutput!$A$3:$BL$215,22,FALSE)</f>
        <v>19</v>
      </c>
      <c r="D190" t="str">
        <f>VLOOKUP($A190,ScionOutput!$A$3:$BL$215,23,FALSE)</f>
        <v>NYY</v>
      </c>
      <c r="E190">
        <f>VLOOKUP($A190,ScionOutput!$A$3:$BL$215,6,FALSE)</f>
        <v>6</v>
      </c>
      <c r="F190" t="str">
        <f>VLOOKUP($A190,ScionOutput!$A$3:$BL$215,7,FALSE)</f>
        <v>CIN</v>
      </c>
      <c r="G190">
        <f>VLOOKUP($A190,ScionOutput!$A$3:$BL$215,26,FALSE)</f>
        <v>-199</v>
      </c>
      <c r="H190">
        <f>VLOOKUP($A190,ScionOutput!$A$3:$BL$215,10,FALSE)</f>
        <v>181</v>
      </c>
      <c r="I190" s="6" t="str">
        <f>VLOOKUP($A190,ScionOutput!$A$3:$BL$215,55,FALSE)</f>
        <v>HomFave</v>
      </c>
      <c r="J190" s="6">
        <f>VLOOKUP($A190,ScionOutput!$A$3:$BL$215,56,FALSE)</f>
        <v>0</v>
      </c>
      <c r="K190" t="str">
        <f>VLOOKUP($A190,ScionOutput!$A$3:$BL$215,58,FALSE)</f>
        <v>No Play</v>
      </c>
      <c r="L190">
        <f>VLOOKUP($A190,ScionOutput!$A$3:$BL$215,59,FALSE)</f>
        <v>0</v>
      </c>
      <c r="M190">
        <f>VLOOKUP($A190,ScionOutput!$A$3:$BL$215,62,FALSE)</f>
        <v>0</v>
      </c>
      <c r="N190">
        <f>VLOOKUP($A190,ScionOutput!$A$3:$BL$215,63,FALSE)</f>
        <v>0</v>
      </c>
      <c r="O190" t="b">
        <f t="shared" si="17"/>
        <v>0</v>
      </c>
      <c r="P190">
        <f>VLOOKUP($A190,Outcomes!$B$3:$I$209,8,FALSE)</f>
        <v>12</v>
      </c>
      <c r="Q190">
        <f t="shared" si="18"/>
        <v>-1</v>
      </c>
      <c r="R190">
        <f>VLOOKUP($A190,Outcomes!$B$3:$I$209,5,FALSE)</f>
        <v>2</v>
      </c>
      <c r="S190">
        <f>VLOOKUP($A190,Outcomes!$B$3:$I$209,6,FALSE)</f>
        <v>10</v>
      </c>
      <c r="T190">
        <f>VLOOKUP($A190,Outcomes!$B$3:$I$209,7,FALSE)</f>
        <v>8</v>
      </c>
      <c r="U190" t="str">
        <f t="shared" si="19"/>
        <v>VisDog</v>
      </c>
      <c r="V190" s="5" t="str">
        <f t="shared" si="20"/>
        <v/>
      </c>
      <c r="W190" t="str">
        <f t="shared" si="16"/>
        <v/>
      </c>
      <c r="X190" t="str">
        <f t="shared" si="21"/>
        <v/>
      </c>
      <c r="Y190" t="str">
        <f t="shared" si="22"/>
        <v/>
      </c>
      <c r="Z190" s="2" t="str">
        <f t="shared" si="23"/>
        <v/>
      </c>
      <c r="AA190" t="str">
        <f>VLOOKUP($A190,ScionOutput!$A$3:$BL$215,64,FALSE)</f>
        <v xml:space="preserve">823532. LineStatEns is NoPlay as bookie-line outside range. StatOnlyEns is NoPlay as bookie-line outside range. No play due to strategy constraints. </v>
      </c>
    </row>
    <row r="191" spans="1:27" x14ac:dyDescent="0.2">
      <c r="A191">
        <v>824988</v>
      </c>
      <c r="B191" s="3">
        <f>VLOOKUP($A191,ScionOutput!$A$3:$BL$215,3,FALSE)</f>
        <v>46193</v>
      </c>
      <c r="C191">
        <f>VLOOKUP($A191,ScionOutput!$A$3:$BL$215,22,FALSE)</f>
        <v>20</v>
      </c>
      <c r="D191" t="str">
        <f>VLOOKUP($A191,ScionOutput!$A$3:$BL$215,23,FALSE)</f>
        <v>OAK</v>
      </c>
      <c r="E191">
        <f>VLOOKUP($A191,ScionOutput!$A$3:$BL$215,6,FALSE)</f>
        <v>4</v>
      </c>
      <c r="F191" t="str">
        <f>VLOOKUP($A191,ScionOutput!$A$3:$BL$215,7,FALSE)</f>
        <v>LAA</v>
      </c>
      <c r="G191">
        <f>VLOOKUP($A191,ScionOutput!$A$3:$BL$215,26,FALSE)</f>
        <v>-163</v>
      </c>
      <c r="H191">
        <f>VLOOKUP($A191,ScionOutput!$A$3:$BL$215,10,FALSE)</f>
        <v>149</v>
      </c>
      <c r="I191" s="6" t="str">
        <f>VLOOKUP($A191,ScionOutput!$A$3:$BL$215,55,FALSE)</f>
        <v>HomFave</v>
      </c>
      <c r="J191" s="6">
        <f>VLOOKUP($A191,ScionOutput!$A$3:$BL$215,56,FALSE)</f>
        <v>0</v>
      </c>
      <c r="K191" t="str">
        <f>VLOOKUP($A191,ScionOutput!$A$3:$BL$215,58,FALSE)</f>
        <v>No Play</v>
      </c>
      <c r="L191">
        <f>VLOOKUP($A191,ScionOutput!$A$3:$BL$215,59,FALSE)</f>
        <v>0</v>
      </c>
      <c r="M191">
        <f>VLOOKUP($A191,ScionOutput!$A$3:$BL$215,62,FALSE)</f>
        <v>0</v>
      </c>
      <c r="N191">
        <f>VLOOKUP($A191,ScionOutput!$A$3:$BL$215,63,FALSE)</f>
        <v>0</v>
      </c>
      <c r="O191" t="b">
        <f t="shared" si="17"/>
        <v>0</v>
      </c>
      <c r="P191">
        <f>VLOOKUP($A191,Outcomes!$B$3:$I$209,8,FALSE)</f>
        <v>7</v>
      </c>
      <c r="Q191">
        <f t="shared" si="18"/>
        <v>-1</v>
      </c>
      <c r="R191">
        <f>VLOOKUP($A191,Outcomes!$B$3:$I$209,5,FALSE)</f>
        <v>0</v>
      </c>
      <c r="S191">
        <f>VLOOKUP($A191,Outcomes!$B$3:$I$209,6,FALSE)</f>
        <v>7</v>
      </c>
      <c r="T191">
        <f>VLOOKUP($A191,Outcomes!$B$3:$I$209,7,FALSE)</f>
        <v>7</v>
      </c>
      <c r="U191" t="str">
        <f t="shared" si="19"/>
        <v>VisDog</v>
      </c>
      <c r="V191" s="5" t="str">
        <f t="shared" si="20"/>
        <v/>
      </c>
      <c r="W191" t="str">
        <f t="shared" si="16"/>
        <v/>
      </c>
      <c r="X191" t="str">
        <f t="shared" si="21"/>
        <v/>
      </c>
      <c r="Y191" t="str">
        <f t="shared" si="22"/>
        <v/>
      </c>
      <c r="Z191" s="2" t="str">
        <f t="shared" si="23"/>
        <v/>
      </c>
      <c r="AA191" t="str">
        <f>VLOOKUP($A191,ScionOutput!$A$3:$BL$215,64,FALSE)</f>
        <v xml:space="preserve">824988. LineStatEns is NoPlay as bookie-line outside range. StatOnlyEns is NoPlay as bookie-line outside range. No play due to strategy constraints. </v>
      </c>
    </row>
    <row r="192" spans="1:27" x14ac:dyDescent="0.2">
      <c r="A192">
        <v>823447</v>
      </c>
      <c r="B192" s="3">
        <f>VLOOKUP($A192,ScionOutput!$A$3:$BL$215,3,FALSE)</f>
        <v>46193</v>
      </c>
      <c r="C192">
        <f>VLOOKUP($A192,ScionOutput!$A$3:$BL$215,22,FALSE)</f>
        <v>21</v>
      </c>
      <c r="D192" t="str">
        <f>VLOOKUP($A192,ScionOutput!$A$3:$BL$215,23,FALSE)</f>
        <v>PHI</v>
      </c>
      <c r="E192">
        <f>VLOOKUP($A192,ScionOutput!$A$3:$BL$215,6,FALSE)</f>
        <v>18</v>
      </c>
      <c r="F192" t="str">
        <f>VLOOKUP($A192,ScionOutput!$A$3:$BL$215,7,FALSE)</f>
        <v>NYM</v>
      </c>
      <c r="G192">
        <f>VLOOKUP($A192,ScionOutput!$A$3:$BL$215,26,FALSE)</f>
        <v>-183</v>
      </c>
      <c r="H192">
        <f>VLOOKUP($A192,ScionOutput!$A$3:$BL$215,10,FALSE)</f>
        <v>167</v>
      </c>
      <c r="I192" s="6" t="str">
        <f>VLOOKUP($A192,ScionOutput!$A$3:$BL$215,55,FALSE)</f>
        <v>HomFave</v>
      </c>
      <c r="J192" s="6">
        <f>VLOOKUP($A192,ScionOutput!$A$3:$BL$215,56,FALSE)</f>
        <v>0</v>
      </c>
      <c r="K192" t="str">
        <f>VLOOKUP($A192,ScionOutput!$A$3:$BL$215,58,FALSE)</f>
        <v>No Play</v>
      </c>
      <c r="L192">
        <f>VLOOKUP($A192,ScionOutput!$A$3:$BL$215,59,FALSE)</f>
        <v>0</v>
      </c>
      <c r="M192">
        <f>VLOOKUP($A192,ScionOutput!$A$3:$BL$215,62,FALSE)</f>
        <v>0</v>
      </c>
      <c r="N192">
        <f>VLOOKUP($A192,ScionOutput!$A$3:$BL$215,63,FALSE)</f>
        <v>0</v>
      </c>
      <c r="O192" t="b">
        <f t="shared" si="17"/>
        <v>0</v>
      </c>
      <c r="P192">
        <f>VLOOKUP($A192,Outcomes!$B$3:$I$209,8,FALSE)</f>
        <v>18</v>
      </c>
      <c r="Q192">
        <f t="shared" si="18"/>
        <v>1</v>
      </c>
      <c r="R192">
        <f>VLOOKUP($A192,Outcomes!$B$3:$I$209,5,FALSE)</f>
        <v>15</v>
      </c>
      <c r="S192">
        <f>VLOOKUP($A192,Outcomes!$B$3:$I$209,6,FALSE)</f>
        <v>3</v>
      </c>
      <c r="T192">
        <f>VLOOKUP($A192,Outcomes!$B$3:$I$209,7,FALSE)</f>
        <v>-12</v>
      </c>
      <c r="U192" t="str">
        <f t="shared" si="19"/>
        <v>HomFave</v>
      </c>
      <c r="V192" s="5" t="str">
        <f t="shared" si="20"/>
        <v/>
      </c>
      <c r="W192" t="str">
        <f t="shared" si="16"/>
        <v/>
      </c>
      <c r="X192" t="str">
        <f t="shared" si="21"/>
        <v/>
      </c>
      <c r="Y192" t="str">
        <f t="shared" si="22"/>
        <v/>
      </c>
      <c r="Z192" s="2" t="str">
        <f t="shared" si="23"/>
        <v/>
      </c>
      <c r="AA192" t="str">
        <f>VLOOKUP($A192,ScionOutput!$A$3:$BL$215,64,FALSE)</f>
        <v xml:space="preserve">823447. LineStatEns is NoPlay as bookie-line outside range. StatOnlyEns is NoPlay as bookie-line outside range. No play due to strategy constraints. </v>
      </c>
    </row>
    <row r="193" spans="1:27" x14ac:dyDescent="0.2">
      <c r="A193">
        <v>823126</v>
      </c>
      <c r="B193" s="3">
        <f>VLOOKUP($A193,ScionOutput!$A$3:$BL$215,3,FALSE)</f>
        <v>46193</v>
      </c>
      <c r="C193">
        <f>VLOOKUP($A193,ScionOutput!$A$3:$BL$215,22,FALSE)</f>
        <v>24</v>
      </c>
      <c r="D193" t="str">
        <f>VLOOKUP($A193,ScionOutput!$A$3:$BL$215,23,FALSE)</f>
        <v>SEA</v>
      </c>
      <c r="E193">
        <f>VLOOKUP($A193,ScionOutput!$A$3:$BL$215,6,FALSE)</f>
        <v>3</v>
      </c>
      <c r="F193" t="str">
        <f>VLOOKUP($A193,ScionOutput!$A$3:$BL$215,7,FALSE)</f>
        <v>BOS</v>
      </c>
      <c r="G193">
        <f>VLOOKUP($A193,ScionOutput!$A$3:$BL$215,26,FALSE)</f>
        <v>-116</v>
      </c>
      <c r="H193">
        <f>VLOOKUP($A193,ScionOutput!$A$3:$BL$215,10,FALSE)</f>
        <v>107</v>
      </c>
      <c r="I193" s="6" t="str">
        <f>VLOOKUP($A193,ScionOutput!$A$3:$BL$215,55,FALSE)</f>
        <v>HomFave</v>
      </c>
      <c r="J193" s="6">
        <f>VLOOKUP($A193,ScionOutput!$A$3:$BL$215,56,FALSE)</f>
        <v>0</v>
      </c>
      <c r="K193" t="str">
        <f>VLOOKUP($A193,ScionOutput!$A$3:$BL$215,58,FALSE)</f>
        <v>No Play</v>
      </c>
      <c r="L193">
        <f>VLOOKUP($A193,ScionOutput!$A$3:$BL$215,59,FALSE)</f>
        <v>0</v>
      </c>
      <c r="M193">
        <f>VLOOKUP($A193,ScionOutput!$A$3:$BL$215,62,FALSE)</f>
        <v>0</v>
      </c>
      <c r="N193">
        <f>VLOOKUP($A193,ScionOutput!$A$3:$BL$215,63,FALSE)</f>
        <v>0</v>
      </c>
      <c r="O193" t="b">
        <f t="shared" si="17"/>
        <v>0</v>
      </c>
      <c r="P193">
        <f>VLOOKUP($A193,Outcomes!$B$3:$I$209,8,FALSE)</f>
        <v>6</v>
      </c>
      <c r="Q193">
        <f t="shared" si="18"/>
        <v>-1</v>
      </c>
      <c r="R193">
        <f>VLOOKUP($A193,Outcomes!$B$3:$I$209,5,FALSE)</f>
        <v>1</v>
      </c>
      <c r="S193">
        <f>VLOOKUP($A193,Outcomes!$B$3:$I$209,6,FALSE)</f>
        <v>5</v>
      </c>
      <c r="T193">
        <f>VLOOKUP($A193,Outcomes!$B$3:$I$209,7,FALSE)</f>
        <v>4</v>
      </c>
      <c r="U193" t="str">
        <f t="shared" si="19"/>
        <v>VisDog</v>
      </c>
      <c r="V193" s="5" t="str">
        <f t="shared" si="20"/>
        <v/>
      </c>
      <c r="W193" t="str">
        <f t="shared" si="16"/>
        <v/>
      </c>
      <c r="X193" t="str">
        <f t="shared" si="21"/>
        <v/>
      </c>
      <c r="Y193" t="str">
        <f t="shared" si="22"/>
        <v/>
      </c>
      <c r="Z193" s="2" t="str">
        <f t="shared" si="23"/>
        <v/>
      </c>
      <c r="AA193" t="str">
        <f>VLOOKUP($A193,ScionOutput!$A$3:$BL$215,64,FALSE)</f>
        <v xml:space="preserve">823126. LineStatEns probability points gap does not exceed threshold (no edge found)! StatOnlyEns probability points gap does not exceed threshold (no edge found)! No play due to strategy constraints. </v>
      </c>
    </row>
    <row r="194" spans="1:27" x14ac:dyDescent="0.2">
      <c r="A194">
        <v>822967</v>
      </c>
      <c r="B194" s="3">
        <f>VLOOKUP($A194,ScionOutput!$A$3:$BL$215,3,FALSE)</f>
        <v>46193</v>
      </c>
      <c r="C194">
        <f>VLOOKUP($A194,ScionOutput!$A$3:$BL$215,22,FALSE)</f>
        <v>27</v>
      </c>
      <c r="D194" t="str">
        <f>VLOOKUP($A194,ScionOutput!$A$3:$BL$215,23,FALSE)</f>
        <v>TB</v>
      </c>
      <c r="E194">
        <f>VLOOKUP($A194,ScionOutput!$A$3:$BL$215,6,FALSE)</f>
        <v>16</v>
      </c>
      <c r="F194" t="str">
        <f>VLOOKUP($A194,ScionOutput!$A$3:$BL$215,7,FALSE)</f>
        <v>WAS</v>
      </c>
      <c r="G194">
        <f>VLOOKUP($A194,ScionOutput!$A$3:$BL$215,26,FALSE)</f>
        <v>-117</v>
      </c>
      <c r="H194">
        <f>VLOOKUP($A194,ScionOutput!$A$3:$BL$215,10,FALSE)</f>
        <v>108</v>
      </c>
      <c r="I194" s="6" t="str">
        <f>VLOOKUP($A194,ScionOutput!$A$3:$BL$215,55,FALSE)</f>
        <v>HomFave</v>
      </c>
      <c r="J194" s="6">
        <f>VLOOKUP($A194,ScionOutput!$A$3:$BL$215,56,FALSE)</f>
        <v>1</v>
      </c>
      <c r="K194" t="str">
        <f>VLOOKUP($A194,ScionOutput!$A$3:$BL$215,58,FALSE)</f>
        <v>No Play</v>
      </c>
      <c r="L194">
        <f>VLOOKUP($A194,ScionOutput!$A$3:$BL$215,59,FALSE)</f>
        <v>0</v>
      </c>
      <c r="M194">
        <f>VLOOKUP($A194,ScionOutput!$A$3:$BL$215,62,FALSE)</f>
        <v>0</v>
      </c>
      <c r="N194">
        <f>VLOOKUP($A194,ScionOutput!$A$3:$BL$215,63,FALSE)</f>
        <v>0</v>
      </c>
      <c r="O194" t="b">
        <f t="shared" si="17"/>
        <v>0</v>
      </c>
      <c r="P194">
        <f>VLOOKUP($A194,Outcomes!$B$3:$I$209,8,FALSE)</f>
        <v>7</v>
      </c>
      <c r="Q194">
        <f t="shared" si="18"/>
        <v>-1</v>
      </c>
      <c r="R194">
        <f>VLOOKUP($A194,Outcomes!$B$3:$I$209,5,FALSE)</f>
        <v>3</v>
      </c>
      <c r="S194">
        <f>VLOOKUP($A194,Outcomes!$B$3:$I$209,6,FALSE)</f>
        <v>4</v>
      </c>
      <c r="T194">
        <f>VLOOKUP($A194,Outcomes!$B$3:$I$209,7,FALSE)</f>
        <v>1</v>
      </c>
      <c r="U194" t="str">
        <f t="shared" si="19"/>
        <v>VisDog</v>
      </c>
      <c r="V194" s="5">
        <f t="shared" si="20"/>
        <v>0</v>
      </c>
      <c r="W194">
        <f t="shared" ref="W194:W209" si="24">IF(V194="","",IF(G194&lt;H194,IF(K194="HomFave",ABS(G194),IF(H194&lt;0,ABS(H194),100)),IF(K194="VisFave",ABS(H194),IF(G194&lt;0,ABS(G194),100))))</f>
        <v>100</v>
      </c>
      <c r="X194">
        <f t="shared" si="21"/>
        <v>0</v>
      </c>
      <c r="Y194">
        <f t="shared" si="22"/>
        <v>-100</v>
      </c>
      <c r="Z194" s="2">
        <f t="shared" si="23"/>
        <v>-1</v>
      </c>
      <c r="AA194" t="str">
        <f>VLOOKUP($A194,ScionOutput!$A$3:$BL$215,64,FALSE)</f>
        <v xml:space="preserve">822967. LineStatEns probability points gap does not exceed threshold (no edge found)! No play due to strategy constraints. </v>
      </c>
    </row>
    <row r="195" spans="1:27" x14ac:dyDescent="0.2">
      <c r="A195">
        <v>822885</v>
      </c>
      <c r="B195" s="3">
        <f>VLOOKUP($A195,ScionOutput!$A$3:$BL$215,3,FALSE)</f>
        <v>46193</v>
      </c>
      <c r="C195">
        <f>VLOOKUP($A195,ScionOutput!$A$3:$BL$215,22,FALSE)</f>
        <v>28</v>
      </c>
      <c r="D195" t="str">
        <f>VLOOKUP($A195,ScionOutput!$A$3:$BL$215,23,FALSE)</f>
        <v>TEX</v>
      </c>
      <c r="E195">
        <f>VLOOKUP($A195,ScionOutput!$A$3:$BL$215,6,FALSE)</f>
        <v>23</v>
      </c>
      <c r="F195" t="str">
        <f>VLOOKUP($A195,ScionOutput!$A$3:$BL$215,7,FALSE)</f>
        <v>SD</v>
      </c>
      <c r="G195">
        <f>VLOOKUP($A195,ScionOutput!$A$3:$BL$215,26,FALSE)</f>
        <v>-123</v>
      </c>
      <c r="H195">
        <f>VLOOKUP($A195,ScionOutput!$A$3:$BL$215,10,FALSE)</f>
        <v>114</v>
      </c>
      <c r="I195" s="6" t="str">
        <f>VLOOKUP($A195,ScionOutput!$A$3:$BL$215,55,FALSE)</f>
        <v>HomFave</v>
      </c>
      <c r="J195" s="6">
        <f>VLOOKUP($A195,ScionOutput!$A$3:$BL$215,56,FALSE)</f>
        <v>0</v>
      </c>
      <c r="K195" t="str">
        <f>VLOOKUP($A195,ScionOutput!$A$3:$BL$215,58,FALSE)</f>
        <v>No Play</v>
      </c>
      <c r="L195">
        <f>VLOOKUP($A195,ScionOutput!$A$3:$BL$215,59,FALSE)</f>
        <v>0</v>
      </c>
      <c r="M195">
        <f>VLOOKUP($A195,ScionOutput!$A$3:$BL$215,62,FALSE)</f>
        <v>0</v>
      </c>
      <c r="N195">
        <f>VLOOKUP($A195,ScionOutput!$A$3:$BL$215,63,FALSE)</f>
        <v>0</v>
      </c>
      <c r="O195" t="b">
        <f t="shared" ref="O195:O209" si="25">ISNUMBER(SEARCH("Play determined by LineStatEns and StatOnlyEns agreement", AA195))</f>
        <v>0</v>
      </c>
      <c r="P195">
        <f>VLOOKUP($A195,Outcomes!$B$3:$I$209,8,FALSE)</f>
        <v>10</v>
      </c>
      <c r="Q195">
        <f t="shared" ref="Q195:Q209" si="26">IF(R195&gt;S195,1,IF(R195&lt;S195,-1,0))</f>
        <v>-1</v>
      </c>
      <c r="R195">
        <f>VLOOKUP($A195,Outcomes!$B$3:$I$209,5,FALSE)</f>
        <v>4</v>
      </c>
      <c r="S195">
        <f>VLOOKUP($A195,Outcomes!$B$3:$I$209,6,FALSE)</f>
        <v>6</v>
      </c>
      <c r="T195">
        <f>VLOOKUP($A195,Outcomes!$B$3:$I$209,7,FALSE)</f>
        <v>2</v>
      </c>
      <c r="U195" t="str">
        <f t="shared" ref="U195:U209" si="27">IF(T195=0,"Push",IF(G195&lt;H195,IF(T195&lt;0,"HomFave","VisDog"),IF(T195&gt;0,"VisFave","HomDog")))</f>
        <v>VisDog</v>
      </c>
      <c r="V195" s="5" t="str">
        <f t="shared" ref="V195:V209" si="28">IF(OR(T195=0,I195="No Play",J195&lt;&gt;1),"",IF(U195=I195,1,0))</f>
        <v/>
      </c>
      <c r="W195" t="str">
        <f t="shared" si="24"/>
        <v/>
      </c>
      <c r="X195" t="str">
        <f t="shared" ref="X195:X209" si="29">IF(V195="","",IF(V195=0,0,IF(G195&lt;H195,IF(K195="HomFave",W195+100,IF(H195&lt;0,100+W195,W195+ABS(H195))),IF(K195="VisFave",W195+100,IF(G195&lt;0,100+W195,W195+ABS(G195))))))</f>
        <v/>
      </c>
      <c r="Y195" t="str">
        <f t="shared" ref="Y195:Y209" si="30">IF(V195="","",X195-W195)</f>
        <v/>
      </c>
      <c r="Z195" s="2" t="str">
        <f t="shared" ref="Z195:Z210" si="31">IF(V195="","",Y195/W195)</f>
        <v/>
      </c>
      <c r="AA195" t="str">
        <f>VLOOKUP($A195,ScionOutput!$A$3:$BL$215,64,FALSE)</f>
        <v xml:space="preserve">822885. LineStatEns probability points gap does not exceed threshold (no edge found)! StatOnlyEns probability points gap does not exceed threshold (no edge found)! No play due to strategy constraints. </v>
      </c>
    </row>
    <row r="196" spans="1:27" x14ac:dyDescent="0.2">
      <c r="A196">
        <v>824908</v>
      </c>
      <c r="B196" s="3">
        <f>VLOOKUP($A196,ScionOutput!$A$3:$BL$215,3,FALSE)</f>
        <v>46194</v>
      </c>
      <c r="C196">
        <f>VLOOKUP($A196,ScionOutput!$A$3:$BL$215,22,FALSE)</f>
        <v>0</v>
      </c>
      <c r="D196" t="str">
        <f>VLOOKUP($A196,ScionOutput!$A$3:$BL$215,23,FALSE)</f>
        <v>ATL</v>
      </c>
      <c r="E196">
        <f>VLOOKUP($A196,ScionOutput!$A$3:$BL$215,6,FALSE)</f>
        <v>17</v>
      </c>
      <c r="F196" t="str">
        <f>VLOOKUP($A196,ScionOutput!$A$3:$BL$215,7,FALSE)</f>
        <v>MLW</v>
      </c>
      <c r="G196">
        <f>VLOOKUP($A196,ScionOutput!$A$3:$BL$215,26,FALSE)</f>
        <v>-113</v>
      </c>
      <c r="H196">
        <f>VLOOKUP($A196,ScionOutput!$A$3:$BL$215,10,FALSE)</f>
        <v>105</v>
      </c>
      <c r="I196" s="6" t="str">
        <f>VLOOKUP($A196,ScionOutput!$A$3:$BL$215,55,FALSE)</f>
        <v>HomFave</v>
      </c>
      <c r="J196" s="6">
        <f>VLOOKUP($A196,ScionOutput!$A$3:$BL$215,56,FALSE)</f>
        <v>0</v>
      </c>
      <c r="K196" t="str">
        <f>VLOOKUP($A196,ScionOutput!$A$3:$BL$215,58,FALSE)</f>
        <v>HomFave</v>
      </c>
      <c r="L196">
        <f>VLOOKUP($A196,ScionOutput!$A$3:$BL$215,59,FALSE)</f>
        <v>4.9029999999999997E-2</v>
      </c>
      <c r="M196">
        <f>VLOOKUP($A196,ScionOutput!$A$3:$BL$215,62,FALSE)</f>
        <v>3</v>
      </c>
      <c r="N196">
        <f>VLOOKUP($A196,ScionOutput!$A$3:$BL$215,63,FALSE)</f>
        <v>1</v>
      </c>
      <c r="O196" t="b">
        <f t="shared" si="25"/>
        <v>0</v>
      </c>
      <c r="P196">
        <f>VLOOKUP($A196,Outcomes!$B$3:$I$209,8,FALSE)</f>
        <v>13</v>
      </c>
      <c r="Q196">
        <f t="shared" si="26"/>
        <v>-1</v>
      </c>
      <c r="R196">
        <f>VLOOKUP($A196,Outcomes!$B$3:$I$209,5,FALSE)</f>
        <v>4</v>
      </c>
      <c r="S196">
        <f>VLOOKUP($A196,Outcomes!$B$3:$I$209,6,FALSE)</f>
        <v>9</v>
      </c>
      <c r="T196">
        <f>VLOOKUP($A196,Outcomes!$B$3:$I$209,7,FALSE)</f>
        <v>5</v>
      </c>
      <c r="U196" t="str">
        <f t="shared" si="27"/>
        <v>VisDog</v>
      </c>
      <c r="V196" s="5" t="str">
        <f t="shared" si="28"/>
        <v/>
      </c>
      <c r="W196" t="str">
        <f t="shared" si="24"/>
        <v/>
      </c>
      <c r="X196" t="str">
        <f t="shared" si="29"/>
        <v/>
      </c>
      <c r="Y196" t="str">
        <f t="shared" si="30"/>
        <v/>
      </c>
      <c r="Z196" s="2" t="str">
        <f t="shared" si="31"/>
        <v/>
      </c>
      <c r="AA196" t="str">
        <f>VLOOKUP($A196,ScionOutput!$A$3:$BL$215,64,FALSE)</f>
        <v xml:space="preserve">824908. StatOnlyEns probability points gap does not exceed threshold (no edge found)! Play determined by LineStatEns only. </v>
      </c>
    </row>
    <row r="197" spans="1:27" x14ac:dyDescent="0.2">
      <c r="A197">
        <v>825067</v>
      </c>
      <c r="B197" s="3">
        <f>VLOOKUP($A197,ScionOutput!$A$3:$BL$215,3,FALSE)</f>
        <v>46194</v>
      </c>
      <c r="C197">
        <f>VLOOKUP($A197,ScionOutput!$A$3:$BL$215,22,FALSE)</f>
        <v>1</v>
      </c>
      <c r="D197" t="str">
        <f>VLOOKUP($A197,ScionOutput!$A$3:$BL$215,23,FALSE)</f>
        <v>ARZ</v>
      </c>
      <c r="E197">
        <f>VLOOKUP($A197,ScionOutput!$A$3:$BL$215,6,FALSE)</f>
        <v>15</v>
      </c>
      <c r="F197" t="str">
        <f>VLOOKUP($A197,ScionOutput!$A$3:$BL$215,7,FALSE)</f>
        <v>MIN</v>
      </c>
      <c r="G197">
        <f>VLOOKUP($A197,ScionOutput!$A$3:$BL$215,26,FALSE)</f>
        <v>-126</v>
      </c>
      <c r="H197">
        <f>VLOOKUP($A197,ScionOutput!$A$3:$BL$215,10,FALSE)</f>
        <v>117</v>
      </c>
      <c r="I197" s="6" t="str">
        <f>VLOOKUP($A197,ScionOutput!$A$3:$BL$215,55,FALSE)</f>
        <v>HomFave</v>
      </c>
      <c r="J197" s="6">
        <f>VLOOKUP($A197,ScionOutput!$A$3:$BL$215,56,FALSE)</f>
        <v>0</v>
      </c>
      <c r="K197" t="str">
        <f>VLOOKUP($A197,ScionOutput!$A$3:$BL$215,58,FALSE)</f>
        <v>No Play</v>
      </c>
      <c r="L197">
        <f>VLOOKUP($A197,ScionOutput!$A$3:$BL$215,59,FALSE)</f>
        <v>0</v>
      </c>
      <c r="M197">
        <f>VLOOKUP($A197,ScionOutput!$A$3:$BL$215,62,FALSE)</f>
        <v>0</v>
      </c>
      <c r="N197">
        <f>VLOOKUP($A197,ScionOutput!$A$3:$BL$215,63,FALSE)</f>
        <v>0</v>
      </c>
      <c r="O197" t="b">
        <f t="shared" si="25"/>
        <v>0</v>
      </c>
      <c r="P197">
        <f>VLOOKUP($A197,Outcomes!$B$3:$I$209,8,FALSE)</f>
        <v>6</v>
      </c>
      <c r="Q197">
        <f t="shared" si="26"/>
        <v>-1</v>
      </c>
      <c r="R197">
        <f>VLOOKUP($A197,Outcomes!$B$3:$I$209,5,FALSE)</f>
        <v>2</v>
      </c>
      <c r="S197">
        <f>VLOOKUP($A197,Outcomes!$B$3:$I$209,6,FALSE)</f>
        <v>4</v>
      </c>
      <c r="T197">
        <f>VLOOKUP($A197,Outcomes!$B$3:$I$209,7,FALSE)</f>
        <v>2</v>
      </c>
      <c r="U197" t="str">
        <f t="shared" si="27"/>
        <v>VisDog</v>
      </c>
      <c r="V197" s="5" t="str">
        <f t="shared" si="28"/>
        <v/>
      </c>
      <c r="W197" t="str">
        <f t="shared" si="24"/>
        <v/>
      </c>
      <c r="X197" t="str">
        <f t="shared" si="29"/>
        <v/>
      </c>
      <c r="Y197" t="str">
        <f t="shared" si="30"/>
        <v/>
      </c>
      <c r="Z197" s="2" t="str">
        <f t="shared" si="31"/>
        <v/>
      </c>
      <c r="AA197" t="str">
        <f>VLOOKUP($A197,ScionOutput!$A$3:$BL$215,64,FALSE)</f>
        <v xml:space="preserve">825067. H_SP is Null, team-based avg used. NoPlay as H_SP is Null. </v>
      </c>
    </row>
    <row r="198" spans="1:27" x14ac:dyDescent="0.2">
      <c r="A198">
        <v>824343</v>
      </c>
      <c r="B198" s="3">
        <f>VLOOKUP($A198,ScionOutput!$A$3:$BL$215,3,FALSE)</f>
        <v>46194</v>
      </c>
      <c r="C198">
        <f>VLOOKUP($A198,ScionOutput!$A$3:$BL$215,22,FALSE)</f>
        <v>8</v>
      </c>
      <c r="D198" t="str">
        <f>VLOOKUP($A198,ScionOutput!$A$3:$BL$215,23,FALSE)</f>
        <v>COL</v>
      </c>
      <c r="E198">
        <f>VLOOKUP($A198,ScionOutput!$A$3:$BL$215,6,FALSE)</f>
        <v>22</v>
      </c>
      <c r="F198" t="str">
        <f>VLOOKUP($A198,ScionOutput!$A$3:$BL$215,7,FALSE)</f>
        <v>PIT</v>
      </c>
      <c r="G198">
        <f>VLOOKUP($A198,ScionOutput!$A$3:$BL$215,26,FALSE)</f>
        <v>130</v>
      </c>
      <c r="H198">
        <f>VLOOKUP($A198,ScionOutput!$A$3:$BL$215,10,FALSE)</f>
        <v>-141</v>
      </c>
      <c r="I198" s="6" t="str">
        <f>VLOOKUP($A198,ScionOutput!$A$3:$BL$215,55,FALSE)</f>
        <v>VisFave</v>
      </c>
      <c r="J198" s="6">
        <f>VLOOKUP($A198,ScionOutput!$A$3:$BL$215,56,FALSE)</f>
        <v>0</v>
      </c>
      <c r="K198" t="str">
        <f>VLOOKUP($A198,ScionOutput!$A$3:$BL$215,58,FALSE)</f>
        <v>No Play</v>
      </c>
      <c r="L198">
        <f>VLOOKUP($A198,ScionOutput!$A$3:$BL$215,59,FALSE)</f>
        <v>0</v>
      </c>
      <c r="M198">
        <f>VLOOKUP($A198,ScionOutput!$A$3:$BL$215,62,FALSE)</f>
        <v>0</v>
      </c>
      <c r="N198">
        <f>VLOOKUP($A198,ScionOutput!$A$3:$BL$215,63,FALSE)</f>
        <v>0</v>
      </c>
      <c r="O198" t="b">
        <f t="shared" si="25"/>
        <v>0</v>
      </c>
      <c r="P198">
        <f>VLOOKUP($A198,Outcomes!$B$3:$I$209,8,FALSE)</f>
        <v>14</v>
      </c>
      <c r="Q198">
        <f t="shared" si="26"/>
        <v>-1</v>
      </c>
      <c r="R198">
        <f>VLOOKUP($A198,Outcomes!$B$3:$I$209,5,FALSE)</f>
        <v>6</v>
      </c>
      <c r="S198">
        <f>VLOOKUP($A198,Outcomes!$B$3:$I$209,6,FALSE)</f>
        <v>8</v>
      </c>
      <c r="T198">
        <f>VLOOKUP($A198,Outcomes!$B$3:$I$209,7,FALSE)</f>
        <v>2</v>
      </c>
      <c r="U198" t="str">
        <f t="shared" si="27"/>
        <v>VisFave</v>
      </c>
      <c r="V198" s="5" t="str">
        <f t="shared" si="28"/>
        <v/>
      </c>
      <c r="W198" t="str">
        <f t="shared" si="24"/>
        <v/>
      </c>
      <c r="X198" t="str">
        <f t="shared" si="29"/>
        <v/>
      </c>
      <c r="Y198" t="str">
        <f t="shared" si="30"/>
        <v/>
      </c>
      <c r="Z198" s="2" t="str">
        <f t="shared" si="31"/>
        <v/>
      </c>
      <c r="AA198" t="str">
        <f>VLOOKUP($A198,ScionOutput!$A$3:$BL$215,64,FALSE)</f>
        <v xml:space="preserve">824343. VF plays are disallowed. No play due to strategy constraints. </v>
      </c>
    </row>
    <row r="199" spans="1:27" x14ac:dyDescent="0.2">
      <c r="A199">
        <v>824260</v>
      </c>
      <c r="B199" s="3">
        <f>VLOOKUP($A199,ScionOutput!$A$3:$BL$215,3,FALSE)</f>
        <v>46194</v>
      </c>
      <c r="C199">
        <f>VLOOKUP($A199,ScionOutput!$A$3:$BL$215,22,FALSE)</f>
        <v>10</v>
      </c>
      <c r="D199" t="str">
        <f>VLOOKUP($A199,ScionOutput!$A$3:$BL$215,23,FALSE)</f>
        <v>DET</v>
      </c>
      <c r="E199">
        <f>VLOOKUP($A199,ScionOutput!$A$3:$BL$215,6,FALSE)</f>
        <v>9</v>
      </c>
      <c r="F199" t="str">
        <f>VLOOKUP($A199,ScionOutput!$A$3:$BL$215,7,FALSE)</f>
        <v>CWS</v>
      </c>
      <c r="G199">
        <f>VLOOKUP($A199,ScionOutput!$A$3:$BL$215,26,FALSE)</f>
        <v>-114</v>
      </c>
      <c r="H199">
        <f>VLOOKUP($A199,ScionOutput!$A$3:$BL$215,10,FALSE)</f>
        <v>105</v>
      </c>
      <c r="I199" s="6" t="str">
        <f>VLOOKUP($A199,ScionOutput!$A$3:$BL$215,55,FALSE)</f>
        <v>HomFave</v>
      </c>
      <c r="J199" s="6">
        <f>VLOOKUP($A199,ScionOutput!$A$3:$BL$215,56,FALSE)</f>
        <v>1</v>
      </c>
      <c r="K199" t="str">
        <f>VLOOKUP($A199,ScionOutput!$A$3:$BL$215,58,FALSE)</f>
        <v>HomFave</v>
      </c>
      <c r="L199">
        <f>VLOOKUP($A199,ScionOutput!$A$3:$BL$215,59,FALSE)</f>
        <v>1.7999999999999999E-2</v>
      </c>
      <c r="M199">
        <f>VLOOKUP($A199,ScionOutput!$A$3:$BL$215,62,FALSE)</f>
        <v>5</v>
      </c>
      <c r="N199">
        <f>VLOOKUP($A199,ScionOutput!$A$3:$BL$215,63,FALSE)</f>
        <v>0.98</v>
      </c>
      <c r="O199" t="b">
        <f t="shared" si="25"/>
        <v>0</v>
      </c>
      <c r="P199">
        <f>VLOOKUP($A199,Outcomes!$B$3:$I$209,8,FALSE)</f>
        <v>9</v>
      </c>
      <c r="Q199">
        <f t="shared" si="26"/>
        <v>1</v>
      </c>
      <c r="R199">
        <f>VLOOKUP($A199,Outcomes!$B$3:$I$209,5,FALSE)</f>
        <v>5</v>
      </c>
      <c r="S199">
        <f>VLOOKUP($A199,Outcomes!$B$3:$I$209,6,FALSE)</f>
        <v>4</v>
      </c>
      <c r="T199">
        <f>VLOOKUP($A199,Outcomes!$B$3:$I$209,7,FALSE)</f>
        <v>-1</v>
      </c>
      <c r="U199" t="str">
        <f t="shared" si="27"/>
        <v>HomFave</v>
      </c>
      <c r="V199" s="5">
        <f t="shared" si="28"/>
        <v>1</v>
      </c>
      <c r="W199">
        <f t="shared" si="24"/>
        <v>114</v>
      </c>
      <c r="X199">
        <f t="shared" si="29"/>
        <v>214</v>
      </c>
      <c r="Y199">
        <f t="shared" si="30"/>
        <v>100</v>
      </c>
      <c r="Z199" s="2">
        <f t="shared" si="31"/>
        <v>0.8771929824561403</v>
      </c>
      <c r="AA199" t="str">
        <f>VLOOKUP($A199,ScionOutput!$A$3:$BL$215,64,FALSE)</f>
        <v xml:space="preserve">824260. Play determined by StatOnlyEns when it disagrees with LineStatEns. </v>
      </c>
    </row>
    <row r="200" spans="1:27" x14ac:dyDescent="0.2">
      <c r="A200">
        <v>823852</v>
      </c>
      <c r="B200" s="3">
        <f>VLOOKUP($A200,ScionOutput!$A$3:$BL$215,3,FALSE)</f>
        <v>46194</v>
      </c>
      <c r="C200">
        <f>VLOOKUP($A200,ScionOutput!$A$3:$BL$215,22,FALSE)</f>
        <v>11</v>
      </c>
      <c r="D200" t="str">
        <f>VLOOKUP($A200,ScionOutput!$A$3:$BL$215,23,FALSE)</f>
        <v>FLO</v>
      </c>
      <c r="E200">
        <f>VLOOKUP($A200,ScionOutput!$A$3:$BL$215,6,FALSE)</f>
        <v>25</v>
      </c>
      <c r="F200" t="str">
        <f>VLOOKUP($A200,ScionOutput!$A$3:$BL$215,7,FALSE)</f>
        <v>SF</v>
      </c>
      <c r="G200">
        <f>VLOOKUP($A200,ScionOutput!$A$3:$BL$215,26,FALSE)</f>
        <v>124</v>
      </c>
      <c r="H200">
        <f>VLOOKUP($A200,ScionOutput!$A$3:$BL$215,10,FALSE)</f>
        <v>-134</v>
      </c>
      <c r="I200" s="6" t="str">
        <f>VLOOKUP($A200,ScionOutput!$A$3:$BL$215,55,FALSE)</f>
        <v>VisFave</v>
      </c>
      <c r="J200" s="6">
        <f>VLOOKUP($A200,ScionOutput!$A$3:$BL$215,56,FALSE)</f>
        <v>0</v>
      </c>
      <c r="K200" t="str">
        <f>VLOOKUP($A200,ScionOutput!$A$3:$BL$215,58,FALSE)</f>
        <v>No Play</v>
      </c>
      <c r="L200">
        <f>VLOOKUP($A200,ScionOutput!$A$3:$BL$215,59,FALSE)</f>
        <v>0</v>
      </c>
      <c r="M200">
        <f>VLOOKUP($A200,ScionOutput!$A$3:$BL$215,62,FALSE)</f>
        <v>0</v>
      </c>
      <c r="N200">
        <f>VLOOKUP($A200,ScionOutput!$A$3:$BL$215,63,FALSE)</f>
        <v>0</v>
      </c>
      <c r="O200" t="b">
        <f t="shared" si="25"/>
        <v>0</v>
      </c>
      <c r="P200">
        <f>VLOOKUP($A200,Outcomes!$B$3:$I$209,8,FALSE)</f>
        <v>3</v>
      </c>
      <c r="Q200">
        <f t="shared" si="26"/>
        <v>1</v>
      </c>
      <c r="R200">
        <f>VLOOKUP($A200,Outcomes!$B$3:$I$209,5,FALSE)</f>
        <v>2</v>
      </c>
      <c r="S200">
        <f>VLOOKUP($A200,Outcomes!$B$3:$I$209,6,FALSE)</f>
        <v>1</v>
      </c>
      <c r="T200">
        <f>VLOOKUP($A200,Outcomes!$B$3:$I$209,7,FALSE)</f>
        <v>-1</v>
      </c>
      <c r="U200" t="str">
        <f t="shared" si="27"/>
        <v>HomDog</v>
      </c>
      <c r="V200" s="5" t="str">
        <f t="shared" si="28"/>
        <v/>
      </c>
      <c r="W200" t="str">
        <f t="shared" si="24"/>
        <v/>
      </c>
      <c r="X200" t="str">
        <f t="shared" si="29"/>
        <v/>
      </c>
      <c r="Y200" t="str">
        <f t="shared" si="30"/>
        <v/>
      </c>
      <c r="Z200" s="2" t="str">
        <f t="shared" si="31"/>
        <v/>
      </c>
      <c r="AA200" t="str">
        <f>VLOOKUP($A200,ScionOutput!$A$3:$BL$215,64,FALSE)</f>
        <v xml:space="preserve">823852. VF plays are disallowed. No play due to strategy constraints. </v>
      </c>
    </row>
    <row r="201" spans="1:27" x14ac:dyDescent="0.2">
      <c r="A201">
        <v>824177</v>
      </c>
      <c r="B201" s="3">
        <f>VLOOKUP($A201,ScionOutput!$A$3:$BL$215,3,FALSE)</f>
        <v>46194</v>
      </c>
      <c r="C201">
        <f>VLOOKUP($A201,ScionOutput!$A$3:$BL$215,22,FALSE)</f>
        <v>12</v>
      </c>
      <c r="D201" t="str">
        <f>VLOOKUP($A201,ScionOutput!$A$3:$BL$215,23,FALSE)</f>
        <v>HOU</v>
      </c>
      <c r="E201">
        <f>VLOOKUP($A201,ScionOutput!$A$3:$BL$215,6,FALSE)</f>
        <v>7</v>
      </c>
      <c r="F201" t="str">
        <f>VLOOKUP($A201,ScionOutput!$A$3:$BL$215,7,FALSE)</f>
        <v>CLE</v>
      </c>
      <c r="G201">
        <f>VLOOKUP($A201,ScionOutput!$A$3:$BL$215,26,FALSE)</f>
        <v>-129</v>
      </c>
      <c r="H201">
        <f>VLOOKUP($A201,ScionOutput!$A$3:$BL$215,10,FALSE)</f>
        <v>119</v>
      </c>
      <c r="I201" s="6" t="str">
        <f>VLOOKUP($A201,ScionOutput!$A$3:$BL$215,55,FALSE)</f>
        <v>HomFave</v>
      </c>
      <c r="J201" s="6">
        <f>VLOOKUP($A201,ScionOutput!$A$3:$BL$215,56,FALSE)</f>
        <v>0</v>
      </c>
      <c r="K201" t="str">
        <f>VLOOKUP($A201,ScionOutput!$A$3:$BL$215,58,FALSE)</f>
        <v>No Play</v>
      </c>
      <c r="L201">
        <f>VLOOKUP($A201,ScionOutput!$A$3:$BL$215,59,FALSE)</f>
        <v>0</v>
      </c>
      <c r="M201">
        <f>VLOOKUP($A201,ScionOutput!$A$3:$BL$215,62,FALSE)</f>
        <v>0</v>
      </c>
      <c r="N201">
        <f>VLOOKUP($A201,ScionOutput!$A$3:$BL$215,63,FALSE)</f>
        <v>0</v>
      </c>
      <c r="O201" t="b">
        <f t="shared" si="25"/>
        <v>0</v>
      </c>
      <c r="P201">
        <f>VLOOKUP($A201,Outcomes!$B$3:$I$209,8,FALSE)</f>
        <v>3</v>
      </c>
      <c r="Q201">
        <f t="shared" si="26"/>
        <v>1</v>
      </c>
      <c r="R201">
        <f>VLOOKUP($A201,Outcomes!$B$3:$I$209,5,FALSE)</f>
        <v>2</v>
      </c>
      <c r="S201">
        <f>VLOOKUP($A201,Outcomes!$B$3:$I$209,6,FALSE)</f>
        <v>1</v>
      </c>
      <c r="T201">
        <f>VLOOKUP($A201,Outcomes!$B$3:$I$209,7,FALSE)</f>
        <v>-1</v>
      </c>
      <c r="U201" t="str">
        <f t="shared" si="27"/>
        <v>HomFave</v>
      </c>
      <c r="V201" s="5" t="str">
        <f t="shared" si="28"/>
        <v/>
      </c>
      <c r="W201" t="str">
        <f t="shared" si="24"/>
        <v/>
      </c>
      <c r="X201" t="str">
        <f t="shared" si="29"/>
        <v/>
      </c>
      <c r="Y201" t="str">
        <f t="shared" si="30"/>
        <v/>
      </c>
      <c r="Z201" s="2" t="str">
        <f t="shared" si="31"/>
        <v/>
      </c>
      <c r="AA201" t="str">
        <f>VLOOKUP($A201,ScionOutput!$A$3:$BL$215,64,FALSE)</f>
        <v xml:space="preserve">824177. LineStatEns probability points gap does not exceed threshold (no edge found)! StatOnlyEns probability points gap does not exceed threshold (no edge found)! No play due to strategy constraints. </v>
      </c>
    </row>
    <row r="202" spans="1:27" x14ac:dyDescent="0.2">
      <c r="A202">
        <v>824095</v>
      </c>
      <c r="B202" s="3">
        <f>VLOOKUP($A202,ScionOutput!$A$3:$BL$215,3,FALSE)</f>
        <v>46194</v>
      </c>
      <c r="C202">
        <f>VLOOKUP($A202,ScionOutput!$A$3:$BL$215,22,FALSE)</f>
        <v>13</v>
      </c>
      <c r="D202" t="str">
        <f>VLOOKUP($A202,ScionOutput!$A$3:$BL$215,23,FALSE)</f>
        <v>KC</v>
      </c>
      <c r="E202">
        <f>VLOOKUP($A202,ScionOutput!$A$3:$BL$215,6,FALSE)</f>
        <v>26</v>
      </c>
      <c r="F202" t="str">
        <f>VLOOKUP($A202,ScionOutput!$A$3:$BL$215,7,FALSE)</f>
        <v>STL</v>
      </c>
      <c r="G202">
        <f>VLOOKUP($A202,ScionOutput!$A$3:$BL$215,26,FALSE)</f>
        <v>112</v>
      </c>
      <c r="H202">
        <f>VLOOKUP($A202,ScionOutput!$A$3:$BL$215,10,FALSE)</f>
        <v>-121</v>
      </c>
      <c r="I202" s="6" t="str">
        <f>VLOOKUP($A202,ScionOutput!$A$3:$BL$215,55,FALSE)</f>
        <v>HomDog</v>
      </c>
      <c r="J202" s="6">
        <f>VLOOKUP($A202,ScionOutput!$A$3:$BL$215,56,FALSE)</f>
        <v>1</v>
      </c>
      <c r="K202" t="str">
        <f>VLOOKUP($A202,ScionOutput!$A$3:$BL$215,58,FALSE)</f>
        <v>No Play</v>
      </c>
      <c r="L202">
        <f>VLOOKUP($A202,ScionOutput!$A$3:$BL$215,59,FALSE)</f>
        <v>0</v>
      </c>
      <c r="M202">
        <f>VLOOKUP($A202,ScionOutput!$A$3:$BL$215,62,FALSE)</f>
        <v>0</v>
      </c>
      <c r="N202">
        <f>VLOOKUP($A202,ScionOutput!$A$3:$BL$215,63,FALSE)</f>
        <v>0</v>
      </c>
      <c r="O202" t="b">
        <f t="shared" si="25"/>
        <v>0</v>
      </c>
      <c r="P202">
        <f>VLOOKUP($A202,Outcomes!$B$3:$I$209,8,FALSE)</f>
        <v>22</v>
      </c>
      <c r="Q202">
        <f t="shared" si="26"/>
        <v>-1</v>
      </c>
      <c r="R202">
        <f>VLOOKUP($A202,Outcomes!$B$3:$I$209,5,FALSE)</f>
        <v>10</v>
      </c>
      <c r="S202">
        <f>VLOOKUP($A202,Outcomes!$B$3:$I$209,6,FALSE)</f>
        <v>12</v>
      </c>
      <c r="T202">
        <f>VLOOKUP($A202,Outcomes!$B$3:$I$209,7,FALSE)</f>
        <v>2</v>
      </c>
      <c r="U202" t="str">
        <f t="shared" si="27"/>
        <v>VisFave</v>
      </c>
      <c r="V202" s="5">
        <f t="shared" si="28"/>
        <v>0</v>
      </c>
      <c r="W202">
        <f t="shared" si="24"/>
        <v>100</v>
      </c>
      <c r="X202">
        <f t="shared" si="29"/>
        <v>0</v>
      </c>
      <c r="Y202">
        <f t="shared" si="30"/>
        <v>-100</v>
      </c>
      <c r="Z202" s="2">
        <f t="shared" si="31"/>
        <v>-1</v>
      </c>
      <c r="AA202" t="str">
        <f>VLOOKUP($A202,ScionOutput!$A$3:$BL$215,64,FALSE)</f>
        <v xml:space="preserve">824095. VF plays are disallowed. No play due to strategy constraints. </v>
      </c>
    </row>
    <row r="203" spans="1:27" x14ac:dyDescent="0.2">
      <c r="A203">
        <v>823934</v>
      </c>
      <c r="B203" s="3">
        <f>VLOOKUP($A203,ScionOutput!$A$3:$BL$215,3,FALSE)</f>
        <v>46194</v>
      </c>
      <c r="C203">
        <f>VLOOKUP($A203,ScionOutput!$A$3:$BL$215,22,FALSE)</f>
        <v>14</v>
      </c>
      <c r="D203" t="str">
        <f>VLOOKUP($A203,ScionOutput!$A$3:$BL$215,23,FALSE)</f>
        <v>LA</v>
      </c>
      <c r="E203">
        <f>VLOOKUP($A203,ScionOutput!$A$3:$BL$215,6,FALSE)</f>
        <v>2</v>
      </c>
      <c r="F203" t="str">
        <f>VLOOKUP($A203,ScionOutput!$A$3:$BL$215,7,FALSE)</f>
        <v>BAL</v>
      </c>
      <c r="G203">
        <f>VLOOKUP($A203,ScionOutput!$A$3:$BL$215,26,FALSE)</f>
        <v>-228</v>
      </c>
      <c r="H203">
        <f>VLOOKUP($A203,ScionOutput!$A$3:$BL$215,10,FALSE)</f>
        <v>206</v>
      </c>
      <c r="I203" s="6" t="str">
        <f>VLOOKUP($A203,ScionOutput!$A$3:$BL$215,55,FALSE)</f>
        <v>HomFave</v>
      </c>
      <c r="J203" s="6">
        <f>VLOOKUP($A203,ScionOutput!$A$3:$BL$215,56,FALSE)</f>
        <v>0</v>
      </c>
      <c r="K203" t="str">
        <f>VLOOKUP($A203,ScionOutput!$A$3:$BL$215,58,FALSE)</f>
        <v>No Play</v>
      </c>
      <c r="L203">
        <f>VLOOKUP($A203,ScionOutput!$A$3:$BL$215,59,FALSE)</f>
        <v>0</v>
      </c>
      <c r="M203">
        <f>VLOOKUP($A203,ScionOutput!$A$3:$BL$215,62,FALSE)</f>
        <v>0</v>
      </c>
      <c r="N203">
        <f>VLOOKUP($A203,ScionOutput!$A$3:$BL$215,63,FALSE)</f>
        <v>0</v>
      </c>
      <c r="O203" t="b">
        <f t="shared" si="25"/>
        <v>0</v>
      </c>
      <c r="P203">
        <f>VLOOKUP($A203,Outcomes!$B$3:$I$209,8,FALSE)</f>
        <v>13</v>
      </c>
      <c r="Q203">
        <f t="shared" si="26"/>
        <v>-1</v>
      </c>
      <c r="R203">
        <f>VLOOKUP($A203,Outcomes!$B$3:$I$209,5,FALSE)</f>
        <v>1</v>
      </c>
      <c r="S203">
        <f>VLOOKUP($A203,Outcomes!$B$3:$I$209,6,FALSE)</f>
        <v>12</v>
      </c>
      <c r="T203">
        <f>VLOOKUP($A203,Outcomes!$B$3:$I$209,7,FALSE)</f>
        <v>11</v>
      </c>
      <c r="U203" t="str">
        <f t="shared" si="27"/>
        <v>VisDog</v>
      </c>
      <c r="V203" s="5" t="str">
        <f t="shared" si="28"/>
        <v/>
      </c>
      <c r="W203" t="str">
        <f t="shared" si="24"/>
        <v/>
      </c>
      <c r="X203" t="str">
        <f t="shared" si="29"/>
        <v/>
      </c>
      <c r="Y203" t="str">
        <f t="shared" si="30"/>
        <v/>
      </c>
      <c r="Z203" s="2" t="str">
        <f t="shared" si="31"/>
        <v/>
      </c>
      <c r="AA203" t="str">
        <f>VLOOKUP($A203,ScionOutput!$A$3:$BL$215,64,FALSE)</f>
        <v xml:space="preserve">823934. LineStatEns is NoPlay as bookie-line outside range. StatOnlyEns is NoPlay as bookie-line outside range. No play due to strategy constraints. </v>
      </c>
    </row>
    <row r="204" spans="1:27" x14ac:dyDescent="0.2">
      <c r="A204">
        <v>823531</v>
      </c>
      <c r="B204" s="3">
        <f>VLOOKUP($A204,ScionOutput!$A$3:$BL$215,3,FALSE)</f>
        <v>46194</v>
      </c>
      <c r="C204">
        <f>VLOOKUP($A204,ScionOutput!$A$3:$BL$215,22,FALSE)</f>
        <v>19</v>
      </c>
      <c r="D204" t="str">
        <f>VLOOKUP($A204,ScionOutput!$A$3:$BL$215,23,FALSE)</f>
        <v>NYY</v>
      </c>
      <c r="E204">
        <f>VLOOKUP($A204,ScionOutput!$A$3:$BL$215,6,FALSE)</f>
        <v>6</v>
      </c>
      <c r="F204" t="str">
        <f>VLOOKUP($A204,ScionOutput!$A$3:$BL$215,7,FALSE)</f>
        <v>CIN</v>
      </c>
      <c r="G204">
        <f>VLOOKUP($A204,ScionOutput!$A$3:$BL$215,26,FALSE)</f>
        <v>-110</v>
      </c>
      <c r="H204">
        <f>VLOOKUP($A204,ScionOutput!$A$3:$BL$215,10,FALSE)</f>
        <v>101</v>
      </c>
      <c r="I204" s="6" t="str">
        <f>VLOOKUP($A204,ScionOutput!$A$3:$BL$215,55,FALSE)</f>
        <v>HomFave</v>
      </c>
      <c r="J204" s="6">
        <f>VLOOKUP($A204,ScionOutput!$A$3:$BL$215,56,FALSE)</f>
        <v>0</v>
      </c>
      <c r="K204" t="str">
        <f>VLOOKUP($A204,ScionOutput!$A$3:$BL$215,58,FALSE)</f>
        <v>HomFave</v>
      </c>
      <c r="L204">
        <f>VLOOKUP($A204,ScionOutput!$A$3:$BL$215,59,FALSE)</f>
        <v>7.1300000000000001E-3</v>
      </c>
      <c r="M204">
        <f>VLOOKUP($A204,ScionOutput!$A$3:$BL$215,62,FALSE)</f>
        <v>3</v>
      </c>
      <c r="N204">
        <f>VLOOKUP($A204,ScionOutput!$A$3:$BL$215,63,FALSE)</f>
        <v>0.93</v>
      </c>
      <c r="O204" t="b">
        <f t="shared" si="25"/>
        <v>0</v>
      </c>
      <c r="P204">
        <f>VLOOKUP($A204,Outcomes!$B$3:$I$209,8,FALSE)</f>
        <v>5</v>
      </c>
      <c r="Q204">
        <f t="shared" si="26"/>
        <v>-1</v>
      </c>
      <c r="R204">
        <f>VLOOKUP($A204,Outcomes!$B$3:$I$209,5,FALSE)</f>
        <v>1</v>
      </c>
      <c r="S204">
        <f>VLOOKUP($A204,Outcomes!$B$3:$I$209,6,FALSE)</f>
        <v>4</v>
      </c>
      <c r="T204">
        <f>VLOOKUP($A204,Outcomes!$B$3:$I$209,7,FALSE)</f>
        <v>3</v>
      </c>
      <c r="U204" t="str">
        <f t="shared" si="27"/>
        <v>VisDog</v>
      </c>
      <c r="V204" s="5" t="str">
        <f t="shared" si="28"/>
        <v/>
      </c>
      <c r="W204" t="str">
        <f t="shared" si="24"/>
        <v/>
      </c>
      <c r="X204" t="str">
        <f t="shared" si="29"/>
        <v/>
      </c>
      <c r="Y204" t="str">
        <f t="shared" si="30"/>
        <v/>
      </c>
      <c r="Z204" s="2" t="str">
        <f t="shared" si="31"/>
        <v/>
      </c>
      <c r="AA204" t="str">
        <f>VLOOKUP($A204,ScionOutput!$A$3:$BL$215,64,FALSE)</f>
        <v xml:space="preserve">823531. StatOnlyEns probability points gap does not exceed threshold (no edge found)! Play determined by LineStatEns only. </v>
      </c>
    </row>
    <row r="205" spans="1:27" x14ac:dyDescent="0.2">
      <c r="A205">
        <v>824987</v>
      </c>
      <c r="B205" s="3">
        <f>VLOOKUP($A205,ScionOutput!$A$3:$BL$215,3,FALSE)</f>
        <v>46194</v>
      </c>
      <c r="C205">
        <f>VLOOKUP($A205,ScionOutput!$A$3:$BL$215,22,FALSE)</f>
        <v>20</v>
      </c>
      <c r="D205" t="str">
        <f>VLOOKUP($A205,ScionOutput!$A$3:$BL$215,23,FALSE)</f>
        <v>OAK</v>
      </c>
      <c r="E205">
        <f>VLOOKUP($A205,ScionOutput!$A$3:$BL$215,6,FALSE)</f>
        <v>4</v>
      </c>
      <c r="F205" t="str">
        <f>VLOOKUP($A205,ScionOutput!$A$3:$BL$215,7,FALSE)</f>
        <v>LAA</v>
      </c>
      <c r="G205">
        <f>VLOOKUP($A205,ScionOutput!$A$3:$BL$215,26,FALSE)</f>
        <v>-126</v>
      </c>
      <c r="H205">
        <f>VLOOKUP($A205,ScionOutput!$A$3:$BL$215,10,FALSE)</f>
        <v>116</v>
      </c>
      <c r="I205" s="6" t="str">
        <f>VLOOKUP($A205,ScionOutput!$A$3:$BL$215,55,FALSE)</f>
        <v>VisDog</v>
      </c>
      <c r="J205" s="6">
        <f>VLOOKUP($A205,ScionOutput!$A$3:$BL$215,56,FALSE)</f>
        <v>1</v>
      </c>
      <c r="K205" t="str">
        <f>VLOOKUP($A205,ScionOutput!$A$3:$BL$215,58,FALSE)</f>
        <v>No Play</v>
      </c>
      <c r="L205">
        <f>VLOOKUP($A205,ScionOutput!$A$3:$BL$215,59,FALSE)</f>
        <v>0</v>
      </c>
      <c r="M205">
        <f>VLOOKUP($A205,ScionOutput!$A$3:$BL$215,62,FALSE)</f>
        <v>0</v>
      </c>
      <c r="N205">
        <f>VLOOKUP($A205,ScionOutput!$A$3:$BL$215,63,FALSE)</f>
        <v>0</v>
      </c>
      <c r="O205" t="b">
        <f t="shared" si="25"/>
        <v>0</v>
      </c>
      <c r="P205">
        <f>VLOOKUP($A205,Outcomes!$B$3:$I$209,8,FALSE)</f>
        <v>16</v>
      </c>
      <c r="Q205">
        <f t="shared" si="26"/>
        <v>-1</v>
      </c>
      <c r="R205">
        <f>VLOOKUP($A205,Outcomes!$B$3:$I$209,5,FALSE)</f>
        <v>7</v>
      </c>
      <c r="S205">
        <f>VLOOKUP($A205,Outcomes!$B$3:$I$209,6,FALSE)</f>
        <v>9</v>
      </c>
      <c r="T205">
        <f>VLOOKUP($A205,Outcomes!$B$3:$I$209,7,FALSE)</f>
        <v>2</v>
      </c>
      <c r="U205" t="str">
        <f t="shared" si="27"/>
        <v>VisDog</v>
      </c>
      <c r="V205" s="5">
        <f t="shared" si="28"/>
        <v>1</v>
      </c>
      <c r="W205">
        <f t="shared" si="24"/>
        <v>100</v>
      </c>
      <c r="X205">
        <f t="shared" si="29"/>
        <v>216</v>
      </c>
      <c r="Y205">
        <f t="shared" si="30"/>
        <v>116</v>
      </c>
      <c r="Z205" s="2">
        <f t="shared" si="31"/>
        <v>1.1599999999999999</v>
      </c>
      <c r="AA205" t="str">
        <f>VLOOKUP($A205,ScionOutput!$A$3:$BL$215,64,FALSE)</f>
        <v xml:space="preserve">824987. LineStatEns probability points gap does not exceed threshold (no edge found)! No play due to strategy constraints. </v>
      </c>
    </row>
    <row r="206" spans="1:27" x14ac:dyDescent="0.2">
      <c r="A206">
        <v>823449</v>
      </c>
      <c r="B206" s="3">
        <f>VLOOKUP($A206,ScionOutput!$A$3:$BL$215,3,FALSE)</f>
        <v>46194</v>
      </c>
      <c r="C206">
        <f>VLOOKUP($A206,ScionOutput!$A$3:$BL$215,22,FALSE)</f>
        <v>21</v>
      </c>
      <c r="D206" t="str">
        <f>VLOOKUP($A206,ScionOutput!$A$3:$BL$215,23,FALSE)</f>
        <v>PHI</v>
      </c>
      <c r="E206">
        <f>VLOOKUP($A206,ScionOutput!$A$3:$BL$215,6,FALSE)</f>
        <v>18</v>
      </c>
      <c r="F206" t="str">
        <f>VLOOKUP($A206,ScionOutput!$A$3:$BL$215,7,FALSE)</f>
        <v>NYM</v>
      </c>
      <c r="G206">
        <f>VLOOKUP($A206,ScionOutput!$A$3:$BL$215,26,FALSE)</f>
        <v>-172</v>
      </c>
      <c r="H206">
        <f>VLOOKUP($A206,ScionOutput!$A$3:$BL$215,10,FALSE)</f>
        <v>157</v>
      </c>
      <c r="I206" s="6" t="str">
        <f>VLOOKUP($A206,ScionOutput!$A$3:$BL$215,55,FALSE)</f>
        <v>HomFave</v>
      </c>
      <c r="J206" s="6">
        <f>VLOOKUP($A206,ScionOutput!$A$3:$BL$215,56,FALSE)</f>
        <v>0</v>
      </c>
      <c r="K206" t="str">
        <f>VLOOKUP($A206,ScionOutput!$A$3:$BL$215,58,FALSE)</f>
        <v>No Play</v>
      </c>
      <c r="L206">
        <f>VLOOKUP($A206,ScionOutput!$A$3:$BL$215,59,FALSE)</f>
        <v>0</v>
      </c>
      <c r="M206">
        <f>VLOOKUP($A206,ScionOutput!$A$3:$BL$215,62,FALSE)</f>
        <v>0</v>
      </c>
      <c r="N206">
        <f>VLOOKUP($A206,ScionOutput!$A$3:$BL$215,63,FALSE)</f>
        <v>0</v>
      </c>
      <c r="O206" t="b">
        <f t="shared" si="25"/>
        <v>0</v>
      </c>
      <c r="P206">
        <f>VLOOKUP($A206,Outcomes!$B$3:$I$209,8,FALSE)</f>
        <v>8</v>
      </c>
      <c r="Q206">
        <f t="shared" si="26"/>
        <v>1</v>
      </c>
      <c r="R206">
        <f>VLOOKUP($A206,Outcomes!$B$3:$I$209,5,FALSE)</f>
        <v>6</v>
      </c>
      <c r="S206">
        <f>VLOOKUP($A206,Outcomes!$B$3:$I$209,6,FALSE)</f>
        <v>2</v>
      </c>
      <c r="T206">
        <f>VLOOKUP($A206,Outcomes!$B$3:$I$209,7,FALSE)</f>
        <v>-4</v>
      </c>
      <c r="U206" t="str">
        <f t="shared" si="27"/>
        <v>HomFave</v>
      </c>
      <c r="V206" s="5" t="str">
        <f t="shared" si="28"/>
        <v/>
      </c>
      <c r="W206" t="str">
        <f t="shared" si="24"/>
        <v/>
      </c>
      <c r="X206" t="str">
        <f t="shared" si="29"/>
        <v/>
      </c>
      <c r="Y206" t="str">
        <f t="shared" si="30"/>
        <v/>
      </c>
      <c r="Z206" s="2" t="str">
        <f t="shared" si="31"/>
        <v/>
      </c>
      <c r="AA206" t="str">
        <f>VLOOKUP($A206,ScionOutput!$A$3:$BL$215,64,FALSE)</f>
        <v xml:space="preserve">823449. LineStatEns is NoPlay as bookie-line outside range. StatOnlyEns is NoPlay as bookie-line outside range. No play due to strategy constraints. </v>
      </c>
    </row>
    <row r="207" spans="1:27" x14ac:dyDescent="0.2">
      <c r="A207">
        <v>823123</v>
      </c>
      <c r="B207" s="3">
        <f>VLOOKUP($A207,ScionOutput!$A$3:$BL$215,3,FALSE)</f>
        <v>46194</v>
      </c>
      <c r="C207">
        <f>VLOOKUP($A207,ScionOutput!$A$3:$BL$215,22,FALSE)</f>
        <v>24</v>
      </c>
      <c r="D207" t="str">
        <f>VLOOKUP($A207,ScionOutput!$A$3:$BL$215,23,FALSE)</f>
        <v>SEA</v>
      </c>
      <c r="E207">
        <f>VLOOKUP($A207,ScionOutput!$A$3:$BL$215,6,FALSE)</f>
        <v>3</v>
      </c>
      <c r="F207" t="str">
        <f>VLOOKUP($A207,ScionOutput!$A$3:$BL$215,7,FALSE)</f>
        <v>BOS</v>
      </c>
      <c r="G207">
        <f>VLOOKUP($A207,ScionOutput!$A$3:$BL$215,26,FALSE)</f>
        <v>-118</v>
      </c>
      <c r="H207">
        <f>VLOOKUP($A207,ScionOutput!$A$3:$BL$215,10,FALSE)</f>
        <v>109</v>
      </c>
      <c r="I207" s="6" t="str">
        <f>VLOOKUP($A207,ScionOutput!$A$3:$BL$215,55,FALSE)</f>
        <v>HomFave</v>
      </c>
      <c r="J207" s="6">
        <f>VLOOKUP($A207,ScionOutput!$A$3:$BL$215,56,FALSE)</f>
        <v>0</v>
      </c>
      <c r="K207" t="str">
        <f>VLOOKUP($A207,ScionOutput!$A$3:$BL$215,58,FALSE)</f>
        <v>No Play</v>
      </c>
      <c r="L207">
        <f>VLOOKUP($A207,ScionOutput!$A$3:$BL$215,59,FALSE)</f>
        <v>0</v>
      </c>
      <c r="M207">
        <f>VLOOKUP($A207,ScionOutput!$A$3:$BL$215,62,FALSE)</f>
        <v>0</v>
      </c>
      <c r="N207">
        <f>VLOOKUP($A207,ScionOutput!$A$3:$BL$215,63,FALSE)</f>
        <v>0</v>
      </c>
      <c r="O207" t="b">
        <f t="shared" si="25"/>
        <v>0</v>
      </c>
      <c r="P207">
        <f>VLOOKUP($A207,Outcomes!$B$3:$I$209,8,FALSE)</f>
        <v>4</v>
      </c>
      <c r="Q207">
        <f t="shared" si="26"/>
        <v>1</v>
      </c>
      <c r="R207">
        <f>VLOOKUP($A207,Outcomes!$B$3:$I$209,5,FALSE)</f>
        <v>3</v>
      </c>
      <c r="S207">
        <f>VLOOKUP($A207,Outcomes!$B$3:$I$209,6,FALSE)</f>
        <v>1</v>
      </c>
      <c r="T207">
        <f>VLOOKUP($A207,Outcomes!$B$3:$I$209,7,FALSE)</f>
        <v>-2</v>
      </c>
      <c r="U207" t="str">
        <f t="shared" si="27"/>
        <v>HomFave</v>
      </c>
      <c r="V207" s="5" t="str">
        <f t="shared" si="28"/>
        <v/>
      </c>
      <c r="W207" t="str">
        <f t="shared" si="24"/>
        <v/>
      </c>
      <c r="X207" t="str">
        <f t="shared" si="29"/>
        <v/>
      </c>
      <c r="Y207" t="str">
        <f t="shared" si="30"/>
        <v/>
      </c>
      <c r="Z207" s="2" t="str">
        <f t="shared" si="31"/>
        <v/>
      </c>
      <c r="AA207" t="str">
        <f>VLOOKUP($A207,ScionOutput!$A$3:$BL$215,64,FALSE)</f>
        <v xml:space="preserve">823123. LineStatEns probability points gap does not exceed threshold (no edge found)! StatOnlyEns probability points gap does not exceed threshold (no edge found)! No play due to strategy constraints. </v>
      </c>
    </row>
    <row r="208" spans="1:27" x14ac:dyDescent="0.2">
      <c r="A208">
        <v>822968</v>
      </c>
      <c r="B208" s="3">
        <f>VLOOKUP($A208,ScionOutput!$A$3:$BL$215,3,FALSE)</f>
        <v>46194</v>
      </c>
      <c r="C208">
        <f>VLOOKUP($A208,ScionOutput!$A$3:$BL$215,22,FALSE)</f>
        <v>27</v>
      </c>
      <c r="D208" t="str">
        <f>VLOOKUP($A208,ScionOutput!$A$3:$BL$215,23,FALSE)</f>
        <v>TB</v>
      </c>
      <c r="E208">
        <f>VLOOKUP($A208,ScionOutput!$A$3:$BL$215,6,FALSE)</f>
        <v>16</v>
      </c>
      <c r="F208" t="str">
        <f>VLOOKUP($A208,ScionOutput!$A$3:$BL$215,7,FALSE)</f>
        <v>WAS</v>
      </c>
      <c r="G208">
        <f>VLOOKUP($A208,ScionOutput!$A$3:$BL$215,26,FALSE)</f>
        <v>-127</v>
      </c>
      <c r="H208">
        <f>VLOOKUP($A208,ScionOutput!$A$3:$BL$215,10,FALSE)</f>
        <v>117</v>
      </c>
      <c r="I208" s="6" t="str">
        <f>VLOOKUP($A208,ScionOutput!$A$3:$BL$215,55,FALSE)</f>
        <v>HomFave</v>
      </c>
      <c r="J208" s="6">
        <f>VLOOKUP($A208,ScionOutput!$A$3:$BL$215,56,FALSE)</f>
        <v>0</v>
      </c>
      <c r="K208" t="str">
        <f>VLOOKUP($A208,ScionOutput!$A$3:$BL$215,58,FALSE)</f>
        <v>No Play</v>
      </c>
      <c r="L208">
        <f>VLOOKUP($A208,ScionOutput!$A$3:$BL$215,59,FALSE)</f>
        <v>0</v>
      </c>
      <c r="M208">
        <f>VLOOKUP($A208,ScionOutput!$A$3:$BL$215,62,FALSE)</f>
        <v>0</v>
      </c>
      <c r="N208">
        <f>VLOOKUP($A208,ScionOutput!$A$3:$BL$215,63,FALSE)</f>
        <v>0</v>
      </c>
      <c r="O208" t="b">
        <f t="shared" si="25"/>
        <v>0</v>
      </c>
      <c r="P208">
        <f>VLOOKUP($A208,Outcomes!$B$3:$I$209,8,FALSE)</f>
        <v>7</v>
      </c>
      <c r="Q208">
        <f t="shared" si="26"/>
        <v>1</v>
      </c>
      <c r="R208">
        <f>VLOOKUP($A208,Outcomes!$B$3:$I$209,5,FALSE)</f>
        <v>4</v>
      </c>
      <c r="S208">
        <f>VLOOKUP($A208,Outcomes!$B$3:$I$209,6,FALSE)</f>
        <v>3</v>
      </c>
      <c r="T208">
        <f>VLOOKUP($A208,Outcomes!$B$3:$I$209,7,FALSE)</f>
        <v>-1</v>
      </c>
      <c r="U208" t="str">
        <f t="shared" si="27"/>
        <v>HomFave</v>
      </c>
      <c r="V208" s="5" t="str">
        <f t="shared" si="28"/>
        <v/>
      </c>
      <c r="W208" t="str">
        <f t="shared" si="24"/>
        <v/>
      </c>
      <c r="X208" t="str">
        <f t="shared" si="29"/>
        <v/>
      </c>
      <c r="Y208" t="str">
        <f t="shared" si="30"/>
        <v/>
      </c>
      <c r="Z208" s="2" t="str">
        <f t="shared" si="31"/>
        <v/>
      </c>
      <c r="AA208" t="str">
        <f>VLOOKUP($A208,ScionOutput!$A$3:$BL$215,64,FALSE)</f>
        <v xml:space="preserve">822968. LineStatEns probability points gap does not exceed threshold (no edge found)! StatOnlyEns probability points gap does not exceed threshold (no edge found)! No play due to strategy constraints. </v>
      </c>
    </row>
    <row r="209" spans="1:27" x14ac:dyDescent="0.2">
      <c r="A209">
        <v>822883</v>
      </c>
      <c r="B209" s="3">
        <f>VLOOKUP($A209,ScionOutput!$A$3:$BL$215,3,FALSE)</f>
        <v>46194</v>
      </c>
      <c r="C209">
        <f>VLOOKUP($A209,ScionOutput!$A$3:$BL$215,22,FALSE)</f>
        <v>28</v>
      </c>
      <c r="D209" t="str">
        <f>VLOOKUP($A209,ScionOutput!$A$3:$BL$215,23,FALSE)</f>
        <v>TEX</v>
      </c>
      <c r="E209">
        <f>VLOOKUP($A209,ScionOutput!$A$3:$BL$215,6,FALSE)</f>
        <v>23</v>
      </c>
      <c r="F209" t="str">
        <f>VLOOKUP($A209,ScionOutput!$A$3:$BL$215,7,FALSE)</f>
        <v>SD</v>
      </c>
      <c r="G209">
        <f>VLOOKUP($A209,ScionOutput!$A$3:$BL$215,26,FALSE)</f>
        <v>-160</v>
      </c>
      <c r="H209">
        <f>VLOOKUP($A209,ScionOutput!$A$3:$BL$215,10,FALSE)</f>
        <v>147</v>
      </c>
      <c r="I209" s="6" t="str">
        <f>VLOOKUP($A209,ScionOutput!$A$3:$BL$215,55,FALSE)</f>
        <v>HomFave</v>
      </c>
      <c r="J209" s="6">
        <f>VLOOKUP($A209,ScionOutput!$A$3:$BL$215,56,FALSE)</f>
        <v>0</v>
      </c>
      <c r="K209" t="str">
        <f>VLOOKUP($A209,ScionOutput!$A$3:$BL$215,58,FALSE)</f>
        <v>No Play</v>
      </c>
      <c r="L209">
        <f>VLOOKUP($A209,ScionOutput!$A$3:$BL$215,59,FALSE)</f>
        <v>0</v>
      </c>
      <c r="M209">
        <f>VLOOKUP($A209,ScionOutput!$A$3:$BL$215,62,FALSE)</f>
        <v>0</v>
      </c>
      <c r="N209">
        <f>VLOOKUP($A209,ScionOutput!$A$3:$BL$215,63,FALSE)</f>
        <v>0</v>
      </c>
      <c r="O209" t="b">
        <f t="shared" si="25"/>
        <v>0</v>
      </c>
      <c r="P209">
        <f>VLOOKUP($A209,Outcomes!$B$3:$I$209,8,FALSE)</f>
        <v>7</v>
      </c>
      <c r="Q209">
        <f t="shared" si="26"/>
        <v>1</v>
      </c>
      <c r="R209">
        <f>VLOOKUP($A209,Outcomes!$B$3:$I$209,5,FALSE)</f>
        <v>4</v>
      </c>
      <c r="S209">
        <f>VLOOKUP($A209,Outcomes!$B$3:$I$209,6,FALSE)</f>
        <v>3</v>
      </c>
      <c r="T209">
        <f>VLOOKUP($A209,Outcomes!$B$3:$I$209,7,FALSE)</f>
        <v>-1</v>
      </c>
      <c r="U209" t="str">
        <f t="shared" si="27"/>
        <v>HomFave</v>
      </c>
      <c r="V209" s="5" t="str">
        <f t="shared" si="28"/>
        <v/>
      </c>
      <c r="W209" t="str">
        <f t="shared" si="24"/>
        <v/>
      </c>
      <c r="X209" t="str">
        <f t="shared" si="29"/>
        <v/>
      </c>
      <c r="Y209" t="str">
        <f t="shared" si="30"/>
        <v/>
      </c>
      <c r="Z209" s="2" t="str">
        <f t="shared" si="31"/>
        <v/>
      </c>
      <c r="AA209" t="str">
        <f>VLOOKUP($A209,ScionOutput!$A$3:$BL$215,64,FALSE)</f>
        <v xml:space="preserve">822883. LineStatEns is NoPlay as bookie-line outside range. StatOnlyEns is NoPlay as bookie-line outside range. No play due to strategy constraints. </v>
      </c>
    </row>
    <row r="210" spans="1:27" x14ac:dyDescent="0.2">
      <c r="D210" t="s">
        <v>667</v>
      </c>
      <c r="F210" t="s">
        <v>667</v>
      </c>
      <c r="G210" t="s">
        <v>667</v>
      </c>
      <c r="H210" t="s">
        <v>667</v>
      </c>
      <c r="I210" t="s">
        <v>667</v>
      </c>
      <c r="J210" t="s">
        <v>667</v>
      </c>
      <c r="K210" t="s">
        <v>667</v>
      </c>
      <c r="L210" t="s">
        <v>667</v>
      </c>
      <c r="M210" t="s">
        <v>667</v>
      </c>
      <c r="N210" t="s">
        <v>667</v>
      </c>
      <c r="O210" t="s">
        <v>667</v>
      </c>
      <c r="V210" t="s">
        <v>667</v>
      </c>
      <c r="W210">
        <f>SUM(W2:W209)</f>
        <v>4809</v>
      </c>
      <c r="X210">
        <f>SUM(X2:X209)</f>
        <v>5045</v>
      </c>
      <c r="Y210">
        <f>SUM(Y2:Y209)</f>
        <v>236</v>
      </c>
      <c r="Z210" s="2">
        <f t="shared" si="31"/>
        <v>4.9074651694739034E-2</v>
      </c>
      <c r="AA210" t="s">
        <v>667</v>
      </c>
    </row>
    <row r="211" spans="1:27" x14ac:dyDescent="0.2">
      <c r="U211" t="s">
        <v>672</v>
      </c>
      <c r="V211">
        <f>COUNT(T2:T209)</f>
        <v>208</v>
      </c>
    </row>
    <row r="212" spans="1:27" x14ac:dyDescent="0.2">
      <c r="U212" t="s">
        <v>673</v>
      </c>
      <c r="V212">
        <f>COUNT(V2:V209)</f>
        <v>47</v>
      </c>
    </row>
    <row r="213" spans="1:27" x14ac:dyDescent="0.2">
      <c r="U213" s="1" t="s">
        <v>674</v>
      </c>
      <c r="V213" s="2">
        <f>V212/V211</f>
        <v>0.22596153846153846</v>
      </c>
    </row>
    <row r="214" spans="1:27" x14ac:dyDescent="0.2">
      <c r="U214" t="s">
        <v>675</v>
      </c>
      <c r="V214">
        <f>SUM(V2:V209)</f>
        <v>24</v>
      </c>
    </row>
    <row r="215" spans="1:27" x14ac:dyDescent="0.2">
      <c r="U215" t="s">
        <v>676</v>
      </c>
      <c r="V215" s="2">
        <f>V214/V212</f>
        <v>0.51063829787234039</v>
      </c>
    </row>
    <row r="216" spans="1:27" x14ac:dyDescent="0.2">
      <c r="U216" t="s">
        <v>684</v>
      </c>
      <c r="V216">
        <f>W210</f>
        <v>4809</v>
      </c>
    </row>
    <row r="217" spans="1:27" x14ac:dyDescent="0.2">
      <c r="U217" t="s">
        <v>685</v>
      </c>
      <c r="V217">
        <f>X210</f>
        <v>5045</v>
      </c>
    </row>
    <row r="218" spans="1:27" x14ac:dyDescent="0.2">
      <c r="U218" t="s">
        <v>687</v>
      </c>
      <c r="V218">
        <f>Y210</f>
        <v>236</v>
      </c>
    </row>
    <row r="219" spans="1:27" x14ac:dyDescent="0.2">
      <c r="U219" t="s">
        <v>686</v>
      </c>
      <c r="V219" s="2">
        <f>IF(V216=0,0,V218/V216)</f>
        <v>4.9074651694739034E-2</v>
      </c>
    </row>
    <row r="221" spans="1:27" x14ac:dyDescent="0.2">
      <c r="T221" t="s">
        <v>680</v>
      </c>
      <c r="U221" t="s">
        <v>681</v>
      </c>
      <c r="V221">
        <f>COUNTIFS($K$2:$K$209,"HomFave",$V$2:$V$209,"1")+COUNTIFS($K$2:$K$209,"HomFave",$V$2:$V$209,"0")</f>
        <v>7</v>
      </c>
      <c r="X221" t="s">
        <v>688</v>
      </c>
      <c r="Y221" t="s">
        <v>681</v>
      </c>
      <c r="Z221">
        <f>COUNTIFS($K$2:$K$209,"VisDog",$V$2:$V$209,"1")+COUNTIFS($K$2:$K$209,"VisDog",$V$2:$V$209,"0")</f>
        <v>10</v>
      </c>
    </row>
    <row r="222" spans="1:27" x14ac:dyDescent="0.2">
      <c r="U222" t="s">
        <v>682</v>
      </c>
      <c r="V222">
        <f>COUNTIFS($K$2:$K$209,"HomFave",$V$2:$V$209,"1")</f>
        <v>5</v>
      </c>
      <c r="Y222" t="s">
        <v>682</v>
      </c>
      <c r="Z222">
        <f>COUNTIFS($K$2:$K$209,"VisDog",$V$2:$V$209,"1")</f>
        <v>3</v>
      </c>
    </row>
    <row r="223" spans="1:27" x14ac:dyDescent="0.2">
      <c r="U223" t="s">
        <v>683</v>
      </c>
      <c r="V223" s="2">
        <f>IF(V221=0,0,V222/V221)</f>
        <v>0.7142857142857143</v>
      </c>
      <c r="Y223" t="s">
        <v>683</v>
      </c>
      <c r="Z223" s="2">
        <f>IF(Z221=0,0,Z222/Z221)</f>
        <v>0.3</v>
      </c>
    </row>
    <row r="224" spans="1:27" x14ac:dyDescent="0.2">
      <c r="U224" t="s">
        <v>684</v>
      </c>
      <c r="V224">
        <f>SUMIFS($W$2:$W$209,$K$2:$K$209,"HomFave")</f>
        <v>787</v>
      </c>
      <c r="Y224" t="s">
        <v>684</v>
      </c>
      <c r="Z224">
        <f>SUMIFS($W$2:$W$209,$K$2:$K$209,"VisDog")</f>
        <v>1006</v>
      </c>
    </row>
    <row r="225" spans="20:26" x14ac:dyDescent="0.2">
      <c r="U225" t="s">
        <v>685</v>
      </c>
      <c r="V225">
        <f>SUMIFS($X$2:$X$209,$K$2:$K$209,"HomFave")</f>
        <v>1053</v>
      </c>
      <c r="Y225" t="s">
        <v>685</v>
      </c>
      <c r="Z225">
        <f>SUMIFS($X$2:$X$209,$K$2:$K$209,"VisDog")</f>
        <v>621</v>
      </c>
    </row>
    <row r="226" spans="20:26" x14ac:dyDescent="0.2">
      <c r="U226" t="s">
        <v>687</v>
      </c>
      <c r="V226">
        <f>V225-V224</f>
        <v>266</v>
      </c>
      <c r="Y226" t="s">
        <v>687</v>
      </c>
      <c r="Z226">
        <f>Z225-Z224</f>
        <v>-385</v>
      </c>
    </row>
    <row r="227" spans="20:26" x14ac:dyDescent="0.2">
      <c r="U227" t="s">
        <v>686</v>
      </c>
      <c r="V227" s="2">
        <f>IF(V224=0,0,V226/V224)</f>
        <v>0.33799237611181704</v>
      </c>
      <c r="Y227" t="s">
        <v>686</v>
      </c>
      <c r="Z227" s="2">
        <f>IF(Z224=0,0,Z226/Z224)</f>
        <v>-0.3827037773359841</v>
      </c>
    </row>
    <row r="229" spans="20:26" x14ac:dyDescent="0.2">
      <c r="T229" t="s">
        <v>689</v>
      </c>
      <c r="U229" t="s">
        <v>681</v>
      </c>
      <c r="V229">
        <f>COUNTIFS($K$2:$K$209,"VisFave",$V$2:$V$209,"1")+COUNTIFS($K$2:$K$209,"VisFave",$V$2:$V$209,"0")</f>
        <v>0</v>
      </c>
      <c r="X229" t="s">
        <v>690</v>
      </c>
      <c r="Y229" t="s">
        <v>681</v>
      </c>
      <c r="Z229">
        <f>COUNTIFS($K$2:$K$209,"HomDog",$V$2:$V$209,"1")+COUNTIFS($K$2:$K$209,"HomDog",$V$2:$V$209,"0")</f>
        <v>4</v>
      </c>
    </row>
    <row r="230" spans="20:26" x14ac:dyDescent="0.2">
      <c r="U230" t="s">
        <v>682</v>
      </c>
      <c r="V230">
        <f>COUNTIFS($K$2:$K$209,"VisFave",$V$2:$V$209,"1")</f>
        <v>0</v>
      </c>
      <c r="Y230" t="s">
        <v>682</v>
      </c>
      <c r="Z230">
        <f>COUNTIFS($K$2:$K$209,"HomDog",$V$2:$V$209,"1")</f>
        <v>1</v>
      </c>
    </row>
    <row r="231" spans="20:26" x14ac:dyDescent="0.2">
      <c r="U231" t="s">
        <v>683</v>
      </c>
      <c r="V231" s="2">
        <f>IF(V229=0,0,V230/V229)</f>
        <v>0</v>
      </c>
      <c r="Y231" t="s">
        <v>683</v>
      </c>
      <c r="Z231" s="2">
        <f>IF(Z229=0,0,Z230/Z229)</f>
        <v>0.25</v>
      </c>
    </row>
    <row r="232" spans="20:26" x14ac:dyDescent="0.2">
      <c r="U232" t="s">
        <v>684</v>
      </c>
      <c r="V232">
        <f>SUMIFS($W$2:$W$209,$K$2:$K$209,"VisFave")</f>
        <v>0</v>
      </c>
      <c r="Y232" t="s">
        <v>684</v>
      </c>
      <c r="Z232">
        <f>SUMIFS($W$2:$W$209,$K$2:$K$209,"HomDog")</f>
        <v>403</v>
      </c>
    </row>
    <row r="233" spans="20:26" x14ac:dyDescent="0.2">
      <c r="U233" t="s">
        <v>685</v>
      </c>
      <c r="V233">
        <f>SUMIFS($X$2:$X$209,$K$2:$K$209,"VisFave")</f>
        <v>0</v>
      </c>
      <c r="Y233" t="s">
        <v>685</v>
      </c>
      <c r="Z233">
        <f>SUMIFS($X$2:$X$209,$K$2:$K$209,"HomDog")</f>
        <v>202</v>
      </c>
    </row>
    <row r="234" spans="20:26" x14ac:dyDescent="0.2">
      <c r="U234" t="s">
        <v>687</v>
      </c>
      <c r="V234">
        <f>V233-V232</f>
        <v>0</v>
      </c>
      <c r="Y234" t="s">
        <v>687</v>
      </c>
      <c r="Z234">
        <f>Z233-Z232</f>
        <v>-201</v>
      </c>
    </row>
    <row r="235" spans="20:26" x14ac:dyDescent="0.2">
      <c r="U235" t="s">
        <v>686</v>
      </c>
      <c r="V235" s="2">
        <f>IF(V232=0,0,V234/V232)</f>
        <v>0</v>
      </c>
      <c r="Y235" t="s">
        <v>686</v>
      </c>
      <c r="Z235" s="2">
        <f>IF(Z232=0,0,Z234/Z232)</f>
        <v>-0.4987593052109181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842E-4FBD-ED48-975B-FA46959E3649}">
  <dimension ref="A1:Y235"/>
  <sheetViews>
    <sheetView workbookViewId="0">
      <pane ySplit="1" topLeftCell="A177" activePane="bottomLeft" state="frozen"/>
      <selection pane="bottomLeft" activeCell="L193" sqref="L193"/>
    </sheetView>
  </sheetViews>
  <sheetFormatPr baseColWidth="10" defaultRowHeight="16" x14ac:dyDescent="0.2"/>
  <cols>
    <col min="7" max="7" width="17.6640625" bestFit="1" customWidth="1"/>
    <col min="8" max="8" width="17.33203125" bestFit="1" customWidth="1"/>
    <col min="9" max="9" width="21.83203125" bestFit="1" customWidth="1"/>
    <col min="10" max="10" width="21.5" bestFit="1" customWidth="1"/>
    <col min="13" max="13" width="15.1640625" bestFit="1" customWidth="1"/>
  </cols>
  <sheetData>
    <row r="1" spans="1:25" x14ac:dyDescent="0.2">
      <c r="A1" t="s">
        <v>0</v>
      </c>
      <c r="B1" t="s">
        <v>1</v>
      </c>
      <c r="C1" t="s">
        <v>3</v>
      </c>
      <c r="D1" t="s">
        <v>668</v>
      </c>
      <c r="E1" t="s">
        <v>4</v>
      </c>
      <c r="F1" t="s">
        <v>669</v>
      </c>
      <c r="G1" t="s">
        <v>33</v>
      </c>
      <c r="H1" t="s">
        <v>17</v>
      </c>
      <c r="I1" t="s">
        <v>65</v>
      </c>
      <c r="J1" t="s">
        <v>66</v>
      </c>
      <c r="K1" t="s">
        <v>69</v>
      </c>
      <c r="L1" t="s">
        <v>70</v>
      </c>
      <c r="M1" t="s">
        <v>1304</v>
      </c>
      <c r="N1" t="s">
        <v>2</v>
      </c>
      <c r="O1" t="s">
        <v>5</v>
      </c>
      <c r="P1" t="s">
        <v>6</v>
      </c>
      <c r="Q1" t="s">
        <v>7</v>
      </c>
      <c r="R1" t="s">
        <v>8</v>
      </c>
      <c r="S1" t="s">
        <v>671</v>
      </c>
      <c r="T1" t="s">
        <v>670</v>
      </c>
      <c r="U1" t="s">
        <v>677</v>
      </c>
      <c r="V1" t="s">
        <v>678</v>
      </c>
      <c r="W1" t="s">
        <v>679</v>
      </c>
      <c r="X1" t="s">
        <v>686</v>
      </c>
      <c r="Y1" t="s">
        <v>71</v>
      </c>
    </row>
    <row r="2" spans="1:25" x14ac:dyDescent="0.2">
      <c r="A2">
        <v>824915</v>
      </c>
      <c r="B2" s="3">
        <f>VLOOKUP($A2,ScionOutput!$A$3:$BL$215,3,FALSE)</f>
        <v>46179</v>
      </c>
      <c r="C2">
        <f>VLOOKUP($A2,ScionOutput!$A$3:$BL$215,22,FALSE)</f>
        <v>0</v>
      </c>
      <c r="D2" t="str">
        <f>VLOOKUP($A2,ScionOutput!$A$3:$BL$215,23,FALSE)</f>
        <v>ATL</v>
      </c>
      <c r="E2">
        <f>VLOOKUP($A2,ScionOutput!$A$3:$BL$215,6,FALSE)</f>
        <v>22</v>
      </c>
      <c r="F2" t="str">
        <f>VLOOKUP($A2,ScionOutput!$A$3:$BL$215,7,FALSE)</f>
        <v>PIT</v>
      </c>
      <c r="G2">
        <f>VLOOKUP($A2,ScionOutput!$A$3:$BL$215,26,FALSE)</f>
        <v>-110</v>
      </c>
      <c r="H2">
        <f>VLOOKUP($A2,ScionOutput!$A$3:$BL$215,10,FALSE)</f>
        <v>100</v>
      </c>
      <c r="I2" t="str">
        <f>VLOOKUP($A2,ScionOutput!$A$3:$BL$215,58,FALSE)</f>
        <v>HomFave</v>
      </c>
      <c r="J2">
        <f>VLOOKUP($A2,ScionOutput!$A$3:$BL$215,59,FALSE)</f>
        <v>1.8370000000000001E-2</v>
      </c>
      <c r="K2">
        <f>VLOOKUP($A2,ScionOutput!$A$3:$BL$215,62,FALSE)</f>
        <v>1</v>
      </c>
      <c r="L2">
        <f>VLOOKUP($A2,ScionOutput!$A$3:$BL$215,63,FALSE)</f>
        <v>0.93</v>
      </c>
      <c r="M2" t="b">
        <f>ISNUMBER(SEARCH("Play determined by LineStatEns and StatOnlyEns agreement", Y2))</f>
        <v>1</v>
      </c>
      <c r="N2">
        <f>VLOOKUP($A2,Outcomes!$B$3:$I$209,8,FALSE)</f>
        <v>9</v>
      </c>
      <c r="O2">
        <f>IF(P2&gt;Q2,1,IF(P2&lt;Q2,-1,0))</f>
        <v>1</v>
      </c>
      <c r="P2">
        <f>VLOOKUP($A2,Outcomes!$B$3:$I$209,5,FALSE)</f>
        <v>6</v>
      </c>
      <c r="Q2">
        <f>VLOOKUP($A2,Outcomes!$B$3:$I$209,6,FALSE)</f>
        <v>3</v>
      </c>
      <c r="R2">
        <f>VLOOKUP($A2,Outcomes!$B$3:$I$209,7,FALSE)</f>
        <v>-3</v>
      </c>
      <c r="S2" t="str">
        <f>IF(R2=0,"Push",IF(G2&lt;H2,IF(R2&lt;0,"HomFave","VisDog"),IF(R2&gt;0,"VisFave","HomDog")))</f>
        <v>HomFave</v>
      </c>
      <c r="T2">
        <f>IF(OR(R2=0,I2="No Play",M2&lt;&gt;TRUE),"",IF(S2=I2,1,0))</f>
        <v>1</v>
      </c>
      <c r="U2">
        <f t="shared" ref="U2:U65" si="0">IF(T2="","",IF(G2&lt;H2,IF(I2="HomFave",ABS(G2),IF(H2&lt;0,ABS(H2),100)),IF(I2="VisFave",ABS(H2),IF(G2&lt;0,ABS(G2),100))))</f>
        <v>110</v>
      </c>
      <c r="V2">
        <f>IF(T2="","",IF(T2=0,0,IF(G2&lt;H2,IF(I2="HomFave",U2+100,IF(H2&lt;0,100+U2,U2+ABS(H2))),IF(I2="VisFave",U2+100,IF(G2&lt;0,100+U2,U2+ABS(G2))))))</f>
        <v>210</v>
      </c>
      <c r="W2">
        <f>IF(T2="","",V2-U2)</f>
        <v>100</v>
      </c>
      <c r="X2" s="2">
        <f>IF(T2="","",W2/U2)</f>
        <v>0.90909090909090906</v>
      </c>
      <c r="Y2" t="str">
        <f>VLOOKUP($A2,ScionOutput!$A$3:$BL$215,64,FALSE)</f>
        <v xml:space="preserve">824915. Play determined by LineStatEns and StatOnlyEns agreement. </v>
      </c>
    </row>
    <row r="3" spans="1:25" x14ac:dyDescent="0.2">
      <c r="A3">
        <v>825075</v>
      </c>
      <c r="B3" s="3">
        <f>VLOOKUP($A3,ScionOutput!$A$3:$BL$215,3,FALSE)</f>
        <v>46179</v>
      </c>
      <c r="C3">
        <f>VLOOKUP($A3,ScionOutput!$A$3:$BL$215,22,FALSE)</f>
        <v>1</v>
      </c>
      <c r="D3" t="str">
        <f>VLOOKUP($A3,ScionOutput!$A$3:$BL$215,23,FALSE)</f>
        <v>ARZ</v>
      </c>
      <c r="E3">
        <f>VLOOKUP($A3,ScionOutput!$A$3:$BL$215,6,FALSE)</f>
        <v>16</v>
      </c>
      <c r="F3" t="str">
        <f>VLOOKUP($A3,ScionOutput!$A$3:$BL$215,7,FALSE)</f>
        <v>WAS</v>
      </c>
      <c r="G3">
        <f>VLOOKUP($A3,ScionOutput!$A$3:$BL$215,26,FALSE)</f>
        <v>-155</v>
      </c>
      <c r="H3">
        <f>VLOOKUP($A3,ScionOutput!$A$3:$BL$215,10,FALSE)</f>
        <v>140</v>
      </c>
      <c r="I3" t="str">
        <f>VLOOKUP($A3,ScionOutput!$A$3:$BL$215,58,FALSE)</f>
        <v>No Play</v>
      </c>
      <c r="J3">
        <f>VLOOKUP($A3,ScionOutput!$A$3:$BL$215,59,FALSE)</f>
        <v>0</v>
      </c>
      <c r="K3">
        <f>VLOOKUP($A3,ScionOutput!$A$3:$BL$215,62,FALSE)</f>
        <v>0</v>
      </c>
      <c r="L3">
        <f>VLOOKUP($A3,ScionOutput!$A$3:$BL$215,63,FALSE)</f>
        <v>0</v>
      </c>
      <c r="M3" t="b">
        <f t="shared" ref="M3:M66" si="1">ISNUMBER(SEARCH("Play determined by LineStatEns and StatOnlyEns agreement", Y3))</f>
        <v>0</v>
      </c>
      <c r="N3">
        <f>VLOOKUP($A3,Outcomes!$B$3:$I$209,8,FALSE)</f>
        <v>7</v>
      </c>
      <c r="O3">
        <f t="shared" ref="O3:O66" si="2">IF(P3&gt;Q3,1,IF(P3&lt;Q3,-1,0))</f>
        <v>-1</v>
      </c>
      <c r="P3">
        <f>VLOOKUP($A3,Outcomes!$B$3:$I$209,5,FALSE)</f>
        <v>1</v>
      </c>
      <c r="Q3">
        <f>VLOOKUP($A3,Outcomes!$B$3:$I$209,6,FALSE)</f>
        <v>6</v>
      </c>
      <c r="R3">
        <f>VLOOKUP($A3,Outcomes!$B$3:$I$209,7,FALSE)</f>
        <v>5</v>
      </c>
      <c r="S3" t="str">
        <f t="shared" ref="S3:S66" si="3">IF(R3=0,"Push",IF(G3&lt;H3,IF(R3&lt;0,"HomFave","VisDog"),IF(R3&gt;0,"VisFave","HomDog")))</f>
        <v>VisDog</v>
      </c>
      <c r="T3" t="str">
        <f t="shared" ref="T3:T66" si="4">IF(OR(R3=0,I3="No Play",M3&lt;&gt;TRUE),"",IF(S3=I3,1,0))</f>
        <v/>
      </c>
      <c r="U3" t="str">
        <f t="shared" si="0"/>
        <v/>
      </c>
      <c r="V3" t="str">
        <f t="shared" ref="V3:V66" si="5">IF(T3="","",IF(T3=0,0,IF(G3&lt;H3,IF(I3="HomFave",U3+100,IF(H3&lt;0,100+U3,U3+ABS(H3))),IF(I3="VisFave",U3+100,IF(G3&lt;0,100+U3,U3+ABS(G3))))))</f>
        <v/>
      </c>
      <c r="W3" t="str">
        <f t="shared" ref="W3:W66" si="6">IF(T3="","",V3-U3)</f>
        <v/>
      </c>
      <c r="X3" s="2" t="str">
        <f t="shared" ref="X3:X66" si="7">IF(T3="","",W3/U3)</f>
        <v/>
      </c>
      <c r="Y3" t="str">
        <f>VLOOKUP($A3,ScionOutput!$A$3:$BL$215,64,FALSE)</f>
        <v xml:space="preserve">825075. LineStatEns is NoPlay as bookie-line outside range. StatOnlyEns is NoPlay as bookie-line outside range. No play due to strategy constraints. </v>
      </c>
    </row>
    <row r="4" spans="1:25" x14ac:dyDescent="0.2">
      <c r="A4">
        <v>824669</v>
      </c>
      <c r="B4" s="3">
        <f>VLOOKUP($A4,ScionOutput!$A$3:$BL$215,3,FALSE)</f>
        <v>46179</v>
      </c>
      <c r="C4">
        <f>VLOOKUP($A4,ScionOutput!$A$3:$BL$215,22,FALSE)</f>
        <v>5</v>
      </c>
      <c r="D4" t="str">
        <f>VLOOKUP($A4,ScionOutput!$A$3:$BL$215,23,FALSE)</f>
        <v>CHC</v>
      </c>
      <c r="E4">
        <f>VLOOKUP($A4,ScionOutput!$A$3:$BL$215,6,FALSE)</f>
        <v>25</v>
      </c>
      <c r="F4" t="str">
        <f>VLOOKUP($A4,ScionOutput!$A$3:$BL$215,7,FALSE)</f>
        <v>SF</v>
      </c>
      <c r="G4">
        <f>VLOOKUP($A4,ScionOutput!$A$3:$BL$215,26,FALSE)</f>
        <v>-140</v>
      </c>
      <c r="H4">
        <f>VLOOKUP($A4,ScionOutput!$A$3:$BL$215,10,FALSE)</f>
        <v>127</v>
      </c>
      <c r="I4" t="str">
        <f>VLOOKUP($A4,ScionOutput!$A$3:$BL$215,58,FALSE)</f>
        <v>No Play</v>
      </c>
      <c r="J4">
        <f>VLOOKUP($A4,ScionOutput!$A$3:$BL$215,59,FALSE)</f>
        <v>0</v>
      </c>
      <c r="K4">
        <f>VLOOKUP($A4,ScionOutput!$A$3:$BL$215,62,FALSE)</f>
        <v>0</v>
      </c>
      <c r="L4">
        <f>VLOOKUP($A4,ScionOutput!$A$3:$BL$215,63,FALSE)</f>
        <v>0</v>
      </c>
      <c r="M4" t="b">
        <f t="shared" si="1"/>
        <v>0</v>
      </c>
      <c r="N4">
        <f>VLOOKUP($A4,Outcomes!$B$3:$I$209,8,FALSE)</f>
        <v>5</v>
      </c>
      <c r="O4">
        <f t="shared" si="2"/>
        <v>1</v>
      </c>
      <c r="P4">
        <f>VLOOKUP($A4,Outcomes!$B$3:$I$209,5,FALSE)</f>
        <v>3</v>
      </c>
      <c r="Q4">
        <f>VLOOKUP($A4,Outcomes!$B$3:$I$209,6,FALSE)</f>
        <v>2</v>
      </c>
      <c r="R4">
        <f>VLOOKUP($A4,Outcomes!$B$3:$I$209,7,FALSE)</f>
        <v>-1</v>
      </c>
      <c r="S4" t="str">
        <f t="shared" si="3"/>
        <v>HomFave</v>
      </c>
      <c r="T4" t="str">
        <f t="shared" si="4"/>
        <v/>
      </c>
      <c r="U4" t="str">
        <f t="shared" si="0"/>
        <v/>
      </c>
      <c r="V4" t="str">
        <f t="shared" si="5"/>
        <v/>
      </c>
      <c r="W4" t="str">
        <f t="shared" si="6"/>
        <v/>
      </c>
      <c r="X4" s="2" t="str">
        <f t="shared" si="7"/>
        <v/>
      </c>
      <c r="Y4" t="str">
        <f>VLOOKUP($A4,ScionOutput!$A$3:$BL$215,64,FALSE)</f>
        <v xml:space="preserve">824669. LineStatEns probability points gap does not exceed threshold (no edge found)! StatOnlyEns probability points gap does not exceed threshold (no edge found)! No play due to strategy constraints. </v>
      </c>
    </row>
    <row r="5" spans="1:25" x14ac:dyDescent="0.2">
      <c r="A5">
        <v>824351</v>
      </c>
      <c r="B5" s="3">
        <f>VLOOKUP($A5,ScionOutput!$A$3:$BL$215,3,FALSE)</f>
        <v>46179</v>
      </c>
      <c r="C5">
        <f>VLOOKUP($A5,ScionOutput!$A$3:$BL$215,22,FALSE)</f>
        <v>8</v>
      </c>
      <c r="D5" t="str">
        <f>VLOOKUP($A5,ScionOutput!$A$3:$BL$215,23,FALSE)</f>
        <v>COL</v>
      </c>
      <c r="E5">
        <f>VLOOKUP($A5,ScionOutput!$A$3:$BL$215,6,FALSE)</f>
        <v>17</v>
      </c>
      <c r="F5" t="str">
        <f>VLOOKUP($A5,ScionOutput!$A$3:$BL$215,7,FALSE)</f>
        <v>MLW</v>
      </c>
      <c r="G5">
        <f>VLOOKUP($A5,ScionOutput!$A$3:$BL$215,26,FALSE)</f>
        <v>214</v>
      </c>
      <c r="H5">
        <f>VLOOKUP($A5,ScionOutput!$A$3:$BL$215,10,FALSE)</f>
        <v>-240</v>
      </c>
      <c r="I5" t="str">
        <f>VLOOKUP($A5,ScionOutput!$A$3:$BL$215,58,FALSE)</f>
        <v>No Play</v>
      </c>
      <c r="J5">
        <f>VLOOKUP($A5,ScionOutput!$A$3:$BL$215,59,FALSE)</f>
        <v>0</v>
      </c>
      <c r="K5">
        <f>VLOOKUP($A5,ScionOutput!$A$3:$BL$215,62,FALSE)</f>
        <v>0</v>
      </c>
      <c r="L5">
        <f>VLOOKUP($A5,ScionOutput!$A$3:$BL$215,63,FALSE)</f>
        <v>0</v>
      </c>
      <c r="M5" t="b">
        <f t="shared" si="1"/>
        <v>0</v>
      </c>
      <c r="N5">
        <f>VLOOKUP($A5,Outcomes!$B$3:$I$209,8,FALSE)</f>
        <v>8</v>
      </c>
      <c r="O5">
        <f t="shared" si="2"/>
        <v>-1</v>
      </c>
      <c r="P5">
        <f>VLOOKUP($A5,Outcomes!$B$3:$I$209,5,FALSE)</f>
        <v>1</v>
      </c>
      <c r="Q5">
        <f>VLOOKUP($A5,Outcomes!$B$3:$I$209,6,FALSE)</f>
        <v>7</v>
      </c>
      <c r="R5">
        <f>VLOOKUP($A5,Outcomes!$B$3:$I$209,7,FALSE)</f>
        <v>6</v>
      </c>
      <c r="S5" t="str">
        <f t="shared" si="3"/>
        <v>VisFave</v>
      </c>
      <c r="T5" t="str">
        <f t="shared" si="4"/>
        <v/>
      </c>
      <c r="U5" t="str">
        <f t="shared" si="0"/>
        <v/>
      </c>
      <c r="V5" t="str">
        <f t="shared" si="5"/>
        <v/>
      </c>
      <c r="W5" t="str">
        <f t="shared" si="6"/>
        <v/>
      </c>
      <c r="X5" s="2" t="str">
        <f t="shared" si="7"/>
        <v/>
      </c>
      <c r="Y5" t="str">
        <f>VLOOKUP($A5,ScionOutput!$A$3:$BL$215,64,FALSE)</f>
        <v xml:space="preserve">824351. LineStatEns is NoPlay as bookie-line outside range. StatOnlyEns is NoPlay as bookie-line outside range. No play due to strategy constraints. </v>
      </c>
    </row>
    <row r="6" spans="1:25" x14ac:dyDescent="0.2">
      <c r="A6">
        <v>824269</v>
      </c>
      <c r="B6" s="3">
        <f>VLOOKUP($A6,ScionOutput!$A$3:$BL$215,3,FALSE)</f>
        <v>46179</v>
      </c>
      <c r="C6">
        <f>VLOOKUP($A6,ScionOutput!$A$3:$BL$215,22,FALSE)</f>
        <v>10</v>
      </c>
      <c r="D6" t="str">
        <f>VLOOKUP($A6,ScionOutput!$A$3:$BL$215,23,FALSE)</f>
        <v>DET</v>
      </c>
      <c r="E6">
        <f>VLOOKUP($A6,ScionOutput!$A$3:$BL$215,6,FALSE)</f>
        <v>24</v>
      </c>
      <c r="F6" t="str">
        <f>VLOOKUP($A6,ScionOutput!$A$3:$BL$215,7,FALSE)</f>
        <v>SEA</v>
      </c>
      <c r="G6">
        <f>VLOOKUP($A6,ScionOutput!$A$3:$BL$215,26,FALSE)</f>
        <v>116</v>
      </c>
      <c r="H6">
        <f>VLOOKUP($A6,ScionOutput!$A$3:$BL$215,10,FALSE)</f>
        <v>-128</v>
      </c>
      <c r="I6" t="str">
        <f>VLOOKUP($A6,ScionOutput!$A$3:$BL$215,58,FALSE)</f>
        <v>No Play</v>
      </c>
      <c r="J6">
        <f>VLOOKUP($A6,ScionOutput!$A$3:$BL$215,59,FALSE)</f>
        <v>0</v>
      </c>
      <c r="K6">
        <f>VLOOKUP($A6,ScionOutput!$A$3:$BL$215,62,FALSE)</f>
        <v>0</v>
      </c>
      <c r="L6">
        <f>VLOOKUP($A6,ScionOutput!$A$3:$BL$215,63,FALSE)</f>
        <v>0</v>
      </c>
      <c r="M6" t="b">
        <f t="shared" si="1"/>
        <v>0</v>
      </c>
      <c r="N6">
        <f>VLOOKUP($A6,Outcomes!$B$3:$I$209,8,FALSE)</f>
        <v>4</v>
      </c>
      <c r="O6">
        <f t="shared" si="2"/>
        <v>-1</v>
      </c>
      <c r="P6">
        <f>VLOOKUP($A6,Outcomes!$B$3:$I$209,5,FALSE)</f>
        <v>0</v>
      </c>
      <c r="Q6">
        <f>VLOOKUP($A6,Outcomes!$B$3:$I$209,6,FALSE)</f>
        <v>4</v>
      </c>
      <c r="R6">
        <f>VLOOKUP($A6,Outcomes!$B$3:$I$209,7,FALSE)</f>
        <v>4</v>
      </c>
      <c r="S6" t="str">
        <f t="shared" si="3"/>
        <v>VisFave</v>
      </c>
      <c r="T6" t="str">
        <f t="shared" si="4"/>
        <v/>
      </c>
      <c r="U6" t="str">
        <f t="shared" si="0"/>
        <v/>
      </c>
      <c r="V6" t="str">
        <f t="shared" si="5"/>
        <v/>
      </c>
      <c r="W6" t="str">
        <f t="shared" si="6"/>
        <v/>
      </c>
      <c r="X6" s="2" t="str">
        <f t="shared" si="7"/>
        <v/>
      </c>
      <c r="Y6" t="str">
        <f>VLOOKUP($A6,ScionOutput!$A$3:$BL$215,64,FALSE)</f>
        <v xml:space="preserve">824269. VF plays are disallowed. No play due to strategy constraints. </v>
      </c>
    </row>
    <row r="7" spans="1:25" x14ac:dyDescent="0.2">
      <c r="A7">
        <v>823859</v>
      </c>
      <c r="B7" s="3">
        <f>VLOOKUP($A7,ScionOutput!$A$3:$BL$215,3,FALSE)</f>
        <v>46179</v>
      </c>
      <c r="C7">
        <f>VLOOKUP($A7,ScionOutput!$A$3:$BL$215,22,FALSE)</f>
        <v>11</v>
      </c>
      <c r="D7" t="str">
        <f>VLOOKUP($A7,ScionOutput!$A$3:$BL$215,23,FALSE)</f>
        <v>FLO</v>
      </c>
      <c r="E7">
        <f>VLOOKUP($A7,ScionOutput!$A$3:$BL$215,6,FALSE)</f>
        <v>27</v>
      </c>
      <c r="F7" t="str">
        <f>VLOOKUP($A7,ScionOutput!$A$3:$BL$215,7,FALSE)</f>
        <v>TB</v>
      </c>
      <c r="G7">
        <f>VLOOKUP($A7,ScionOutput!$A$3:$BL$215,26,FALSE)</f>
        <v>117</v>
      </c>
      <c r="H7">
        <f>VLOOKUP($A7,ScionOutput!$A$3:$BL$215,10,FALSE)</f>
        <v>-129</v>
      </c>
      <c r="I7" t="str">
        <f>VLOOKUP($A7,ScionOutput!$A$3:$BL$215,58,FALSE)</f>
        <v>No Play</v>
      </c>
      <c r="J7">
        <f>VLOOKUP($A7,ScionOutput!$A$3:$BL$215,59,FALSE)</f>
        <v>0</v>
      </c>
      <c r="K7">
        <f>VLOOKUP($A7,ScionOutput!$A$3:$BL$215,62,FALSE)</f>
        <v>0</v>
      </c>
      <c r="L7">
        <f>VLOOKUP($A7,ScionOutput!$A$3:$BL$215,63,FALSE)</f>
        <v>0</v>
      </c>
      <c r="M7" t="b">
        <f t="shared" si="1"/>
        <v>0</v>
      </c>
      <c r="N7">
        <f>VLOOKUP($A7,Outcomes!$B$3:$I$209,8,FALSE)</f>
        <v>7</v>
      </c>
      <c r="O7">
        <f t="shared" si="2"/>
        <v>1</v>
      </c>
      <c r="P7">
        <f>VLOOKUP($A7,Outcomes!$B$3:$I$209,5,FALSE)</f>
        <v>4</v>
      </c>
      <c r="Q7">
        <f>VLOOKUP($A7,Outcomes!$B$3:$I$209,6,FALSE)</f>
        <v>3</v>
      </c>
      <c r="R7">
        <f>VLOOKUP($A7,Outcomes!$B$3:$I$209,7,FALSE)</f>
        <v>-1</v>
      </c>
      <c r="S7" t="str">
        <f t="shared" si="3"/>
        <v>HomDog</v>
      </c>
      <c r="T7" t="str">
        <f t="shared" si="4"/>
        <v/>
      </c>
      <c r="U7" t="str">
        <f t="shared" si="0"/>
        <v/>
      </c>
      <c r="V7" t="str">
        <f t="shared" si="5"/>
        <v/>
      </c>
      <c r="W7" t="str">
        <f t="shared" si="6"/>
        <v/>
      </c>
      <c r="X7" s="2" t="str">
        <f t="shared" si="7"/>
        <v/>
      </c>
      <c r="Y7" t="str">
        <f>VLOOKUP($A7,ScionOutput!$A$3:$BL$215,64,FALSE)</f>
        <v xml:space="preserve">823859. VF plays are disallowed. No play due to strategy constraints. </v>
      </c>
    </row>
    <row r="8" spans="1:25" x14ac:dyDescent="0.2">
      <c r="A8">
        <v>824184</v>
      </c>
      <c r="B8" s="3">
        <f>VLOOKUP($A8,ScionOutput!$A$3:$BL$215,3,FALSE)</f>
        <v>46179</v>
      </c>
      <c r="C8">
        <f>VLOOKUP($A8,ScionOutput!$A$3:$BL$215,22,FALSE)</f>
        <v>12</v>
      </c>
      <c r="D8" t="str">
        <f>VLOOKUP($A8,ScionOutput!$A$3:$BL$215,23,FALSE)</f>
        <v>HOU</v>
      </c>
      <c r="E8">
        <f>VLOOKUP($A8,ScionOutput!$A$3:$BL$215,6,FALSE)</f>
        <v>20</v>
      </c>
      <c r="F8" t="str">
        <f>VLOOKUP($A8,ScionOutput!$A$3:$BL$215,7,FALSE)</f>
        <v>OAK</v>
      </c>
      <c r="G8">
        <f>VLOOKUP($A8,ScionOutput!$A$3:$BL$215,26,FALSE)</f>
        <v>-107</v>
      </c>
      <c r="H8">
        <f>VLOOKUP($A8,ScionOutput!$A$3:$BL$215,10,FALSE)</f>
        <v>-103</v>
      </c>
      <c r="I8" t="str">
        <f>VLOOKUP($A8,ScionOutput!$A$3:$BL$215,58,FALSE)</f>
        <v>No Play</v>
      </c>
      <c r="J8">
        <f>VLOOKUP($A8,ScionOutput!$A$3:$BL$215,59,FALSE)</f>
        <v>0</v>
      </c>
      <c r="K8">
        <f>VLOOKUP($A8,ScionOutput!$A$3:$BL$215,62,FALSE)</f>
        <v>0</v>
      </c>
      <c r="L8">
        <f>VLOOKUP($A8,ScionOutput!$A$3:$BL$215,63,FALSE)</f>
        <v>0</v>
      </c>
      <c r="M8" t="b">
        <f t="shared" si="1"/>
        <v>0</v>
      </c>
      <c r="N8">
        <f>VLOOKUP($A8,Outcomes!$B$3:$I$209,8,FALSE)</f>
        <v>15</v>
      </c>
      <c r="O8">
        <f t="shared" si="2"/>
        <v>1</v>
      </c>
      <c r="P8">
        <f>VLOOKUP($A8,Outcomes!$B$3:$I$209,5,FALSE)</f>
        <v>13</v>
      </c>
      <c r="Q8">
        <f>VLOOKUP($A8,Outcomes!$B$3:$I$209,6,FALSE)</f>
        <v>2</v>
      </c>
      <c r="R8">
        <f>VLOOKUP($A8,Outcomes!$B$3:$I$209,7,FALSE)</f>
        <v>-11</v>
      </c>
      <c r="S8" t="str">
        <f t="shared" si="3"/>
        <v>HomFave</v>
      </c>
      <c r="T8" t="str">
        <f t="shared" si="4"/>
        <v/>
      </c>
      <c r="U8" t="str">
        <f t="shared" si="0"/>
        <v/>
      </c>
      <c r="V8" t="str">
        <f t="shared" si="5"/>
        <v/>
      </c>
      <c r="W8" t="str">
        <f t="shared" si="6"/>
        <v/>
      </c>
      <c r="X8" s="2" t="str">
        <f t="shared" si="7"/>
        <v/>
      </c>
      <c r="Y8" t="str">
        <f>VLOOKUP($A8,ScionOutput!$A$3:$BL$215,64,FALSE)</f>
        <v xml:space="preserve">824184. V_SP is Null, team-based avg used. NoPlay as V_SP is Null. </v>
      </c>
    </row>
    <row r="9" spans="1:25" x14ac:dyDescent="0.2">
      <c r="A9">
        <v>823942</v>
      </c>
      <c r="B9" s="3">
        <f>VLOOKUP($A9,ScionOutput!$A$3:$BL$215,3,FALSE)</f>
        <v>46179</v>
      </c>
      <c r="C9">
        <f>VLOOKUP($A9,ScionOutput!$A$3:$BL$215,22,FALSE)</f>
        <v>14</v>
      </c>
      <c r="D9" t="str">
        <f>VLOOKUP($A9,ScionOutput!$A$3:$BL$215,23,FALSE)</f>
        <v>LA</v>
      </c>
      <c r="E9">
        <f>VLOOKUP($A9,ScionOutput!$A$3:$BL$215,6,FALSE)</f>
        <v>4</v>
      </c>
      <c r="F9" t="str">
        <f>VLOOKUP($A9,ScionOutput!$A$3:$BL$215,7,FALSE)</f>
        <v>LAA</v>
      </c>
      <c r="G9">
        <f>VLOOKUP($A9,ScionOutput!$A$3:$BL$215,26,FALSE)</f>
        <v>-312</v>
      </c>
      <c r="H9">
        <f>VLOOKUP($A9,ScionOutput!$A$3:$BL$215,10,FALSE)</f>
        <v>275</v>
      </c>
      <c r="I9" t="str">
        <f>VLOOKUP($A9,ScionOutput!$A$3:$BL$215,58,FALSE)</f>
        <v>No Play</v>
      </c>
      <c r="J9">
        <f>VLOOKUP($A9,ScionOutput!$A$3:$BL$215,59,FALSE)</f>
        <v>0</v>
      </c>
      <c r="K9">
        <f>VLOOKUP($A9,ScionOutput!$A$3:$BL$215,62,FALSE)</f>
        <v>0</v>
      </c>
      <c r="L9">
        <f>VLOOKUP($A9,ScionOutput!$A$3:$BL$215,63,FALSE)</f>
        <v>0</v>
      </c>
      <c r="M9" t="b">
        <f t="shared" si="1"/>
        <v>0</v>
      </c>
      <c r="N9">
        <f>VLOOKUP($A9,Outcomes!$B$3:$I$209,8,FALSE)</f>
        <v>11</v>
      </c>
      <c r="O9">
        <f t="shared" si="2"/>
        <v>1</v>
      </c>
      <c r="P9">
        <f>VLOOKUP($A9,Outcomes!$B$3:$I$209,5,FALSE)</f>
        <v>9</v>
      </c>
      <c r="Q9">
        <f>VLOOKUP($A9,Outcomes!$B$3:$I$209,6,FALSE)</f>
        <v>2</v>
      </c>
      <c r="R9">
        <f>VLOOKUP($A9,Outcomes!$B$3:$I$209,7,FALSE)</f>
        <v>-7</v>
      </c>
      <c r="S9" t="str">
        <f t="shared" si="3"/>
        <v>HomFave</v>
      </c>
      <c r="T9" t="str">
        <f t="shared" si="4"/>
        <v/>
      </c>
      <c r="U9" t="str">
        <f t="shared" si="0"/>
        <v/>
      </c>
      <c r="V9" t="str">
        <f t="shared" si="5"/>
        <v/>
      </c>
      <c r="W9" t="str">
        <f t="shared" si="6"/>
        <v/>
      </c>
      <c r="X9" s="2" t="str">
        <f t="shared" si="7"/>
        <v/>
      </c>
      <c r="Y9" t="str">
        <f>VLOOKUP($A9,ScionOutput!$A$3:$BL$215,64,FALSE)</f>
        <v xml:space="preserve">823942. LineStatEns is NoPlay as bookie-line outside range. StatOnlyEns is NoPlay as bookie-line outside range. No play due to strategy constraints. </v>
      </c>
    </row>
    <row r="10" spans="1:25" x14ac:dyDescent="0.2">
      <c r="A10">
        <v>823697</v>
      </c>
      <c r="B10" s="3">
        <f>VLOOKUP($A10,ScionOutput!$A$3:$BL$215,3,FALSE)</f>
        <v>46179</v>
      </c>
      <c r="C10">
        <f>VLOOKUP($A10,ScionOutput!$A$3:$BL$215,22,FALSE)</f>
        <v>15</v>
      </c>
      <c r="D10" t="str">
        <f>VLOOKUP($A10,ScionOutput!$A$3:$BL$215,23,FALSE)</f>
        <v>MIN</v>
      </c>
      <c r="E10">
        <f>VLOOKUP($A10,ScionOutput!$A$3:$BL$215,6,FALSE)</f>
        <v>13</v>
      </c>
      <c r="F10" t="str">
        <f>VLOOKUP($A10,ScionOutput!$A$3:$BL$215,7,FALSE)</f>
        <v>KC</v>
      </c>
      <c r="G10">
        <f>VLOOKUP($A10,ScionOutput!$A$3:$BL$215,26,FALSE)</f>
        <v>-145</v>
      </c>
      <c r="H10">
        <f>VLOOKUP($A10,ScionOutput!$A$3:$BL$215,10,FALSE)</f>
        <v>131</v>
      </c>
      <c r="I10" t="str">
        <f>VLOOKUP($A10,ScionOutput!$A$3:$BL$215,58,FALSE)</f>
        <v>No Play</v>
      </c>
      <c r="J10">
        <f>VLOOKUP($A10,ScionOutput!$A$3:$BL$215,59,FALSE)</f>
        <v>0</v>
      </c>
      <c r="K10">
        <f>VLOOKUP($A10,ScionOutput!$A$3:$BL$215,62,FALSE)</f>
        <v>0</v>
      </c>
      <c r="L10">
        <f>VLOOKUP($A10,ScionOutput!$A$3:$BL$215,63,FALSE)</f>
        <v>0</v>
      </c>
      <c r="M10" t="b">
        <f t="shared" si="1"/>
        <v>0</v>
      </c>
      <c r="N10">
        <f>VLOOKUP($A10,Outcomes!$B$3:$I$209,8,FALSE)</f>
        <v>5</v>
      </c>
      <c r="O10">
        <f t="shared" si="2"/>
        <v>-1</v>
      </c>
      <c r="P10">
        <f>VLOOKUP($A10,Outcomes!$B$3:$I$209,5,FALSE)</f>
        <v>2</v>
      </c>
      <c r="Q10">
        <f>VLOOKUP($A10,Outcomes!$B$3:$I$209,6,FALSE)</f>
        <v>3</v>
      </c>
      <c r="R10">
        <f>VLOOKUP($A10,Outcomes!$B$3:$I$209,7,FALSE)</f>
        <v>1</v>
      </c>
      <c r="S10" t="str">
        <f t="shared" si="3"/>
        <v>VisDog</v>
      </c>
      <c r="T10" t="str">
        <f t="shared" si="4"/>
        <v/>
      </c>
      <c r="U10" t="str">
        <f t="shared" si="0"/>
        <v/>
      </c>
      <c r="V10" t="str">
        <f t="shared" si="5"/>
        <v/>
      </c>
      <c r="W10" t="str">
        <f t="shared" si="6"/>
        <v/>
      </c>
      <c r="X10" s="2" t="str">
        <f t="shared" si="7"/>
        <v/>
      </c>
      <c r="Y10" t="str">
        <f>VLOOKUP($A10,ScionOutput!$A$3:$BL$215,64,FALSE)</f>
        <v xml:space="preserve">823697. LineStatEns probability points gap does not exceed threshold (no edge found)! StatOnlyEns probability points gap does not exceed threshold (no edge found)! No play due to strategy constraints. </v>
      </c>
    </row>
    <row r="11" spans="1:25" x14ac:dyDescent="0.2">
      <c r="A11">
        <v>823454</v>
      </c>
      <c r="B11" s="3">
        <f>VLOOKUP($A11,ScionOutput!$A$3:$BL$215,3,FALSE)</f>
        <v>46179</v>
      </c>
      <c r="C11">
        <f>VLOOKUP($A11,ScionOutput!$A$3:$BL$215,22,FALSE)</f>
        <v>21</v>
      </c>
      <c r="D11" t="str">
        <f>VLOOKUP($A11,ScionOutput!$A$3:$BL$215,23,FALSE)</f>
        <v>PHI</v>
      </c>
      <c r="E11">
        <f>VLOOKUP($A11,ScionOutput!$A$3:$BL$215,6,FALSE)</f>
        <v>9</v>
      </c>
      <c r="F11" t="str">
        <f>VLOOKUP($A11,ScionOutput!$A$3:$BL$215,7,FALSE)</f>
        <v>CWS</v>
      </c>
      <c r="G11">
        <f>VLOOKUP($A11,ScionOutput!$A$3:$BL$215,26,FALSE)</f>
        <v>-123</v>
      </c>
      <c r="H11">
        <f>VLOOKUP($A11,ScionOutput!$A$3:$BL$215,10,FALSE)</f>
        <v>112</v>
      </c>
      <c r="I11" t="str">
        <f>VLOOKUP($A11,ScionOutput!$A$3:$BL$215,58,FALSE)</f>
        <v>No Play</v>
      </c>
      <c r="J11">
        <f>VLOOKUP($A11,ScionOutput!$A$3:$BL$215,59,FALSE)</f>
        <v>0</v>
      </c>
      <c r="K11">
        <f>VLOOKUP($A11,ScionOutput!$A$3:$BL$215,62,FALSE)</f>
        <v>0</v>
      </c>
      <c r="L11">
        <f>VLOOKUP($A11,ScionOutput!$A$3:$BL$215,63,FALSE)</f>
        <v>0</v>
      </c>
      <c r="M11" t="b">
        <f t="shared" si="1"/>
        <v>0</v>
      </c>
      <c r="N11">
        <f>VLOOKUP($A11,Outcomes!$B$3:$I$209,8,FALSE)</f>
        <v>9</v>
      </c>
      <c r="O11">
        <f t="shared" si="2"/>
        <v>-1</v>
      </c>
      <c r="P11">
        <f>VLOOKUP($A11,Outcomes!$B$3:$I$209,5,FALSE)</f>
        <v>3</v>
      </c>
      <c r="Q11">
        <f>VLOOKUP($A11,Outcomes!$B$3:$I$209,6,FALSE)</f>
        <v>6</v>
      </c>
      <c r="R11">
        <f>VLOOKUP($A11,Outcomes!$B$3:$I$209,7,FALSE)</f>
        <v>3</v>
      </c>
      <c r="S11" t="str">
        <f t="shared" si="3"/>
        <v>VisDog</v>
      </c>
      <c r="T11" t="str">
        <f t="shared" si="4"/>
        <v/>
      </c>
      <c r="U11" t="str">
        <f t="shared" si="0"/>
        <v/>
      </c>
      <c r="V11" t="str">
        <f t="shared" si="5"/>
        <v/>
      </c>
      <c r="W11" t="str">
        <f t="shared" si="6"/>
        <v/>
      </c>
      <c r="X11" s="2" t="str">
        <f t="shared" si="7"/>
        <v/>
      </c>
      <c r="Y11" t="str">
        <f>VLOOKUP($A11,ScionOutput!$A$3:$BL$215,64,FALSE)</f>
        <v xml:space="preserve">823454. LineStatEns probability points gap does not exceed threshold (no edge found)! No play due to strategy constraints. </v>
      </c>
    </row>
    <row r="12" spans="1:25" x14ac:dyDescent="0.2">
      <c r="A12">
        <v>823292</v>
      </c>
      <c r="B12" s="3">
        <f>VLOOKUP($A12,ScionOutput!$A$3:$BL$215,3,FALSE)</f>
        <v>46179</v>
      </c>
      <c r="C12">
        <f>VLOOKUP($A12,ScionOutput!$A$3:$BL$215,22,FALSE)</f>
        <v>23</v>
      </c>
      <c r="D12" t="str">
        <f>VLOOKUP($A12,ScionOutput!$A$3:$BL$215,23,FALSE)</f>
        <v>SD</v>
      </c>
      <c r="E12">
        <f>VLOOKUP($A12,ScionOutput!$A$3:$BL$215,6,FALSE)</f>
        <v>18</v>
      </c>
      <c r="F12" t="str">
        <f>VLOOKUP($A12,ScionOutput!$A$3:$BL$215,7,FALSE)</f>
        <v>NYM</v>
      </c>
      <c r="G12">
        <f>VLOOKUP($A12,ScionOutput!$A$3:$BL$215,26,FALSE)</f>
        <v>104</v>
      </c>
      <c r="H12">
        <f>VLOOKUP($A12,ScionOutput!$A$3:$BL$215,10,FALSE)</f>
        <v>-115</v>
      </c>
      <c r="I12" t="str">
        <f>VLOOKUP($A12,ScionOutput!$A$3:$BL$215,58,FALSE)</f>
        <v>No Play</v>
      </c>
      <c r="J12">
        <f>VLOOKUP($A12,ScionOutput!$A$3:$BL$215,59,FALSE)</f>
        <v>0</v>
      </c>
      <c r="K12">
        <f>VLOOKUP($A12,ScionOutput!$A$3:$BL$215,62,FALSE)</f>
        <v>0</v>
      </c>
      <c r="L12">
        <f>VLOOKUP($A12,ScionOutput!$A$3:$BL$215,63,FALSE)</f>
        <v>0</v>
      </c>
      <c r="M12" t="b">
        <f t="shared" si="1"/>
        <v>0</v>
      </c>
      <c r="N12">
        <f>VLOOKUP($A12,Outcomes!$B$3:$I$209,8,FALSE)</f>
        <v>5</v>
      </c>
      <c r="O12">
        <f t="shared" si="2"/>
        <v>1</v>
      </c>
      <c r="P12">
        <f>VLOOKUP($A12,Outcomes!$B$3:$I$209,5,FALSE)</f>
        <v>3</v>
      </c>
      <c r="Q12">
        <f>VLOOKUP($A12,Outcomes!$B$3:$I$209,6,FALSE)</f>
        <v>2</v>
      </c>
      <c r="R12">
        <f>VLOOKUP($A12,Outcomes!$B$3:$I$209,7,FALSE)</f>
        <v>-1</v>
      </c>
      <c r="S12" t="str">
        <f t="shared" si="3"/>
        <v>HomDog</v>
      </c>
      <c r="T12" t="str">
        <f t="shared" si="4"/>
        <v/>
      </c>
      <c r="U12" t="str">
        <f t="shared" si="0"/>
        <v/>
      </c>
      <c r="V12" t="str">
        <f t="shared" si="5"/>
        <v/>
      </c>
      <c r="W12" t="str">
        <f t="shared" si="6"/>
        <v/>
      </c>
      <c r="X12" s="2" t="str">
        <f t="shared" si="7"/>
        <v/>
      </c>
      <c r="Y12" t="str">
        <f>VLOOKUP($A12,ScionOutput!$A$3:$BL$215,64,FALSE)</f>
        <v xml:space="preserve">823292. VF plays are disallowed. No play due to strategy constraints. </v>
      </c>
    </row>
    <row r="13" spans="1:25" x14ac:dyDescent="0.2">
      <c r="A13">
        <v>823048</v>
      </c>
      <c r="B13" s="3">
        <f>VLOOKUP($A13,ScionOutput!$A$3:$BL$215,3,FALSE)</f>
        <v>46179</v>
      </c>
      <c r="C13">
        <f>VLOOKUP($A13,ScionOutput!$A$3:$BL$215,22,FALSE)</f>
        <v>26</v>
      </c>
      <c r="D13" t="str">
        <f>VLOOKUP($A13,ScionOutput!$A$3:$BL$215,23,FALSE)</f>
        <v>STL</v>
      </c>
      <c r="E13">
        <f>VLOOKUP($A13,ScionOutput!$A$3:$BL$215,6,FALSE)</f>
        <v>6</v>
      </c>
      <c r="F13" t="str">
        <f>VLOOKUP($A13,ScionOutput!$A$3:$BL$215,7,FALSE)</f>
        <v>CIN</v>
      </c>
      <c r="G13">
        <f>VLOOKUP($A13,ScionOutput!$A$3:$BL$215,26,FALSE)</f>
        <v>-125</v>
      </c>
      <c r="H13">
        <f>VLOOKUP($A13,ScionOutput!$A$3:$BL$215,10,FALSE)</f>
        <v>113</v>
      </c>
      <c r="I13" t="str">
        <f>VLOOKUP($A13,ScionOutput!$A$3:$BL$215,58,FALSE)</f>
        <v>No Play</v>
      </c>
      <c r="J13">
        <f>VLOOKUP($A13,ScionOutput!$A$3:$BL$215,59,FALSE)</f>
        <v>0</v>
      </c>
      <c r="K13">
        <f>VLOOKUP($A13,ScionOutput!$A$3:$BL$215,62,FALSE)</f>
        <v>0</v>
      </c>
      <c r="L13">
        <f>VLOOKUP($A13,ScionOutput!$A$3:$BL$215,63,FALSE)</f>
        <v>0</v>
      </c>
      <c r="M13" t="b">
        <f t="shared" si="1"/>
        <v>0</v>
      </c>
      <c r="N13">
        <f>VLOOKUP($A13,Outcomes!$B$3:$I$209,8,FALSE)</f>
        <v>11</v>
      </c>
      <c r="O13">
        <f t="shared" si="2"/>
        <v>1</v>
      </c>
      <c r="P13">
        <f>VLOOKUP($A13,Outcomes!$B$3:$I$209,5,FALSE)</f>
        <v>6</v>
      </c>
      <c r="Q13">
        <f>VLOOKUP($A13,Outcomes!$B$3:$I$209,6,FALSE)</f>
        <v>5</v>
      </c>
      <c r="R13">
        <f>VLOOKUP($A13,Outcomes!$B$3:$I$209,7,FALSE)</f>
        <v>-1</v>
      </c>
      <c r="S13" t="str">
        <f t="shared" si="3"/>
        <v>HomFave</v>
      </c>
      <c r="T13" t="str">
        <f t="shared" si="4"/>
        <v/>
      </c>
      <c r="U13" t="str">
        <f t="shared" si="0"/>
        <v/>
      </c>
      <c r="V13" t="str">
        <f t="shared" si="5"/>
        <v/>
      </c>
      <c r="W13" t="str">
        <f t="shared" si="6"/>
        <v/>
      </c>
      <c r="X13" s="2" t="str">
        <f t="shared" si="7"/>
        <v/>
      </c>
      <c r="Y13" t="str">
        <f>VLOOKUP($A13,ScionOutput!$A$3:$BL$215,64,FALSE)</f>
        <v xml:space="preserve">823048. LineStatEns probability points gap does not exceed threshold (no edge found)! StatOnlyEns probability points gap does not exceed threshold (no edge found)! No play due to strategy constraints. </v>
      </c>
    </row>
    <row r="14" spans="1:25" x14ac:dyDescent="0.2">
      <c r="A14">
        <v>822891</v>
      </c>
      <c r="B14" s="3">
        <f>VLOOKUP($A14,ScionOutput!$A$3:$BL$215,3,FALSE)</f>
        <v>46179</v>
      </c>
      <c r="C14">
        <f>VLOOKUP($A14,ScionOutput!$A$3:$BL$215,22,FALSE)</f>
        <v>28</v>
      </c>
      <c r="D14" t="str">
        <f>VLOOKUP($A14,ScionOutput!$A$3:$BL$215,23,FALSE)</f>
        <v>TEX</v>
      </c>
      <c r="E14">
        <f>VLOOKUP($A14,ScionOutput!$A$3:$BL$215,6,FALSE)</f>
        <v>7</v>
      </c>
      <c r="F14" t="str">
        <f>VLOOKUP($A14,ScionOutput!$A$3:$BL$215,7,FALSE)</f>
        <v>CLE</v>
      </c>
      <c r="G14">
        <f>VLOOKUP($A14,ScionOutput!$A$3:$BL$215,26,FALSE)</f>
        <v>-107</v>
      </c>
      <c r="H14">
        <f>VLOOKUP($A14,ScionOutput!$A$3:$BL$215,10,FALSE)</f>
        <v>-103</v>
      </c>
      <c r="I14" t="str">
        <f>VLOOKUP($A14,ScionOutput!$A$3:$BL$215,58,FALSE)</f>
        <v>No Play</v>
      </c>
      <c r="J14">
        <f>VLOOKUP($A14,ScionOutput!$A$3:$BL$215,59,FALSE)</f>
        <v>0</v>
      </c>
      <c r="K14">
        <f>VLOOKUP($A14,ScionOutput!$A$3:$BL$215,62,FALSE)</f>
        <v>0</v>
      </c>
      <c r="L14">
        <f>VLOOKUP($A14,ScionOutput!$A$3:$BL$215,63,FALSE)</f>
        <v>0</v>
      </c>
      <c r="M14" t="b">
        <f t="shared" si="1"/>
        <v>0</v>
      </c>
      <c r="N14">
        <f>VLOOKUP($A14,Outcomes!$B$3:$I$209,8,FALSE)</f>
        <v>6</v>
      </c>
      <c r="O14">
        <f t="shared" si="2"/>
        <v>-1</v>
      </c>
      <c r="P14">
        <f>VLOOKUP($A14,Outcomes!$B$3:$I$209,5,FALSE)</f>
        <v>0</v>
      </c>
      <c r="Q14">
        <f>VLOOKUP($A14,Outcomes!$B$3:$I$209,6,FALSE)</f>
        <v>6</v>
      </c>
      <c r="R14">
        <f>VLOOKUP($A14,Outcomes!$B$3:$I$209,7,FALSE)</f>
        <v>6</v>
      </c>
      <c r="S14" t="str">
        <f t="shared" si="3"/>
        <v>VisDog</v>
      </c>
      <c r="T14" t="str">
        <f t="shared" si="4"/>
        <v/>
      </c>
      <c r="U14" t="str">
        <f t="shared" si="0"/>
        <v/>
      </c>
      <c r="V14" t="str">
        <f t="shared" si="5"/>
        <v/>
      </c>
      <c r="W14" t="str">
        <f t="shared" si="6"/>
        <v/>
      </c>
      <c r="X14" s="2" t="str">
        <f t="shared" si="7"/>
        <v/>
      </c>
      <c r="Y14" t="str">
        <f>VLOOKUP($A14,ScionOutput!$A$3:$BL$215,64,FALSE)</f>
        <v xml:space="preserve">822891. LineStatEns probability points gap does not exceed threshold (no edge found)! No play due to strategy constraints. </v>
      </c>
    </row>
    <row r="15" spans="1:25" x14ac:dyDescent="0.2">
      <c r="A15">
        <v>822808</v>
      </c>
      <c r="B15" s="3">
        <f>VLOOKUP($A15,ScionOutput!$A$3:$BL$215,3,FALSE)</f>
        <v>46179</v>
      </c>
      <c r="C15">
        <f>VLOOKUP($A15,ScionOutput!$A$3:$BL$215,22,FALSE)</f>
        <v>29</v>
      </c>
      <c r="D15" t="str">
        <f>VLOOKUP($A15,ScionOutput!$A$3:$BL$215,23,FALSE)</f>
        <v>TOR</v>
      </c>
      <c r="E15">
        <f>VLOOKUP($A15,ScionOutput!$A$3:$BL$215,6,FALSE)</f>
        <v>2</v>
      </c>
      <c r="F15" t="str">
        <f>VLOOKUP($A15,ScionOutput!$A$3:$BL$215,7,FALSE)</f>
        <v>BAL</v>
      </c>
      <c r="G15">
        <f>VLOOKUP($A15,ScionOutput!$A$3:$BL$215,26,FALSE)</f>
        <v>-103</v>
      </c>
      <c r="H15">
        <f>VLOOKUP($A15,ScionOutput!$A$3:$BL$215,10,FALSE)</f>
        <v>-107</v>
      </c>
      <c r="I15" t="str">
        <f>VLOOKUP($A15,ScionOutput!$A$3:$BL$215,58,FALSE)</f>
        <v>No Play</v>
      </c>
      <c r="J15">
        <f>VLOOKUP($A15,ScionOutput!$A$3:$BL$215,59,FALSE)</f>
        <v>0</v>
      </c>
      <c r="K15">
        <f>VLOOKUP($A15,ScionOutput!$A$3:$BL$215,62,FALSE)</f>
        <v>0</v>
      </c>
      <c r="L15">
        <f>VLOOKUP($A15,ScionOutput!$A$3:$BL$215,63,FALSE)</f>
        <v>0</v>
      </c>
      <c r="M15" t="b">
        <f t="shared" si="1"/>
        <v>0</v>
      </c>
      <c r="N15">
        <f>VLOOKUP($A15,Outcomes!$B$3:$I$209,8,FALSE)</f>
        <v>10</v>
      </c>
      <c r="O15">
        <f t="shared" si="2"/>
        <v>1</v>
      </c>
      <c r="P15">
        <f>VLOOKUP($A15,Outcomes!$B$3:$I$209,5,FALSE)</f>
        <v>6</v>
      </c>
      <c r="Q15">
        <f>VLOOKUP($A15,Outcomes!$B$3:$I$209,6,FALSE)</f>
        <v>4</v>
      </c>
      <c r="R15">
        <f>VLOOKUP($A15,Outcomes!$B$3:$I$209,7,FALSE)</f>
        <v>-2</v>
      </c>
      <c r="S15" t="str">
        <f t="shared" si="3"/>
        <v>HomDog</v>
      </c>
      <c r="T15" t="str">
        <f t="shared" si="4"/>
        <v/>
      </c>
      <c r="U15" t="str">
        <f t="shared" si="0"/>
        <v/>
      </c>
      <c r="V15" t="str">
        <f t="shared" si="5"/>
        <v/>
      </c>
      <c r="W15" t="str">
        <f t="shared" si="6"/>
        <v/>
      </c>
      <c r="X15" s="2" t="str">
        <f t="shared" si="7"/>
        <v/>
      </c>
      <c r="Y15" t="str">
        <f>VLOOKUP($A15,ScionOutput!$A$3:$BL$215,64,FALSE)</f>
        <v xml:space="preserve">822808. VF plays are disallowed. No play due to strategy constraints. </v>
      </c>
    </row>
    <row r="16" spans="1:25" x14ac:dyDescent="0.2">
      <c r="A16">
        <v>824916</v>
      </c>
      <c r="B16" s="3">
        <f>VLOOKUP($A16,ScionOutput!$A$3:$BL$215,3,FALSE)</f>
        <v>46180</v>
      </c>
      <c r="C16">
        <f>VLOOKUP($A16,ScionOutput!$A$3:$BL$215,22,FALSE)</f>
        <v>0</v>
      </c>
      <c r="D16" t="str">
        <f>VLOOKUP($A16,ScionOutput!$A$3:$BL$215,23,FALSE)</f>
        <v>ATL</v>
      </c>
      <c r="E16">
        <f>VLOOKUP($A16,ScionOutput!$A$3:$BL$215,6,FALSE)</f>
        <v>22</v>
      </c>
      <c r="F16" t="str">
        <f>VLOOKUP($A16,ScionOutput!$A$3:$BL$215,7,FALSE)</f>
        <v>PIT</v>
      </c>
      <c r="G16">
        <f>VLOOKUP($A16,ScionOutput!$A$3:$BL$215,26,FALSE)</f>
        <v>-145</v>
      </c>
      <c r="H16">
        <f>VLOOKUP($A16,ScionOutput!$A$3:$BL$215,10,FALSE)</f>
        <v>133</v>
      </c>
      <c r="I16" t="str">
        <f>VLOOKUP($A16,ScionOutput!$A$3:$BL$215,58,FALSE)</f>
        <v>No Play</v>
      </c>
      <c r="J16">
        <f>VLOOKUP($A16,ScionOutput!$A$3:$BL$215,59,FALSE)</f>
        <v>0</v>
      </c>
      <c r="K16">
        <f>VLOOKUP($A16,ScionOutput!$A$3:$BL$215,62,FALSE)</f>
        <v>0</v>
      </c>
      <c r="L16">
        <f>VLOOKUP($A16,ScionOutput!$A$3:$BL$215,63,FALSE)</f>
        <v>0</v>
      </c>
      <c r="M16" t="b">
        <f t="shared" si="1"/>
        <v>0</v>
      </c>
      <c r="N16">
        <f>VLOOKUP($A16,Outcomes!$B$3:$I$209,8,FALSE)</f>
        <v>5</v>
      </c>
      <c r="O16">
        <f t="shared" si="2"/>
        <v>1</v>
      </c>
      <c r="P16">
        <f>VLOOKUP($A16,Outcomes!$B$3:$I$209,5,FALSE)</f>
        <v>3</v>
      </c>
      <c r="Q16">
        <f>VLOOKUP($A16,Outcomes!$B$3:$I$209,6,FALSE)</f>
        <v>2</v>
      </c>
      <c r="R16">
        <f>VLOOKUP($A16,Outcomes!$B$3:$I$209,7,FALSE)</f>
        <v>-1</v>
      </c>
      <c r="S16" t="str">
        <f t="shared" si="3"/>
        <v>HomFave</v>
      </c>
      <c r="T16" t="str">
        <f t="shared" si="4"/>
        <v/>
      </c>
      <c r="U16" t="str">
        <f t="shared" si="0"/>
        <v/>
      </c>
      <c r="V16" t="str">
        <f t="shared" si="5"/>
        <v/>
      </c>
      <c r="W16" t="str">
        <f t="shared" si="6"/>
        <v/>
      </c>
      <c r="X16" s="2" t="str">
        <f t="shared" si="7"/>
        <v/>
      </c>
      <c r="Y16" t="str">
        <f>VLOOKUP($A16,ScionOutput!$A$3:$BL$215,64,FALSE)</f>
        <v xml:space="preserve">824916. LineStatEns probability points gap does not exceed threshold (no edge found)! StatOnlyEns probability points gap does not exceed threshold (no edge found)! No play due to strategy constraints. </v>
      </c>
    </row>
    <row r="17" spans="1:25" x14ac:dyDescent="0.2">
      <c r="A17">
        <v>825074</v>
      </c>
      <c r="B17" s="3">
        <f>VLOOKUP($A17,ScionOutput!$A$3:$BL$215,3,FALSE)</f>
        <v>46180</v>
      </c>
      <c r="C17">
        <f>VLOOKUP($A17,ScionOutput!$A$3:$BL$215,22,FALSE)</f>
        <v>1</v>
      </c>
      <c r="D17" t="str">
        <f>VLOOKUP($A17,ScionOutput!$A$3:$BL$215,23,FALSE)</f>
        <v>ARZ</v>
      </c>
      <c r="E17">
        <f>VLOOKUP($A17,ScionOutput!$A$3:$BL$215,6,FALSE)</f>
        <v>16</v>
      </c>
      <c r="F17" t="str">
        <f>VLOOKUP($A17,ScionOutput!$A$3:$BL$215,7,FALSE)</f>
        <v>WAS</v>
      </c>
      <c r="G17">
        <f>VLOOKUP($A17,ScionOutput!$A$3:$BL$215,26,FALSE)</f>
        <v>-125</v>
      </c>
      <c r="H17">
        <f>VLOOKUP($A17,ScionOutput!$A$3:$BL$215,10,FALSE)</f>
        <v>115</v>
      </c>
      <c r="I17" t="str">
        <f>VLOOKUP($A17,ScionOutput!$A$3:$BL$215,58,FALSE)</f>
        <v>No Play</v>
      </c>
      <c r="J17">
        <f>VLOOKUP($A17,ScionOutput!$A$3:$BL$215,59,FALSE)</f>
        <v>0</v>
      </c>
      <c r="K17">
        <f>VLOOKUP($A17,ScionOutput!$A$3:$BL$215,62,FALSE)</f>
        <v>0</v>
      </c>
      <c r="L17">
        <f>VLOOKUP($A17,ScionOutput!$A$3:$BL$215,63,FALSE)</f>
        <v>0</v>
      </c>
      <c r="M17" t="b">
        <f t="shared" si="1"/>
        <v>0</v>
      </c>
      <c r="N17">
        <f>VLOOKUP($A17,Outcomes!$B$3:$I$209,8,FALSE)</f>
        <v>6</v>
      </c>
      <c r="O17">
        <f t="shared" si="2"/>
        <v>1</v>
      </c>
      <c r="P17">
        <f>VLOOKUP($A17,Outcomes!$B$3:$I$209,5,FALSE)</f>
        <v>5</v>
      </c>
      <c r="Q17">
        <f>VLOOKUP($A17,Outcomes!$B$3:$I$209,6,FALSE)</f>
        <v>1</v>
      </c>
      <c r="R17">
        <f>VLOOKUP($A17,Outcomes!$B$3:$I$209,7,FALSE)</f>
        <v>-4</v>
      </c>
      <c r="S17" t="str">
        <f t="shared" si="3"/>
        <v>HomFave</v>
      </c>
      <c r="T17" t="str">
        <f t="shared" si="4"/>
        <v/>
      </c>
      <c r="U17" t="str">
        <f t="shared" si="0"/>
        <v/>
      </c>
      <c r="V17" t="str">
        <f t="shared" si="5"/>
        <v/>
      </c>
      <c r="W17" t="str">
        <f t="shared" si="6"/>
        <v/>
      </c>
      <c r="X17" s="2" t="str">
        <f t="shared" si="7"/>
        <v/>
      </c>
      <c r="Y17" t="str">
        <f>VLOOKUP($A17,ScionOutput!$A$3:$BL$215,64,FALSE)</f>
        <v xml:space="preserve">825074. LineStatEns probability points gap does not exceed threshold (no edge found)! StatOnlyEns probability points gap does not exceed threshold (no edge found)! No play due to strategy constraints. </v>
      </c>
    </row>
    <row r="18" spans="1:25" x14ac:dyDescent="0.2">
      <c r="A18">
        <v>824670</v>
      </c>
      <c r="B18" s="3">
        <f>VLOOKUP($A18,ScionOutput!$A$3:$BL$215,3,FALSE)</f>
        <v>46180</v>
      </c>
      <c r="C18">
        <f>VLOOKUP($A18,ScionOutput!$A$3:$BL$215,22,FALSE)</f>
        <v>5</v>
      </c>
      <c r="D18" t="str">
        <f>VLOOKUP($A18,ScionOutput!$A$3:$BL$215,23,FALSE)</f>
        <v>CHC</v>
      </c>
      <c r="E18">
        <f>VLOOKUP($A18,ScionOutput!$A$3:$BL$215,6,FALSE)</f>
        <v>25</v>
      </c>
      <c r="F18" t="str">
        <f>VLOOKUP($A18,ScionOutput!$A$3:$BL$215,7,FALSE)</f>
        <v>SF</v>
      </c>
      <c r="G18">
        <f>VLOOKUP($A18,ScionOutput!$A$3:$BL$215,26,FALSE)</f>
        <v>-126</v>
      </c>
      <c r="H18">
        <f>VLOOKUP($A18,ScionOutput!$A$3:$BL$215,10,FALSE)</f>
        <v>116</v>
      </c>
      <c r="I18" t="str">
        <f>VLOOKUP($A18,ScionOutput!$A$3:$BL$215,58,FALSE)</f>
        <v>No Play</v>
      </c>
      <c r="J18">
        <f>VLOOKUP($A18,ScionOutput!$A$3:$BL$215,59,FALSE)</f>
        <v>0</v>
      </c>
      <c r="K18">
        <f>VLOOKUP($A18,ScionOutput!$A$3:$BL$215,62,FALSE)</f>
        <v>0</v>
      </c>
      <c r="L18">
        <f>VLOOKUP($A18,ScionOutput!$A$3:$BL$215,63,FALSE)</f>
        <v>0</v>
      </c>
      <c r="M18" t="b">
        <f t="shared" si="1"/>
        <v>0</v>
      </c>
      <c r="N18">
        <f>VLOOKUP($A18,Outcomes!$B$3:$I$209,8,FALSE)</f>
        <v>3</v>
      </c>
      <c r="O18">
        <f t="shared" si="2"/>
        <v>-1</v>
      </c>
      <c r="P18">
        <f>VLOOKUP($A18,Outcomes!$B$3:$I$209,5,FALSE)</f>
        <v>1</v>
      </c>
      <c r="Q18">
        <f>VLOOKUP($A18,Outcomes!$B$3:$I$209,6,FALSE)</f>
        <v>2</v>
      </c>
      <c r="R18">
        <f>VLOOKUP($A18,Outcomes!$B$3:$I$209,7,FALSE)</f>
        <v>1</v>
      </c>
      <c r="S18" t="str">
        <f t="shared" si="3"/>
        <v>VisDog</v>
      </c>
      <c r="T18" t="str">
        <f t="shared" si="4"/>
        <v/>
      </c>
      <c r="U18" t="str">
        <f t="shared" si="0"/>
        <v/>
      </c>
      <c r="V18" t="str">
        <f t="shared" si="5"/>
        <v/>
      </c>
      <c r="W18" t="str">
        <f t="shared" si="6"/>
        <v/>
      </c>
      <c r="X18" s="2" t="str">
        <f t="shared" si="7"/>
        <v/>
      </c>
      <c r="Y18" t="str">
        <f>VLOOKUP($A18,ScionOutput!$A$3:$BL$215,64,FALSE)</f>
        <v xml:space="preserve">824670. LineStatEns probability points gap does not exceed threshold (no edge found)! StatOnlyEns probability points gap does not exceed threshold (no edge found)! No play due to strategy constraints. </v>
      </c>
    </row>
    <row r="19" spans="1:25" x14ac:dyDescent="0.2">
      <c r="A19">
        <v>824349</v>
      </c>
      <c r="B19" s="3">
        <f>VLOOKUP($A19,ScionOutput!$A$3:$BL$215,3,FALSE)</f>
        <v>46180</v>
      </c>
      <c r="C19">
        <f>VLOOKUP($A19,ScionOutput!$A$3:$BL$215,22,FALSE)</f>
        <v>8</v>
      </c>
      <c r="D19" t="str">
        <f>VLOOKUP($A19,ScionOutput!$A$3:$BL$215,23,FALSE)</f>
        <v>COL</v>
      </c>
      <c r="E19">
        <f>VLOOKUP($A19,ScionOutput!$A$3:$BL$215,6,FALSE)</f>
        <v>17</v>
      </c>
      <c r="F19" t="str">
        <f>VLOOKUP($A19,ScionOutput!$A$3:$BL$215,7,FALSE)</f>
        <v>MLW</v>
      </c>
      <c r="G19">
        <f>VLOOKUP($A19,ScionOutput!$A$3:$BL$215,26,FALSE)</f>
        <v>160</v>
      </c>
      <c r="H19">
        <f>VLOOKUP($A19,ScionOutput!$A$3:$BL$215,10,FALSE)</f>
        <v>-174</v>
      </c>
      <c r="I19" t="str">
        <f>VLOOKUP($A19,ScionOutput!$A$3:$BL$215,58,FALSE)</f>
        <v>No Play</v>
      </c>
      <c r="J19">
        <f>VLOOKUP($A19,ScionOutput!$A$3:$BL$215,59,FALSE)</f>
        <v>0</v>
      </c>
      <c r="K19">
        <f>VLOOKUP($A19,ScionOutput!$A$3:$BL$215,62,FALSE)</f>
        <v>0</v>
      </c>
      <c r="L19">
        <f>VLOOKUP($A19,ScionOutput!$A$3:$BL$215,63,FALSE)</f>
        <v>0</v>
      </c>
      <c r="M19" t="b">
        <f t="shared" si="1"/>
        <v>0</v>
      </c>
      <c r="N19">
        <f>VLOOKUP($A19,Outcomes!$B$3:$I$209,8,FALSE)</f>
        <v>16</v>
      </c>
      <c r="O19">
        <f t="shared" si="2"/>
        <v>-1</v>
      </c>
      <c r="P19">
        <f>VLOOKUP($A19,Outcomes!$B$3:$I$209,5,FALSE)</f>
        <v>4</v>
      </c>
      <c r="Q19">
        <f>VLOOKUP($A19,Outcomes!$B$3:$I$209,6,FALSE)</f>
        <v>12</v>
      </c>
      <c r="R19">
        <f>VLOOKUP($A19,Outcomes!$B$3:$I$209,7,FALSE)</f>
        <v>8</v>
      </c>
      <c r="S19" t="str">
        <f t="shared" si="3"/>
        <v>VisFave</v>
      </c>
      <c r="T19" t="str">
        <f t="shared" si="4"/>
        <v/>
      </c>
      <c r="U19" t="str">
        <f t="shared" si="0"/>
        <v/>
      </c>
      <c r="V19" t="str">
        <f t="shared" si="5"/>
        <v/>
      </c>
      <c r="W19" t="str">
        <f t="shared" si="6"/>
        <v/>
      </c>
      <c r="X19" s="2" t="str">
        <f t="shared" si="7"/>
        <v/>
      </c>
      <c r="Y19" t="str">
        <f>VLOOKUP($A19,ScionOutput!$A$3:$BL$215,64,FALSE)</f>
        <v xml:space="preserve">824349. LineStatEns is NoPlay as bookie-line outside range. StatOnlyEns is NoPlay as bookie-line outside range. No play due to strategy constraints. </v>
      </c>
    </row>
    <row r="20" spans="1:25" x14ac:dyDescent="0.2">
      <c r="A20">
        <v>824268</v>
      </c>
      <c r="B20" s="3">
        <f>VLOOKUP($A20,ScionOutput!$A$3:$BL$215,3,FALSE)</f>
        <v>46180</v>
      </c>
      <c r="C20">
        <f>VLOOKUP($A20,ScionOutput!$A$3:$BL$215,22,FALSE)</f>
        <v>10</v>
      </c>
      <c r="D20" t="str">
        <f>VLOOKUP($A20,ScionOutput!$A$3:$BL$215,23,FALSE)</f>
        <v>DET</v>
      </c>
      <c r="E20">
        <f>VLOOKUP($A20,ScionOutput!$A$3:$BL$215,6,FALSE)</f>
        <v>24</v>
      </c>
      <c r="F20" t="str">
        <f>VLOOKUP($A20,ScionOutput!$A$3:$BL$215,7,FALSE)</f>
        <v>SEA</v>
      </c>
      <c r="G20">
        <f>VLOOKUP($A20,ScionOutput!$A$3:$BL$215,26,FALSE)</f>
        <v>-111</v>
      </c>
      <c r="H20">
        <f>VLOOKUP($A20,ScionOutput!$A$3:$BL$215,10,FALSE)</f>
        <v>102</v>
      </c>
      <c r="I20" t="str">
        <f>VLOOKUP($A20,ScionOutput!$A$3:$BL$215,58,FALSE)</f>
        <v>VisDog</v>
      </c>
      <c r="J20">
        <f>VLOOKUP($A20,ScionOutput!$A$3:$BL$215,59,FALSE)</f>
        <v>-3.5189999999999999E-2</v>
      </c>
      <c r="K20">
        <f>VLOOKUP($A20,ScionOutput!$A$3:$BL$215,62,FALSE)</f>
        <v>5</v>
      </c>
      <c r="L20">
        <f>VLOOKUP($A20,ScionOutput!$A$3:$BL$215,63,FALSE)</f>
        <v>0.6</v>
      </c>
      <c r="M20" t="b">
        <f t="shared" si="1"/>
        <v>1</v>
      </c>
      <c r="N20">
        <f>VLOOKUP($A20,Outcomes!$B$3:$I$209,8,FALSE)</f>
        <v>9</v>
      </c>
      <c r="O20">
        <f t="shared" si="2"/>
        <v>1</v>
      </c>
      <c r="P20">
        <f>VLOOKUP($A20,Outcomes!$B$3:$I$209,5,FALSE)</f>
        <v>5</v>
      </c>
      <c r="Q20">
        <f>VLOOKUP($A20,Outcomes!$B$3:$I$209,6,FALSE)</f>
        <v>4</v>
      </c>
      <c r="R20">
        <f>VLOOKUP($A20,Outcomes!$B$3:$I$209,7,FALSE)</f>
        <v>-1</v>
      </c>
      <c r="S20" t="str">
        <f t="shared" si="3"/>
        <v>HomFave</v>
      </c>
      <c r="T20">
        <f t="shared" si="4"/>
        <v>0</v>
      </c>
      <c r="U20">
        <f t="shared" si="0"/>
        <v>100</v>
      </c>
      <c r="V20">
        <f t="shared" si="5"/>
        <v>0</v>
      </c>
      <c r="W20">
        <f t="shared" si="6"/>
        <v>-100</v>
      </c>
      <c r="X20" s="2">
        <f t="shared" si="7"/>
        <v>-1</v>
      </c>
      <c r="Y20" t="str">
        <f>VLOOKUP($A20,ScionOutput!$A$3:$BL$215,64,FALSE)</f>
        <v xml:space="preserve">824268. Play determined by LineStatEns and StatOnlyEns agreement. </v>
      </c>
    </row>
    <row r="21" spans="1:25" x14ac:dyDescent="0.2">
      <c r="A21">
        <v>823857</v>
      </c>
      <c r="B21" s="3">
        <f>VLOOKUP($A21,ScionOutput!$A$3:$BL$215,3,FALSE)</f>
        <v>46180</v>
      </c>
      <c r="C21">
        <f>VLOOKUP($A21,ScionOutput!$A$3:$BL$215,22,FALSE)</f>
        <v>11</v>
      </c>
      <c r="D21" t="str">
        <f>VLOOKUP($A21,ScionOutput!$A$3:$BL$215,23,FALSE)</f>
        <v>FLO</v>
      </c>
      <c r="E21">
        <f>VLOOKUP($A21,ScionOutput!$A$3:$BL$215,6,FALSE)</f>
        <v>27</v>
      </c>
      <c r="F21" t="str">
        <f>VLOOKUP($A21,ScionOutput!$A$3:$BL$215,7,FALSE)</f>
        <v>TB</v>
      </c>
      <c r="G21">
        <f>VLOOKUP($A21,ScionOutput!$A$3:$BL$215,26,FALSE)</f>
        <v>-105</v>
      </c>
      <c r="H21">
        <f>VLOOKUP($A21,ScionOutput!$A$3:$BL$215,10,FALSE)</f>
        <v>-103</v>
      </c>
      <c r="I21" t="str">
        <f>VLOOKUP($A21,ScionOutput!$A$3:$BL$215,58,FALSE)</f>
        <v>HomFave</v>
      </c>
      <c r="J21">
        <f>VLOOKUP($A21,ScionOutput!$A$3:$BL$215,59,FALSE)</f>
        <v>7.6400000000000001E-3</v>
      </c>
      <c r="K21">
        <f>VLOOKUP($A21,ScionOutput!$A$3:$BL$215,62,FALSE)</f>
        <v>1</v>
      </c>
      <c r="L21">
        <f>VLOOKUP($A21,ScionOutput!$A$3:$BL$215,63,FALSE)</f>
        <v>0.73</v>
      </c>
      <c r="M21" t="b">
        <f t="shared" si="1"/>
        <v>1</v>
      </c>
      <c r="N21">
        <f>VLOOKUP($A21,Outcomes!$B$3:$I$209,8,FALSE)</f>
        <v>5</v>
      </c>
      <c r="O21">
        <f t="shared" si="2"/>
        <v>1</v>
      </c>
      <c r="P21">
        <f>VLOOKUP($A21,Outcomes!$B$3:$I$209,5,FALSE)</f>
        <v>4</v>
      </c>
      <c r="Q21">
        <f>VLOOKUP($A21,Outcomes!$B$3:$I$209,6,FALSE)</f>
        <v>1</v>
      </c>
      <c r="R21">
        <f>VLOOKUP($A21,Outcomes!$B$3:$I$209,7,FALSE)</f>
        <v>-3</v>
      </c>
      <c r="S21" t="str">
        <f t="shared" si="3"/>
        <v>HomFave</v>
      </c>
      <c r="T21">
        <f t="shared" si="4"/>
        <v>1</v>
      </c>
      <c r="U21">
        <f t="shared" si="0"/>
        <v>105</v>
      </c>
      <c r="V21">
        <f t="shared" si="5"/>
        <v>205</v>
      </c>
      <c r="W21">
        <f t="shared" si="6"/>
        <v>100</v>
      </c>
      <c r="X21" s="2">
        <f t="shared" si="7"/>
        <v>0.95238095238095233</v>
      </c>
      <c r="Y21" t="str">
        <f>VLOOKUP($A21,ScionOutput!$A$3:$BL$215,64,FALSE)</f>
        <v xml:space="preserve">823857. Play determined by LineStatEns and StatOnlyEns agreement. </v>
      </c>
    </row>
    <row r="22" spans="1:25" x14ac:dyDescent="0.2">
      <c r="A22">
        <v>824183</v>
      </c>
      <c r="B22" s="3">
        <f>VLOOKUP($A22,ScionOutput!$A$3:$BL$215,3,FALSE)</f>
        <v>46180</v>
      </c>
      <c r="C22">
        <f>VLOOKUP($A22,ScionOutput!$A$3:$BL$215,22,FALSE)</f>
        <v>12</v>
      </c>
      <c r="D22" t="str">
        <f>VLOOKUP($A22,ScionOutput!$A$3:$BL$215,23,FALSE)</f>
        <v>HOU</v>
      </c>
      <c r="E22">
        <f>VLOOKUP($A22,ScionOutput!$A$3:$BL$215,6,FALSE)</f>
        <v>20</v>
      </c>
      <c r="F22" t="str">
        <f>VLOOKUP($A22,ScionOutput!$A$3:$BL$215,7,FALSE)</f>
        <v>OAK</v>
      </c>
      <c r="G22">
        <f>VLOOKUP($A22,ScionOutput!$A$3:$BL$215,26,FALSE)</f>
        <v>-105</v>
      </c>
      <c r="H22">
        <f>VLOOKUP($A22,ScionOutput!$A$3:$BL$215,10,FALSE)</f>
        <v>-103</v>
      </c>
      <c r="I22" t="str">
        <f>VLOOKUP($A22,ScionOutput!$A$3:$BL$215,58,FALSE)</f>
        <v>VisDog</v>
      </c>
      <c r="J22">
        <f>VLOOKUP($A22,ScionOutput!$A$3:$BL$215,59,FALSE)</f>
        <v>-3.236E-2</v>
      </c>
      <c r="K22">
        <f>VLOOKUP($A22,ScionOutput!$A$3:$BL$215,62,FALSE)</f>
        <v>5</v>
      </c>
      <c r="L22">
        <f>VLOOKUP($A22,ScionOutput!$A$3:$BL$215,63,FALSE)</f>
        <v>0.87</v>
      </c>
      <c r="M22" t="b">
        <f t="shared" si="1"/>
        <v>1</v>
      </c>
      <c r="N22">
        <f>VLOOKUP($A22,Outcomes!$B$3:$I$209,8,FALSE)</f>
        <v>5</v>
      </c>
      <c r="O22">
        <f t="shared" si="2"/>
        <v>-1</v>
      </c>
      <c r="P22">
        <f>VLOOKUP($A22,Outcomes!$B$3:$I$209,5,FALSE)</f>
        <v>0</v>
      </c>
      <c r="Q22">
        <f>VLOOKUP($A22,Outcomes!$B$3:$I$209,6,FALSE)</f>
        <v>5</v>
      </c>
      <c r="R22">
        <f>VLOOKUP($A22,Outcomes!$B$3:$I$209,7,FALSE)</f>
        <v>5</v>
      </c>
      <c r="S22" t="str">
        <f t="shared" si="3"/>
        <v>VisDog</v>
      </c>
      <c r="T22">
        <f t="shared" si="4"/>
        <v>1</v>
      </c>
      <c r="U22">
        <f t="shared" si="0"/>
        <v>103</v>
      </c>
      <c r="V22">
        <f t="shared" si="5"/>
        <v>203</v>
      </c>
      <c r="W22">
        <f t="shared" si="6"/>
        <v>100</v>
      </c>
      <c r="X22" s="2">
        <f t="shared" si="7"/>
        <v>0.970873786407767</v>
      </c>
      <c r="Y22" t="str">
        <f>VLOOKUP($A22,ScionOutput!$A$3:$BL$215,64,FALSE)</f>
        <v xml:space="preserve">824183. Play determined by LineStatEns and StatOnlyEns agreement. </v>
      </c>
    </row>
    <row r="23" spans="1:25" x14ac:dyDescent="0.2">
      <c r="A23">
        <v>823941</v>
      </c>
      <c r="B23" s="3">
        <f>VLOOKUP($A23,ScionOutput!$A$3:$BL$215,3,FALSE)</f>
        <v>46180</v>
      </c>
      <c r="C23">
        <f>VLOOKUP($A23,ScionOutput!$A$3:$BL$215,22,FALSE)</f>
        <v>14</v>
      </c>
      <c r="D23" t="str">
        <f>VLOOKUP($A23,ScionOutput!$A$3:$BL$215,23,FALSE)</f>
        <v>LA</v>
      </c>
      <c r="E23">
        <f>VLOOKUP($A23,ScionOutput!$A$3:$BL$215,6,FALSE)</f>
        <v>4</v>
      </c>
      <c r="F23" t="str">
        <f>VLOOKUP($A23,ScionOutput!$A$3:$BL$215,7,FALSE)</f>
        <v>LAA</v>
      </c>
      <c r="G23">
        <f>VLOOKUP($A23,ScionOutput!$A$3:$BL$215,26,FALSE)</f>
        <v>-206</v>
      </c>
      <c r="H23">
        <f>VLOOKUP($A23,ScionOutput!$A$3:$BL$215,10,FALSE)</f>
        <v>187</v>
      </c>
      <c r="I23" t="str">
        <f>VLOOKUP($A23,ScionOutput!$A$3:$BL$215,58,FALSE)</f>
        <v>No Play</v>
      </c>
      <c r="J23">
        <f>VLOOKUP($A23,ScionOutput!$A$3:$BL$215,59,FALSE)</f>
        <v>0</v>
      </c>
      <c r="K23">
        <f>VLOOKUP($A23,ScionOutput!$A$3:$BL$215,62,FALSE)</f>
        <v>0</v>
      </c>
      <c r="L23">
        <f>VLOOKUP($A23,ScionOutput!$A$3:$BL$215,63,FALSE)</f>
        <v>0</v>
      </c>
      <c r="M23" t="b">
        <f t="shared" si="1"/>
        <v>0</v>
      </c>
      <c r="N23">
        <f>VLOOKUP($A23,Outcomes!$B$3:$I$209,8,FALSE)</f>
        <v>18</v>
      </c>
      <c r="O23">
        <f t="shared" si="2"/>
        <v>-1</v>
      </c>
      <c r="P23">
        <f>VLOOKUP($A23,Outcomes!$B$3:$I$209,5,FALSE)</f>
        <v>5</v>
      </c>
      <c r="Q23">
        <f>VLOOKUP($A23,Outcomes!$B$3:$I$209,6,FALSE)</f>
        <v>13</v>
      </c>
      <c r="R23">
        <f>VLOOKUP($A23,Outcomes!$B$3:$I$209,7,FALSE)</f>
        <v>8</v>
      </c>
      <c r="S23" t="str">
        <f t="shared" si="3"/>
        <v>VisDog</v>
      </c>
      <c r="T23" t="str">
        <f t="shared" si="4"/>
        <v/>
      </c>
      <c r="U23" t="str">
        <f t="shared" si="0"/>
        <v/>
      </c>
      <c r="V23" t="str">
        <f t="shared" si="5"/>
        <v/>
      </c>
      <c r="W23" t="str">
        <f t="shared" si="6"/>
        <v/>
      </c>
      <c r="X23" s="2" t="str">
        <f t="shared" si="7"/>
        <v/>
      </c>
      <c r="Y23" t="str">
        <f>VLOOKUP($A23,ScionOutput!$A$3:$BL$215,64,FALSE)</f>
        <v xml:space="preserve">823941. LineStatEns is NoPlay as bookie-line outside range. StatOnlyEns is NoPlay as bookie-line outside range. No play due to strategy constraints. </v>
      </c>
    </row>
    <row r="24" spans="1:25" x14ac:dyDescent="0.2">
      <c r="A24">
        <v>823696</v>
      </c>
      <c r="B24" s="3">
        <f>VLOOKUP($A24,ScionOutput!$A$3:$BL$215,3,FALSE)</f>
        <v>46180</v>
      </c>
      <c r="C24">
        <f>VLOOKUP($A24,ScionOutput!$A$3:$BL$215,22,FALSE)</f>
        <v>15</v>
      </c>
      <c r="D24" t="str">
        <f>VLOOKUP($A24,ScionOutput!$A$3:$BL$215,23,FALSE)</f>
        <v>MIN</v>
      </c>
      <c r="E24">
        <f>VLOOKUP($A24,ScionOutput!$A$3:$BL$215,6,FALSE)</f>
        <v>13</v>
      </c>
      <c r="F24" t="str">
        <f>VLOOKUP($A24,ScionOutput!$A$3:$BL$215,7,FALSE)</f>
        <v>KC</v>
      </c>
      <c r="G24">
        <f>VLOOKUP($A24,ScionOutput!$A$3:$BL$215,26,FALSE)</f>
        <v>107</v>
      </c>
      <c r="H24">
        <f>VLOOKUP($A24,ScionOutput!$A$3:$BL$215,10,FALSE)</f>
        <v>-116</v>
      </c>
      <c r="I24" t="str">
        <f>VLOOKUP($A24,ScionOutput!$A$3:$BL$215,58,FALSE)</f>
        <v>No Play</v>
      </c>
      <c r="J24">
        <f>VLOOKUP($A24,ScionOutput!$A$3:$BL$215,59,FALSE)</f>
        <v>0</v>
      </c>
      <c r="K24">
        <f>VLOOKUP($A24,ScionOutput!$A$3:$BL$215,62,FALSE)</f>
        <v>0</v>
      </c>
      <c r="L24">
        <f>VLOOKUP($A24,ScionOutput!$A$3:$BL$215,63,FALSE)</f>
        <v>0</v>
      </c>
      <c r="M24" t="b">
        <f t="shared" si="1"/>
        <v>0</v>
      </c>
      <c r="N24">
        <f>VLOOKUP($A24,Outcomes!$B$3:$I$209,8,FALSE)</f>
        <v>11</v>
      </c>
      <c r="O24">
        <f t="shared" si="2"/>
        <v>-1</v>
      </c>
      <c r="P24">
        <f>VLOOKUP($A24,Outcomes!$B$3:$I$209,5,FALSE)</f>
        <v>5</v>
      </c>
      <c r="Q24">
        <f>VLOOKUP($A24,Outcomes!$B$3:$I$209,6,FALSE)</f>
        <v>6</v>
      </c>
      <c r="R24">
        <f>VLOOKUP($A24,Outcomes!$B$3:$I$209,7,FALSE)</f>
        <v>1</v>
      </c>
      <c r="S24" t="str">
        <f t="shared" si="3"/>
        <v>VisFave</v>
      </c>
      <c r="T24" t="str">
        <f t="shared" si="4"/>
        <v/>
      </c>
      <c r="U24" t="str">
        <f t="shared" si="0"/>
        <v/>
      </c>
      <c r="V24" t="str">
        <f t="shared" si="5"/>
        <v/>
      </c>
      <c r="W24" t="str">
        <f t="shared" si="6"/>
        <v/>
      </c>
      <c r="X24" s="2" t="str">
        <f t="shared" si="7"/>
        <v/>
      </c>
      <c r="Y24" t="str">
        <f>VLOOKUP($A24,ScionOutput!$A$3:$BL$215,64,FALSE)</f>
        <v xml:space="preserve">823696. VF plays are disallowed. No play due to strategy constraints. </v>
      </c>
    </row>
    <row r="25" spans="1:25" x14ac:dyDescent="0.2">
      <c r="A25">
        <v>823537</v>
      </c>
      <c r="B25" s="3">
        <f>VLOOKUP($A25,ScionOutput!$A$3:$BL$215,3,FALSE)</f>
        <v>46180</v>
      </c>
      <c r="C25">
        <f>VLOOKUP($A25,ScionOutput!$A$3:$BL$215,22,FALSE)</f>
        <v>19</v>
      </c>
      <c r="D25" t="str">
        <f>VLOOKUP($A25,ScionOutput!$A$3:$BL$215,23,FALSE)</f>
        <v>NYY</v>
      </c>
      <c r="E25">
        <f>VLOOKUP($A25,ScionOutput!$A$3:$BL$215,6,FALSE)</f>
        <v>3</v>
      </c>
      <c r="F25" t="str">
        <f>VLOOKUP($A25,ScionOutput!$A$3:$BL$215,7,FALSE)</f>
        <v>BOS</v>
      </c>
      <c r="G25">
        <f>VLOOKUP($A25,ScionOutput!$A$3:$BL$215,26,FALSE)</f>
        <v>-139</v>
      </c>
      <c r="H25">
        <f>VLOOKUP($A25,ScionOutput!$A$3:$BL$215,10,FALSE)</f>
        <v>128</v>
      </c>
      <c r="I25" t="str">
        <f>VLOOKUP($A25,ScionOutput!$A$3:$BL$215,58,FALSE)</f>
        <v>No Play</v>
      </c>
      <c r="J25">
        <f>VLOOKUP($A25,ScionOutput!$A$3:$BL$215,59,FALSE)</f>
        <v>0</v>
      </c>
      <c r="K25">
        <f>VLOOKUP($A25,ScionOutput!$A$3:$BL$215,62,FALSE)</f>
        <v>0</v>
      </c>
      <c r="L25">
        <f>VLOOKUP($A25,ScionOutput!$A$3:$BL$215,63,FALSE)</f>
        <v>0</v>
      </c>
      <c r="M25" t="b">
        <f t="shared" si="1"/>
        <v>0</v>
      </c>
      <c r="N25">
        <f>VLOOKUP($A25,Outcomes!$B$3:$I$209,8,FALSE)</f>
        <v>7</v>
      </c>
      <c r="O25">
        <f t="shared" si="2"/>
        <v>1</v>
      </c>
      <c r="P25">
        <f>VLOOKUP($A25,Outcomes!$B$3:$I$209,5,FALSE)</f>
        <v>6</v>
      </c>
      <c r="Q25">
        <f>VLOOKUP($A25,Outcomes!$B$3:$I$209,6,FALSE)</f>
        <v>1</v>
      </c>
      <c r="R25">
        <f>VLOOKUP($A25,Outcomes!$B$3:$I$209,7,FALSE)</f>
        <v>-5</v>
      </c>
      <c r="S25" t="str">
        <f t="shared" si="3"/>
        <v>HomFave</v>
      </c>
      <c r="T25" t="str">
        <f t="shared" si="4"/>
        <v/>
      </c>
      <c r="U25" t="str">
        <f t="shared" si="0"/>
        <v/>
      </c>
      <c r="V25" t="str">
        <f t="shared" si="5"/>
        <v/>
      </c>
      <c r="W25" t="str">
        <f t="shared" si="6"/>
        <v/>
      </c>
      <c r="X25" s="2" t="str">
        <f t="shared" si="7"/>
        <v/>
      </c>
      <c r="Y25" t="str">
        <f>VLOOKUP($A25,ScionOutput!$A$3:$BL$215,64,FALSE)</f>
        <v xml:space="preserve">823537. LineStatEns probability points gap does not exceed threshold (no edge found)! StatOnlyEns probability points gap does not exceed threshold (no edge found)! No play due to strategy constraints. </v>
      </c>
    </row>
    <row r="26" spans="1:25" x14ac:dyDescent="0.2">
      <c r="A26">
        <v>823453</v>
      </c>
      <c r="B26" s="3">
        <f>VLOOKUP($A26,ScionOutput!$A$3:$BL$215,3,FALSE)</f>
        <v>46180</v>
      </c>
      <c r="C26">
        <f>VLOOKUP($A26,ScionOutput!$A$3:$BL$215,22,FALSE)</f>
        <v>21</v>
      </c>
      <c r="D26" t="str">
        <f>VLOOKUP($A26,ScionOutput!$A$3:$BL$215,23,FALSE)</f>
        <v>PHI</v>
      </c>
      <c r="E26">
        <f>VLOOKUP($A26,ScionOutput!$A$3:$BL$215,6,FALSE)</f>
        <v>9</v>
      </c>
      <c r="F26" t="str">
        <f>VLOOKUP($A26,ScionOutput!$A$3:$BL$215,7,FALSE)</f>
        <v>CWS</v>
      </c>
      <c r="G26">
        <f>VLOOKUP($A26,ScionOutput!$A$3:$BL$215,26,FALSE)</f>
        <v>-163</v>
      </c>
      <c r="H26">
        <f>VLOOKUP($A26,ScionOutput!$A$3:$BL$215,10,FALSE)</f>
        <v>149</v>
      </c>
      <c r="I26" t="str">
        <f>VLOOKUP($A26,ScionOutput!$A$3:$BL$215,58,FALSE)</f>
        <v>No Play</v>
      </c>
      <c r="J26">
        <f>VLOOKUP($A26,ScionOutput!$A$3:$BL$215,59,FALSE)</f>
        <v>0</v>
      </c>
      <c r="K26">
        <f>VLOOKUP($A26,ScionOutput!$A$3:$BL$215,62,FALSE)</f>
        <v>0</v>
      </c>
      <c r="L26">
        <f>VLOOKUP($A26,ScionOutput!$A$3:$BL$215,63,FALSE)</f>
        <v>0</v>
      </c>
      <c r="M26" t="b">
        <f t="shared" si="1"/>
        <v>0</v>
      </c>
      <c r="N26">
        <f>VLOOKUP($A26,Outcomes!$B$3:$I$209,8,FALSE)</f>
        <v>14</v>
      </c>
      <c r="O26">
        <f t="shared" si="2"/>
        <v>1</v>
      </c>
      <c r="P26">
        <f>VLOOKUP($A26,Outcomes!$B$3:$I$209,5,FALSE)</f>
        <v>9</v>
      </c>
      <c r="Q26">
        <f>VLOOKUP($A26,Outcomes!$B$3:$I$209,6,FALSE)</f>
        <v>5</v>
      </c>
      <c r="R26">
        <f>VLOOKUP($A26,Outcomes!$B$3:$I$209,7,FALSE)</f>
        <v>-4</v>
      </c>
      <c r="S26" t="str">
        <f t="shared" si="3"/>
        <v>HomFave</v>
      </c>
      <c r="T26" t="str">
        <f t="shared" si="4"/>
        <v/>
      </c>
      <c r="U26" t="str">
        <f t="shared" si="0"/>
        <v/>
      </c>
      <c r="V26" t="str">
        <f t="shared" si="5"/>
        <v/>
      </c>
      <c r="W26" t="str">
        <f t="shared" si="6"/>
        <v/>
      </c>
      <c r="X26" s="2" t="str">
        <f t="shared" si="7"/>
        <v/>
      </c>
      <c r="Y26" t="str">
        <f>VLOOKUP($A26,ScionOutput!$A$3:$BL$215,64,FALSE)</f>
        <v xml:space="preserve">823453. LineStatEns is NoPlay as bookie-line outside range. StatOnlyEns is NoPlay as bookie-line outside range. No play due to strategy constraints. </v>
      </c>
    </row>
    <row r="27" spans="1:25" x14ac:dyDescent="0.2">
      <c r="A27">
        <v>823291</v>
      </c>
      <c r="B27" s="3">
        <f>VLOOKUP($A27,ScionOutput!$A$3:$BL$215,3,FALSE)</f>
        <v>46180</v>
      </c>
      <c r="C27">
        <f>VLOOKUP($A27,ScionOutput!$A$3:$BL$215,22,FALSE)</f>
        <v>23</v>
      </c>
      <c r="D27" t="str">
        <f>VLOOKUP($A27,ScionOutput!$A$3:$BL$215,23,FALSE)</f>
        <v>SD</v>
      </c>
      <c r="E27">
        <f>VLOOKUP($A27,ScionOutput!$A$3:$BL$215,6,FALSE)</f>
        <v>18</v>
      </c>
      <c r="F27" t="str">
        <f>VLOOKUP($A27,ScionOutput!$A$3:$BL$215,7,FALSE)</f>
        <v>NYM</v>
      </c>
      <c r="G27">
        <f>VLOOKUP($A27,ScionOutput!$A$3:$BL$215,26,FALSE)</f>
        <v>-103</v>
      </c>
      <c r="H27">
        <f>VLOOKUP($A27,ScionOutput!$A$3:$BL$215,10,FALSE)</f>
        <v>-105</v>
      </c>
      <c r="I27" t="str">
        <f>VLOOKUP($A27,ScionOutput!$A$3:$BL$215,58,FALSE)</f>
        <v>HomDog</v>
      </c>
      <c r="J27">
        <f>VLOOKUP($A27,ScionOutput!$A$3:$BL$215,59,FALSE)</f>
        <v>1.2359999999999999E-2</v>
      </c>
      <c r="K27">
        <f>VLOOKUP($A27,ScionOutput!$A$3:$BL$215,62,FALSE)</f>
        <v>5</v>
      </c>
      <c r="L27">
        <f>VLOOKUP($A27,ScionOutput!$A$3:$BL$215,63,FALSE)</f>
        <v>0.6</v>
      </c>
      <c r="M27" t="b">
        <f t="shared" si="1"/>
        <v>1</v>
      </c>
      <c r="N27">
        <f>VLOOKUP($A27,Outcomes!$B$3:$I$209,8,FALSE)</f>
        <v>10</v>
      </c>
      <c r="O27">
        <f t="shared" si="2"/>
        <v>-1</v>
      </c>
      <c r="P27">
        <f>VLOOKUP($A27,Outcomes!$B$3:$I$209,5,FALSE)</f>
        <v>3</v>
      </c>
      <c r="Q27">
        <f>VLOOKUP($A27,Outcomes!$B$3:$I$209,6,FALSE)</f>
        <v>7</v>
      </c>
      <c r="R27">
        <f>VLOOKUP($A27,Outcomes!$B$3:$I$209,7,FALSE)</f>
        <v>4</v>
      </c>
      <c r="S27" t="str">
        <f t="shared" si="3"/>
        <v>VisFave</v>
      </c>
      <c r="T27">
        <f t="shared" si="4"/>
        <v>0</v>
      </c>
      <c r="U27">
        <f t="shared" si="0"/>
        <v>103</v>
      </c>
      <c r="V27">
        <f t="shared" si="5"/>
        <v>0</v>
      </c>
      <c r="W27">
        <f t="shared" si="6"/>
        <v>-103</v>
      </c>
      <c r="X27" s="2">
        <f t="shared" si="7"/>
        <v>-1</v>
      </c>
      <c r="Y27" t="str">
        <f>VLOOKUP($A27,ScionOutput!$A$3:$BL$215,64,FALSE)</f>
        <v xml:space="preserve">823291. Play determined by LineStatEns and StatOnlyEns agreement. </v>
      </c>
    </row>
    <row r="28" spans="1:25" x14ac:dyDescent="0.2">
      <c r="A28">
        <v>823047</v>
      </c>
      <c r="B28" s="3">
        <f>VLOOKUP($A28,ScionOutput!$A$3:$BL$215,3,FALSE)</f>
        <v>46180</v>
      </c>
      <c r="C28">
        <f>VLOOKUP($A28,ScionOutput!$A$3:$BL$215,22,FALSE)</f>
        <v>26</v>
      </c>
      <c r="D28" t="str">
        <f>VLOOKUP($A28,ScionOutput!$A$3:$BL$215,23,FALSE)</f>
        <v>STL</v>
      </c>
      <c r="E28">
        <f>VLOOKUP($A28,ScionOutput!$A$3:$BL$215,6,FALSE)</f>
        <v>6</v>
      </c>
      <c r="F28" t="str">
        <f>VLOOKUP($A28,ScionOutput!$A$3:$BL$215,7,FALSE)</f>
        <v>CIN</v>
      </c>
      <c r="G28">
        <f>VLOOKUP($A28,ScionOutput!$A$3:$BL$215,26,FALSE)</f>
        <v>-141</v>
      </c>
      <c r="H28">
        <f>VLOOKUP($A28,ScionOutput!$A$3:$BL$215,10,FALSE)</f>
        <v>130</v>
      </c>
      <c r="I28" t="str">
        <f>VLOOKUP($A28,ScionOutput!$A$3:$BL$215,58,FALSE)</f>
        <v>No Play</v>
      </c>
      <c r="J28">
        <f>VLOOKUP($A28,ScionOutput!$A$3:$BL$215,59,FALSE)</f>
        <v>0</v>
      </c>
      <c r="K28">
        <f>VLOOKUP($A28,ScionOutput!$A$3:$BL$215,62,FALSE)</f>
        <v>0</v>
      </c>
      <c r="L28">
        <f>VLOOKUP($A28,ScionOutput!$A$3:$BL$215,63,FALSE)</f>
        <v>0</v>
      </c>
      <c r="M28" t="b">
        <f t="shared" si="1"/>
        <v>0</v>
      </c>
      <c r="N28">
        <f>VLOOKUP($A28,Outcomes!$B$3:$I$209,8,FALSE)</f>
        <v>8</v>
      </c>
      <c r="O28">
        <f t="shared" si="2"/>
        <v>1</v>
      </c>
      <c r="P28">
        <f>VLOOKUP($A28,Outcomes!$B$3:$I$209,5,FALSE)</f>
        <v>5</v>
      </c>
      <c r="Q28">
        <f>VLOOKUP($A28,Outcomes!$B$3:$I$209,6,FALSE)</f>
        <v>3</v>
      </c>
      <c r="R28">
        <f>VLOOKUP($A28,Outcomes!$B$3:$I$209,7,FALSE)</f>
        <v>-2</v>
      </c>
      <c r="S28" t="str">
        <f t="shared" si="3"/>
        <v>HomFave</v>
      </c>
      <c r="T28" t="str">
        <f t="shared" si="4"/>
        <v/>
      </c>
      <c r="U28" t="str">
        <f t="shared" si="0"/>
        <v/>
      </c>
      <c r="V28" t="str">
        <f t="shared" si="5"/>
        <v/>
      </c>
      <c r="W28" t="str">
        <f t="shared" si="6"/>
        <v/>
      </c>
      <c r="X28" s="2" t="str">
        <f t="shared" si="7"/>
        <v/>
      </c>
      <c r="Y28" t="str">
        <f>VLOOKUP($A28,ScionOutput!$A$3:$BL$215,64,FALSE)</f>
        <v xml:space="preserve">823047. LineStatEns probability points gap does not exceed threshold (no edge found)! StatOnlyEns probability points gap does not exceed threshold (no edge found)! No play due to strategy constraints. </v>
      </c>
    </row>
    <row r="29" spans="1:25" x14ac:dyDescent="0.2">
      <c r="A29">
        <v>822890</v>
      </c>
      <c r="B29" s="3">
        <f>VLOOKUP($A29,ScionOutput!$A$3:$BL$215,3,FALSE)</f>
        <v>46180</v>
      </c>
      <c r="C29">
        <f>VLOOKUP($A29,ScionOutput!$A$3:$BL$215,22,FALSE)</f>
        <v>28</v>
      </c>
      <c r="D29" t="str">
        <f>VLOOKUP($A29,ScionOutput!$A$3:$BL$215,23,FALSE)</f>
        <v>TEX</v>
      </c>
      <c r="E29">
        <f>VLOOKUP($A29,ScionOutput!$A$3:$BL$215,6,FALSE)</f>
        <v>7</v>
      </c>
      <c r="F29" t="str">
        <f>VLOOKUP($A29,ScionOutput!$A$3:$BL$215,7,FALSE)</f>
        <v>CLE</v>
      </c>
      <c r="G29">
        <f>VLOOKUP($A29,ScionOutput!$A$3:$BL$215,26,FALSE)</f>
        <v>-137</v>
      </c>
      <c r="H29">
        <f>VLOOKUP($A29,ScionOutput!$A$3:$BL$215,10,FALSE)</f>
        <v>126</v>
      </c>
      <c r="I29" t="str">
        <f>VLOOKUP($A29,ScionOutput!$A$3:$BL$215,58,FALSE)</f>
        <v>No Play</v>
      </c>
      <c r="J29">
        <f>VLOOKUP($A29,ScionOutput!$A$3:$BL$215,59,FALSE)</f>
        <v>0</v>
      </c>
      <c r="K29">
        <f>VLOOKUP($A29,ScionOutput!$A$3:$BL$215,62,FALSE)</f>
        <v>0</v>
      </c>
      <c r="L29">
        <f>VLOOKUP($A29,ScionOutput!$A$3:$BL$215,63,FALSE)</f>
        <v>0</v>
      </c>
      <c r="M29" t="b">
        <f t="shared" si="1"/>
        <v>0</v>
      </c>
      <c r="N29">
        <f>VLOOKUP($A29,Outcomes!$B$3:$I$209,8,FALSE)</f>
        <v>10</v>
      </c>
      <c r="O29">
        <f t="shared" si="2"/>
        <v>1</v>
      </c>
      <c r="P29">
        <f>VLOOKUP($A29,Outcomes!$B$3:$I$209,5,FALSE)</f>
        <v>10</v>
      </c>
      <c r="Q29">
        <f>VLOOKUP($A29,Outcomes!$B$3:$I$209,6,FALSE)</f>
        <v>0</v>
      </c>
      <c r="R29">
        <f>VLOOKUP($A29,Outcomes!$B$3:$I$209,7,FALSE)</f>
        <v>-10</v>
      </c>
      <c r="S29" t="str">
        <f t="shared" si="3"/>
        <v>HomFave</v>
      </c>
      <c r="T29" t="str">
        <f t="shared" si="4"/>
        <v/>
      </c>
      <c r="U29" t="str">
        <f t="shared" si="0"/>
        <v/>
      </c>
      <c r="V29" t="str">
        <f t="shared" si="5"/>
        <v/>
      </c>
      <c r="W29" t="str">
        <f t="shared" si="6"/>
        <v/>
      </c>
      <c r="X29" s="2" t="str">
        <f t="shared" si="7"/>
        <v/>
      </c>
      <c r="Y29" t="str">
        <f>VLOOKUP($A29,ScionOutput!$A$3:$BL$215,64,FALSE)</f>
        <v xml:space="preserve">822890. LineStatEns probability points gap does not exceed threshold (no edge found)! StatOnlyEns probability points gap does not exceed threshold (no edge found)! No play due to strategy constraints. </v>
      </c>
    </row>
    <row r="30" spans="1:25" x14ac:dyDescent="0.2">
      <c r="A30">
        <v>822807</v>
      </c>
      <c r="B30" s="3">
        <f>VLOOKUP($A30,ScionOutput!$A$3:$BL$215,3,FALSE)</f>
        <v>46180</v>
      </c>
      <c r="C30">
        <f>VLOOKUP($A30,ScionOutput!$A$3:$BL$215,22,FALSE)</f>
        <v>29</v>
      </c>
      <c r="D30" t="str">
        <f>VLOOKUP($A30,ScionOutput!$A$3:$BL$215,23,FALSE)</f>
        <v>TOR</v>
      </c>
      <c r="E30">
        <f>VLOOKUP($A30,ScionOutput!$A$3:$BL$215,6,FALSE)</f>
        <v>2</v>
      </c>
      <c r="F30" t="str">
        <f>VLOOKUP($A30,ScionOutput!$A$3:$BL$215,7,FALSE)</f>
        <v>BAL</v>
      </c>
      <c r="G30">
        <f>VLOOKUP($A30,ScionOutput!$A$3:$BL$215,26,FALSE)</f>
        <v>-130</v>
      </c>
      <c r="H30">
        <f>VLOOKUP($A30,ScionOutput!$A$3:$BL$215,10,FALSE)</f>
        <v>120</v>
      </c>
      <c r="I30" t="str">
        <f>VLOOKUP($A30,ScionOutput!$A$3:$BL$215,58,FALSE)</f>
        <v>No Play</v>
      </c>
      <c r="J30">
        <f>VLOOKUP($A30,ScionOutput!$A$3:$BL$215,59,FALSE)</f>
        <v>0</v>
      </c>
      <c r="K30">
        <f>VLOOKUP($A30,ScionOutput!$A$3:$BL$215,62,FALSE)</f>
        <v>0</v>
      </c>
      <c r="L30">
        <f>VLOOKUP($A30,ScionOutput!$A$3:$BL$215,63,FALSE)</f>
        <v>0</v>
      </c>
      <c r="M30" t="b">
        <f t="shared" si="1"/>
        <v>0</v>
      </c>
      <c r="N30">
        <f>VLOOKUP($A30,Outcomes!$B$3:$I$209,8,FALSE)</f>
        <v>10</v>
      </c>
      <c r="O30">
        <f t="shared" si="2"/>
        <v>1</v>
      </c>
      <c r="P30">
        <f>VLOOKUP($A30,Outcomes!$B$3:$I$209,5,FALSE)</f>
        <v>6</v>
      </c>
      <c r="Q30">
        <f>VLOOKUP($A30,Outcomes!$B$3:$I$209,6,FALSE)</f>
        <v>4</v>
      </c>
      <c r="R30">
        <f>VLOOKUP($A30,Outcomes!$B$3:$I$209,7,FALSE)</f>
        <v>-2</v>
      </c>
      <c r="S30" t="str">
        <f t="shared" si="3"/>
        <v>HomFave</v>
      </c>
      <c r="T30" t="str">
        <f t="shared" si="4"/>
        <v/>
      </c>
      <c r="U30" t="str">
        <f t="shared" si="0"/>
        <v/>
      </c>
      <c r="V30" t="str">
        <f t="shared" si="5"/>
        <v/>
      </c>
      <c r="W30" t="str">
        <f t="shared" si="6"/>
        <v/>
      </c>
      <c r="X30" s="2" t="str">
        <f t="shared" si="7"/>
        <v/>
      </c>
      <c r="Y30" t="str">
        <f>VLOOKUP($A30,ScionOutput!$A$3:$BL$215,64,FALSE)</f>
        <v xml:space="preserve">822807. LineStatEns probability points gap does not exceed threshold (no edge found)! StatOnlyEns probability points gap does not exceed threshold (no edge found)! No play due to strategy constraints. </v>
      </c>
    </row>
    <row r="31" spans="1:25" x14ac:dyDescent="0.2">
      <c r="A31">
        <v>824829</v>
      </c>
      <c r="B31" s="3">
        <f>VLOOKUP($A31,ScionOutput!$A$3:$BL$215,3,FALSE)</f>
        <v>46181</v>
      </c>
      <c r="C31">
        <f>VLOOKUP($A31,ScionOutput!$A$3:$BL$215,22,FALSE)</f>
        <v>2</v>
      </c>
      <c r="D31" t="str">
        <f>VLOOKUP($A31,ScionOutput!$A$3:$BL$215,23,FALSE)</f>
        <v>BAL</v>
      </c>
      <c r="E31">
        <f>VLOOKUP($A31,ScionOutput!$A$3:$BL$215,6,FALSE)</f>
        <v>24</v>
      </c>
      <c r="F31" t="str">
        <f>VLOOKUP($A31,ScionOutput!$A$3:$BL$215,7,FALSE)</f>
        <v>SEA</v>
      </c>
      <c r="G31">
        <f>VLOOKUP($A31,ScionOutput!$A$3:$BL$215,26,FALSE)</f>
        <v>111</v>
      </c>
      <c r="H31">
        <f>VLOOKUP($A31,ScionOutput!$A$3:$BL$215,10,FALSE)</f>
        <v>-120</v>
      </c>
      <c r="I31" t="str">
        <f>VLOOKUP($A31,ScionOutput!$A$3:$BL$215,58,FALSE)</f>
        <v>No Play</v>
      </c>
      <c r="J31">
        <f>VLOOKUP($A31,ScionOutput!$A$3:$BL$215,59,FALSE)</f>
        <v>0</v>
      </c>
      <c r="K31">
        <f>VLOOKUP($A31,ScionOutput!$A$3:$BL$215,62,FALSE)</f>
        <v>0</v>
      </c>
      <c r="L31">
        <f>VLOOKUP($A31,ScionOutput!$A$3:$BL$215,63,FALSE)</f>
        <v>0</v>
      </c>
      <c r="M31" t="b">
        <f t="shared" si="1"/>
        <v>0</v>
      </c>
      <c r="N31">
        <f>VLOOKUP($A31,Outcomes!$B$3:$I$209,8,FALSE)</f>
        <v>9</v>
      </c>
      <c r="O31">
        <f t="shared" si="2"/>
        <v>-1</v>
      </c>
      <c r="P31">
        <f>VLOOKUP($A31,Outcomes!$B$3:$I$209,5,FALSE)</f>
        <v>3</v>
      </c>
      <c r="Q31">
        <f>VLOOKUP($A31,Outcomes!$B$3:$I$209,6,FALSE)</f>
        <v>6</v>
      </c>
      <c r="R31">
        <f>VLOOKUP($A31,Outcomes!$B$3:$I$209,7,FALSE)</f>
        <v>3</v>
      </c>
      <c r="S31" t="str">
        <f t="shared" si="3"/>
        <v>VisFave</v>
      </c>
      <c r="T31" t="str">
        <f t="shared" si="4"/>
        <v/>
      </c>
      <c r="U31" t="str">
        <f t="shared" si="0"/>
        <v/>
      </c>
      <c r="V31" t="str">
        <f t="shared" si="5"/>
        <v/>
      </c>
      <c r="W31" t="str">
        <f t="shared" si="6"/>
        <v/>
      </c>
      <c r="X31" s="2" t="str">
        <f t="shared" si="7"/>
        <v/>
      </c>
      <c r="Y31" t="str">
        <f>VLOOKUP($A31,ScionOutput!$A$3:$BL$215,64,FALSE)</f>
        <v xml:space="preserve">824829. VF plays are disallowed. No play due to strategy constraints. </v>
      </c>
    </row>
    <row r="32" spans="1:25" x14ac:dyDescent="0.2">
      <c r="A32">
        <v>824025</v>
      </c>
      <c r="B32" s="3">
        <f>VLOOKUP($A32,ScionOutput!$A$3:$BL$215,3,FALSE)</f>
        <v>46181</v>
      </c>
      <c r="C32">
        <f>VLOOKUP($A32,ScionOutput!$A$3:$BL$215,22,FALSE)</f>
        <v>4</v>
      </c>
      <c r="D32" t="str">
        <f>VLOOKUP($A32,ScionOutput!$A$3:$BL$215,23,FALSE)</f>
        <v>LAA</v>
      </c>
      <c r="E32">
        <f>VLOOKUP($A32,ScionOutput!$A$3:$BL$215,6,FALSE)</f>
        <v>12</v>
      </c>
      <c r="F32" t="str">
        <f>VLOOKUP($A32,ScionOutput!$A$3:$BL$215,7,FALSE)</f>
        <v>HOU</v>
      </c>
      <c r="G32">
        <f>VLOOKUP($A32,ScionOutput!$A$3:$BL$215,26,FALSE)</f>
        <v>112</v>
      </c>
      <c r="H32">
        <f>VLOOKUP($A32,ScionOutput!$A$3:$BL$215,10,FALSE)</f>
        <v>-121</v>
      </c>
      <c r="I32" t="str">
        <f>VLOOKUP($A32,ScionOutput!$A$3:$BL$215,58,FALSE)</f>
        <v>No Play</v>
      </c>
      <c r="J32">
        <f>VLOOKUP($A32,ScionOutput!$A$3:$BL$215,59,FALSE)</f>
        <v>0</v>
      </c>
      <c r="K32">
        <f>VLOOKUP($A32,ScionOutput!$A$3:$BL$215,62,FALSE)</f>
        <v>0</v>
      </c>
      <c r="L32">
        <f>VLOOKUP($A32,ScionOutput!$A$3:$BL$215,63,FALSE)</f>
        <v>0</v>
      </c>
      <c r="M32" t="b">
        <f t="shared" si="1"/>
        <v>0</v>
      </c>
      <c r="N32">
        <f>VLOOKUP($A32,Outcomes!$B$3:$I$209,8,FALSE)</f>
        <v>9</v>
      </c>
      <c r="O32">
        <f t="shared" si="2"/>
        <v>-1</v>
      </c>
      <c r="P32">
        <f>VLOOKUP($A32,Outcomes!$B$3:$I$209,5,FALSE)</f>
        <v>4</v>
      </c>
      <c r="Q32">
        <f>VLOOKUP($A32,Outcomes!$B$3:$I$209,6,FALSE)</f>
        <v>5</v>
      </c>
      <c r="R32">
        <f>VLOOKUP($A32,Outcomes!$B$3:$I$209,7,FALSE)</f>
        <v>1</v>
      </c>
      <c r="S32" t="str">
        <f t="shared" si="3"/>
        <v>VisFave</v>
      </c>
      <c r="T32" t="str">
        <f t="shared" si="4"/>
        <v/>
      </c>
      <c r="U32" t="str">
        <f t="shared" si="0"/>
        <v/>
      </c>
      <c r="V32" t="str">
        <f t="shared" si="5"/>
        <v/>
      </c>
      <c r="W32" t="str">
        <f t="shared" si="6"/>
        <v/>
      </c>
      <c r="X32" s="2" t="str">
        <f t="shared" si="7"/>
        <v/>
      </c>
      <c r="Y32" t="str">
        <f>VLOOKUP($A32,ScionOutput!$A$3:$BL$215,64,FALSE)</f>
        <v xml:space="preserve">824025. VF plays are disallowed. No play due to strategy constraints. </v>
      </c>
    </row>
    <row r="33" spans="1:25" x14ac:dyDescent="0.2">
      <c r="A33">
        <v>824427</v>
      </c>
      <c r="B33" s="3">
        <f>VLOOKUP($A33,ScionOutput!$A$3:$BL$215,3,FALSE)</f>
        <v>46181</v>
      </c>
      <c r="C33">
        <f>VLOOKUP($A33,ScionOutput!$A$3:$BL$215,22,FALSE)</f>
        <v>7</v>
      </c>
      <c r="D33" t="str">
        <f>VLOOKUP($A33,ScionOutput!$A$3:$BL$215,23,FALSE)</f>
        <v>CLE</v>
      </c>
      <c r="E33">
        <f>VLOOKUP($A33,ScionOutput!$A$3:$BL$215,6,FALSE)</f>
        <v>19</v>
      </c>
      <c r="F33" t="str">
        <f>VLOOKUP($A33,ScionOutput!$A$3:$BL$215,7,FALSE)</f>
        <v>NYY</v>
      </c>
      <c r="G33">
        <f>VLOOKUP($A33,ScionOutput!$A$3:$BL$215,26,FALSE)</f>
        <v>-122</v>
      </c>
      <c r="H33">
        <f>VLOOKUP($A33,ScionOutput!$A$3:$BL$215,10,FALSE)</f>
        <v>113</v>
      </c>
      <c r="I33" t="str">
        <f>VLOOKUP($A33,ScionOutput!$A$3:$BL$215,58,FALSE)</f>
        <v>No Play</v>
      </c>
      <c r="J33">
        <f>VLOOKUP($A33,ScionOutput!$A$3:$BL$215,59,FALSE)</f>
        <v>0</v>
      </c>
      <c r="K33">
        <f>VLOOKUP($A33,ScionOutput!$A$3:$BL$215,62,FALSE)</f>
        <v>0</v>
      </c>
      <c r="L33">
        <f>VLOOKUP($A33,ScionOutput!$A$3:$BL$215,63,FALSE)</f>
        <v>0</v>
      </c>
      <c r="M33" t="b">
        <f t="shared" si="1"/>
        <v>0</v>
      </c>
      <c r="N33">
        <f>VLOOKUP($A33,Outcomes!$B$3:$I$209,8,FALSE)</f>
        <v>12</v>
      </c>
      <c r="O33">
        <f t="shared" si="2"/>
        <v>-1</v>
      </c>
      <c r="P33">
        <f>VLOOKUP($A33,Outcomes!$B$3:$I$209,5,FALSE)</f>
        <v>5</v>
      </c>
      <c r="Q33">
        <f>VLOOKUP($A33,Outcomes!$B$3:$I$209,6,FALSE)</f>
        <v>7</v>
      </c>
      <c r="R33">
        <f>VLOOKUP($A33,Outcomes!$B$3:$I$209,7,FALSE)</f>
        <v>2</v>
      </c>
      <c r="S33" t="str">
        <f t="shared" si="3"/>
        <v>VisDog</v>
      </c>
      <c r="T33" t="str">
        <f t="shared" si="4"/>
        <v/>
      </c>
      <c r="U33" t="str">
        <f t="shared" si="0"/>
        <v/>
      </c>
      <c r="V33" t="str">
        <f t="shared" si="5"/>
        <v/>
      </c>
      <c r="W33" t="str">
        <f t="shared" si="6"/>
        <v/>
      </c>
      <c r="X33" s="2" t="str">
        <f t="shared" si="7"/>
        <v/>
      </c>
      <c r="Y33" t="str">
        <f>VLOOKUP($A33,ScionOutput!$A$3:$BL$215,64,FALSE)</f>
        <v xml:space="preserve">824427. LineStatEns probability points gap does not exceed threshold (no edge found)! StatOnlyEns probability points gap does not exceed threshold (no edge found)! No play due to strategy constraints. </v>
      </c>
    </row>
    <row r="34" spans="1:25" x14ac:dyDescent="0.2">
      <c r="A34">
        <v>824998</v>
      </c>
      <c r="B34" s="3">
        <f>VLOOKUP($A34,ScionOutput!$A$3:$BL$215,3,FALSE)</f>
        <v>46181</v>
      </c>
      <c r="C34">
        <f>VLOOKUP($A34,ScionOutput!$A$3:$BL$215,22,FALSE)</f>
        <v>20</v>
      </c>
      <c r="D34" t="str">
        <f>VLOOKUP($A34,ScionOutput!$A$3:$BL$215,23,FALSE)</f>
        <v>OAK</v>
      </c>
      <c r="E34">
        <f>VLOOKUP($A34,ScionOutput!$A$3:$BL$215,6,FALSE)</f>
        <v>17</v>
      </c>
      <c r="F34" t="str">
        <f>VLOOKUP($A34,ScionOutput!$A$3:$BL$215,7,FALSE)</f>
        <v>MLW</v>
      </c>
      <c r="G34">
        <f>VLOOKUP($A34,ScionOutput!$A$3:$BL$215,26,FALSE)</f>
        <v>130</v>
      </c>
      <c r="H34">
        <f>VLOOKUP($A34,ScionOutput!$A$3:$BL$215,10,FALSE)</f>
        <v>-142</v>
      </c>
      <c r="I34" t="str">
        <f>VLOOKUP($A34,ScionOutput!$A$3:$BL$215,58,FALSE)</f>
        <v>No Play</v>
      </c>
      <c r="J34">
        <f>VLOOKUP($A34,ScionOutput!$A$3:$BL$215,59,FALSE)</f>
        <v>0</v>
      </c>
      <c r="K34">
        <f>VLOOKUP($A34,ScionOutput!$A$3:$BL$215,62,FALSE)</f>
        <v>0</v>
      </c>
      <c r="L34">
        <f>VLOOKUP($A34,ScionOutput!$A$3:$BL$215,63,FALSE)</f>
        <v>0</v>
      </c>
      <c r="M34" t="b">
        <f t="shared" si="1"/>
        <v>0</v>
      </c>
      <c r="N34">
        <f>VLOOKUP($A34,Outcomes!$B$3:$I$209,8,FALSE)</f>
        <v>29</v>
      </c>
      <c r="O34">
        <f t="shared" si="2"/>
        <v>-1</v>
      </c>
      <c r="P34">
        <f>VLOOKUP($A34,Outcomes!$B$3:$I$209,5,FALSE)</f>
        <v>14</v>
      </c>
      <c r="Q34">
        <f>VLOOKUP($A34,Outcomes!$B$3:$I$209,6,FALSE)</f>
        <v>15</v>
      </c>
      <c r="R34">
        <f>VLOOKUP($A34,Outcomes!$B$3:$I$209,7,FALSE)</f>
        <v>1</v>
      </c>
      <c r="S34" t="str">
        <f t="shared" si="3"/>
        <v>VisFave</v>
      </c>
      <c r="T34" t="str">
        <f t="shared" si="4"/>
        <v/>
      </c>
      <c r="U34" t="str">
        <f t="shared" si="0"/>
        <v/>
      </c>
      <c r="V34" t="str">
        <f t="shared" si="5"/>
        <v/>
      </c>
      <c r="W34" t="str">
        <f t="shared" si="6"/>
        <v/>
      </c>
      <c r="X34" s="2" t="str">
        <f t="shared" si="7"/>
        <v/>
      </c>
      <c r="Y34" t="str">
        <f>VLOOKUP($A34,ScionOutput!$A$3:$BL$215,64,FALSE)</f>
        <v xml:space="preserve">824998. VF plays are disallowed. No play due to strategy constraints. </v>
      </c>
    </row>
    <row r="35" spans="1:25" x14ac:dyDescent="0.2">
      <c r="A35">
        <v>823289</v>
      </c>
      <c r="B35" s="3">
        <f>VLOOKUP($A35,ScionOutput!$A$3:$BL$215,3,FALSE)</f>
        <v>46181</v>
      </c>
      <c r="C35">
        <f>VLOOKUP($A35,ScionOutput!$A$3:$BL$215,22,FALSE)</f>
        <v>23</v>
      </c>
      <c r="D35" t="str">
        <f>VLOOKUP($A35,ScionOutput!$A$3:$BL$215,23,FALSE)</f>
        <v>SD</v>
      </c>
      <c r="E35">
        <f>VLOOKUP($A35,ScionOutput!$A$3:$BL$215,6,FALSE)</f>
        <v>6</v>
      </c>
      <c r="F35" t="str">
        <f>VLOOKUP($A35,ScionOutput!$A$3:$BL$215,7,FALSE)</f>
        <v>CIN</v>
      </c>
      <c r="G35">
        <f>VLOOKUP($A35,ScionOutput!$A$3:$BL$215,26,FALSE)</f>
        <v>-128</v>
      </c>
      <c r="H35">
        <f>VLOOKUP($A35,ScionOutput!$A$3:$BL$215,10,FALSE)</f>
        <v>118</v>
      </c>
      <c r="I35" t="str">
        <f>VLOOKUP($A35,ScionOutput!$A$3:$BL$215,58,FALSE)</f>
        <v>No Play</v>
      </c>
      <c r="J35">
        <f>VLOOKUP($A35,ScionOutput!$A$3:$BL$215,59,FALSE)</f>
        <v>0</v>
      </c>
      <c r="K35">
        <f>VLOOKUP($A35,ScionOutput!$A$3:$BL$215,62,FALSE)</f>
        <v>0</v>
      </c>
      <c r="L35">
        <f>VLOOKUP($A35,ScionOutput!$A$3:$BL$215,63,FALSE)</f>
        <v>0</v>
      </c>
      <c r="M35" t="b">
        <f t="shared" si="1"/>
        <v>0</v>
      </c>
      <c r="N35">
        <f>VLOOKUP($A35,Outcomes!$B$3:$I$209,8,FALSE)</f>
        <v>8</v>
      </c>
      <c r="O35">
        <f t="shared" si="2"/>
        <v>1</v>
      </c>
      <c r="P35">
        <f>VLOOKUP($A35,Outcomes!$B$3:$I$209,5,FALSE)</f>
        <v>6</v>
      </c>
      <c r="Q35">
        <f>VLOOKUP($A35,Outcomes!$B$3:$I$209,6,FALSE)</f>
        <v>2</v>
      </c>
      <c r="R35">
        <f>VLOOKUP($A35,Outcomes!$B$3:$I$209,7,FALSE)</f>
        <v>-4</v>
      </c>
      <c r="S35" t="str">
        <f t="shared" si="3"/>
        <v>HomFave</v>
      </c>
      <c r="T35" t="str">
        <f t="shared" si="4"/>
        <v/>
      </c>
      <c r="U35" t="str">
        <f t="shared" si="0"/>
        <v/>
      </c>
      <c r="V35" t="str">
        <f t="shared" si="5"/>
        <v/>
      </c>
      <c r="W35" t="str">
        <f t="shared" si="6"/>
        <v/>
      </c>
      <c r="X35" s="2" t="str">
        <f t="shared" si="7"/>
        <v/>
      </c>
      <c r="Y35" t="str">
        <f>VLOOKUP($A35,ScionOutput!$A$3:$BL$215,64,FALSE)</f>
        <v xml:space="preserve">823289. LineStatEns probability points gap does not exceed threshold (no edge found)! StatOnlyEns probability points gap does not exceed threshold (no edge found)! No play due to strategy constraints. </v>
      </c>
    </row>
    <row r="36" spans="1:25" x14ac:dyDescent="0.2">
      <c r="A36">
        <v>823218</v>
      </c>
      <c r="B36" s="3">
        <f>VLOOKUP($A36,ScionOutput!$A$3:$BL$215,3,FALSE)</f>
        <v>46181</v>
      </c>
      <c r="C36">
        <f>VLOOKUP($A36,ScionOutput!$A$3:$BL$215,22,FALSE)</f>
        <v>25</v>
      </c>
      <c r="D36" t="str">
        <f>VLOOKUP($A36,ScionOutput!$A$3:$BL$215,23,FALSE)</f>
        <v>SF</v>
      </c>
      <c r="E36">
        <f>VLOOKUP($A36,ScionOutput!$A$3:$BL$215,6,FALSE)</f>
        <v>16</v>
      </c>
      <c r="F36" t="str">
        <f>VLOOKUP($A36,ScionOutput!$A$3:$BL$215,7,FALSE)</f>
        <v>WAS</v>
      </c>
      <c r="G36">
        <f>VLOOKUP($A36,ScionOutput!$A$3:$BL$215,26,FALSE)</f>
        <v>-145</v>
      </c>
      <c r="H36">
        <f>VLOOKUP($A36,ScionOutput!$A$3:$BL$215,10,FALSE)</f>
        <v>133</v>
      </c>
      <c r="I36" t="str">
        <f>VLOOKUP($A36,ScionOutput!$A$3:$BL$215,58,FALSE)</f>
        <v>No Play</v>
      </c>
      <c r="J36">
        <f>VLOOKUP($A36,ScionOutput!$A$3:$BL$215,59,FALSE)</f>
        <v>0</v>
      </c>
      <c r="K36">
        <f>VLOOKUP($A36,ScionOutput!$A$3:$BL$215,62,FALSE)</f>
        <v>0</v>
      </c>
      <c r="L36">
        <f>VLOOKUP($A36,ScionOutput!$A$3:$BL$215,63,FALSE)</f>
        <v>0</v>
      </c>
      <c r="M36" t="b">
        <f t="shared" si="1"/>
        <v>0</v>
      </c>
      <c r="N36">
        <f>VLOOKUP($A36,Outcomes!$B$3:$I$209,8,FALSE)</f>
        <v>7</v>
      </c>
      <c r="O36">
        <f t="shared" si="2"/>
        <v>-1</v>
      </c>
      <c r="P36">
        <f>VLOOKUP($A36,Outcomes!$B$3:$I$209,5,FALSE)</f>
        <v>3</v>
      </c>
      <c r="Q36">
        <f>VLOOKUP($A36,Outcomes!$B$3:$I$209,6,FALSE)</f>
        <v>4</v>
      </c>
      <c r="R36">
        <f>VLOOKUP($A36,Outcomes!$B$3:$I$209,7,FALSE)</f>
        <v>1</v>
      </c>
      <c r="S36" t="str">
        <f t="shared" si="3"/>
        <v>VisDog</v>
      </c>
      <c r="T36" t="str">
        <f t="shared" si="4"/>
        <v/>
      </c>
      <c r="U36" t="str">
        <f t="shared" si="0"/>
        <v/>
      </c>
      <c r="V36" t="str">
        <f t="shared" si="5"/>
        <v/>
      </c>
      <c r="W36" t="str">
        <f t="shared" si="6"/>
        <v/>
      </c>
      <c r="X36" s="2" t="str">
        <f t="shared" si="7"/>
        <v/>
      </c>
      <c r="Y36" t="str">
        <f>VLOOKUP($A36,ScionOutput!$A$3:$BL$215,64,FALSE)</f>
        <v xml:space="preserve">823218. LineStatEns probability points gap does not exceed threshold (no edge found)! StatOnlyEns probability points gap does not exceed threshold (no edge found)! No play due to strategy constraints. </v>
      </c>
    </row>
    <row r="37" spans="1:25" x14ac:dyDescent="0.2">
      <c r="A37">
        <v>822972</v>
      </c>
      <c r="B37" s="3">
        <f>VLOOKUP($A37,ScionOutput!$A$3:$BL$215,3,FALSE)</f>
        <v>46181</v>
      </c>
      <c r="C37">
        <f>VLOOKUP($A37,ScionOutput!$A$3:$BL$215,22,FALSE)</f>
        <v>27</v>
      </c>
      <c r="D37" t="str">
        <f>VLOOKUP($A37,ScionOutput!$A$3:$BL$215,23,FALSE)</f>
        <v>TB</v>
      </c>
      <c r="E37">
        <f>VLOOKUP($A37,ScionOutput!$A$3:$BL$215,6,FALSE)</f>
        <v>3</v>
      </c>
      <c r="F37" t="str">
        <f>VLOOKUP($A37,ScionOutput!$A$3:$BL$215,7,FALSE)</f>
        <v>BOS</v>
      </c>
      <c r="G37">
        <f>VLOOKUP($A37,ScionOutput!$A$3:$BL$215,26,FALSE)</f>
        <v>-102</v>
      </c>
      <c r="H37">
        <f>VLOOKUP($A37,ScionOutput!$A$3:$BL$215,10,FALSE)</f>
        <v>-106</v>
      </c>
      <c r="I37" t="str">
        <f>VLOOKUP($A37,ScionOutput!$A$3:$BL$215,58,FALSE)</f>
        <v>No Play</v>
      </c>
      <c r="J37">
        <f>VLOOKUP($A37,ScionOutput!$A$3:$BL$215,59,FALSE)</f>
        <v>0</v>
      </c>
      <c r="K37">
        <f>VLOOKUP($A37,ScionOutput!$A$3:$BL$215,62,FALSE)</f>
        <v>0</v>
      </c>
      <c r="L37">
        <f>VLOOKUP($A37,ScionOutput!$A$3:$BL$215,63,FALSE)</f>
        <v>0</v>
      </c>
      <c r="M37" t="b">
        <f t="shared" si="1"/>
        <v>0</v>
      </c>
      <c r="N37">
        <f>VLOOKUP($A37,Outcomes!$B$3:$I$209,8,FALSE)</f>
        <v>4</v>
      </c>
      <c r="O37">
        <f t="shared" si="2"/>
        <v>1</v>
      </c>
      <c r="P37">
        <f>VLOOKUP($A37,Outcomes!$B$3:$I$209,5,FALSE)</f>
        <v>3</v>
      </c>
      <c r="Q37">
        <f>VLOOKUP($A37,Outcomes!$B$3:$I$209,6,FALSE)</f>
        <v>1</v>
      </c>
      <c r="R37">
        <f>VLOOKUP($A37,Outcomes!$B$3:$I$209,7,FALSE)</f>
        <v>-2</v>
      </c>
      <c r="S37" t="str">
        <f t="shared" si="3"/>
        <v>HomDog</v>
      </c>
      <c r="T37" t="str">
        <f t="shared" si="4"/>
        <v/>
      </c>
      <c r="U37" t="str">
        <f t="shared" si="0"/>
        <v/>
      </c>
      <c r="V37" t="str">
        <f t="shared" si="5"/>
        <v/>
      </c>
      <c r="W37" t="str">
        <f t="shared" si="6"/>
        <v/>
      </c>
      <c r="X37" s="2" t="str">
        <f t="shared" si="7"/>
        <v/>
      </c>
      <c r="Y37" t="str">
        <f>VLOOKUP($A37,ScionOutput!$A$3:$BL$215,64,FALSE)</f>
        <v xml:space="preserve">822972. VF plays are disallowed. No play due to strategy constraints. </v>
      </c>
    </row>
    <row r="38" spans="1:25" x14ac:dyDescent="0.2">
      <c r="A38">
        <v>822806</v>
      </c>
      <c r="B38" s="3">
        <f>VLOOKUP($A38,ScionOutput!$A$3:$BL$215,3,FALSE)</f>
        <v>46181</v>
      </c>
      <c r="C38">
        <f>VLOOKUP($A38,ScionOutput!$A$3:$BL$215,22,FALSE)</f>
        <v>29</v>
      </c>
      <c r="D38" t="str">
        <f>VLOOKUP($A38,ScionOutput!$A$3:$BL$215,23,FALSE)</f>
        <v>TOR</v>
      </c>
      <c r="E38">
        <f>VLOOKUP($A38,ScionOutput!$A$3:$BL$215,6,FALSE)</f>
        <v>21</v>
      </c>
      <c r="F38" t="str">
        <f>VLOOKUP($A38,ScionOutput!$A$3:$BL$215,7,FALSE)</f>
        <v>PHI</v>
      </c>
      <c r="G38">
        <f>VLOOKUP($A38,ScionOutput!$A$3:$BL$215,26,FALSE)</f>
        <v>154</v>
      </c>
      <c r="H38">
        <f>VLOOKUP($A38,ScionOutput!$A$3:$BL$215,10,FALSE)</f>
        <v>-168</v>
      </c>
      <c r="I38" t="str">
        <f>VLOOKUP($A38,ScionOutput!$A$3:$BL$215,58,FALSE)</f>
        <v>No Play</v>
      </c>
      <c r="J38">
        <f>VLOOKUP($A38,ScionOutput!$A$3:$BL$215,59,FALSE)</f>
        <v>0</v>
      </c>
      <c r="K38">
        <f>VLOOKUP($A38,ScionOutput!$A$3:$BL$215,62,FALSE)</f>
        <v>0</v>
      </c>
      <c r="L38">
        <f>VLOOKUP($A38,ScionOutput!$A$3:$BL$215,63,FALSE)</f>
        <v>0</v>
      </c>
      <c r="M38" t="b">
        <f t="shared" si="1"/>
        <v>0</v>
      </c>
      <c r="N38">
        <f>VLOOKUP($A38,Outcomes!$B$3:$I$209,8,FALSE)</f>
        <v>7</v>
      </c>
      <c r="O38">
        <f t="shared" si="2"/>
        <v>-1</v>
      </c>
      <c r="P38">
        <f>VLOOKUP($A38,Outcomes!$B$3:$I$209,5,FALSE)</f>
        <v>2</v>
      </c>
      <c r="Q38">
        <f>VLOOKUP($A38,Outcomes!$B$3:$I$209,6,FALSE)</f>
        <v>5</v>
      </c>
      <c r="R38">
        <f>VLOOKUP($A38,Outcomes!$B$3:$I$209,7,FALSE)</f>
        <v>3</v>
      </c>
      <c r="S38" t="str">
        <f t="shared" si="3"/>
        <v>VisFave</v>
      </c>
      <c r="T38" t="str">
        <f t="shared" si="4"/>
        <v/>
      </c>
      <c r="U38" t="str">
        <f t="shared" si="0"/>
        <v/>
      </c>
      <c r="V38" t="str">
        <f t="shared" si="5"/>
        <v/>
      </c>
      <c r="W38" t="str">
        <f t="shared" si="6"/>
        <v/>
      </c>
      <c r="X38" s="2" t="str">
        <f t="shared" si="7"/>
        <v/>
      </c>
      <c r="Y38" t="str">
        <f>VLOOKUP($A38,ScionOutput!$A$3:$BL$215,64,FALSE)</f>
        <v xml:space="preserve">822806. LineStatEns is NoPlay as bookie-line outside range. StatOnlyEns is NoPlay as bookie-line outside range. No play due to strategy constraints. </v>
      </c>
    </row>
    <row r="39" spans="1:25" x14ac:dyDescent="0.2">
      <c r="A39">
        <v>824830</v>
      </c>
      <c r="B39" s="3">
        <f>VLOOKUP($A39,ScionOutput!$A$3:$BL$215,3,FALSE)</f>
        <v>46182</v>
      </c>
      <c r="C39">
        <f>VLOOKUP($A39,ScionOutput!$A$3:$BL$215,22,FALSE)</f>
        <v>2</v>
      </c>
      <c r="D39" t="str">
        <f>VLOOKUP($A39,ScionOutput!$A$3:$BL$215,23,FALSE)</f>
        <v>BAL</v>
      </c>
      <c r="E39">
        <f>VLOOKUP($A39,ScionOutput!$A$3:$BL$215,6,FALSE)</f>
        <v>24</v>
      </c>
      <c r="F39" t="str">
        <f>VLOOKUP($A39,ScionOutput!$A$3:$BL$215,7,FALSE)</f>
        <v>SEA</v>
      </c>
      <c r="G39">
        <f>VLOOKUP($A39,ScionOutput!$A$3:$BL$215,26,FALSE)</f>
        <v>103</v>
      </c>
      <c r="H39">
        <f>VLOOKUP($A39,ScionOutput!$A$3:$BL$215,10,FALSE)</f>
        <v>-112</v>
      </c>
      <c r="I39" t="str">
        <f>VLOOKUP($A39,ScionOutput!$A$3:$BL$215,58,FALSE)</f>
        <v>No Play</v>
      </c>
      <c r="J39">
        <f>VLOOKUP($A39,ScionOutput!$A$3:$BL$215,59,FALSE)</f>
        <v>0</v>
      </c>
      <c r="K39">
        <f>VLOOKUP($A39,ScionOutput!$A$3:$BL$215,62,FALSE)</f>
        <v>0</v>
      </c>
      <c r="L39">
        <f>VLOOKUP($A39,ScionOutput!$A$3:$BL$215,63,FALSE)</f>
        <v>0</v>
      </c>
      <c r="M39" t="b">
        <f t="shared" si="1"/>
        <v>0</v>
      </c>
      <c r="N39">
        <f>VLOOKUP($A39,Outcomes!$B$3:$I$209,8,FALSE)</f>
        <v>11</v>
      </c>
      <c r="O39">
        <f t="shared" si="2"/>
        <v>-1</v>
      </c>
      <c r="P39">
        <f>VLOOKUP($A39,Outcomes!$B$3:$I$209,5,FALSE)</f>
        <v>5</v>
      </c>
      <c r="Q39">
        <f>VLOOKUP($A39,Outcomes!$B$3:$I$209,6,FALSE)</f>
        <v>6</v>
      </c>
      <c r="R39">
        <f>VLOOKUP($A39,Outcomes!$B$3:$I$209,7,FALSE)</f>
        <v>1</v>
      </c>
      <c r="S39" t="str">
        <f t="shared" si="3"/>
        <v>VisFave</v>
      </c>
      <c r="T39" t="str">
        <f t="shared" si="4"/>
        <v/>
      </c>
      <c r="U39" t="str">
        <f t="shared" si="0"/>
        <v/>
      </c>
      <c r="V39" t="str">
        <f t="shared" si="5"/>
        <v/>
      </c>
      <c r="W39" t="str">
        <f t="shared" si="6"/>
        <v/>
      </c>
      <c r="X39" s="2" t="str">
        <f t="shared" si="7"/>
        <v/>
      </c>
      <c r="Y39" t="str">
        <f>VLOOKUP($A39,ScionOutput!$A$3:$BL$215,64,FALSE)</f>
        <v xml:space="preserve">824830. VF plays are disallowed. No play due to strategy constraints. </v>
      </c>
    </row>
    <row r="40" spans="1:25" x14ac:dyDescent="0.2">
      <c r="A40">
        <v>824023</v>
      </c>
      <c r="B40" s="3">
        <f>VLOOKUP($A40,ScionOutput!$A$3:$BL$215,3,FALSE)</f>
        <v>46182</v>
      </c>
      <c r="C40">
        <f>VLOOKUP($A40,ScionOutput!$A$3:$BL$215,22,FALSE)</f>
        <v>4</v>
      </c>
      <c r="D40" t="str">
        <f>VLOOKUP($A40,ScionOutput!$A$3:$BL$215,23,FALSE)</f>
        <v>LAA</v>
      </c>
      <c r="E40">
        <f>VLOOKUP($A40,ScionOutput!$A$3:$BL$215,6,FALSE)</f>
        <v>12</v>
      </c>
      <c r="F40" t="str">
        <f>VLOOKUP($A40,ScionOutput!$A$3:$BL$215,7,FALSE)</f>
        <v>HOU</v>
      </c>
      <c r="G40">
        <f>VLOOKUP($A40,ScionOutput!$A$3:$BL$215,26,FALSE)</f>
        <v>111</v>
      </c>
      <c r="H40">
        <f>VLOOKUP($A40,ScionOutput!$A$3:$BL$215,10,FALSE)</f>
        <v>-120</v>
      </c>
      <c r="I40" t="str">
        <f>VLOOKUP($A40,ScionOutput!$A$3:$BL$215,58,FALSE)</f>
        <v>No Play</v>
      </c>
      <c r="J40">
        <f>VLOOKUP($A40,ScionOutput!$A$3:$BL$215,59,FALSE)</f>
        <v>0</v>
      </c>
      <c r="K40">
        <f>VLOOKUP($A40,ScionOutput!$A$3:$BL$215,62,FALSE)</f>
        <v>0</v>
      </c>
      <c r="L40">
        <f>VLOOKUP($A40,ScionOutput!$A$3:$BL$215,63,FALSE)</f>
        <v>0</v>
      </c>
      <c r="M40" t="b">
        <f t="shared" si="1"/>
        <v>0</v>
      </c>
      <c r="N40">
        <f>VLOOKUP($A40,Outcomes!$B$3:$I$209,8,FALSE)</f>
        <v>11</v>
      </c>
      <c r="O40">
        <f t="shared" si="2"/>
        <v>1</v>
      </c>
      <c r="P40">
        <f>VLOOKUP($A40,Outcomes!$B$3:$I$209,5,FALSE)</f>
        <v>10</v>
      </c>
      <c r="Q40">
        <f>VLOOKUP($A40,Outcomes!$B$3:$I$209,6,FALSE)</f>
        <v>1</v>
      </c>
      <c r="R40">
        <f>VLOOKUP($A40,Outcomes!$B$3:$I$209,7,FALSE)</f>
        <v>-9</v>
      </c>
      <c r="S40" t="str">
        <f t="shared" si="3"/>
        <v>HomDog</v>
      </c>
      <c r="T40" t="str">
        <f t="shared" si="4"/>
        <v/>
      </c>
      <c r="U40" t="str">
        <f t="shared" si="0"/>
        <v/>
      </c>
      <c r="V40" t="str">
        <f t="shared" si="5"/>
        <v/>
      </c>
      <c r="W40" t="str">
        <f t="shared" si="6"/>
        <v/>
      </c>
      <c r="X40" s="2" t="str">
        <f t="shared" si="7"/>
        <v/>
      </c>
      <c r="Y40" t="str">
        <f>VLOOKUP($A40,ScionOutput!$A$3:$BL$215,64,FALSE)</f>
        <v xml:space="preserve">824023. VF plays are disallowed. No play due to strategy constraints. </v>
      </c>
    </row>
    <row r="41" spans="1:25" x14ac:dyDescent="0.2">
      <c r="A41">
        <v>824429</v>
      </c>
      <c r="B41" s="3">
        <f>VLOOKUP($A41,ScionOutput!$A$3:$BL$215,3,FALSE)</f>
        <v>46182</v>
      </c>
      <c r="C41">
        <f>VLOOKUP($A41,ScionOutput!$A$3:$BL$215,22,FALSE)</f>
        <v>7</v>
      </c>
      <c r="D41" t="str">
        <f>VLOOKUP($A41,ScionOutput!$A$3:$BL$215,23,FALSE)</f>
        <v>CLE</v>
      </c>
      <c r="E41">
        <f>VLOOKUP($A41,ScionOutput!$A$3:$BL$215,6,FALSE)</f>
        <v>19</v>
      </c>
      <c r="F41" t="str">
        <f>VLOOKUP($A41,ScionOutput!$A$3:$BL$215,7,FALSE)</f>
        <v>NYY</v>
      </c>
      <c r="G41">
        <f>VLOOKUP($A41,ScionOutput!$A$3:$BL$215,26,FALSE)</f>
        <v>107</v>
      </c>
      <c r="H41">
        <f>VLOOKUP($A41,ScionOutput!$A$3:$BL$215,10,FALSE)</f>
        <v>-116</v>
      </c>
      <c r="I41" t="str">
        <f>VLOOKUP($A41,ScionOutput!$A$3:$BL$215,58,FALSE)</f>
        <v>No Play</v>
      </c>
      <c r="J41">
        <f>VLOOKUP($A41,ScionOutput!$A$3:$BL$215,59,FALSE)</f>
        <v>0</v>
      </c>
      <c r="K41">
        <f>VLOOKUP($A41,ScionOutput!$A$3:$BL$215,62,FALSE)</f>
        <v>0</v>
      </c>
      <c r="L41">
        <f>VLOOKUP($A41,ScionOutput!$A$3:$BL$215,63,FALSE)</f>
        <v>0</v>
      </c>
      <c r="M41" t="b">
        <f t="shared" si="1"/>
        <v>0</v>
      </c>
      <c r="N41">
        <f>VLOOKUP($A41,Outcomes!$B$3:$I$209,8,FALSE)</f>
        <v>5</v>
      </c>
      <c r="O41">
        <f t="shared" si="2"/>
        <v>-1</v>
      </c>
      <c r="P41">
        <f>VLOOKUP($A41,Outcomes!$B$3:$I$209,5,FALSE)</f>
        <v>2</v>
      </c>
      <c r="Q41">
        <f>VLOOKUP($A41,Outcomes!$B$3:$I$209,6,FALSE)</f>
        <v>3</v>
      </c>
      <c r="R41">
        <f>VLOOKUP($A41,Outcomes!$B$3:$I$209,7,FALSE)</f>
        <v>1</v>
      </c>
      <c r="S41" t="str">
        <f t="shared" si="3"/>
        <v>VisFave</v>
      </c>
      <c r="T41" t="str">
        <f t="shared" si="4"/>
        <v/>
      </c>
      <c r="U41" t="str">
        <f t="shared" si="0"/>
        <v/>
      </c>
      <c r="V41" t="str">
        <f t="shared" si="5"/>
        <v/>
      </c>
      <c r="W41" t="str">
        <f t="shared" si="6"/>
        <v/>
      </c>
      <c r="X41" s="2" t="str">
        <f t="shared" si="7"/>
        <v/>
      </c>
      <c r="Y41" t="str">
        <f>VLOOKUP($A41,ScionOutput!$A$3:$BL$215,64,FALSE)</f>
        <v xml:space="preserve">824429. VF plays are disallowed. No play due to strategy constraints. </v>
      </c>
    </row>
    <row r="42" spans="1:25" x14ac:dyDescent="0.2">
      <c r="A42">
        <v>824347</v>
      </c>
      <c r="B42" s="3">
        <f>VLOOKUP($A42,ScionOutput!$A$3:$BL$215,3,FALSE)</f>
        <v>46182</v>
      </c>
      <c r="C42">
        <f>VLOOKUP($A42,ScionOutput!$A$3:$BL$215,22,FALSE)</f>
        <v>8</v>
      </c>
      <c r="D42" t="str">
        <f>VLOOKUP($A42,ScionOutput!$A$3:$BL$215,23,FALSE)</f>
        <v>COL</v>
      </c>
      <c r="E42">
        <f>VLOOKUP($A42,ScionOutput!$A$3:$BL$215,6,FALSE)</f>
        <v>5</v>
      </c>
      <c r="F42" t="str">
        <f>VLOOKUP($A42,ScionOutput!$A$3:$BL$215,7,FALSE)</f>
        <v>CHC</v>
      </c>
      <c r="G42">
        <f>VLOOKUP($A42,ScionOutput!$A$3:$BL$215,26,FALSE)</f>
        <v>141</v>
      </c>
      <c r="H42">
        <f>VLOOKUP($A42,ScionOutput!$A$3:$BL$215,10,FALSE)</f>
        <v>-153</v>
      </c>
      <c r="I42" t="str">
        <f>VLOOKUP($A42,ScionOutput!$A$3:$BL$215,58,FALSE)</f>
        <v>No Play</v>
      </c>
      <c r="J42">
        <f>VLOOKUP($A42,ScionOutput!$A$3:$BL$215,59,FALSE)</f>
        <v>0</v>
      </c>
      <c r="K42">
        <f>VLOOKUP($A42,ScionOutput!$A$3:$BL$215,62,FALSE)</f>
        <v>0</v>
      </c>
      <c r="L42">
        <f>VLOOKUP($A42,ScionOutput!$A$3:$BL$215,63,FALSE)</f>
        <v>0</v>
      </c>
      <c r="M42" t="b">
        <f t="shared" si="1"/>
        <v>0</v>
      </c>
      <c r="N42">
        <f>VLOOKUP($A42,Outcomes!$B$3:$I$209,8,FALSE)</f>
        <v>10</v>
      </c>
      <c r="O42">
        <f t="shared" si="2"/>
        <v>1</v>
      </c>
      <c r="P42">
        <f>VLOOKUP($A42,Outcomes!$B$3:$I$209,5,FALSE)</f>
        <v>7</v>
      </c>
      <c r="Q42">
        <f>VLOOKUP($A42,Outcomes!$B$3:$I$209,6,FALSE)</f>
        <v>3</v>
      </c>
      <c r="R42">
        <f>VLOOKUP($A42,Outcomes!$B$3:$I$209,7,FALSE)</f>
        <v>-4</v>
      </c>
      <c r="S42" t="str">
        <f t="shared" si="3"/>
        <v>HomDog</v>
      </c>
      <c r="T42" t="str">
        <f t="shared" si="4"/>
        <v/>
      </c>
      <c r="U42" t="str">
        <f t="shared" si="0"/>
        <v/>
      </c>
      <c r="V42" t="str">
        <f t="shared" si="5"/>
        <v/>
      </c>
      <c r="W42" t="str">
        <f t="shared" si="6"/>
        <v/>
      </c>
      <c r="X42" s="2" t="str">
        <f t="shared" si="7"/>
        <v/>
      </c>
      <c r="Y42" t="str">
        <f>VLOOKUP($A42,ScionOutput!$A$3:$BL$215,64,FALSE)</f>
        <v xml:space="preserve">824347. VF plays are disallowed. No play due to strategy constraints. </v>
      </c>
    </row>
    <row r="43" spans="1:25" x14ac:dyDescent="0.2">
      <c r="A43">
        <v>824591</v>
      </c>
      <c r="B43" s="3">
        <f>VLOOKUP($A43,ScionOutput!$A$3:$BL$215,3,FALSE)</f>
        <v>46182</v>
      </c>
      <c r="C43">
        <f>VLOOKUP($A43,ScionOutput!$A$3:$BL$215,22,FALSE)</f>
        <v>9</v>
      </c>
      <c r="D43" t="str">
        <f>VLOOKUP($A43,ScionOutput!$A$3:$BL$215,23,FALSE)</f>
        <v>CWS</v>
      </c>
      <c r="E43">
        <f>VLOOKUP($A43,ScionOutput!$A$3:$BL$215,6,FALSE)</f>
        <v>0</v>
      </c>
      <c r="F43" t="str">
        <f>VLOOKUP($A43,ScionOutput!$A$3:$BL$215,7,FALSE)</f>
        <v>ATL</v>
      </c>
      <c r="G43">
        <f>VLOOKUP($A43,ScionOutput!$A$3:$BL$215,26,FALSE)</f>
        <v>139</v>
      </c>
      <c r="H43">
        <f>VLOOKUP($A43,ScionOutput!$A$3:$BL$215,10,FALSE)</f>
        <v>-152</v>
      </c>
      <c r="I43" t="str">
        <f>VLOOKUP($A43,ScionOutput!$A$3:$BL$215,58,FALSE)</f>
        <v>No Play</v>
      </c>
      <c r="J43">
        <f>VLOOKUP($A43,ScionOutput!$A$3:$BL$215,59,FALSE)</f>
        <v>0</v>
      </c>
      <c r="K43">
        <f>VLOOKUP($A43,ScionOutput!$A$3:$BL$215,62,FALSE)</f>
        <v>0</v>
      </c>
      <c r="L43">
        <f>VLOOKUP($A43,ScionOutput!$A$3:$BL$215,63,FALSE)</f>
        <v>0</v>
      </c>
      <c r="M43" t="b">
        <f t="shared" si="1"/>
        <v>0</v>
      </c>
      <c r="N43">
        <f>VLOOKUP($A43,Outcomes!$B$3:$I$209,8,FALSE)</f>
        <v>11</v>
      </c>
      <c r="O43">
        <f t="shared" si="2"/>
        <v>1</v>
      </c>
      <c r="P43">
        <f>VLOOKUP($A43,Outcomes!$B$3:$I$209,5,FALSE)</f>
        <v>6</v>
      </c>
      <c r="Q43">
        <f>VLOOKUP($A43,Outcomes!$B$3:$I$209,6,FALSE)</f>
        <v>5</v>
      </c>
      <c r="R43">
        <f>VLOOKUP($A43,Outcomes!$B$3:$I$209,7,FALSE)</f>
        <v>-1</v>
      </c>
      <c r="S43" t="str">
        <f t="shared" si="3"/>
        <v>HomDog</v>
      </c>
      <c r="T43" t="str">
        <f t="shared" si="4"/>
        <v/>
      </c>
      <c r="U43" t="str">
        <f t="shared" si="0"/>
        <v/>
      </c>
      <c r="V43" t="str">
        <f t="shared" si="5"/>
        <v/>
      </c>
      <c r="W43" t="str">
        <f t="shared" si="6"/>
        <v/>
      </c>
      <c r="X43" s="2" t="str">
        <f t="shared" si="7"/>
        <v/>
      </c>
      <c r="Y43" t="str">
        <f>VLOOKUP($A43,ScionOutput!$A$3:$BL$215,64,FALSE)</f>
        <v xml:space="preserve">824591. LineStatEns price is outside allowable range! VF plays are disallowed. No play due to strategy constraints. </v>
      </c>
    </row>
    <row r="44" spans="1:25" x14ac:dyDescent="0.2">
      <c r="A44">
        <v>824267</v>
      </c>
      <c r="B44" s="3">
        <f>VLOOKUP($A44,ScionOutput!$A$3:$BL$215,3,FALSE)</f>
        <v>46182</v>
      </c>
      <c r="C44">
        <f>VLOOKUP($A44,ScionOutput!$A$3:$BL$215,22,FALSE)</f>
        <v>10</v>
      </c>
      <c r="D44" t="str">
        <f>VLOOKUP($A44,ScionOutput!$A$3:$BL$215,23,FALSE)</f>
        <v>DET</v>
      </c>
      <c r="E44">
        <f>VLOOKUP($A44,ScionOutput!$A$3:$BL$215,6,FALSE)</f>
        <v>15</v>
      </c>
      <c r="F44" t="str">
        <f>VLOOKUP($A44,ScionOutput!$A$3:$BL$215,7,FALSE)</f>
        <v>MIN</v>
      </c>
      <c r="G44">
        <f>VLOOKUP($A44,ScionOutput!$A$3:$BL$215,26,FALSE)</f>
        <v>-122</v>
      </c>
      <c r="H44">
        <f>VLOOKUP($A44,ScionOutput!$A$3:$BL$215,10,FALSE)</f>
        <v>112</v>
      </c>
      <c r="I44" t="str">
        <f>VLOOKUP($A44,ScionOutput!$A$3:$BL$215,58,FALSE)</f>
        <v>No Play</v>
      </c>
      <c r="J44">
        <f>VLOOKUP($A44,ScionOutput!$A$3:$BL$215,59,FALSE)</f>
        <v>0</v>
      </c>
      <c r="K44">
        <f>VLOOKUP($A44,ScionOutput!$A$3:$BL$215,62,FALSE)</f>
        <v>0</v>
      </c>
      <c r="L44">
        <f>VLOOKUP($A44,ScionOutput!$A$3:$BL$215,63,FALSE)</f>
        <v>0</v>
      </c>
      <c r="M44" t="b">
        <f t="shared" si="1"/>
        <v>0</v>
      </c>
      <c r="N44">
        <f>VLOOKUP($A44,Outcomes!$B$3:$I$209,8,FALSE)</f>
        <v>14</v>
      </c>
      <c r="O44">
        <f t="shared" si="2"/>
        <v>1</v>
      </c>
      <c r="P44">
        <f>VLOOKUP($A44,Outcomes!$B$3:$I$209,5,FALSE)</f>
        <v>10</v>
      </c>
      <c r="Q44">
        <f>VLOOKUP($A44,Outcomes!$B$3:$I$209,6,FALSE)</f>
        <v>4</v>
      </c>
      <c r="R44">
        <f>VLOOKUP($A44,Outcomes!$B$3:$I$209,7,FALSE)</f>
        <v>-6</v>
      </c>
      <c r="S44" t="str">
        <f t="shared" si="3"/>
        <v>HomFave</v>
      </c>
      <c r="T44" t="str">
        <f t="shared" si="4"/>
        <v/>
      </c>
      <c r="U44" t="str">
        <f t="shared" si="0"/>
        <v/>
      </c>
      <c r="V44" t="str">
        <f t="shared" si="5"/>
        <v/>
      </c>
      <c r="W44" t="str">
        <f t="shared" si="6"/>
        <v/>
      </c>
      <c r="X44" s="2" t="str">
        <f t="shared" si="7"/>
        <v/>
      </c>
      <c r="Y44" t="str">
        <f>VLOOKUP($A44,ScionOutput!$A$3:$BL$215,64,FALSE)</f>
        <v xml:space="preserve">824267. LineStatEns probability points gap does not exceed threshold (no edge found)! StatOnlyEns probability points gap does not exceed threshold (no edge found)! No play due to strategy constraints. </v>
      </c>
    </row>
    <row r="45" spans="1:25" x14ac:dyDescent="0.2">
      <c r="A45">
        <v>823858</v>
      </c>
      <c r="B45" s="3">
        <f>VLOOKUP($A45,ScionOutput!$A$3:$BL$215,3,FALSE)</f>
        <v>46182</v>
      </c>
      <c r="C45">
        <f>VLOOKUP($A45,ScionOutput!$A$3:$BL$215,22,FALSE)</f>
        <v>11</v>
      </c>
      <c r="D45" t="str">
        <f>VLOOKUP($A45,ScionOutput!$A$3:$BL$215,23,FALSE)</f>
        <v>FLO</v>
      </c>
      <c r="E45">
        <f>VLOOKUP($A45,ScionOutput!$A$3:$BL$215,6,FALSE)</f>
        <v>1</v>
      </c>
      <c r="F45" t="str">
        <f>VLOOKUP($A45,ScionOutput!$A$3:$BL$215,7,FALSE)</f>
        <v>ARZ</v>
      </c>
      <c r="G45">
        <f>VLOOKUP($A45,ScionOutput!$A$3:$BL$215,26,FALSE)</f>
        <v>-135</v>
      </c>
      <c r="H45">
        <f>VLOOKUP($A45,ScionOutput!$A$3:$BL$215,10,FALSE)</f>
        <v>124</v>
      </c>
      <c r="I45" t="str">
        <f>VLOOKUP($A45,ScionOutput!$A$3:$BL$215,58,FALSE)</f>
        <v>No Play</v>
      </c>
      <c r="J45">
        <f>VLOOKUP($A45,ScionOutput!$A$3:$BL$215,59,FALSE)</f>
        <v>0</v>
      </c>
      <c r="K45">
        <f>VLOOKUP($A45,ScionOutput!$A$3:$BL$215,62,FALSE)</f>
        <v>0</v>
      </c>
      <c r="L45">
        <f>VLOOKUP($A45,ScionOutput!$A$3:$BL$215,63,FALSE)</f>
        <v>0</v>
      </c>
      <c r="M45" t="b">
        <f t="shared" si="1"/>
        <v>0</v>
      </c>
      <c r="N45">
        <f>VLOOKUP($A45,Outcomes!$B$3:$I$209,8,FALSE)</f>
        <v>16</v>
      </c>
      <c r="O45">
        <f t="shared" si="2"/>
        <v>1</v>
      </c>
      <c r="P45">
        <f>VLOOKUP($A45,Outcomes!$B$3:$I$209,5,FALSE)</f>
        <v>10</v>
      </c>
      <c r="Q45">
        <f>VLOOKUP($A45,Outcomes!$B$3:$I$209,6,FALSE)</f>
        <v>6</v>
      </c>
      <c r="R45">
        <f>VLOOKUP($A45,Outcomes!$B$3:$I$209,7,FALSE)</f>
        <v>-4</v>
      </c>
      <c r="S45" t="str">
        <f t="shared" si="3"/>
        <v>HomFave</v>
      </c>
      <c r="T45" t="str">
        <f t="shared" si="4"/>
        <v/>
      </c>
      <c r="U45" t="str">
        <f t="shared" si="0"/>
        <v/>
      </c>
      <c r="V45" t="str">
        <f t="shared" si="5"/>
        <v/>
      </c>
      <c r="W45" t="str">
        <f t="shared" si="6"/>
        <v/>
      </c>
      <c r="X45" s="2" t="str">
        <f t="shared" si="7"/>
        <v/>
      </c>
      <c r="Y45" t="str">
        <f>VLOOKUP($A45,ScionOutput!$A$3:$BL$215,64,FALSE)</f>
        <v xml:space="preserve">823858. LineStatEns probability points gap does not exceed threshold (no edge found)! StatOnlyEns probability points gap does not exceed threshold (no edge found)! No play due to strategy constraints. </v>
      </c>
    </row>
    <row r="46" spans="1:25" x14ac:dyDescent="0.2">
      <c r="A46">
        <v>824105</v>
      </c>
      <c r="B46" s="3">
        <f>VLOOKUP($A46,ScionOutput!$A$3:$BL$215,3,FALSE)</f>
        <v>46182</v>
      </c>
      <c r="C46">
        <f>VLOOKUP($A46,ScionOutput!$A$3:$BL$215,22,FALSE)</f>
        <v>13</v>
      </c>
      <c r="D46" t="str">
        <f>VLOOKUP($A46,ScionOutput!$A$3:$BL$215,23,FALSE)</f>
        <v>KC</v>
      </c>
      <c r="E46">
        <f>VLOOKUP($A46,ScionOutput!$A$3:$BL$215,6,FALSE)</f>
        <v>28</v>
      </c>
      <c r="F46" t="str">
        <f>VLOOKUP($A46,ScionOutput!$A$3:$BL$215,7,FALSE)</f>
        <v>TEX</v>
      </c>
      <c r="G46">
        <f>VLOOKUP($A46,ScionOutput!$A$3:$BL$215,26,FALSE)</f>
        <v>110</v>
      </c>
      <c r="H46">
        <f>VLOOKUP($A46,ScionOutput!$A$3:$BL$215,10,FALSE)</f>
        <v>-120</v>
      </c>
      <c r="I46" t="str">
        <f>VLOOKUP($A46,ScionOutput!$A$3:$BL$215,58,FALSE)</f>
        <v>No Play</v>
      </c>
      <c r="J46">
        <f>VLOOKUP($A46,ScionOutput!$A$3:$BL$215,59,FALSE)</f>
        <v>0</v>
      </c>
      <c r="K46">
        <f>VLOOKUP($A46,ScionOutput!$A$3:$BL$215,62,FALSE)</f>
        <v>0</v>
      </c>
      <c r="L46">
        <f>VLOOKUP($A46,ScionOutput!$A$3:$BL$215,63,FALSE)</f>
        <v>0</v>
      </c>
      <c r="M46" t="b">
        <f t="shared" si="1"/>
        <v>0</v>
      </c>
      <c r="N46">
        <f>VLOOKUP($A46,Outcomes!$B$3:$I$209,8,FALSE)</f>
        <v>8</v>
      </c>
      <c r="O46">
        <f t="shared" si="2"/>
        <v>1</v>
      </c>
      <c r="P46">
        <f>VLOOKUP($A46,Outcomes!$B$3:$I$209,5,FALSE)</f>
        <v>5</v>
      </c>
      <c r="Q46">
        <f>VLOOKUP($A46,Outcomes!$B$3:$I$209,6,FALSE)</f>
        <v>3</v>
      </c>
      <c r="R46">
        <f>VLOOKUP($A46,Outcomes!$B$3:$I$209,7,FALSE)</f>
        <v>-2</v>
      </c>
      <c r="S46" t="str">
        <f t="shared" si="3"/>
        <v>HomDog</v>
      </c>
      <c r="T46" t="str">
        <f t="shared" si="4"/>
        <v/>
      </c>
      <c r="U46" t="str">
        <f t="shared" si="0"/>
        <v/>
      </c>
      <c r="V46" t="str">
        <f t="shared" si="5"/>
        <v/>
      </c>
      <c r="W46" t="str">
        <f t="shared" si="6"/>
        <v/>
      </c>
      <c r="X46" s="2" t="str">
        <f t="shared" si="7"/>
        <v/>
      </c>
      <c r="Y46" t="str">
        <f>VLOOKUP($A46,ScionOutput!$A$3:$BL$215,64,FALSE)</f>
        <v xml:space="preserve">824105. VF plays are disallowed. No play due to strategy constraints. </v>
      </c>
    </row>
    <row r="47" spans="1:25" x14ac:dyDescent="0.2">
      <c r="A47">
        <v>823620</v>
      </c>
      <c r="B47" s="3">
        <f>VLOOKUP($A47,ScionOutput!$A$3:$BL$215,3,FALSE)</f>
        <v>46182</v>
      </c>
      <c r="C47">
        <f>VLOOKUP($A47,ScionOutput!$A$3:$BL$215,22,FALSE)</f>
        <v>18</v>
      </c>
      <c r="D47" t="str">
        <f>VLOOKUP($A47,ScionOutput!$A$3:$BL$215,23,FALSE)</f>
        <v>NYM</v>
      </c>
      <c r="E47">
        <f>VLOOKUP($A47,ScionOutput!$A$3:$BL$215,6,FALSE)</f>
        <v>26</v>
      </c>
      <c r="F47" t="str">
        <f>VLOOKUP($A47,ScionOutput!$A$3:$BL$215,7,FALSE)</f>
        <v>STL</v>
      </c>
      <c r="G47">
        <f>VLOOKUP($A47,ScionOutput!$A$3:$BL$215,26,FALSE)</f>
        <v>-125</v>
      </c>
      <c r="H47">
        <f>VLOOKUP($A47,ScionOutput!$A$3:$BL$215,10,FALSE)</f>
        <v>115</v>
      </c>
      <c r="I47" t="str">
        <f>VLOOKUP($A47,ScionOutput!$A$3:$BL$215,58,FALSE)</f>
        <v>No Play</v>
      </c>
      <c r="J47">
        <f>VLOOKUP($A47,ScionOutput!$A$3:$BL$215,59,FALSE)</f>
        <v>0</v>
      </c>
      <c r="K47">
        <f>VLOOKUP($A47,ScionOutput!$A$3:$BL$215,62,FALSE)</f>
        <v>0</v>
      </c>
      <c r="L47">
        <f>VLOOKUP($A47,ScionOutput!$A$3:$BL$215,63,FALSE)</f>
        <v>0</v>
      </c>
      <c r="M47" t="b">
        <f t="shared" si="1"/>
        <v>0</v>
      </c>
      <c r="N47">
        <f>VLOOKUP($A47,Outcomes!$B$3:$I$209,8,FALSE)</f>
        <v>7</v>
      </c>
      <c r="O47">
        <f t="shared" si="2"/>
        <v>-1</v>
      </c>
      <c r="P47">
        <f>VLOOKUP($A47,Outcomes!$B$3:$I$209,5,FALSE)</f>
        <v>0</v>
      </c>
      <c r="Q47">
        <f>VLOOKUP($A47,Outcomes!$B$3:$I$209,6,FALSE)</f>
        <v>7</v>
      </c>
      <c r="R47">
        <f>VLOOKUP($A47,Outcomes!$B$3:$I$209,7,FALSE)</f>
        <v>7</v>
      </c>
      <c r="S47" t="str">
        <f t="shared" si="3"/>
        <v>VisDog</v>
      </c>
      <c r="T47" t="str">
        <f t="shared" si="4"/>
        <v/>
      </c>
      <c r="U47" t="str">
        <f t="shared" si="0"/>
        <v/>
      </c>
      <c r="V47" t="str">
        <f t="shared" si="5"/>
        <v/>
      </c>
      <c r="W47" t="str">
        <f t="shared" si="6"/>
        <v/>
      </c>
      <c r="X47" s="2" t="str">
        <f t="shared" si="7"/>
        <v/>
      </c>
      <c r="Y47" t="str">
        <f>VLOOKUP($A47,ScionOutput!$A$3:$BL$215,64,FALSE)</f>
        <v xml:space="preserve">823620. LineStatEns probability points gap does not exceed threshold (no edge found)! StatOnlyEns probability points gap does not exceed threshold (no edge found)! No play due to strategy constraints. </v>
      </c>
    </row>
    <row r="48" spans="1:25" x14ac:dyDescent="0.2">
      <c r="A48">
        <v>824999</v>
      </c>
      <c r="B48" s="3">
        <f>VLOOKUP($A48,ScionOutput!$A$3:$BL$215,3,FALSE)</f>
        <v>46182</v>
      </c>
      <c r="C48">
        <f>VLOOKUP($A48,ScionOutput!$A$3:$BL$215,22,FALSE)</f>
        <v>20</v>
      </c>
      <c r="D48" t="str">
        <f>VLOOKUP($A48,ScionOutput!$A$3:$BL$215,23,FALSE)</f>
        <v>OAK</v>
      </c>
      <c r="E48">
        <f>VLOOKUP($A48,ScionOutput!$A$3:$BL$215,6,FALSE)</f>
        <v>17</v>
      </c>
      <c r="F48" t="str">
        <f>VLOOKUP($A48,ScionOutput!$A$3:$BL$215,7,FALSE)</f>
        <v>MLW</v>
      </c>
      <c r="G48">
        <f>VLOOKUP($A48,ScionOutput!$A$3:$BL$215,26,FALSE)</f>
        <v>-106</v>
      </c>
      <c r="H48">
        <f>VLOOKUP($A48,ScionOutput!$A$3:$BL$215,10,FALSE)</f>
        <v>-102</v>
      </c>
      <c r="I48" t="str">
        <f>VLOOKUP($A48,ScionOutput!$A$3:$BL$215,58,FALSE)</f>
        <v>No Play</v>
      </c>
      <c r="J48">
        <f>VLOOKUP($A48,ScionOutput!$A$3:$BL$215,59,FALSE)</f>
        <v>0</v>
      </c>
      <c r="K48">
        <f>VLOOKUP($A48,ScionOutput!$A$3:$BL$215,62,FALSE)</f>
        <v>0</v>
      </c>
      <c r="L48">
        <f>VLOOKUP($A48,ScionOutput!$A$3:$BL$215,63,FALSE)</f>
        <v>0</v>
      </c>
      <c r="M48" t="b">
        <f t="shared" si="1"/>
        <v>0</v>
      </c>
      <c r="N48">
        <f>VLOOKUP($A48,Outcomes!$B$3:$I$209,8,FALSE)</f>
        <v>12</v>
      </c>
      <c r="O48">
        <f t="shared" si="2"/>
        <v>1</v>
      </c>
      <c r="P48">
        <f>VLOOKUP($A48,Outcomes!$B$3:$I$209,5,FALSE)</f>
        <v>7</v>
      </c>
      <c r="Q48">
        <f>VLOOKUP($A48,Outcomes!$B$3:$I$209,6,FALSE)</f>
        <v>5</v>
      </c>
      <c r="R48">
        <f>VLOOKUP($A48,Outcomes!$B$3:$I$209,7,FALSE)</f>
        <v>-2</v>
      </c>
      <c r="S48" t="str">
        <f t="shared" si="3"/>
        <v>HomFave</v>
      </c>
      <c r="T48" t="str">
        <f t="shared" si="4"/>
        <v/>
      </c>
      <c r="U48" t="str">
        <f t="shared" si="0"/>
        <v/>
      </c>
      <c r="V48" t="str">
        <f t="shared" si="5"/>
        <v/>
      </c>
      <c r="W48" t="str">
        <f t="shared" si="6"/>
        <v/>
      </c>
      <c r="X48" s="2" t="str">
        <f t="shared" si="7"/>
        <v/>
      </c>
      <c r="Y48" t="str">
        <f>VLOOKUP($A48,ScionOutput!$A$3:$BL$215,64,FALSE)</f>
        <v xml:space="preserve">824999. LineStatEns probability points gap does not exceed threshold (no edge found)! No play due to strategy constraints. </v>
      </c>
    </row>
    <row r="49" spans="1:25" x14ac:dyDescent="0.2">
      <c r="A49">
        <v>823374</v>
      </c>
      <c r="B49" s="3">
        <f>VLOOKUP($A49,ScionOutput!$A$3:$BL$215,3,FALSE)</f>
        <v>46182</v>
      </c>
      <c r="C49">
        <f>VLOOKUP($A49,ScionOutput!$A$3:$BL$215,22,FALSE)</f>
        <v>22</v>
      </c>
      <c r="D49" t="str">
        <f>VLOOKUP($A49,ScionOutput!$A$3:$BL$215,23,FALSE)</f>
        <v>PIT</v>
      </c>
      <c r="E49">
        <f>VLOOKUP($A49,ScionOutput!$A$3:$BL$215,6,FALSE)</f>
        <v>14</v>
      </c>
      <c r="F49" t="str">
        <f>VLOOKUP($A49,ScionOutput!$A$3:$BL$215,7,FALSE)</f>
        <v>LA</v>
      </c>
      <c r="G49">
        <f>VLOOKUP($A49,ScionOutput!$A$3:$BL$215,26,FALSE)</f>
        <v>-112</v>
      </c>
      <c r="H49">
        <f>VLOOKUP($A49,ScionOutput!$A$3:$BL$215,10,FALSE)</f>
        <v>104</v>
      </c>
      <c r="I49" t="str">
        <f>VLOOKUP($A49,ScionOutput!$A$3:$BL$215,58,FALSE)</f>
        <v>No Play</v>
      </c>
      <c r="J49">
        <f>VLOOKUP($A49,ScionOutput!$A$3:$BL$215,59,FALSE)</f>
        <v>0</v>
      </c>
      <c r="K49">
        <f>VLOOKUP($A49,ScionOutput!$A$3:$BL$215,62,FALSE)</f>
        <v>0</v>
      </c>
      <c r="L49">
        <f>VLOOKUP($A49,ScionOutput!$A$3:$BL$215,63,FALSE)</f>
        <v>0</v>
      </c>
      <c r="M49" t="b">
        <f t="shared" si="1"/>
        <v>0</v>
      </c>
      <c r="N49">
        <f>VLOOKUP($A49,Outcomes!$B$3:$I$209,8,FALSE)</f>
        <v>15</v>
      </c>
      <c r="O49">
        <f t="shared" si="2"/>
        <v>-1</v>
      </c>
      <c r="P49">
        <f>VLOOKUP($A49,Outcomes!$B$3:$I$209,5,FALSE)</f>
        <v>3</v>
      </c>
      <c r="Q49">
        <f>VLOOKUP($A49,Outcomes!$B$3:$I$209,6,FALSE)</f>
        <v>12</v>
      </c>
      <c r="R49">
        <f>VLOOKUP($A49,Outcomes!$B$3:$I$209,7,FALSE)</f>
        <v>9</v>
      </c>
      <c r="S49" t="str">
        <f t="shared" si="3"/>
        <v>VisDog</v>
      </c>
      <c r="T49" t="str">
        <f t="shared" si="4"/>
        <v/>
      </c>
      <c r="U49" t="str">
        <f t="shared" si="0"/>
        <v/>
      </c>
      <c r="V49" t="str">
        <f t="shared" si="5"/>
        <v/>
      </c>
      <c r="W49" t="str">
        <f t="shared" si="6"/>
        <v/>
      </c>
      <c r="X49" s="2" t="str">
        <f t="shared" si="7"/>
        <v/>
      </c>
      <c r="Y49" t="str">
        <f>VLOOKUP($A49,ScionOutput!$A$3:$BL$215,64,FALSE)</f>
        <v xml:space="preserve">823374. LineStatEns probability points gap does not exceed threshold (no edge found)! No play due to strategy constraints. </v>
      </c>
    </row>
    <row r="50" spans="1:25" x14ac:dyDescent="0.2">
      <c r="A50">
        <v>823290</v>
      </c>
      <c r="B50" s="3">
        <f>VLOOKUP($A50,ScionOutput!$A$3:$BL$215,3,FALSE)</f>
        <v>46182</v>
      </c>
      <c r="C50">
        <f>VLOOKUP($A50,ScionOutput!$A$3:$BL$215,22,FALSE)</f>
        <v>23</v>
      </c>
      <c r="D50" t="str">
        <f>VLOOKUP($A50,ScionOutput!$A$3:$BL$215,23,FALSE)</f>
        <v>SD</v>
      </c>
      <c r="E50">
        <f>VLOOKUP($A50,ScionOutput!$A$3:$BL$215,6,FALSE)</f>
        <v>6</v>
      </c>
      <c r="F50" t="str">
        <f>VLOOKUP($A50,ScionOutput!$A$3:$BL$215,7,FALSE)</f>
        <v>CIN</v>
      </c>
      <c r="G50">
        <f>VLOOKUP($A50,ScionOutput!$A$3:$BL$215,26,FALSE)</f>
        <v>114</v>
      </c>
      <c r="H50">
        <f>VLOOKUP($A50,ScionOutput!$A$3:$BL$215,10,FALSE)</f>
        <v>-123</v>
      </c>
      <c r="I50" t="str">
        <f>VLOOKUP($A50,ScionOutput!$A$3:$BL$215,58,FALSE)</f>
        <v>No Play</v>
      </c>
      <c r="J50">
        <f>VLOOKUP($A50,ScionOutput!$A$3:$BL$215,59,FALSE)</f>
        <v>0</v>
      </c>
      <c r="K50">
        <f>VLOOKUP($A50,ScionOutput!$A$3:$BL$215,62,FALSE)</f>
        <v>0</v>
      </c>
      <c r="L50">
        <f>VLOOKUP($A50,ScionOutput!$A$3:$BL$215,63,FALSE)</f>
        <v>0</v>
      </c>
      <c r="M50" t="b">
        <f t="shared" si="1"/>
        <v>0</v>
      </c>
      <c r="N50">
        <f>VLOOKUP($A50,Outcomes!$B$3:$I$209,8,FALSE)</f>
        <v>8</v>
      </c>
      <c r="O50">
        <f t="shared" si="2"/>
        <v>-1</v>
      </c>
      <c r="P50">
        <f>VLOOKUP($A50,Outcomes!$B$3:$I$209,5,FALSE)</f>
        <v>3</v>
      </c>
      <c r="Q50">
        <f>VLOOKUP($A50,Outcomes!$B$3:$I$209,6,FALSE)</f>
        <v>5</v>
      </c>
      <c r="R50">
        <f>VLOOKUP($A50,Outcomes!$B$3:$I$209,7,FALSE)</f>
        <v>2</v>
      </c>
      <c r="S50" t="str">
        <f t="shared" si="3"/>
        <v>VisFave</v>
      </c>
      <c r="T50" t="str">
        <f t="shared" si="4"/>
        <v/>
      </c>
      <c r="U50" t="str">
        <f t="shared" si="0"/>
        <v/>
      </c>
      <c r="V50" t="str">
        <f t="shared" si="5"/>
        <v/>
      </c>
      <c r="W50" t="str">
        <f t="shared" si="6"/>
        <v/>
      </c>
      <c r="X50" s="2" t="str">
        <f t="shared" si="7"/>
        <v/>
      </c>
      <c r="Y50" t="str">
        <f>VLOOKUP($A50,ScionOutput!$A$3:$BL$215,64,FALSE)</f>
        <v xml:space="preserve">823290. VF plays are disallowed. No play due to strategy constraints. </v>
      </c>
    </row>
    <row r="51" spans="1:25" x14ac:dyDescent="0.2">
      <c r="A51">
        <v>823214</v>
      </c>
      <c r="B51" s="3">
        <f>VLOOKUP($A51,ScionOutput!$A$3:$BL$215,3,FALSE)</f>
        <v>46182</v>
      </c>
      <c r="C51">
        <f>VLOOKUP($A51,ScionOutput!$A$3:$BL$215,22,FALSE)</f>
        <v>25</v>
      </c>
      <c r="D51" t="str">
        <f>VLOOKUP($A51,ScionOutput!$A$3:$BL$215,23,FALSE)</f>
        <v>SF</v>
      </c>
      <c r="E51">
        <f>VLOOKUP($A51,ScionOutput!$A$3:$BL$215,6,FALSE)</f>
        <v>16</v>
      </c>
      <c r="F51" t="str">
        <f>VLOOKUP($A51,ScionOutput!$A$3:$BL$215,7,FALSE)</f>
        <v>WAS</v>
      </c>
      <c r="G51">
        <f>VLOOKUP($A51,ScionOutput!$A$3:$BL$215,26,FALSE)</f>
        <v>-104</v>
      </c>
      <c r="H51">
        <f>VLOOKUP($A51,ScionOutput!$A$3:$BL$215,10,FALSE)</f>
        <v>-105</v>
      </c>
      <c r="I51" t="str">
        <f>VLOOKUP($A51,ScionOutput!$A$3:$BL$215,58,FALSE)</f>
        <v>No Play</v>
      </c>
      <c r="J51">
        <f>VLOOKUP($A51,ScionOutput!$A$3:$BL$215,59,FALSE)</f>
        <v>0</v>
      </c>
      <c r="K51">
        <f>VLOOKUP($A51,ScionOutput!$A$3:$BL$215,62,FALSE)</f>
        <v>0</v>
      </c>
      <c r="L51">
        <f>VLOOKUP($A51,ScionOutput!$A$3:$BL$215,63,FALSE)</f>
        <v>0</v>
      </c>
      <c r="M51" t="b">
        <f t="shared" si="1"/>
        <v>0</v>
      </c>
      <c r="N51">
        <f>VLOOKUP($A51,Outcomes!$B$3:$I$209,8,FALSE)</f>
        <v>9</v>
      </c>
      <c r="O51">
        <f t="shared" si="2"/>
        <v>-1</v>
      </c>
      <c r="P51">
        <f>VLOOKUP($A51,Outcomes!$B$3:$I$209,5,FALSE)</f>
        <v>3</v>
      </c>
      <c r="Q51">
        <f>VLOOKUP($A51,Outcomes!$B$3:$I$209,6,FALSE)</f>
        <v>6</v>
      </c>
      <c r="R51">
        <f>VLOOKUP($A51,Outcomes!$B$3:$I$209,7,FALSE)</f>
        <v>3</v>
      </c>
      <c r="S51" t="str">
        <f t="shared" si="3"/>
        <v>VisFave</v>
      </c>
      <c r="T51" t="str">
        <f t="shared" si="4"/>
        <v/>
      </c>
      <c r="U51" t="str">
        <f t="shared" si="0"/>
        <v/>
      </c>
      <c r="V51" t="str">
        <f t="shared" si="5"/>
        <v/>
      </c>
      <c r="W51" t="str">
        <f t="shared" si="6"/>
        <v/>
      </c>
      <c r="X51" s="2" t="str">
        <f t="shared" si="7"/>
        <v/>
      </c>
      <c r="Y51" t="str">
        <f>VLOOKUP($A51,ScionOutput!$A$3:$BL$215,64,FALSE)</f>
        <v xml:space="preserve">823214. VF plays are disallowed. No play due to strategy constraints. </v>
      </c>
    </row>
    <row r="52" spans="1:25" x14ac:dyDescent="0.2">
      <c r="A52">
        <v>822969</v>
      </c>
      <c r="B52" s="3">
        <f>VLOOKUP($A52,ScionOutput!$A$3:$BL$215,3,FALSE)</f>
        <v>46182</v>
      </c>
      <c r="C52">
        <f>VLOOKUP($A52,ScionOutput!$A$3:$BL$215,22,FALSE)</f>
        <v>27</v>
      </c>
      <c r="D52" t="str">
        <f>VLOOKUP($A52,ScionOutput!$A$3:$BL$215,23,FALSE)</f>
        <v>TB</v>
      </c>
      <c r="E52">
        <f>VLOOKUP($A52,ScionOutput!$A$3:$BL$215,6,FALSE)</f>
        <v>3</v>
      </c>
      <c r="F52" t="str">
        <f>VLOOKUP($A52,ScionOutput!$A$3:$BL$215,7,FALSE)</f>
        <v>BOS</v>
      </c>
      <c r="G52">
        <f>VLOOKUP($A52,ScionOutput!$A$3:$BL$215,26,FALSE)</f>
        <v>107</v>
      </c>
      <c r="H52">
        <f>VLOOKUP($A52,ScionOutput!$A$3:$BL$215,10,FALSE)</f>
        <v>-115</v>
      </c>
      <c r="I52" t="str">
        <f>VLOOKUP($A52,ScionOutput!$A$3:$BL$215,58,FALSE)</f>
        <v>No Play</v>
      </c>
      <c r="J52">
        <f>VLOOKUP($A52,ScionOutput!$A$3:$BL$215,59,FALSE)</f>
        <v>0</v>
      </c>
      <c r="K52">
        <f>VLOOKUP($A52,ScionOutput!$A$3:$BL$215,62,FALSE)</f>
        <v>0</v>
      </c>
      <c r="L52">
        <f>VLOOKUP($A52,ScionOutput!$A$3:$BL$215,63,FALSE)</f>
        <v>0</v>
      </c>
      <c r="M52" t="b">
        <f t="shared" si="1"/>
        <v>0</v>
      </c>
      <c r="N52">
        <f>VLOOKUP($A52,Outcomes!$B$3:$I$209,8,FALSE)</f>
        <v>7</v>
      </c>
      <c r="O52">
        <f t="shared" si="2"/>
        <v>1</v>
      </c>
      <c r="P52">
        <f>VLOOKUP($A52,Outcomes!$B$3:$I$209,5,FALSE)</f>
        <v>4</v>
      </c>
      <c r="Q52">
        <f>VLOOKUP($A52,Outcomes!$B$3:$I$209,6,FALSE)</f>
        <v>3</v>
      </c>
      <c r="R52">
        <f>VLOOKUP($A52,Outcomes!$B$3:$I$209,7,FALSE)</f>
        <v>-1</v>
      </c>
      <c r="S52" t="str">
        <f t="shared" si="3"/>
        <v>HomDog</v>
      </c>
      <c r="T52" t="str">
        <f t="shared" si="4"/>
        <v/>
      </c>
      <c r="U52" t="str">
        <f t="shared" si="0"/>
        <v/>
      </c>
      <c r="V52" t="str">
        <f t="shared" si="5"/>
        <v/>
      </c>
      <c r="W52" t="str">
        <f t="shared" si="6"/>
        <v/>
      </c>
      <c r="X52" s="2" t="str">
        <f t="shared" si="7"/>
        <v/>
      </c>
      <c r="Y52" t="str">
        <f>VLOOKUP($A52,ScionOutput!$A$3:$BL$215,64,FALSE)</f>
        <v xml:space="preserve">822969. VF plays are disallowed. No play due to strategy constraints. </v>
      </c>
    </row>
    <row r="53" spans="1:25" x14ac:dyDescent="0.2">
      <c r="A53">
        <v>822805</v>
      </c>
      <c r="B53" s="3">
        <f>VLOOKUP($A53,ScionOutput!$A$3:$BL$215,3,FALSE)</f>
        <v>46182</v>
      </c>
      <c r="C53">
        <f>VLOOKUP($A53,ScionOutput!$A$3:$BL$215,22,FALSE)</f>
        <v>29</v>
      </c>
      <c r="D53" t="str">
        <f>VLOOKUP($A53,ScionOutput!$A$3:$BL$215,23,FALSE)</f>
        <v>TOR</v>
      </c>
      <c r="E53">
        <f>VLOOKUP($A53,ScionOutput!$A$3:$BL$215,6,FALSE)</f>
        <v>21</v>
      </c>
      <c r="F53" t="str">
        <f>VLOOKUP($A53,ScionOutput!$A$3:$BL$215,7,FALSE)</f>
        <v>PHI</v>
      </c>
      <c r="G53">
        <f>VLOOKUP($A53,ScionOutput!$A$3:$BL$215,26,FALSE)</f>
        <v>-107</v>
      </c>
      <c r="H53">
        <f>VLOOKUP($A53,ScionOutput!$A$3:$BL$215,10,FALSE)</f>
        <v>-101</v>
      </c>
      <c r="I53" t="str">
        <f>VLOOKUP($A53,ScionOutput!$A$3:$BL$215,58,FALSE)</f>
        <v>HomFave</v>
      </c>
      <c r="J53">
        <f>VLOOKUP($A53,ScionOutput!$A$3:$BL$215,59,FALSE)</f>
        <v>2.2929999999999999E-2</v>
      </c>
      <c r="K53">
        <f>VLOOKUP($A53,ScionOutput!$A$3:$BL$215,62,FALSE)</f>
        <v>3</v>
      </c>
      <c r="L53">
        <f>VLOOKUP($A53,ScionOutput!$A$3:$BL$215,63,FALSE)</f>
        <v>0.8</v>
      </c>
      <c r="M53" t="b">
        <f t="shared" si="1"/>
        <v>0</v>
      </c>
      <c r="N53">
        <f>VLOOKUP($A53,Outcomes!$B$3:$I$209,8,FALSE)</f>
        <v>5</v>
      </c>
      <c r="O53">
        <f t="shared" si="2"/>
        <v>1</v>
      </c>
      <c r="P53">
        <f>VLOOKUP($A53,Outcomes!$B$3:$I$209,5,FALSE)</f>
        <v>3</v>
      </c>
      <c r="Q53">
        <f>VLOOKUP($A53,Outcomes!$B$3:$I$209,6,FALSE)</f>
        <v>2</v>
      </c>
      <c r="R53">
        <f>VLOOKUP($A53,Outcomes!$B$3:$I$209,7,FALSE)</f>
        <v>-1</v>
      </c>
      <c r="S53" t="str">
        <f t="shared" si="3"/>
        <v>HomFave</v>
      </c>
      <c r="T53" t="str">
        <f t="shared" si="4"/>
        <v/>
      </c>
      <c r="U53" t="str">
        <f t="shared" si="0"/>
        <v/>
      </c>
      <c r="V53" t="str">
        <f t="shared" si="5"/>
        <v/>
      </c>
      <c r="W53" t="str">
        <f t="shared" si="6"/>
        <v/>
      </c>
      <c r="X53" s="2" t="str">
        <f t="shared" si="7"/>
        <v/>
      </c>
      <c r="Y53" t="str">
        <f>VLOOKUP($A53,ScionOutput!$A$3:$BL$215,64,FALSE)</f>
        <v xml:space="preserve">822805. StatOnlyEns probability points gap does not exceed threshold (no edge found)! Play determined by LineStatEns only. </v>
      </c>
    </row>
    <row r="54" spans="1:25" x14ac:dyDescent="0.2">
      <c r="A54">
        <v>824831</v>
      </c>
      <c r="B54" s="3">
        <f>VLOOKUP($A54,ScionOutput!$A$3:$BL$215,3,FALSE)</f>
        <v>46183</v>
      </c>
      <c r="C54">
        <f>VLOOKUP($A54,ScionOutput!$A$3:$BL$215,22,FALSE)</f>
        <v>2</v>
      </c>
      <c r="D54" t="str">
        <f>VLOOKUP($A54,ScionOutput!$A$3:$BL$215,23,FALSE)</f>
        <v>BAL</v>
      </c>
      <c r="E54">
        <f>VLOOKUP($A54,ScionOutput!$A$3:$BL$215,6,FALSE)</f>
        <v>24</v>
      </c>
      <c r="F54" t="str">
        <f>VLOOKUP($A54,ScionOutput!$A$3:$BL$215,7,FALSE)</f>
        <v>SEA</v>
      </c>
      <c r="G54">
        <f>VLOOKUP($A54,ScionOutput!$A$3:$BL$215,26,FALSE)</f>
        <v>-104</v>
      </c>
      <c r="H54">
        <f>VLOOKUP($A54,ScionOutput!$A$3:$BL$215,10,FALSE)</f>
        <v>-104</v>
      </c>
      <c r="I54" t="str">
        <f>VLOOKUP($A54,ScionOutput!$A$3:$BL$215,58,FALSE)</f>
        <v>No Play</v>
      </c>
      <c r="J54">
        <f>VLOOKUP($A54,ScionOutput!$A$3:$BL$215,59,FALSE)</f>
        <v>0</v>
      </c>
      <c r="K54">
        <f>VLOOKUP($A54,ScionOutput!$A$3:$BL$215,62,FALSE)</f>
        <v>0</v>
      </c>
      <c r="L54">
        <f>VLOOKUP($A54,ScionOutput!$A$3:$BL$215,63,FALSE)</f>
        <v>0</v>
      </c>
      <c r="M54" t="b">
        <f t="shared" si="1"/>
        <v>0</v>
      </c>
      <c r="N54">
        <f>VLOOKUP($A54,Outcomes!$B$3:$I$209,8,FALSE)</f>
        <v>9</v>
      </c>
      <c r="O54">
        <f t="shared" si="2"/>
        <v>1</v>
      </c>
      <c r="P54">
        <f>VLOOKUP($A54,Outcomes!$B$3:$I$209,5,FALSE)</f>
        <v>7</v>
      </c>
      <c r="Q54">
        <f>VLOOKUP($A54,Outcomes!$B$3:$I$209,6,FALSE)</f>
        <v>2</v>
      </c>
      <c r="R54">
        <f>VLOOKUP($A54,Outcomes!$B$3:$I$209,7,FALSE)</f>
        <v>-5</v>
      </c>
      <c r="S54" t="str">
        <f t="shared" si="3"/>
        <v>HomDog</v>
      </c>
      <c r="T54" t="str">
        <f t="shared" si="4"/>
        <v/>
      </c>
      <c r="U54" t="str">
        <f t="shared" si="0"/>
        <v/>
      </c>
      <c r="V54" t="str">
        <f t="shared" si="5"/>
        <v/>
      </c>
      <c r="W54" t="str">
        <f t="shared" si="6"/>
        <v/>
      </c>
      <c r="X54" s="2" t="str">
        <f t="shared" si="7"/>
        <v/>
      </c>
      <c r="Y54" t="str">
        <f>VLOOKUP($A54,ScionOutput!$A$3:$BL$215,64,FALSE)</f>
        <v xml:space="preserve">824831. VF plays are disallowed. No play due to strategy constraints. </v>
      </c>
    </row>
    <row r="55" spans="1:25" x14ac:dyDescent="0.2">
      <c r="A55">
        <v>824022</v>
      </c>
      <c r="B55" s="3">
        <f>VLOOKUP($A55,ScionOutput!$A$3:$BL$215,3,FALSE)</f>
        <v>46183</v>
      </c>
      <c r="C55">
        <f>VLOOKUP($A55,ScionOutput!$A$3:$BL$215,22,FALSE)</f>
        <v>4</v>
      </c>
      <c r="D55" t="str">
        <f>VLOOKUP($A55,ScionOutput!$A$3:$BL$215,23,FALSE)</f>
        <v>LAA</v>
      </c>
      <c r="E55">
        <f>VLOOKUP($A55,ScionOutput!$A$3:$BL$215,6,FALSE)</f>
        <v>12</v>
      </c>
      <c r="F55" t="str">
        <f>VLOOKUP($A55,ScionOutput!$A$3:$BL$215,7,FALSE)</f>
        <v>HOU</v>
      </c>
      <c r="G55">
        <f>VLOOKUP($A55,ScionOutput!$A$3:$BL$215,26,FALSE)</f>
        <v>-111</v>
      </c>
      <c r="H55">
        <f>VLOOKUP($A55,ScionOutput!$A$3:$BL$215,10,FALSE)</f>
        <v>102</v>
      </c>
      <c r="I55" t="str">
        <f>VLOOKUP($A55,ScionOutput!$A$3:$BL$215,58,FALSE)</f>
        <v>No Play</v>
      </c>
      <c r="J55">
        <f>VLOOKUP($A55,ScionOutput!$A$3:$BL$215,59,FALSE)</f>
        <v>0</v>
      </c>
      <c r="K55">
        <f>VLOOKUP($A55,ScionOutput!$A$3:$BL$215,62,FALSE)</f>
        <v>0</v>
      </c>
      <c r="L55">
        <f>VLOOKUP($A55,ScionOutput!$A$3:$BL$215,63,FALSE)</f>
        <v>0</v>
      </c>
      <c r="M55" t="b">
        <f t="shared" si="1"/>
        <v>0</v>
      </c>
      <c r="N55">
        <f>VLOOKUP($A55,Outcomes!$B$3:$I$209,8,FALSE)</f>
        <v>5</v>
      </c>
      <c r="O55">
        <f t="shared" si="2"/>
        <v>1</v>
      </c>
      <c r="P55">
        <f>VLOOKUP($A55,Outcomes!$B$3:$I$209,5,FALSE)</f>
        <v>3</v>
      </c>
      <c r="Q55">
        <f>VLOOKUP($A55,Outcomes!$B$3:$I$209,6,FALSE)</f>
        <v>2</v>
      </c>
      <c r="R55">
        <f>VLOOKUP($A55,Outcomes!$B$3:$I$209,7,FALSE)</f>
        <v>-1</v>
      </c>
      <c r="S55" t="str">
        <f t="shared" si="3"/>
        <v>HomFave</v>
      </c>
      <c r="T55" t="str">
        <f t="shared" si="4"/>
        <v/>
      </c>
      <c r="U55" t="str">
        <f t="shared" si="0"/>
        <v/>
      </c>
      <c r="V55" t="str">
        <f t="shared" si="5"/>
        <v/>
      </c>
      <c r="W55" t="str">
        <f t="shared" si="6"/>
        <v/>
      </c>
      <c r="X55" s="2" t="str">
        <f t="shared" si="7"/>
        <v/>
      </c>
      <c r="Y55" t="str">
        <f>VLOOKUP($A55,ScionOutput!$A$3:$BL$215,64,FALSE)</f>
        <v xml:space="preserve">824022. LineStatEns probability points gap does not exceed threshold (no edge found)! StatOnlyEns probability points gap does not exceed threshold (no edge found)! No play due to strategy constraints. </v>
      </c>
    </row>
    <row r="56" spans="1:25" x14ac:dyDescent="0.2">
      <c r="A56">
        <v>824428</v>
      </c>
      <c r="B56" s="3">
        <f>VLOOKUP($A56,ScionOutput!$A$3:$BL$215,3,FALSE)</f>
        <v>46183</v>
      </c>
      <c r="C56">
        <f>VLOOKUP($A56,ScionOutput!$A$3:$BL$215,22,FALSE)</f>
        <v>7</v>
      </c>
      <c r="D56" t="str">
        <f>VLOOKUP($A56,ScionOutput!$A$3:$BL$215,23,FALSE)</f>
        <v>CLE</v>
      </c>
      <c r="E56">
        <f>VLOOKUP($A56,ScionOutput!$A$3:$BL$215,6,FALSE)</f>
        <v>19</v>
      </c>
      <c r="F56" t="str">
        <f>VLOOKUP($A56,ScionOutput!$A$3:$BL$215,7,FALSE)</f>
        <v>NYY</v>
      </c>
      <c r="G56">
        <f>VLOOKUP($A56,ScionOutput!$A$3:$BL$215,26,FALSE)</f>
        <v>-115</v>
      </c>
      <c r="H56">
        <f>VLOOKUP($A56,ScionOutput!$A$3:$BL$215,10,FALSE)</f>
        <v>106</v>
      </c>
      <c r="I56" t="str">
        <f>VLOOKUP($A56,ScionOutput!$A$3:$BL$215,58,FALSE)</f>
        <v>No Play</v>
      </c>
      <c r="J56">
        <f>VLOOKUP($A56,ScionOutput!$A$3:$BL$215,59,FALSE)</f>
        <v>0</v>
      </c>
      <c r="K56">
        <f>VLOOKUP($A56,ScionOutput!$A$3:$BL$215,62,FALSE)</f>
        <v>0</v>
      </c>
      <c r="L56">
        <f>VLOOKUP($A56,ScionOutput!$A$3:$BL$215,63,FALSE)</f>
        <v>0</v>
      </c>
      <c r="M56" t="b">
        <f t="shared" si="1"/>
        <v>0</v>
      </c>
      <c r="N56">
        <f>VLOOKUP($A56,Outcomes!$B$3:$I$209,8,FALSE)</f>
        <v>12</v>
      </c>
      <c r="O56">
        <f t="shared" si="2"/>
        <v>-1</v>
      </c>
      <c r="P56">
        <f>VLOOKUP($A56,Outcomes!$B$3:$I$209,5,FALSE)</f>
        <v>4</v>
      </c>
      <c r="Q56">
        <f>VLOOKUP($A56,Outcomes!$B$3:$I$209,6,FALSE)</f>
        <v>8</v>
      </c>
      <c r="R56">
        <f>VLOOKUP($A56,Outcomes!$B$3:$I$209,7,FALSE)</f>
        <v>4</v>
      </c>
      <c r="S56" t="str">
        <f t="shared" si="3"/>
        <v>VisDog</v>
      </c>
      <c r="T56" t="str">
        <f t="shared" si="4"/>
        <v/>
      </c>
      <c r="U56" t="str">
        <f t="shared" si="0"/>
        <v/>
      </c>
      <c r="V56" t="str">
        <f t="shared" si="5"/>
        <v/>
      </c>
      <c r="W56" t="str">
        <f t="shared" si="6"/>
        <v/>
      </c>
      <c r="X56" s="2" t="str">
        <f t="shared" si="7"/>
        <v/>
      </c>
      <c r="Y56" t="str">
        <f>VLOOKUP($A56,ScionOutput!$A$3:$BL$215,64,FALSE)</f>
        <v xml:space="preserve">824428. LineStatEns probability points gap does not exceed threshold (no edge found)! StatOnlyEns probability points gap does not exceed threshold (no edge found)! No play due to strategy constraints. </v>
      </c>
    </row>
    <row r="57" spans="1:25" x14ac:dyDescent="0.2">
      <c r="A57">
        <v>824348</v>
      </c>
      <c r="B57" s="3">
        <f>VLOOKUP($A57,ScionOutput!$A$3:$BL$215,3,FALSE)</f>
        <v>46183</v>
      </c>
      <c r="C57">
        <f>VLOOKUP($A57,ScionOutput!$A$3:$BL$215,22,FALSE)</f>
        <v>8</v>
      </c>
      <c r="D57" t="str">
        <f>VLOOKUP($A57,ScionOutput!$A$3:$BL$215,23,FALSE)</f>
        <v>COL</v>
      </c>
      <c r="E57">
        <f>VLOOKUP($A57,ScionOutput!$A$3:$BL$215,6,FALSE)</f>
        <v>5</v>
      </c>
      <c r="F57" t="str">
        <f>VLOOKUP($A57,ScionOutput!$A$3:$BL$215,7,FALSE)</f>
        <v>CHC</v>
      </c>
      <c r="G57">
        <f>VLOOKUP($A57,ScionOutput!$A$3:$BL$215,26,FALSE)</f>
        <v>149</v>
      </c>
      <c r="H57">
        <f>VLOOKUP($A57,ScionOutput!$A$3:$BL$215,10,FALSE)</f>
        <v>-162</v>
      </c>
      <c r="I57" t="str">
        <f>VLOOKUP($A57,ScionOutput!$A$3:$BL$215,58,FALSE)</f>
        <v>No Play</v>
      </c>
      <c r="J57">
        <f>VLOOKUP($A57,ScionOutput!$A$3:$BL$215,59,FALSE)</f>
        <v>0</v>
      </c>
      <c r="K57">
        <f>VLOOKUP($A57,ScionOutput!$A$3:$BL$215,62,FALSE)</f>
        <v>0</v>
      </c>
      <c r="L57">
        <f>VLOOKUP($A57,ScionOutput!$A$3:$BL$215,63,FALSE)</f>
        <v>0</v>
      </c>
      <c r="M57" t="b">
        <f t="shared" si="1"/>
        <v>0</v>
      </c>
      <c r="N57">
        <f>VLOOKUP($A57,Outcomes!$B$3:$I$209,8,FALSE)</f>
        <v>5</v>
      </c>
      <c r="O57">
        <f t="shared" si="2"/>
        <v>1</v>
      </c>
      <c r="P57">
        <f>VLOOKUP($A57,Outcomes!$B$3:$I$209,5,FALSE)</f>
        <v>3</v>
      </c>
      <c r="Q57">
        <f>VLOOKUP($A57,Outcomes!$B$3:$I$209,6,FALSE)</f>
        <v>2</v>
      </c>
      <c r="R57">
        <f>VLOOKUP($A57,Outcomes!$B$3:$I$209,7,FALSE)</f>
        <v>-1</v>
      </c>
      <c r="S57" t="str">
        <f t="shared" si="3"/>
        <v>HomDog</v>
      </c>
      <c r="T57" t="str">
        <f t="shared" si="4"/>
        <v/>
      </c>
      <c r="U57" t="str">
        <f t="shared" si="0"/>
        <v/>
      </c>
      <c r="V57" t="str">
        <f t="shared" si="5"/>
        <v/>
      </c>
      <c r="W57" t="str">
        <f t="shared" si="6"/>
        <v/>
      </c>
      <c r="X57" s="2" t="str">
        <f t="shared" si="7"/>
        <v/>
      </c>
      <c r="Y57" t="str">
        <f>VLOOKUP($A57,ScionOutput!$A$3:$BL$215,64,FALSE)</f>
        <v xml:space="preserve">824348. VF plays are disallowed. No play due to strategy constraints. </v>
      </c>
    </row>
    <row r="58" spans="1:25" x14ac:dyDescent="0.2">
      <c r="A58">
        <v>824590</v>
      </c>
      <c r="B58" s="3">
        <f>VLOOKUP($A58,ScionOutput!$A$3:$BL$215,3,FALSE)</f>
        <v>46183</v>
      </c>
      <c r="C58">
        <f>VLOOKUP($A58,ScionOutput!$A$3:$BL$215,22,FALSE)</f>
        <v>9</v>
      </c>
      <c r="D58" t="str">
        <f>VLOOKUP($A58,ScionOutput!$A$3:$BL$215,23,FALSE)</f>
        <v>CWS</v>
      </c>
      <c r="E58">
        <f>VLOOKUP($A58,ScionOutput!$A$3:$BL$215,6,FALSE)</f>
        <v>0</v>
      </c>
      <c r="F58" t="str">
        <f>VLOOKUP($A58,ScionOutput!$A$3:$BL$215,7,FALSE)</f>
        <v>ATL</v>
      </c>
      <c r="G58">
        <f>VLOOKUP($A58,ScionOutput!$A$3:$BL$215,26,FALSE)</f>
        <v>132</v>
      </c>
      <c r="H58">
        <f>VLOOKUP($A58,ScionOutput!$A$3:$BL$215,10,FALSE)</f>
        <v>-143</v>
      </c>
      <c r="I58" t="str">
        <f>VLOOKUP($A58,ScionOutput!$A$3:$BL$215,58,FALSE)</f>
        <v>No Play</v>
      </c>
      <c r="J58">
        <f>VLOOKUP($A58,ScionOutput!$A$3:$BL$215,59,FALSE)</f>
        <v>0</v>
      </c>
      <c r="K58">
        <f>VLOOKUP($A58,ScionOutput!$A$3:$BL$215,62,FALSE)</f>
        <v>0</v>
      </c>
      <c r="L58">
        <f>VLOOKUP($A58,ScionOutput!$A$3:$BL$215,63,FALSE)</f>
        <v>0</v>
      </c>
      <c r="M58" t="b">
        <f t="shared" si="1"/>
        <v>0</v>
      </c>
      <c r="N58">
        <f>VLOOKUP($A58,Outcomes!$B$3:$I$209,8,FALSE)</f>
        <v>3</v>
      </c>
      <c r="O58">
        <f t="shared" si="2"/>
        <v>1</v>
      </c>
      <c r="P58">
        <f>VLOOKUP($A58,Outcomes!$B$3:$I$209,5,FALSE)</f>
        <v>2</v>
      </c>
      <c r="Q58">
        <f>VLOOKUP($A58,Outcomes!$B$3:$I$209,6,FALSE)</f>
        <v>1</v>
      </c>
      <c r="R58">
        <f>VLOOKUP($A58,Outcomes!$B$3:$I$209,7,FALSE)</f>
        <v>-1</v>
      </c>
      <c r="S58" t="str">
        <f t="shared" si="3"/>
        <v>HomDog</v>
      </c>
      <c r="T58" t="str">
        <f t="shared" si="4"/>
        <v/>
      </c>
      <c r="U58" t="str">
        <f t="shared" si="0"/>
        <v/>
      </c>
      <c r="V58" t="str">
        <f t="shared" si="5"/>
        <v/>
      </c>
      <c r="W58" t="str">
        <f t="shared" si="6"/>
        <v/>
      </c>
      <c r="X58" s="2" t="str">
        <f t="shared" si="7"/>
        <v/>
      </c>
      <c r="Y58" t="str">
        <f>VLOOKUP($A58,ScionOutput!$A$3:$BL$215,64,FALSE)</f>
        <v xml:space="preserve">824590. LineStatEns price is outside allowable range! StatOnlyEns price is outside allowable range! No play due to strategy constraints. </v>
      </c>
    </row>
    <row r="59" spans="1:25" x14ac:dyDescent="0.2">
      <c r="A59">
        <v>824266</v>
      </c>
      <c r="B59" s="3">
        <f>VLOOKUP($A59,ScionOutput!$A$3:$BL$215,3,FALSE)</f>
        <v>46183</v>
      </c>
      <c r="C59">
        <f>VLOOKUP($A59,ScionOutput!$A$3:$BL$215,22,FALSE)</f>
        <v>10</v>
      </c>
      <c r="D59" t="str">
        <f>VLOOKUP($A59,ScionOutput!$A$3:$BL$215,23,FALSE)</f>
        <v>DET</v>
      </c>
      <c r="E59">
        <f>VLOOKUP($A59,ScionOutput!$A$3:$BL$215,6,FALSE)</f>
        <v>15</v>
      </c>
      <c r="F59" t="str">
        <f>VLOOKUP($A59,ScionOutput!$A$3:$BL$215,7,FALSE)</f>
        <v>MIN</v>
      </c>
      <c r="G59">
        <f>VLOOKUP($A59,ScionOutput!$A$3:$BL$215,26,FALSE)</f>
        <v>-164</v>
      </c>
      <c r="H59">
        <f>VLOOKUP($A59,ScionOutput!$A$3:$BL$215,10,FALSE)</f>
        <v>150</v>
      </c>
      <c r="I59" t="str">
        <f>VLOOKUP($A59,ScionOutput!$A$3:$BL$215,58,FALSE)</f>
        <v>No Play</v>
      </c>
      <c r="J59">
        <f>VLOOKUP($A59,ScionOutput!$A$3:$BL$215,59,FALSE)</f>
        <v>0</v>
      </c>
      <c r="K59">
        <f>VLOOKUP($A59,ScionOutput!$A$3:$BL$215,62,FALSE)</f>
        <v>0</v>
      </c>
      <c r="L59">
        <f>VLOOKUP($A59,ScionOutput!$A$3:$BL$215,63,FALSE)</f>
        <v>0</v>
      </c>
      <c r="M59" t="b">
        <f t="shared" si="1"/>
        <v>0</v>
      </c>
      <c r="N59">
        <f>VLOOKUP($A59,Outcomes!$B$3:$I$209,8,FALSE)</f>
        <v>10</v>
      </c>
      <c r="O59">
        <f t="shared" si="2"/>
        <v>-1</v>
      </c>
      <c r="P59">
        <f>VLOOKUP($A59,Outcomes!$B$3:$I$209,5,FALSE)</f>
        <v>4</v>
      </c>
      <c r="Q59">
        <f>VLOOKUP($A59,Outcomes!$B$3:$I$209,6,FALSE)</f>
        <v>6</v>
      </c>
      <c r="R59">
        <f>VLOOKUP($A59,Outcomes!$B$3:$I$209,7,FALSE)</f>
        <v>2</v>
      </c>
      <c r="S59" t="str">
        <f t="shared" si="3"/>
        <v>VisDog</v>
      </c>
      <c r="T59" t="str">
        <f t="shared" si="4"/>
        <v/>
      </c>
      <c r="U59" t="str">
        <f t="shared" si="0"/>
        <v/>
      </c>
      <c r="V59" t="str">
        <f t="shared" si="5"/>
        <v/>
      </c>
      <c r="W59" t="str">
        <f t="shared" si="6"/>
        <v/>
      </c>
      <c r="X59" s="2" t="str">
        <f t="shared" si="7"/>
        <v/>
      </c>
      <c r="Y59" t="str">
        <f>VLOOKUP($A59,ScionOutput!$A$3:$BL$215,64,FALSE)</f>
        <v xml:space="preserve">824266. V_SP is Null, team-based avg used. NoPlay as V_SP is Null. </v>
      </c>
    </row>
    <row r="60" spans="1:25" x14ac:dyDescent="0.2">
      <c r="A60">
        <v>823856</v>
      </c>
      <c r="B60" s="3">
        <f>VLOOKUP($A60,ScionOutput!$A$3:$BL$215,3,FALSE)</f>
        <v>46183</v>
      </c>
      <c r="C60">
        <f>VLOOKUP($A60,ScionOutput!$A$3:$BL$215,22,FALSE)</f>
        <v>11</v>
      </c>
      <c r="D60" t="str">
        <f>VLOOKUP($A60,ScionOutput!$A$3:$BL$215,23,FALSE)</f>
        <v>FLO</v>
      </c>
      <c r="E60">
        <f>VLOOKUP($A60,ScionOutput!$A$3:$BL$215,6,FALSE)</f>
        <v>1</v>
      </c>
      <c r="F60" t="str">
        <f>VLOOKUP($A60,ScionOutput!$A$3:$BL$215,7,FALSE)</f>
        <v>ARZ</v>
      </c>
      <c r="G60">
        <f>VLOOKUP($A60,ScionOutput!$A$3:$BL$215,26,FALSE)</f>
        <v>102</v>
      </c>
      <c r="H60">
        <f>VLOOKUP($A60,ScionOutput!$A$3:$BL$215,10,FALSE)</f>
        <v>-111</v>
      </c>
      <c r="I60" t="str">
        <f>VLOOKUP($A60,ScionOutput!$A$3:$BL$215,58,FALSE)</f>
        <v>HomDog</v>
      </c>
      <c r="J60">
        <f>VLOOKUP($A60,ScionOutput!$A$3:$BL$215,59,FALSE)</f>
        <v>1.519E-2</v>
      </c>
      <c r="K60">
        <f>VLOOKUP($A60,ScionOutput!$A$3:$BL$215,62,FALSE)</f>
        <v>5</v>
      </c>
      <c r="L60">
        <f>VLOOKUP($A60,ScionOutput!$A$3:$BL$215,63,FALSE)</f>
        <v>0.6</v>
      </c>
      <c r="M60" t="b">
        <f t="shared" si="1"/>
        <v>1</v>
      </c>
      <c r="N60">
        <f>VLOOKUP($A60,Outcomes!$B$3:$I$209,8,FALSE)</f>
        <v>8</v>
      </c>
      <c r="O60">
        <f t="shared" si="2"/>
        <v>1</v>
      </c>
      <c r="P60">
        <f>VLOOKUP($A60,Outcomes!$B$3:$I$209,5,FALSE)</f>
        <v>8</v>
      </c>
      <c r="Q60">
        <f>VLOOKUP($A60,Outcomes!$B$3:$I$209,6,FALSE)</f>
        <v>0</v>
      </c>
      <c r="R60">
        <f>VLOOKUP($A60,Outcomes!$B$3:$I$209,7,FALSE)</f>
        <v>-8</v>
      </c>
      <c r="S60" t="str">
        <f t="shared" si="3"/>
        <v>HomDog</v>
      </c>
      <c r="T60">
        <f t="shared" si="4"/>
        <v>1</v>
      </c>
      <c r="U60">
        <f t="shared" si="0"/>
        <v>100</v>
      </c>
      <c r="V60">
        <f t="shared" si="5"/>
        <v>202</v>
      </c>
      <c r="W60">
        <f t="shared" si="6"/>
        <v>102</v>
      </c>
      <c r="X60" s="2">
        <f t="shared" si="7"/>
        <v>1.02</v>
      </c>
      <c r="Y60" t="str">
        <f>VLOOKUP($A60,ScionOutput!$A$3:$BL$215,64,FALSE)</f>
        <v xml:space="preserve">823856. Play determined by LineStatEns and StatOnlyEns agreement. </v>
      </c>
    </row>
    <row r="61" spans="1:25" x14ac:dyDescent="0.2">
      <c r="A61">
        <v>824103</v>
      </c>
      <c r="B61" s="3">
        <f>VLOOKUP($A61,ScionOutput!$A$3:$BL$215,3,FALSE)</f>
        <v>46183</v>
      </c>
      <c r="C61">
        <f>VLOOKUP($A61,ScionOutput!$A$3:$BL$215,22,FALSE)</f>
        <v>13</v>
      </c>
      <c r="D61" t="str">
        <f>VLOOKUP($A61,ScionOutput!$A$3:$BL$215,23,FALSE)</f>
        <v>KC</v>
      </c>
      <c r="E61">
        <f>VLOOKUP($A61,ScionOutput!$A$3:$BL$215,6,FALSE)</f>
        <v>28</v>
      </c>
      <c r="F61" t="str">
        <f>VLOOKUP($A61,ScionOutput!$A$3:$BL$215,7,FALSE)</f>
        <v>TEX</v>
      </c>
      <c r="G61">
        <f>VLOOKUP($A61,ScionOutput!$A$3:$BL$215,26,FALSE)</f>
        <v>108</v>
      </c>
      <c r="H61">
        <f>VLOOKUP($A61,ScionOutput!$A$3:$BL$215,10,FALSE)</f>
        <v>-117</v>
      </c>
      <c r="I61" t="str">
        <f>VLOOKUP($A61,ScionOutput!$A$3:$BL$215,58,FALSE)</f>
        <v>No Play</v>
      </c>
      <c r="J61">
        <f>VLOOKUP($A61,ScionOutput!$A$3:$BL$215,59,FALSE)</f>
        <v>0</v>
      </c>
      <c r="K61">
        <f>VLOOKUP($A61,ScionOutput!$A$3:$BL$215,62,FALSE)</f>
        <v>0</v>
      </c>
      <c r="L61">
        <f>VLOOKUP($A61,ScionOutput!$A$3:$BL$215,63,FALSE)</f>
        <v>0</v>
      </c>
      <c r="M61" t="b">
        <f t="shared" si="1"/>
        <v>0</v>
      </c>
      <c r="N61">
        <f>VLOOKUP($A61,Outcomes!$B$3:$I$209,8,FALSE)</f>
        <v>10</v>
      </c>
      <c r="O61">
        <f t="shared" si="2"/>
        <v>-1</v>
      </c>
      <c r="P61">
        <f>VLOOKUP($A61,Outcomes!$B$3:$I$209,5,FALSE)</f>
        <v>4</v>
      </c>
      <c r="Q61">
        <f>VLOOKUP($A61,Outcomes!$B$3:$I$209,6,FALSE)</f>
        <v>6</v>
      </c>
      <c r="R61">
        <f>VLOOKUP($A61,Outcomes!$B$3:$I$209,7,FALSE)</f>
        <v>2</v>
      </c>
      <c r="S61" t="str">
        <f t="shared" si="3"/>
        <v>VisFave</v>
      </c>
      <c r="T61" t="str">
        <f t="shared" si="4"/>
        <v/>
      </c>
      <c r="U61" t="str">
        <f t="shared" si="0"/>
        <v/>
      </c>
      <c r="V61" t="str">
        <f t="shared" si="5"/>
        <v/>
      </c>
      <c r="W61" t="str">
        <f t="shared" si="6"/>
        <v/>
      </c>
      <c r="X61" s="2" t="str">
        <f t="shared" si="7"/>
        <v/>
      </c>
      <c r="Y61" t="str">
        <f>VLOOKUP($A61,ScionOutput!$A$3:$BL$215,64,FALSE)</f>
        <v xml:space="preserve">824103. VF plays are disallowed. No play due to strategy constraints. </v>
      </c>
    </row>
    <row r="62" spans="1:25" x14ac:dyDescent="0.2">
      <c r="A62">
        <v>823618</v>
      </c>
      <c r="B62" s="3">
        <f>VLOOKUP($A62,ScionOutput!$A$3:$BL$215,3,FALSE)</f>
        <v>46183</v>
      </c>
      <c r="C62">
        <f>VLOOKUP($A62,ScionOutput!$A$3:$BL$215,22,FALSE)</f>
        <v>18</v>
      </c>
      <c r="D62" t="str">
        <f>VLOOKUP($A62,ScionOutput!$A$3:$BL$215,23,FALSE)</f>
        <v>NYM</v>
      </c>
      <c r="E62">
        <f>VLOOKUP($A62,ScionOutput!$A$3:$BL$215,6,FALSE)</f>
        <v>26</v>
      </c>
      <c r="F62" t="str">
        <f>VLOOKUP($A62,ScionOutput!$A$3:$BL$215,7,FALSE)</f>
        <v>STL</v>
      </c>
      <c r="G62">
        <f>VLOOKUP($A62,ScionOutput!$A$3:$BL$215,26,FALSE)</f>
        <v>-128</v>
      </c>
      <c r="H62">
        <f>VLOOKUP($A62,ScionOutput!$A$3:$BL$215,10,FALSE)</f>
        <v>118</v>
      </c>
      <c r="I62" t="str">
        <f>VLOOKUP($A62,ScionOutput!$A$3:$BL$215,58,FALSE)</f>
        <v>No Play</v>
      </c>
      <c r="J62">
        <f>VLOOKUP($A62,ScionOutput!$A$3:$BL$215,59,FALSE)</f>
        <v>0</v>
      </c>
      <c r="K62">
        <f>VLOOKUP($A62,ScionOutput!$A$3:$BL$215,62,FALSE)</f>
        <v>0</v>
      </c>
      <c r="L62">
        <f>VLOOKUP($A62,ScionOutput!$A$3:$BL$215,63,FALSE)</f>
        <v>0</v>
      </c>
      <c r="M62" t="b">
        <f t="shared" si="1"/>
        <v>0</v>
      </c>
      <c r="N62">
        <f>VLOOKUP($A62,Outcomes!$B$3:$I$209,8,FALSE)</f>
        <v>11</v>
      </c>
      <c r="O62">
        <f t="shared" si="2"/>
        <v>-1</v>
      </c>
      <c r="P62">
        <f>VLOOKUP($A62,Outcomes!$B$3:$I$209,5,FALSE)</f>
        <v>2</v>
      </c>
      <c r="Q62">
        <f>VLOOKUP($A62,Outcomes!$B$3:$I$209,6,FALSE)</f>
        <v>9</v>
      </c>
      <c r="R62">
        <f>VLOOKUP($A62,Outcomes!$B$3:$I$209,7,FALSE)</f>
        <v>7</v>
      </c>
      <c r="S62" t="str">
        <f t="shared" si="3"/>
        <v>VisDog</v>
      </c>
      <c r="T62" t="str">
        <f t="shared" si="4"/>
        <v/>
      </c>
      <c r="U62" t="str">
        <f t="shared" si="0"/>
        <v/>
      </c>
      <c r="V62" t="str">
        <f t="shared" si="5"/>
        <v/>
      </c>
      <c r="W62" t="str">
        <f t="shared" si="6"/>
        <v/>
      </c>
      <c r="X62" s="2" t="str">
        <f t="shared" si="7"/>
        <v/>
      </c>
      <c r="Y62" t="str">
        <f>VLOOKUP($A62,ScionOutput!$A$3:$BL$215,64,FALSE)</f>
        <v xml:space="preserve">823618. LineStatEns probability points gap does not exceed threshold (no edge found)! StatOnlyEns probability points gap does not exceed threshold (no edge found)! No play due to strategy constraints. </v>
      </c>
    </row>
    <row r="63" spans="1:25" x14ac:dyDescent="0.2">
      <c r="A63">
        <v>824996</v>
      </c>
      <c r="B63" s="3">
        <f>VLOOKUP($A63,ScionOutput!$A$3:$BL$215,3,FALSE)</f>
        <v>46183</v>
      </c>
      <c r="C63">
        <f>VLOOKUP($A63,ScionOutput!$A$3:$BL$215,22,FALSE)</f>
        <v>20</v>
      </c>
      <c r="D63" t="str">
        <f>VLOOKUP($A63,ScionOutput!$A$3:$BL$215,23,FALSE)</f>
        <v>OAK</v>
      </c>
      <c r="E63">
        <f>VLOOKUP($A63,ScionOutput!$A$3:$BL$215,6,FALSE)</f>
        <v>17</v>
      </c>
      <c r="F63" t="str">
        <f>VLOOKUP($A63,ScionOutput!$A$3:$BL$215,7,FALSE)</f>
        <v>MLW</v>
      </c>
      <c r="G63">
        <f>VLOOKUP($A63,ScionOutput!$A$3:$BL$215,26,FALSE)</f>
        <v>-105</v>
      </c>
      <c r="H63">
        <f>VLOOKUP($A63,ScionOutput!$A$3:$BL$215,10,FALSE)</f>
        <v>-103</v>
      </c>
      <c r="I63" t="str">
        <f>VLOOKUP($A63,ScionOutput!$A$3:$BL$215,58,FALSE)</f>
        <v>VisDog</v>
      </c>
      <c r="J63">
        <f>VLOOKUP($A63,ScionOutput!$A$3:$BL$215,59,FALSE)</f>
        <v>-6.2359999999999999E-2</v>
      </c>
      <c r="K63">
        <f>VLOOKUP($A63,ScionOutput!$A$3:$BL$215,62,FALSE)</f>
        <v>5</v>
      </c>
      <c r="L63">
        <f>VLOOKUP($A63,ScionOutput!$A$3:$BL$215,63,FALSE)</f>
        <v>0.98</v>
      </c>
      <c r="M63" t="b">
        <f t="shared" si="1"/>
        <v>0</v>
      </c>
      <c r="N63">
        <f>VLOOKUP($A63,Outcomes!$B$3:$I$209,8,FALSE)</f>
        <v>7</v>
      </c>
      <c r="O63">
        <f t="shared" si="2"/>
        <v>1</v>
      </c>
      <c r="P63">
        <f>VLOOKUP($A63,Outcomes!$B$3:$I$209,5,FALSE)</f>
        <v>4</v>
      </c>
      <c r="Q63">
        <f>VLOOKUP($A63,Outcomes!$B$3:$I$209,6,FALSE)</f>
        <v>3</v>
      </c>
      <c r="R63">
        <f>VLOOKUP($A63,Outcomes!$B$3:$I$209,7,FALSE)</f>
        <v>-1</v>
      </c>
      <c r="S63" t="str">
        <f t="shared" si="3"/>
        <v>HomFave</v>
      </c>
      <c r="T63" t="str">
        <f t="shared" si="4"/>
        <v/>
      </c>
      <c r="U63" t="str">
        <f t="shared" si="0"/>
        <v/>
      </c>
      <c r="V63" t="str">
        <f t="shared" si="5"/>
        <v/>
      </c>
      <c r="W63" t="str">
        <f t="shared" si="6"/>
        <v/>
      </c>
      <c r="X63" s="2" t="str">
        <f t="shared" si="7"/>
        <v/>
      </c>
      <c r="Y63" t="str">
        <f>VLOOKUP($A63,ScionOutput!$A$3:$BL$215,64,FALSE)</f>
        <v xml:space="preserve">824996. Play determined by StatOnlyEns when it disagrees with LineStatEns. </v>
      </c>
    </row>
    <row r="64" spans="1:25" x14ac:dyDescent="0.2">
      <c r="A64">
        <v>823372</v>
      </c>
      <c r="B64" s="3">
        <f>VLOOKUP($A64,ScionOutput!$A$3:$BL$215,3,FALSE)</f>
        <v>46183</v>
      </c>
      <c r="C64">
        <f>VLOOKUP($A64,ScionOutput!$A$3:$BL$215,22,FALSE)</f>
        <v>22</v>
      </c>
      <c r="D64" t="str">
        <f>VLOOKUP($A64,ScionOutput!$A$3:$BL$215,23,FALSE)</f>
        <v>PIT</v>
      </c>
      <c r="E64">
        <f>VLOOKUP($A64,ScionOutput!$A$3:$BL$215,6,FALSE)</f>
        <v>14</v>
      </c>
      <c r="F64" t="str">
        <f>VLOOKUP($A64,ScionOutput!$A$3:$BL$215,7,FALSE)</f>
        <v>LA</v>
      </c>
      <c r="G64">
        <f>VLOOKUP($A64,ScionOutput!$A$3:$BL$215,26,FALSE)</f>
        <v>175</v>
      </c>
      <c r="H64">
        <f>VLOOKUP($A64,ScionOutput!$A$3:$BL$215,10,FALSE)</f>
        <v>-193</v>
      </c>
      <c r="I64" t="str">
        <f>VLOOKUP($A64,ScionOutput!$A$3:$BL$215,58,FALSE)</f>
        <v>No Play</v>
      </c>
      <c r="J64">
        <f>VLOOKUP($A64,ScionOutput!$A$3:$BL$215,59,FALSE)</f>
        <v>0</v>
      </c>
      <c r="K64">
        <f>VLOOKUP($A64,ScionOutput!$A$3:$BL$215,62,FALSE)</f>
        <v>0</v>
      </c>
      <c r="L64">
        <f>VLOOKUP($A64,ScionOutput!$A$3:$BL$215,63,FALSE)</f>
        <v>0</v>
      </c>
      <c r="M64" t="b">
        <f t="shared" si="1"/>
        <v>0</v>
      </c>
      <c r="N64">
        <f>VLOOKUP($A64,Outcomes!$B$3:$I$209,8,FALSE)</f>
        <v>17</v>
      </c>
      <c r="O64">
        <f t="shared" si="2"/>
        <v>1</v>
      </c>
      <c r="P64">
        <f>VLOOKUP($A64,Outcomes!$B$3:$I$209,5,FALSE)</f>
        <v>9</v>
      </c>
      <c r="Q64">
        <f>VLOOKUP($A64,Outcomes!$B$3:$I$209,6,FALSE)</f>
        <v>8</v>
      </c>
      <c r="R64">
        <f>VLOOKUP($A64,Outcomes!$B$3:$I$209,7,FALSE)</f>
        <v>-1</v>
      </c>
      <c r="S64" t="str">
        <f t="shared" si="3"/>
        <v>HomDog</v>
      </c>
      <c r="T64" t="str">
        <f t="shared" si="4"/>
        <v/>
      </c>
      <c r="U64" t="str">
        <f t="shared" si="0"/>
        <v/>
      </c>
      <c r="V64" t="str">
        <f t="shared" si="5"/>
        <v/>
      </c>
      <c r="W64" t="str">
        <f t="shared" si="6"/>
        <v/>
      </c>
      <c r="X64" s="2" t="str">
        <f t="shared" si="7"/>
        <v/>
      </c>
      <c r="Y64" t="str">
        <f>VLOOKUP($A64,ScionOutput!$A$3:$BL$215,64,FALSE)</f>
        <v xml:space="preserve">823372. LineStatEns is NoPlay as bookie-line outside range. StatOnlyEns is NoPlay as bookie-line outside range. No play due to strategy constraints. </v>
      </c>
    </row>
    <row r="65" spans="1:25" x14ac:dyDescent="0.2">
      <c r="A65">
        <v>823287</v>
      </c>
      <c r="B65" s="3">
        <f>VLOOKUP($A65,ScionOutput!$A$3:$BL$215,3,FALSE)</f>
        <v>46183</v>
      </c>
      <c r="C65">
        <f>VLOOKUP($A65,ScionOutput!$A$3:$BL$215,22,FALSE)</f>
        <v>23</v>
      </c>
      <c r="D65" t="str">
        <f>VLOOKUP($A65,ScionOutput!$A$3:$BL$215,23,FALSE)</f>
        <v>SD</v>
      </c>
      <c r="E65">
        <f>VLOOKUP($A65,ScionOutput!$A$3:$BL$215,6,FALSE)</f>
        <v>6</v>
      </c>
      <c r="F65" t="str">
        <f>VLOOKUP($A65,ScionOutput!$A$3:$BL$215,7,FALSE)</f>
        <v>CIN</v>
      </c>
      <c r="G65">
        <f>VLOOKUP($A65,ScionOutput!$A$3:$BL$215,26,FALSE)</f>
        <v>-158</v>
      </c>
      <c r="H65">
        <f>VLOOKUP($A65,ScionOutput!$A$3:$BL$215,10,FALSE)</f>
        <v>145</v>
      </c>
      <c r="I65" t="str">
        <f>VLOOKUP($A65,ScionOutput!$A$3:$BL$215,58,FALSE)</f>
        <v>No Play</v>
      </c>
      <c r="J65">
        <f>VLOOKUP($A65,ScionOutput!$A$3:$BL$215,59,FALSE)</f>
        <v>0</v>
      </c>
      <c r="K65">
        <f>VLOOKUP($A65,ScionOutput!$A$3:$BL$215,62,FALSE)</f>
        <v>0</v>
      </c>
      <c r="L65">
        <f>VLOOKUP($A65,ScionOutput!$A$3:$BL$215,63,FALSE)</f>
        <v>0</v>
      </c>
      <c r="M65" t="b">
        <f t="shared" si="1"/>
        <v>0</v>
      </c>
      <c r="N65">
        <f>VLOOKUP($A65,Outcomes!$B$3:$I$209,8,FALSE)</f>
        <v>9</v>
      </c>
      <c r="O65">
        <f t="shared" si="2"/>
        <v>1</v>
      </c>
      <c r="P65">
        <f>VLOOKUP($A65,Outcomes!$B$3:$I$209,5,FALSE)</f>
        <v>5</v>
      </c>
      <c r="Q65">
        <f>VLOOKUP($A65,Outcomes!$B$3:$I$209,6,FALSE)</f>
        <v>4</v>
      </c>
      <c r="R65">
        <f>VLOOKUP($A65,Outcomes!$B$3:$I$209,7,FALSE)</f>
        <v>-1</v>
      </c>
      <c r="S65" t="str">
        <f t="shared" si="3"/>
        <v>HomFave</v>
      </c>
      <c r="T65" t="str">
        <f t="shared" si="4"/>
        <v/>
      </c>
      <c r="U65" t="str">
        <f t="shared" si="0"/>
        <v/>
      </c>
      <c r="V65" t="str">
        <f t="shared" si="5"/>
        <v/>
      </c>
      <c r="W65" t="str">
        <f t="shared" si="6"/>
        <v/>
      </c>
      <c r="X65" s="2" t="str">
        <f t="shared" si="7"/>
        <v/>
      </c>
      <c r="Y65" t="str">
        <f>VLOOKUP($A65,ScionOutput!$A$3:$BL$215,64,FALSE)</f>
        <v xml:space="preserve">823287. LineStatEns is NoPlay as bookie-line outside range. StatOnlyEns is NoPlay as bookie-line outside range. No play due to strategy constraints. </v>
      </c>
    </row>
    <row r="66" spans="1:25" x14ac:dyDescent="0.2">
      <c r="A66">
        <v>823215</v>
      </c>
      <c r="B66" s="3">
        <f>VLOOKUP($A66,ScionOutput!$A$3:$BL$215,3,FALSE)</f>
        <v>46183</v>
      </c>
      <c r="C66">
        <f>VLOOKUP($A66,ScionOutput!$A$3:$BL$215,22,FALSE)</f>
        <v>25</v>
      </c>
      <c r="D66" t="str">
        <f>VLOOKUP($A66,ScionOutput!$A$3:$BL$215,23,FALSE)</f>
        <v>SF</v>
      </c>
      <c r="E66">
        <f>VLOOKUP($A66,ScionOutput!$A$3:$BL$215,6,FALSE)</f>
        <v>16</v>
      </c>
      <c r="F66" t="str">
        <f>VLOOKUP($A66,ScionOutput!$A$3:$BL$215,7,FALSE)</f>
        <v>WAS</v>
      </c>
      <c r="G66">
        <f>VLOOKUP($A66,ScionOutput!$A$3:$BL$215,26,FALSE)</f>
        <v>-105</v>
      </c>
      <c r="H66">
        <f>VLOOKUP($A66,ScionOutput!$A$3:$BL$215,10,FALSE)</f>
        <v>-103</v>
      </c>
      <c r="I66" t="str">
        <f>VLOOKUP($A66,ScionOutput!$A$3:$BL$215,58,FALSE)</f>
        <v>VisDog</v>
      </c>
      <c r="J66">
        <f>VLOOKUP($A66,ScionOutput!$A$3:$BL$215,59,FALSE)</f>
        <v>-3.236E-2</v>
      </c>
      <c r="K66">
        <f>VLOOKUP($A66,ScionOutput!$A$3:$BL$215,62,FALSE)</f>
        <v>3</v>
      </c>
      <c r="L66">
        <f>VLOOKUP($A66,ScionOutput!$A$3:$BL$215,63,FALSE)</f>
        <v>0.93</v>
      </c>
      <c r="M66" t="b">
        <f t="shared" si="1"/>
        <v>0</v>
      </c>
      <c r="N66">
        <f>VLOOKUP($A66,Outcomes!$B$3:$I$209,8,FALSE)</f>
        <v>21</v>
      </c>
      <c r="O66">
        <f t="shared" si="2"/>
        <v>1</v>
      </c>
      <c r="P66">
        <f>VLOOKUP($A66,Outcomes!$B$3:$I$209,5,FALSE)</f>
        <v>11</v>
      </c>
      <c r="Q66">
        <f>VLOOKUP($A66,Outcomes!$B$3:$I$209,6,FALSE)</f>
        <v>10</v>
      </c>
      <c r="R66">
        <f>VLOOKUP($A66,Outcomes!$B$3:$I$209,7,FALSE)</f>
        <v>-1</v>
      </c>
      <c r="S66" t="str">
        <f t="shared" si="3"/>
        <v>HomFave</v>
      </c>
      <c r="T66" t="str">
        <f t="shared" si="4"/>
        <v/>
      </c>
      <c r="U66" t="str">
        <f t="shared" ref="U66:U129" si="8">IF(T66="","",IF(G66&lt;H66,IF(I66="HomFave",ABS(G66),IF(H66&lt;0,ABS(H66),100)),IF(I66="VisFave",ABS(H66),IF(G66&lt;0,ABS(G66),100))))</f>
        <v/>
      </c>
      <c r="V66" t="str">
        <f t="shared" si="5"/>
        <v/>
      </c>
      <c r="W66" t="str">
        <f t="shared" si="6"/>
        <v/>
      </c>
      <c r="X66" s="2" t="str">
        <f t="shared" si="7"/>
        <v/>
      </c>
      <c r="Y66" t="str">
        <f>VLOOKUP($A66,ScionOutput!$A$3:$BL$215,64,FALSE)</f>
        <v xml:space="preserve">823215. StatOnlyEns probability points gap does not exceed threshold (no edge found)! Play determined by LineStatEns only. </v>
      </c>
    </row>
    <row r="67" spans="1:25" x14ac:dyDescent="0.2">
      <c r="A67">
        <v>822970</v>
      </c>
      <c r="B67" s="3">
        <f>VLOOKUP($A67,ScionOutput!$A$3:$BL$215,3,FALSE)</f>
        <v>46183</v>
      </c>
      <c r="C67">
        <f>VLOOKUP($A67,ScionOutput!$A$3:$BL$215,22,FALSE)</f>
        <v>27</v>
      </c>
      <c r="D67" t="str">
        <f>VLOOKUP($A67,ScionOutput!$A$3:$BL$215,23,FALSE)</f>
        <v>TB</v>
      </c>
      <c r="E67">
        <f>VLOOKUP($A67,ScionOutput!$A$3:$BL$215,6,FALSE)</f>
        <v>3</v>
      </c>
      <c r="F67" t="str">
        <f>VLOOKUP($A67,ScionOutput!$A$3:$BL$215,7,FALSE)</f>
        <v>BOS</v>
      </c>
      <c r="G67">
        <f>VLOOKUP($A67,ScionOutput!$A$3:$BL$215,26,FALSE)</f>
        <v>-154</v>
      </c>
      <c r="H67">
        <f>VLOOKUP($A67,ScionOutput!$A$3:$BL$215,10,FALSE)</f>
        <v>142</v>
      </c>
      <c r="I67" t="str">
        <f>VLOOKUP($A67,ScionOutput!$A$3:$BL$215,58,FALSE)</f>
        <v>No Play</v>
      </c>
      <c r="J67">
        <f>VLOOKUP($A67,ScionOutput!$A$3:$BL$215,59,FALSE)</f>
        <v>0</v>
      </c>
      <c r="K67">
        <f>VLOOKUP($A67,ScionOutput!$A$3:$BL$215,62,FALSE)</f>
        <v>0</v>
      </c>
      <c r="L67">
        <f>VLOOKUP($A67,ScionOutput!$A$3:$BL$215,63,FALSE)</f>
        <v>0</v>
      </c>
      <c r="M67" t="b">
        <f t="shared" ref="M67:M130" si="9">ISNUMBER(SEARCH("Play determined by LineStatEns and StatOnlyEns agreement", Y67))</f>
        <v>0</v>
      </c>
      <c r="N67">
        <f>VLOOKUP($A67,Outcomes!$B$3:$I$209,8,FALSE)</f>
        <v>12</v>
      </c>
      <c r="O67">
        <f t="shared" ref="O67:O130" si="10">IF(P67&gt;Q67,1,IF(P67&lt;Q67,-1,0))</f>
        <v>1</v>
      </c>
      <c r="P67">
        <f>VLOOKUP($A67,Outcomes!$B$3:$I$209,5,FALSE)</f>
        <v>7</v>
      </c>
      <c r="Q67">
        <f>VLOOKUP($A67,Outcomes!$B$3:$I$209,6,FALSE)</f>
        <v>5</v>
      </c>
      <c r="R67">
        <f>VLOOKUP($A67,Outcomes!$B$3:$I$209,7,FALSE)</f>
        <v>-2</v>
      </c>
      <c r="S67" t="str">
        <f t="shared" ref="S67:S130" si="11">IF(R67=0,"Push",IF(G67&lt;H67,IF(R67&lt;0,"HomFave","VisDog"),IF(R67&gt;0,"VisFave","HomDog")))</f>
        <v>HomFave</v>
      </c>
      <c r="T67" t="str">
        <f t="shared" ref="T67:T130" si="12">IF(OR(R67=0,I67="No Play",M67&lt;&gt;TRUE),"",IF(S67=I67,1,0))</f>
        <v/>
      </c>
      <c r="U67" t="str">
        <f t="shared" si="8"/>
        <v/>
      </c>
      <c r="V67" t="str">
        <f t="shared" ref="V67:V130" si="13">IF(T67="","",IF(T67=0,0,IF(G67&lt;H67,IF(I67="HomFave",U67+100,IF(H67&lt;0,100+U67,U67+ABS(H67))),IF(I67="VisFave",U67+100,IF(G67&lt;0,100+U67,U67+ABS(G67))))))</f>
        <v/>
      </c>
      <c r="W67" t="str">
        <f t="shared" ref="W67:W130" si="14">IF(T67="","",V67-U67)</f>
        <v/>
      </c>
      <c r="X67" s="2" t="str">
        <f t="shared" ref="X67:X130" si="15">IF(T67="","",W67/U67)</f>
        <v/>
      </c>
      <c r="Y67" t="str">
        <f>VLOOKUP($A67,ScionOutput!$A$3:$BL$215,64,FALSE)</f>
        <v xml:space="preserve">822970. LineStatEns is NoPlay as bookie-line outside range. StatOnlyEns is NoPlay as bookie-line outside range. No play due to strategy constraints. </v>
      </c>
    </row>
    <row r="68" spans="1:25" x14ac:dyDescent="0.2">
      <c r="A68">
        <v>822804</v>
      </c>
      <c r="B68" s="3">
        <f>VLOOKUP($A68,ScionOutput!$A$3:$BL$215,3,FALSE)</f>
        <v>46183</v>
      </c>
      <c r="C68">
        <f>VLOOKUP($A68,ScionOutput!$A$3:$BL$215,22,FALSE)</f>
        <v>29</v>
      </c>
      <c r="D68" t="str">
        <f>VLOOKUP($A68,ScionOutput!$A$3:$BL$215,23,FALSE)</f>
        <v>TOR</v>
      </c>
      <c r="E68">
        <f>VLOOKUP($A68,ScionOutput!$A$3:$BL$215,6,FALSE)</f>
        <v>21</v>
      </c>
      <c r="F68" t="str">
        <f>VLOOKUP($A68,ScionOutput!$A$3:$BL$215,7,FALSE)</f>
        <v>PHI</v>
      </c>
      <c r="G68">
        <f>VLOOKUP($A68,ScionOutput!$A$3:$BL$215,26,FALSE)</f>
        <v>114</v>
      </c>
      <c r="H68">
        <f>VLOOKUP($A68,ScionOutput!$A$3:$BL$215,10,FALSE)</f>
        <v>-124</v>
      </c>
      <c r="I68" t="str">
        <f>VLOOKUP($A68,ScionOutput!$A$3:$BL$215,58,FALSE)</f>
        <v>No Play</v>
      </c>
      <c r="J68">
        <f>VLOOKUP($A68,ScionOutput!$A$3:$BL$215,59,FALSE)</f>
        <v>0</v>
      </c>
      <c r="K68">
        <f>VLOOKUP($A68,ScionOutput!$A$3:$BL$215,62,FALSE)</f>
        <v>0</v>
      </c>
      <c r="L68">
        <f>VLOOKUP($A68,ScionOutput!$A$3:$BL$215,63,FALSE)</f>
        <v>0</v>
      </c>
      <c r="M68" t="b">
        <f t="shared" si="9"/>
        <v>0</v>
      </c>
      <c r="N68">
        <f>VLOOKUP($A68,Outcomes!$B$3:$I$209,8,FALSE)</f>
        <v>11</v>
      </c>
      <c r="O68">
        <f t="shared" si="10"/>
        <v>-1</v>
      </c>
      <c r="P68">
        <f>VLOOKUP($A68,Outcomes!$B$3:$I$209,5,FALSE)</f>
        <v>4</v>
      </c>
      <c r="Q68">
        <f>VLOOKUP($A68,Outcomes!$B$3:$I$209,6,FALSE)</f>
        <v>7</v>
      </c>
      <c r="R68">
        <f>VLOOKUP($A68,Outcomes!$B$3:$I$209,7,FALSE)</f>
        <v>3</v>
      </c>
      <c r="S68" t="str">
        <f t="shared" si="11"/>
        <v>VisFave</v>
      </c>
      <c r="T68" t="str">
        <f t="shared" si="12"/>
        <v/>
      </c>
      <c r="U68" t="str">
        <f t="shared" si="8"/>
        <v/>
      </c>
      <c r="V68" t="str">
        <f t="shared" si="13"/>
        <v/>
      </c>
      <c r="W68" t="str">
        <f t="shared" si="14"/>
        <v/>
      </c>
      <c r="X68" s="2" t="str">
        <f t="shared" si="15"/>
        <v/>
      </c>
      <c r="Y68" t="str">
        <f>VLOOKUP($A68,ScionOutput!$A$3:$BL$215,64,FALSE)</f>
        <v xml:space="preserve">822804. VF plays are disallowed. No play due to strategy constraints. </v>
      </c>
    </row>
    <row r="69" spans="1:25" x14ac:dyDescent="0.2">
      <c r="A69">
        <v>824827</v>
      </c>
      <c r="B69" s="3">
        <f>VLOOKUP($A69,ScionOutput!$A$3:$BL$215,3,FALSE)</f>
        <v>46184</v>
      </c>
      <c r="C69">
        <f>VLOOKUP($A69,ScionOutput!$A$3:$BL$215,22,FALSE)</f>
        <v>2</v>
      </c>
      <c r="D69" t="str">
        <f>VLOOKUP($A69,ScionOutput!$A$3:$BL$215,23,FALSE)</f>
        <v>BAL</v>
      </c>
      <c r="E69">
        <f>VLOOKUP($A69,ScionOutput!$A$3:$BL$215,6,FALSE)</f>
        <v>24</v>
      </c>
      <c r="F69" t="str">
        <f>VLOOKUP($A69,ScionOutput!$A$3:$BL$215,7,FALSE)</f>
        <v>SEA</v>
      </c>
      <c r="G69">
        <f>VLOOKUP($A69,ScionOutput!$A$3:$BL$215,26,FALSE)</f>
        <v>100</v>
      </c>
      <c r="H69">
        <f>VLOOKUP($A69,ScionOutput!$A$3:$BL$215,10,FALSE)</f>
        <v>-110</v>
      </c>
      <c r="I69" t="str">
        <f>VLOOKUP($A69,ScionOutput!$A$3:$BL$215,58,FALSE)</f>
        <v>No Play</v>
      </c>
      <c r="J69">
        <f>VLOOKUP($A69,ScionOutput!$A$3:$BL$215,59,FALSE)</f>
        <v>0</v>
      </c>
      <c r="K69">
        <f>VLOOKUP($A69,ScionOutput!$A$3:$BL$215,62,FALSE)</f>
        <v>0</v>
      </c>
      <c r="L69">
        <f>VLOOKUP($A69,ScionOutput!$A$3:$BL$215,63,FALSE)</f>
        <v>0</v>
      </c>
      <c r="M69" t="b">
        <f t="shared" si="9"/>
        <v>0</v>
      </c>
      <c r="N69">
        <f>VLOOKUP($A69,Outcomes!$B$3:$I$209,8,FALSE)</f>
        <v>12</v>
      </c>
      <c r="O69">
        <f t="shared" si="10"/>
        <v>1</v>
      </c>
      <c r="P69">
        <f>VLOOKUP($A69,Outcomes!$B$3:$I$209,5,FALSE)</f>
        <v>7</v>
      </c>
      <c r="Q69">
        <f>VLOOKUP($A69,Outcomes!$B$3:$I$209,6,FALSE)</f>
        <v>5</v>
      </c>
      <c r="R69">
        <f>VLOOKUP($A69,Outcomes!$B$3:$I$209,7,FALSE)</f>
        <v>-2</v>
      </c>
      <c r="S69" t="str">
        <f t="shared" si="11"/>
        <v>HomDog</v>
      </c>
      <c r="T69" t="str">
        <f t="shared" si="12"/>
        <v/>
      </c>
      <c r="U69" t="str">
        <f t="shared" si="8"/>
        <v/>
      </c>
      <c r="V69" t="str">
        <f t="shared" si="13"/>
        <v/>
      </c>
      <c r="W69" t="str">
        <f t="shared" si="14"/>
        <v/>
      </c>
      <c r="X69" s="2" t="str">
        <f t="shared" si="15"/>
        <v/>
      </c>
      <c r="Y69" t="str">
        <f>VLOOKUP($A69,ScionOutput!$A$3:$BL$215,64,FALSE)</f>
        <v xml:space="preserve">824827. VF plays are disallowed. No play due to strategy constraints. </v>
      </c>
    </row>
    <row r="70" spans="1:25" x14ac:dyDescent="0.2">
      <c r="A70">
        <v>824346</v>
      </c>
      <c r="B70" s="3">
        <f>VLOOKUP($A70,ScionOutput!$A$3:$BL$215,3,FALSE)</f>
        <v>46184</v>
      </c>
      <c r="C70">
        <f>VLOOKUP($A70,ScionOutput!$A$3:$BL$215,22,FALSE)</f>
        <v>8</v>
      </c>
      <c r="D70" t="str">
        <f>VLOOKUP($A70,ScionOutput!$A$3:$BL$215,23,FALSE)</f>
        <v>COL</v>
      </c>
      <c r="E70">
        <f>VLOOKUP($A70,ScionOutput!$A$3:$BL$215,6,FALSE)</f>
        <v>5</v>
      </c>
      <c r="F70" t="str">
        <f>VLOOKUP($A70,ScionOutput!$A$3:$BL$215,7,FALSE)</f>
        <v>CHC</v>
      </c>
      <c r="G70">
        <f>VLOOKUP($A70,ScionOutput!$A$3:$BL$215,26,FALSE)</f>
        <v>132</v>
      </c>
      <c r="H70">
        <f>VLOOKUP($A70,ScionOutput!$A$3:$BL$215,10,FALSE)</f>
        <v>-146</v>
      </c>
      <c r="I70" t="str">
        <f>VLOOKUP($A70,ScionOutput!$A$3:$BL$215,58,FALSE)</f>
        <v>No Play</v>
      </c>
      <c r="J70">
        <f>VLOOKUP($A70,ScionOutput!$A$3:$BL$215,59,FALSE)</f>
        <v>0</v>
      </c>
      <c r="K70">
        <f>VLOOKUP($A70,ScionOutput!$A$3:$BL$215,62,FALSE)</f>
        <v>0</v>
      </c>
      <c r="L70">
        <f>VLOOKUP($A70,ScionOutput!$A$3:$BL$215,63,FALSE)</f>
        <v>0</v>
      </c>
      <c r="M70" t="b">
        <f t="shared" si="9"/>
        <v>0</v>
      </c>
      <c r="N70">
        <f>VLOOKUP($A70,Outcomes!$B$3:$I$209,8,FALSE)</f>
        <v>12</v>
      </c>
      <c r="O70">
        <f t="shared" si="10"/>
        <v>-1</v>
      </c>
      <c r="P70">
        <f>VLOOKUP($A70,Outcomes!$B$3:$I$209,5,FALSE)</f>
        <v>3</v>
      </c>
      <c r="Q70">
        <f>VLOOKUP($A70,Outcomes!$B$3:$I$209,6,FALSE)</f>
        <v>9</v>
      </c>
      <c r="R70">
        <f>VLOOKUP($A70,Outcomes!$B$3:$I$209,7,FALSE)</f>
        <v>6</v>
      </c>
      <c r="S70" t="str">
        <f t="shared" si="11"/>
        <v>VisFave</v>
      </c>
      <c r="T70" t="str">
        <f t="shared" si="12"/>
        <v/>
      </c>
      <c r="U70" t="str">
        <f t="shared" si="8"/>
        <v/>
      </c>
      <c r="V70" t="str">
        <f t="shared" si="13"/>
        <v/>
      </c>
      <c r="W70" t="str">
        <f t="shared" si="14"/>
        <v/>
      </c>
      <c r="X70" s="2" t="str">
        <f t="shared" si="15"/>
        <v/>
      </c>
      <c r="Y70" t="str">
        <f>VLOOKUP($A70,ScionOutput!$A$3:$BL$215,64,FALSE)</f>
        <v xml:space="preserve">824346. LineStatEns price is outside allowable range! VF plays are disallowed. No play due to strategy constraints. </v>
      </c>
    </row>
    <row r="71" spans="1:25" x14ac:dyDescent="0.2">
      <c r="A71">
        <v>824265</v>
      </c>
      <c r="B71" s="3">
        <f>VLOOKUP($A71,ScionOutput!$A$3:$BL$215,3,FALSE)</f>
        <v>46184</v>
      </c>
      <c r="C71">
        <f>VLOOKUP($A71,ScionOutput!$A$3:$BL$215,22,FALSE)</f>
        <v>10</v>
      </c>
      <c r="D71" t="str">
        <f>VLOOKUP($A71,ScionOutput!$A$3:$BL$215,23,FALSE)</f>
        <v>DET</v>
      </c>
      <c r="E71">
        <f>VLOOKUP($A71,ScionOutput!$A$3:$BL$215,6,FALSE)</f>
        <v>15</v>
      </c>
      <c r="F71" t="str">
        <f>VLOOKUP($A71,ScionOutput!$A$3:$BL$215,7,FALSE)</f>
        <v>MIN</v>
      </c>
      <c r="G71">
        <f>VLOOKUP($A71,ScionOutput!$A$3:$BL$215,26,FALSE)</f>
        <v>-120</v>
      </c>
      <c r="H71">
        <f>VLOOKUP($A71,ScionOutput!$A$3:$BL$215,10,FALSE)</f>
        <v>109</v>
      </c>
      <c r="I71" t="str">
        <f>VLOOKUP($A71,ScionOutput!$A$3:$BL$215,58,FALSE)</f>
        <v>No Play</v>
      </c>
      <c r="J71">
        <f>VLOOKUP($A71,ScionOutput!$A$3:$BL$215,59,FALSE)</f>
        <v>0</v>
      </c>
      <c r="K71">
        <f>VLOOKUP($A71,ScionOutput!$A$3:$BL$215,62,FALSE)</f>
        <v>0</v>
      </c>
      <c r="L71">
        <f>VLOOKUP($A71,ScionOutput!$A$3:$BL$215,63,FALSE)</f>
        <v>0</v>
      </c>
      <c r="M71" t="b">
        <f t="shared" si="9"/>
        <v>0</v>
      </c>
      <c r="N71">
        <f>VLOOKUP($A71,Outcomes!$B$3:$I$209,8,FALSE)</f>
        <v>11</v>
      </c>
      <c r="O71">
        <f t="shared" si="10"/>
        <v>1</v>
      </c>
      <c r="P71">
        <f>VLOOKUP($A71,Outcomes!$B$3:$I$209,5,FALSE)</f>
        <v>11</v>
      </c>
      <c r="Q71">
        <f>VLOOKUP($A71,Outcomes!$B$3:$I$209,6,FALSE)</f>
        <v>0</v>
      </c>
      <c r="R71">
        <f>VLOOKUP($A71,Outcomes!$B$3:$I$209,7,FALSE)</f>
        <v>-11</v>
      </c>
      <c r="S71" t="str">
        <f t="shared" si="11"/>
        <v>HomFave</v>
      </c>
      <c r="T71" t="str">
        <f t="shared" si="12"/>
        <v/>
      </c>
      <c r="U71" t="str">
        <f t="shared" si="8"/>
        <v/>
      </c>
      <c r="V71" t="str">
        <f t="shared" si="13"/>
        <v/>
      </c>
      <c r="W71" t="str">
        <f t="shared" si="14"/>
        <v/>
      </c>
      <c r="X71" s="2" t="str">
        <f t="shared" si="15"/>
        <v/>
      </c>
      <c r="Y71" t="str">
        <f>VLOOKUP($A71,ScionOutput!$A$3:$BL$215,64,FALSE)</f>
        <v xml:space="preserve">824265. LineStatEns probability points gap does not exceed threshold (no edge found)! StatOnlyEns probability points gap does not exceed threshold (no edge found)! No play due to strategy constraints. </v>
      </c>
    </row>
    <row r="72" spans="1:25" x14ac:dyDescent="0.2">
      <c r="A72">
        <v>823855</v>
      </c>
      <c r="B72" s="3">
        <f>VLOOKUP($A72,ScionOutput!$A$3:$BL$215,3,FALSE)</f>
        <v>46184</v>
      </c>
      <c r="C72">
        <f>VLOOKUP($A72,ScionOutput!$A$3:$BL$215,22,FALSE)</f>
        <v>11</v>
      </c>
      <c r="D72" t="str">
        <f>VLOOKUP($A72,ScionOutput!$A$3:$BL$215,23,FALSE)</f>
        <v>FLO</v>
      </c>
      <c r="E72">
        <f>VLOOKUP($A72,ScionOutput!$A$3:$BL$215,6,FALSE)</f>
        <v>1</v>
      </c>
      <c r="F72" t="str">
        <f>VLOOKUP($A72,ScionOutput!$A$3:$BL$215,7,FALSE)</f>
        <v>ARZ</v>
      </c>
      <c r="G72">
        <f>VLOOKUP($A72,ScionOutput!$A$3:$BL$215,26,FALSE)</f>
        <v>-108</v>
      </c>
      <c r="H72">
        <f>VLOOKUP($A72,ScionOutput!$A$3:$BL$215,10,FALSE)</f>
        <v>-102</v>
      </c>
      <c r="I72" t="str">
        <f>VLOOKUP($A72,ScionOutput!$A$3:$BL$215,58,FALSE)</f>
        <v>HomFave</v>
      </c>
      <c r="J72">
        <f>VLOOKUP($A72,ScionOutput!$A$3:$BL$215,59,FALSE)</f>
        <v>2.3029999999999998E-2</v>
      </c>
      <c r="K72">
        <f>VLOOKUP($A72,ScionOutput!$A$3:$BL$215,62,FALSE)</f>
        <v>1</v>
      </c>
      <c r="L72">
        <f>VLOOKUP($A72,ScionOutput!$A$3:$BL$215,63,FALSE)</f>
        <v>0.93</v>
      </c>
      <c r="M72" t="b">
        <f t="shared" si="9"/>
        <v>1</v>
      </c>
      <c r="N72">
        <f>VLOOKUP($A72,Outcomes!$B$3:$I$209,8,FALSE)</f>
        <v>2</v>
      </c>
      <c r="O72">
        <f t="shared" si="10"/>
        <v>1</v>
      </c>
      <c r="P72">
        <f>VLOOKUP($A72,Outcomes!$B$3:$I$209,5,FALSE)</f>
        <v>2</v>
      </c>
      <c r="Q72">
        <f>VLOOKUP($A72,Outcomes!$B$3:$I$209,6,FALSE)</f>
        <v>0</v>
      </c>
      <c r="R72">
        <f>VLOOKUP($A72,Outcomes!$B$3:$I$209,7,FALSE)</f>
        <v>-2</v>
      </c>
      <c r="S72" t="str">
        <f t="shared" si="11"/>
        <v>HomFave</v>
      </c>
      <c r="T72">
        <f t="shared" si="12"/>
        <v>1</v>
      </c>
      <c r="U72">
        <f t="shared" si="8"/>
        <v>108</v>
      </c>
      <c r="V72">
        <f t="shared" si="13"/>
        <v>208</v>
      </c>
      <c r="W72">
        <f t="shared" si="14"/>
        <v>100</v>
      </c>
      <c r="X72" s="2">
        <f t="shared" si="15"/>
        <v>0.92592592592592593</v>
      </c>
      <c r="Y72" t="str">
        <f>VLOOKUP($A72,ScionOutput!$A$3:$BL$215,64,FALSE)</f>
        <v xml:space="preserve">823855. Play determined by LineStatEns and StatOnlyEns agreement. </v>
      </c>
    </row>
    <row r="73" spans="1:25" x14ac:dyDescent="0.2">
      <c r="A73">
        <v>824101</v>
      </c>
      <c r="B73" s="3">
        <f>VLOOKUP($A73,ScionOutput!$A$3:$BL$215,3,FALSE)</f>
        <v>46184</v>
      </c>
      <c r="C73">
        <f>VLOOKUP($A73,ScionOutput!$A$3:$BL$215,22,FALSE)</f>
        <v>13</v>
      </c>
      <c r="D73" t="str">
        <f>VLOOKUP($A73,ScionOutput!$A$3:$BL$215,23,FALSE)</f>
        <v>KC</v>
      </c>
      <c r="E73">
        <f>VLOOKUP($A73,ScionOutput!$A$3:$BL$215,6,FALSE)</f>
        <v>28</v>
      </c>
      <c r="F73" t="str">
        <f>VLOOKUP($A73,ScionOutput!$A$3:$BL$215,7,FALSE)</f>
        <v>TEX</v>
      </c>
      <c r="G73">
        <f>VLOOKUP($A73,ScionOutput!$A$3:$BL$215,26,FALSE)</f>
        <v>-115</v>
      </c>
      <c r="H73">
        <f>VLOOKUP($A73,ScionOutput!$A$3:$BL$215,10,FALSE)</f>
        <v>104</v>
      </c>
      <c r="I73" t="str">
        <f>VLOOKUP($A73,ScionOutput!$A$3:$BL$215,58,FALSE)</f>
        <v>HomFave</v>
      </c>
      <c r="J73">
        <f>VLOOKUP($A73,ScionOutput!$A$3:$BL$215,59,FALSE)</f>
        <v>8.2000000000000007E-3</v>
      </c>
      <c r="K73">
        <f>VLOOKUP($A73,ScionOutput!$A$3:$BL$215,62,FALSE)</f>
        <v>3</v>
      </c>
      <c r="L73">
        <f>VLOOKUP($A73,ScionOutput!$A$3:$BL$215,63,FALSE)</f>
        <v>0.87</v>
      </c>
      <c r="M73" t="b">
        <f t="shared" si="9"/>
        <v>0</v>
      </c>
      <c r="N73">
        <f>VLOOKUP($A73,Outcomes!$B$3:$I$209,8,FALSE)</f>
        <v>6</v>
      </c>
      <c r="O73">
        <f t="shared" si="10"/>
        <v>-1</v>
      </c>
      <c r="P73">
        <f>VLOOKUP($A73,Outcomes!$B$3:$I$209,5,FALSE)</f>
        <v>2</v>
      </c>
      <c r="Q73">
        <f>VLOOKUP($A73,Outcomes!$B$3:$I$209,6,FALSE)</f>
        <v>4</v>
      </c>
      <c r="R73">
        <f>VLOOKUP($A73,Outcomes!$B$3:$I$209,7,FALSE)</f>
        <v>2</v>
      </c>
      <c r="S73" t="str">
        <f t="shared" si="11"/>
        <v>VisDog</v>
      </c>
      <c r="T73" t="str">
        <f t="shared" si="12"/>
        <v/>
      </c>
      <c r="U73" t="str">
        <f t="shared" si="8"/>
        <v/>
      </c>
      <c r="V73" t="str">
        <f t="shared" si="13"/>
        <v/>
      </c>
      <c r="W73" t="str">
        <f t="shared" si="14"/>
        <v/>
      </c>
      <c r="X73" s="2" t="str">
        <f t="shared" si="15"/>
        <v/>
      </c>
      <c r="Y73" t="str">
        <f>VLOOKUP($A73,ScionOutput!$A$3:$BL$215,64,FALSE)</f>
        <v xml:space="preserve">824101. StatOnlyEns probability points gap does not exceed threshold (no edge found)! Play determined by LineStatEns only. </v>
      </c>
    </row>
    <row r="74" spans="1:25" x14ac:dyDescent="0.2">
      <c r="A74">
        <v>823619</v>
      </c>
      <c r="B74" s="3">
        <f>VLOOKUP($A74,ScionOutput!$A$3:$BL$215,3,FALSE)</f>
        <v>46184</v>
      </c>
      <c r="C74">
        <f>VLOOKUP($A74,ScionOutput!$A$3:$BL$215,22,FALSE)</f>
        <v>18</v>
      </c>
      <c r="D74" t="str">
        <f>VLOOKUP($A74,ScionOutput!$A$3:$BL$215,23,FALSE)</f>
        <v>NYM</v>
      </c>
      <c r="E74">
        <f>VLOOKUP($A74,ScionOutput!$A$3:$BL$215,6,FALSE)</f>
        <v>26</v>
      </c>
      <c r="F74" t="str">
        <f>VLOOKUP($A74,ScionOutput!$A$3:$BL$215,7,FALSE)</f>
        <v>STL</v>
      </c>
      <c r="G74">
        <f>VLOOKUP($A74,ScionOutput!$A$3:$BL$215,26,FALSE)</f>
        <v>-135</v>
      </c>
      <c r="H74">
        <f>VLOOKUP($A74,ScionOutput!$A$3:$BL$215,10,FALSE)</f>
        <v>122</v>
      </c>
      <c r="I74" t="str">
        <f>VLOOKUP($A74,ScionOutput!$A$3:$BL$215,58,FALSE)</f>
        <v>No Play</v>
      </c>
      <c r="J74">
        <f>VLOOKUP($A74,ScionOutput!$A$3:$BL$215,59,FALSE)</f>
        <v>0</v>
      </c>
      <c r="K74">
        <f>VLOOKUP($A74,ScionOutput!$A$3:$BL$215,62,FALSE)</f>
        <v>0</v>
      </c>
      <c r="L74">
        <f>VLOOKUP($A74,ScionOutput!$A$3:$BL$215,63,FALSE)</f>
        <v>0</v>
      </c>
      <c r="M74" t="b">
        <f t="shared" si="9"/>
        <v>0</v>
      </c>
      <c r="N74">
        <f>VLOOKUP($A74,Outcomes!$B$3:$I$209,8,FALSE)</f>
        <v>9</v>
      </c>
      <c r="O74">
        <f t="shared" si="10"/>
        <v>1</v>
      </c>
      <c r="P74">
        <f>VLOOKUP($A74,Outcomes!$B$3:$I$209,5,FALSE)</f>
        <v>5</v>
      </c>
      <c r="Q74">
        <f>VLOOKUP($A74,Outcomes!$B$3:$I$209,6,FALSE)</f>
        <v>4</v>
      </c>
      <c r="R74">
        <f>VLOOKUP($A74,Outcomes!$B$3:$I$209,7,FALSE)</f>
        <v>-1</v>
      </c>
      <c r="S74" t="str">
        <f t="shared" si="11"/>
        <v>HomFave</v>
      </c>
      <c r="T74" t="str">
        <f t="shared" si="12"/>
        <v/>
      </c>
      <c r="U74" t="str">
        <f t="shared" si="8"/>
        <v/>
      </c>
      <c r="V74" t="str">
        <f t="shared" si="13"/>
        <v/>
      </c>
      <c r="W74" t="str">
        <f t="shared" si="14"/>
        <v/>
      </c>
      <c r="X74" s="2" t="str">
        <f t="shared" si="15"/>
        <v/>
      </c>
      <c r="Y74" t="str">
        <f>VLOOKUP($A74,ScionOutput!$A$3:$BL$215,64,FALSE)</f>
        <v xml:space="preserve">823619. LineStatEns probability points gap does not exceed threshold (no edge found)! StatOnlyEns probability points gap does not exceed threshold (no edge found)! No play due to strategy constraints. </v>
      </c>
    </row>
    <row r="75" spans="1:25" x14ac:dyDescent="0.2">
      <c r="A75">
        <v>823371</v>
      </c>
      <c r="B75" s="3">
        <f>VLOOKUP($A75,ScionOutput!$A$3:$BL$215,3,FALSE)</f>
        <v>46184</v>
      </c>
      <c r="C75">
        <f>VLOOKUP($A75,ScionOutput!$A$3:$BL$215,22,FALSE)</f>
        <v>22</v>
      </c>
      <c r="D75" t="str">
        <f>VLOOKUP($A75,ScionOutput!$A$3:$BL$215,23,FALSE)</f>
        <v>PIT</v>
      </c>
      <c r="E75">
        <f>VLOOKUP($A75,ScionOutput!$A$3:$BL$215,6,FALSE)</f>
        <v>14</v>
      </c>
      <c r="F75" t="str">
        <f>VLOOKUP($A75,ScionOutput!$A$3:$BL$215,7,FALSE)</f>
        <v>LA</v>
      </c>
      <c r="G75">
        <f>VLOOKUP($A75,ScionOutput!$A$3:$BL$215,26,FALSE)</f>
        <v>137</v>
      </c>
      <c r="H75">
        <f>VLOOKUP($A75,ScionOutput!$A$3:$BL$215,10,FALSE)</f>
        <v>-152</v>
      </c>
      <c r="I75" t="str">
        <f>VLOOKUP($A75,ScionOutput!$A$3:$BL$215,58,FALSE)</f>
        <v>No Play</v>
      </c>
      <c r="J75">
        <f>VLOOKUP($A75,ScionOutput!$A$3:$BL$215,59,FALSE)</f>
        <v>0</v>
      </c>
      <c r="K75">
        <f>VLOOKUP($A75,ScionOutput!$A$3:$BL$215,62,FALSE)</f>
        <v>0</v>
      </c>
      <c r="L75">
        <f>VLOOKUP($A75,ScionOutput!$A$3:$BL$215,63,FALSE)</f>
        <v>0</v>
      </c>
      <c r="M75" t="b">
        <f t="shared" si="9"/>
        <v>0</v>
      </c>
      <c r="N75">
        <f>VLOOKUP($A75,Outcomes!$B$3:$I$209,8,FALSE)</f>
        <v>14</v>
      </c>
      <c r="O75">
        <f t="shared" si="10"/>
        <v>-1</v>
      </c>
      <c r="P75">
        <f>VLOOKUP($A75,Outcomes!$B$3:$I$209,5,FALSE)</f>
        <v>6</v>
      </c>
      <c r="Q75">
        <f>VLOOKUP($A75,Outcomes!$B$3:$I$209,6,FALSE)</f>
        <v>8</v>
      </c>
      <c r="R75">
        <f>VLOOKUP($A75,Outcomes!$B$3:$I$209,7,FALSE)</f>
        <v>2</v>
      </c>
      <c r="S75" t="str">
        <f t="shared" si="11"/>
        <v>VisFave</v>
      </c>
      <c r="T75" t="str">
        <f t="shared" si="12"/>
        <v/>
      </c>
      <c r="U75" t="str">
        <f t="shared" si="8"/>
        <v/>
      </c>
      <c r="V75" t="str">
        <f t="shared" si="13"/>
        <v/>
      </c>
      <c r="W75" t="str">
        <f t="shared" si="14"/>
        <v/>
      </c>
      <c r="X75" s="2" t="str">
        <f t="shared" si="15"/>
        <v/>
      </c>
      <c r="Y75" t="str">
        <f>VLOOKUP($A75,ScionOutput!$A$3:$BL$215,64,FALSE)</f>
        <v xml:space="preserve">823371. VF plays are disallowed. No play due to strategy constraints. </v>
      </c>
    </row>
    <row r="76" spans="1:25" x14ac:dyDescent="0.2">
      <c r="A76">
        <v>824826</v>
      </c>
      <c r="B76" s="3">
        <f>VLOOKUP($A76,ScionOutput!$A$3:$BL$215,3,FALSE)</f>
        <v>46185</v>
      </c>
      <c r="C76">
        <f>VLOOKUP($A76,ScionOutput!$A$3:$BL$215,22,FALSE)</f>
        <v>2</v>
      </c>
      <c r="D76" t="str">
        <f>VLOOKUP($A76,ScionOutput!$A$3:$BL$215,23,FALSE)</f>
        <v>BAL</v>
      </c>
      <c r="E76">
        <f>VLOOKUP($A76,ScionOutput!$A$3:$BL$215,6,FALSE)</f>
        <v>23</v>
      </c>
      <c r="F76" t="str">
        <f>VLOOKUP($A76,ScionOutput!$A$3:$BL$215,7,FALSE)</f>
        <v>SD</v>
      </c>
      <c r="G76">
        <f>VLOOKUP($A76,ScionOutput!$A$3:$BL$215,26,FALSE)</f>
        <v>-122</v>
      </c>
      <c r="H76">
        <f>VLOOKUP($A76,ScionOutput!$A$3:$BL$215,10,FALSE)</f>
        <v>113</v>
      </c>
      <c r="I76" t="str">
        <f>VLOOKUP($A76,ScionOutput!$A$3:$BL$215,58,FALSE)</f>
        <v>No Play</v>
      </c>
      <c r="J76">
        <f>VLOOKUP($A76,ScionOutput!$A$3:$BL$215,59,FALSE)</f>
        <v>0</v>
      </c>
      <c r="K76">
        <f>VLOOKUP($A76,ScionOutput!$A$3:$BL$215,62,FALSE)</f>
        <v>0</v>
      </c>
      <c r="L76">
        <f>VLOOKUP($A76,ScionOutput!$A$3:$BL$215,63,FALSE)</f>
        <v>0</v>
      </c>
      <c r="M76" t="b">
        <f t="shared" si="9"/>
        <v>0</v>
      </c>
      <c r="N76">
        <f>VLOOKUP($A76,Outcomes!$B$3:$I$209,8,FALSE)</f>
        <v>10</v>
      </c>
      <c r="O76">
        <f t="shared" si="10"/>
        <v>1</v>
      </c>
      <c r="P76">
        <f>VLOOKUP($A76,Outcomes!$B$3:$I$209,5,FALSE)</f>
        <v>7</v>
      </c>
      <c r="Q76">
        <f>VLOOKUP($A76,Outcomes!$B$3:$I$209,6,FALSE)</f>
        <v>3</v>
      </c>
      <c r="R76">
        <f>VLOOKUP($A76,Outcomes!$B$3:$I$209,7,FALSE)</f>
        <v>-4</v>
      </c>
      <c r="S76" t="str">
        <f t="shared" si="11"/>
        <v>HomFave</v>
      </c>
      <c r="T76" t="str">
        <f t="shared" si="12"/>
        <v/>
      </c>
      <c r="U76" t="str">
        <f t="shared" si="8"/>
        <v/>
      </c>
      <c r="V76" t="str">
        <f t="shared" si="13"/>
        <v/>
      </c>
      <c r="W76" t="str">
        <f t="shared" si="14"/>
        <v/>
      </c>
      <c r="X76" s="2" t="str">
        <f t="shared" si="15"/>
        <v/>
      </c>
      <c r="Y76" t="str">
        <f>VLOOKUP($A76,ScionOutput!$A$3:$BL$215,64,FALSE)</f>
        <v xml:space="preserve">824826. LineStatEns probability points gap does not exceed threshold (no edge found)! StatOnlyEns probability points gap does not exceed threshold (no edge found)! No play due to strategy constraints. </v>
      </c>
    </row>
    <row r="77" spans="1:25" x14ac:dyDescent="0.2">
      <c r="A77">
        <v>824752</v>
      </c>
      <c r="B77" s="3">
        <f>VLOOKUP($A77,ScionOutput!$A$3:$BL$215,3,FALSE)</f>
        <v>46185</v>
      </c>
      <c r="C77">
        <f>VLOOKUP($A77,ScionOutput!$A$3:$BL$215,22,FALSE)</f>
        <v>3</v>
      </c>
      <c r="D77" t="str">
        <f>VLOOKUP($A77,ScionOutput!$A$3:$BL$215,23,FALSE)</f>
        <v>BOS</v>
      </c>
      <c r="E77">
        <f>VLOOKUP($A77,ScionOutput!$A$3:$BL$215,6,FALSE)</f>
        <v>28</v>
      </c>
      <c r="F77" t="str">
        <f>VLOOKUP($A77,ScionOutput!$A$3:$BL$215,7,FALSE)</f>
        <v>TEX</v>
      </c>
      <c r="G77">
        <f>VLOOKUP($A77,ScionOutput!$A$3:$BL$215,26,FALSE)</f>
        <v>-126</v>
      </c>
      <c r="H77">
        <f>VLOOKUP($A77,ScionOutput!$A$3:$BL$215,10,FALSE)</f>
        <v>117</v>
      </c>
      <c r="I77" t="str">
        <f>VLOOKUP($A77,ScionOutput!$A$3:$BL$215,58,FALSE)</f>
        <v>No Play</v>
      </c>
      <c r="J77">
        <f>VLOOKUP($A77,ScionOutput!$A$3:$BL$215,59,FALSE)</f>
        <v>0</v>
      </c>
      <c r="K77">
        <f>VLOOKUP($A77,ScionOutput!$A$3:$BL$215,62,FALSE)</f>
        <v>0</v>
      </c>
      <c r="L77">
        <f>VLOOKUP($A77,ScionOutput!$A$3:$BL$215,63,FALSE)</f>
        <v>0</v>
      </c>
      <c r="M77" t="b">
        <f t="shared" si="9"/>
        <v>0</v>
      </c>
      <c r="N77">
        <f>VLOOKUP($A77,Outcomes!$B$3:$I$209,8,FALSE)</f>
        <v>11</v>
      </c>
      <c r="O77">
        <f t="shared" si="10"/>
        <v>1</v>
      </c>
      <c r="P77">
        <f>VLOOKUP($A77,Outcomes!$B$3:$I$209,5,FALSE)</f>
        <v>10</v>
      </c>
      <c r="Q77">
        <f>VLOOKUP($A77,Outcomes!$B$3:$I$209,6,FALSE)</f>
        <v>1</v>
      </c>
      <c r="R77">
        <f>VLOOKUP($A77,Outcomes!$B$3:$I$209,7,FALSE)</f>
        <v>-9</v>
      </c>
      <c r="S77" t="str">
        <f t="shared" si="11"/>
        <v>HomFave</v>
      </c>
      <c r="T77" t="str">
        <f t="shared" si="12"/>
        <v/>
      </c>
      <c r="U77" t="str">
        <f t="shared" si="8"/>
        <v/>
      </c>
      <c r="V77" t="str">
        <f t="shared" si="13"/>
        <v/>
      </c>
      <c r="W77" t="str">
        <f t="shared" si="14"/>
        <v/>
      </c>
      <c r="X77" s="2" t="str">
        <f t="shared" si="15"/>
        <v/>
      </c>
      <c r="Y77" t="str">
        <f>VLOOKUP($A77,ScionOutput!$A$3:$BL$215,64,FALSE)</f>
        <v xml:space="preserve">824752. LineStatEns probability points gap does not exceed threshold (no edge found)! StatOnlyEns probability points gap does not exceed threshold (no edge found)! No play due to strategy constraints. </v>
      </c>
    </row>
    <row r="78" spans="1:25" x14ac:dyDescent="0.2">
      <c r="A78">
        <v>824020</v>
      </c>
      <c r="B78" s="3">
        <f>VLOOKUP($A78,ScionOutput!$A$3:$BL$215,3,FALSE)</f>
        <v>46185</v>
      </c>
      <c r="C78">
        <f>VLOOKUP($A78,ScionOutput!$A$3:$BL$215,22,FALSE)</f>
        <v>4</v>
      </c>
      <c r="D78" t="str">
        <f>VLOOKUP($A78,ScionOutput!$A$3:$BL$215,23,FALSE)</f>
        <v>LAA</v>
      </c>
      <c r="E78">
        <f>VLOOKUP($A78,ScionOutput!$A$3:$BL$215,6,FALSE)</f>
        <v>27</v>
      </c>
      <c r="F78" t="str">
        <f>VLOOKUP($A78,ScionOutput!$A$3:$BL$215,7,FALSE)</f>
        <v>TB</v>
      </c>
      <c r="G78">
        <f>VLOOKUP($A78,ScionOutput!$A$3:$BL$215,26,FALSE)</f>
        <v>148</v>
      </c>
      <c r="H78">
        <f>VLOOKUP($A78,ScionOutput!$A$3:$BL$215,10,FALSE)</f>
        <v>-162</v>
      </c>
      <c r="I78" t="str">
        <f>VLOOKUP($A78,ScionOutput!$A$3:$BL$215,58,FALSE)</f>
        <v>No Play</v>
      </c>
      <c r="J78">
        <f>VLOOKUP($A78,ScionOutput!$A$3:$BL$215,59,FALSE)</f>
        <v>0</v>
      </c>
      <c r="K78">
        <f>VLOOKUP($A78,ScionOutput!$A$3:$BL$215,62,FALSE)</f>
        <v>0</v>
      </c>
      <c r="L78">
        <f>VLOOKUP($A78,ScionOutput!$A$3:$BL$215,63,FALSE)</f>
        <v>0</v>
      </c>
      <c r="M78" t="b">
        <f t="shared" si="9"/>
        <v>0</v>
      </c>
      <c r="N78">
        <f>VLOOKUP($A78,Outcomes!$B$3:$I$209,8,FALSE)</f>
        <v>7</v>
      </c>
      <c r="O78">
        <f t="shared" si="10"/>
        <v>1</v>
      </c>
      <c r="P78">
        <f>VLOOKUP($A78,Outcomes!$B$3:$I$209,5,FALSE)</f>
        <v>4</v>
      </c>
      <c r="Q78">
        <f>VLOOKUP($A78,Outcomes!$B$3:$I$209,6,FALSE)</f>
        <v>3</v>
      </c>
      <c r="R78">
        <f>VLOOKUP($A78,Outcomes!$B$3:$I$209,7,FALSE)</f>
        <v>-1</v>
      </c>
      <c r="S78" t="str">
        <f t="shared" si="11"/>
        <v>HomDog</v>
      </c>
      <c r="T78" t="str">
        <f t="shared" si="12"/>
        <v/>
      </c>
      <c r="U78" t="str">
        <f t="shared" si="8"/>
        <v/>
      </c>
      <c r="V78" t="str">
        <f t="shared" si="13"/>
        <v/>
      </c>
      <c r="W78" t="str">
        <f t="shared" si="14"/>
        <v/>
      </c>
      <c r="X78" s="2" t="str">
        <f t="shared" si="15"/>
        <v/>
      </c>
      <c r="Y78" t="str">
        <f>VLOOKUP($A78,ScionOutput!$A$3:$BL$215,64,FALSE)</f>
        <v xml:space="preserve">824020. VF plays are disallowed. No play due to strategy constraints. </v>
      </c>
    </row>
    <row r="79" spans="1:25" x14ac:dyDescent="0.2">
      <c r="A79">
        <v>824507</v>
      </c>
      <c r="B79" s="3">
        <f>VLOOKUP($A79,ScionOutput!$A$3:$BL$215,3,FALSE)</f>
        <v>46185</v>
      </c>
      <c r="C79">
        <f>VLOOKUP($A79,ScionOutput!$A$3:$BL$215,22,FALSE)</f>
        <v>6</v>
      </c>
      <c r="D79" t="str">
        <f>VLOOKUP($A79,ScionOutput!$A$3:$BL$215,23,FALSE)</f>
        <v>CIN</v>
      </c>
      <c r="E79">
        <f>VLOOKUP($A79,ScionOutput!$A$3:$BL$215,6,FALSE)</f>
        <v>1</v>
      </c>
      <c r="F79" t="str">
        <f>VLOOKUP($A79,ScionOutput!$A$3:$BL$215,7,FALSE)</f>
        <v>ARZ</v>
      </c>
      <c r="G79">
        <f>VLOOKUP($A79,ScionOutput!$A$3:$BL$215,26,FALSE)</f>
        <v>-110</v>
      </c>
      <c r="H79">
        <f>VLOOKUP($A79,ScionOutput!$A$3:$BL$215,10,FALSE)</f>
        <v>101</v>
      </c>
      <c r="I79" t="str">
        <f>VLOOKUP($A79,ScionOutput!$A$3:$BL$215,58,FALSE)</f>
        <v>VisDog</v>
      </c>
      <c r="J79">
        <f>VLOOKUP($A79,ScionOutput!$A$3:$BL$215,59,FALSE)</f>
        <v>-3.2870000000000003E-2</v>
      </c>
      <c r="K79">
        <f>VLOOKUP($A79,ScionOutput!$A$3:$BL$215,62,FALSE)</f>
        <v>3</v>
      </c>
      <c r="L79">
        <f>VLOOKUP($A79,ScionOutput!$A$3:$BL$215,63,FALSE)</f>
        <v>0.73</v>
      </c>
      <c r="M79" t="b">
        <f t="shared" si="9"/>
        <v>0</v>
      </c>
      <c r="N79">
        <f>VLOOKUP($A79,Outcomes!$B$3:$I$209,8,FALSE)</f>
        <v>7</v>
      </c>
      <c r="O79">
        <f t="shared" si="10"/>
        <v>-1</v>
      </c>
      <c r="P79">
        <f>VLOOKUP($A79,Outcomes!$B$3:$I$209,5,FALSE)</f>
        <v>2</v>
      </c>
      <c r="Q79">
        <f>VLOOKUP($A79,Outcomes!$B$3:$I$209,6,FALSE)</f>
        <v>5</v>
      </c>
      <c r="R79">
        <f>VLOOKUP($A79,Outcomes!$B$3:$I$209,7,FALSE)</f>
        <v>3</v>
      </c>
      <c r="S79" t="str">
        <f t="shared" si="11"/>
        <v>VisDog</v>
      </c>
      <c r="T79" t="str">
        <f t="shared" si="12"/>
        <v/>
      </c>
      <c r="U79" t="str">
        <f t="shared" si="8"/>
        <v/>
      </c>
      <c r="V79" t="str">
        <f t="shared" si="13"/>
        <v/>
      </c>
      <c r="W79" t="str">
        <f t="shared" si="14"/>
        <v/>
      </c>
      <c r="X79" s="2" t="str">
        <f t="shared" si="15"/>
        <v/>
      </c>
      <c r="Y79" t="str">
        <f>VLOOKUP($A79,ScionOutput!$A$3:$BL$215,64,FALSE)</f>
        <v xml:space="preserve">824507. StatOnlyEns probability points gap does not exceed threshold (no edge found)! Play determined by LineStatEns only. </v>
      </c>
    </row>
    <row r="80" spans="1:25" x14ac:dyDescent="0.2">
      <c r="A80">
        <v>824425</v>
      </c>
      <c r="B80" s="3">
        <f>VLOOKUP($A80,ScionOutput!$A$3:$BL$215,3,FALSE)</f>
        <v>46185</v>
      </c>
      <c r="C80">
        <f>VLOOKUP($A80,ScionOutput!$A$3:$BL$215,22,FALSE)</f>
        <v>7</v>
      </c>
      <c r="D80" t="str">
        <f>VLOOKUP($A80,ScionOutput!$A$3:$BL$215,23,FALSE)</f>
        <v>CLE</v>
      </c>
      <c r="E80">
        <f>VLOOKUP($A80,ScionOutput!$A$3:$BL$215,6,FALSE)</f>
        <v>10</v>
      </c>
      <c r="F80" t="str">
        <f>VLOOKUP($A80,ScionOutput!$A$3:$BL$215,7,FALSE)</f>
        <v>DET</v>
      </c>
      <c r="G80">
        <f>VLOOKUP($A80,ScionOutput!$A$3:$BL$215,26,FALSE)</f>
        <v>-116</v>
      </c>
      <c r="H80">
        <f>VLOOKUP($A80,ScionOutput!$A$3:$BL$215,10,FALSE)</f>
        <v>107</v>
      </c>
      <c r="I80" t="str">
        <f>VLOOKUP($A80,ScionOutput!$A$3:$BL$215,58,FALSE)</f>
        <v>VisDog</v>
      </c>
      <c r="J80">
        <f>VLOOKUP($A80,ScionOutput!$A$3:$BL$215,59,FALSE)</f>
        <v>-3.644E-2</v>
      </c>
      <c r="K80">
        <f>VLOOKUP($A80,ScionOutput!$A$3:$BL$215,62,FALSE)</f>
        <v>3</v>
      </c>
      <c r="L80">
        <f>VLOOKUP($A80,ScionOutput!$A$3:$BL$215,63,FALSE)</f>
        <v>0.73</v>
      </c>
      <c r="M80" t="b">
        <f t="shared" si="9"/>
        <v>0</v>
      </c>
      <c r="N80">
        <f>VLOOKUP($A80,Outcomes!$B$3:$I$209,8,FALSE)</f>
        <v>5</v>
      </c>
      <c r="O80">
        <f t="shared" si="10"/>
        <v>1</v>
      </c>
      <c r="P80">
        <f>VLOOKUP($A80,Outcomes!$B$3:$I$209,5,FALSE)</f>
        <v>3</v>
      </c>
      <c r="Q80">
        <f>VLOOKUP($A80,Outcomes!$B$3:$I$209,6,FALSE)</f>
        <v>2</v>
      </c>
      <c r="R80">
        <f>VLOOKUP($A80,Outcomes!$B$3:$I$209,7,FALSE)</f>
        <v>-1</v>
      </c>
      <c r="S80" t="str">
        <f t="shared" si="11"/>
        <v>HomFave</v>
      </c>
      <c r="T80" t="str">
        <f t="shared" si="12"/>
        <v/>
      </c>
      <c r="U80" t="str">
        <f t="shared" si="8"/>
        <v/>
      </c>
      <c r="V80" t="str">
        <f t="shared" si="13"/>
        <v/>
      </c>
      <c r="W80" t="str">
        <f t="shared" si="14"/>
        <v/>
      </c>
      <c r="X80" s="2" t="str">
        <f t="shared" si="15"/>
        <v/>
      </c>
      <c r="Y80" t="str">
        <f>VLOOKUP($A80,ScionOutput!$A$3:$BL$215,64,FALSE)</f>
        <v xml:space="preserve">824425. StatOnlyEns probability points gap does not exceed threshold (no edge found)! Play determined by LineStatEns only. </v>
      </c>
    </row>
    <row r="81" spans="1:25" x14ac:dyDescent="0.2">
      <c r="A81">
        <v>824588</v>
      </c>
      <c r="B81" s="3">
        <f>VLOOKUP($A81,ScionOutput!$A$3:$BL$215,3,FALSE)</f>
        <v>46185</v>
      </c>
      <c r="C81">
        <f>VLOOKUP($A81,ScionOutput!$A$3:$BL$215,22,FALSE)</f>
        <v>9</v>
      </c>
      <c r="D81" t="str">
        <f>VLOOKUP($A81,ScionOutput!$A$3:$BL$215,23,FALSE)</f>
        <v>CWS</v>
      </c>
      <c r="E81">
        <f>VLOOKUP($A81,ScionOutput!$A$3:$BL$215,6,FALSE)</f>
        <v>14</v>
      </c>
      <c r="F81" t="str">
        <f>VLOOKUP($A81,ScionOutput!$A$3:$BL$215,7,FALSE)</f>
        <v>LA</v>
      </c>
      <c r="G81">
        <f>VLOOKUP($A81,ScionOutput!$A$3:$BL$215,26,FALSE)</f>
        <v>134</v>
      </c>
      <c r="H81">
        <f>VLOOKUP($A81,ScionOutput!$A$3:$BL$215,10,FALSE)</f>
        <v>-146</v>
      </c>
      <c r="I81" t="str">
        <f>VLOOKUP($A81,ScionOutput!$A$3:$BL$215,58,FALSE)</f>
        <v>No Play</v>
      </c>
      <c r="J81">
        <f>VLOOKUP($A81,ScionOutput!$A$3:$BL$215,59,FALSE)</f>
        <v>0</v>
      </c>
      <c r="K81">
        <f>VLOOKUP($A81,ScionOutput!$A$3:$BL$215,62,FALSE)</f>
        <v>0</v>
      </c>
      <c r="L81">
        <f>VLOOKUP($A81,ScionOutput!$A$3:$BL$215,63,FALSE)</f>
        <v>0</v>
      </c>
      <c r="M81" t="b">
        <f t="shared" si="9"/>
        <v>0</v>
      </c>
      <c r="N81">
        <f>VLOOKUP($A81,Outcomes!$B$3:$I$209,8,FALSE)</f>
        <v>10</v>
      </c>
      <c r="O81">
        <f t="shared" si="10"/>
        <v>1</v>
      </c>
      <c r="P81">
        <f>VLOOKUP($A81,Outcomes!$B$3:$I$209,5,FALSE)</f>
        <v>8</v>
      </c>
      <c r="Q81">
        <f>VLOOKUP($A81,Outcomes!$B$3:$I$209,6,FALSE)</f>
        <v>2</v>
      </c>
      <c r="R81">
        <f>VLOOKUP($A81,Outcomes!$B$3:$I$209,7,FALSE)</f>
        <v>-6</v>
      </c>
      <c r="S81" t="str">
        <f t="shared" si="11"/>
        <v>HomDog</v>
      </c>
      <c r="T81" t="str">
        <f t="shared" si="12"/>
        <v/>
      </c>
      <c r="U81" t="str">
        <f t="shared" si="8"/>
        <v/>
      </c>
      <c r="V81" t="str">
        <f t="shared" si="13"/>
        <v/>
      </c>
      <c r="W81" t="str">
        <f t="shared" si="14"/>
        <v/>
      </c>
      <c r="X81" s="2" t="str">
        <f t="shared" si="15"/>
        <v/>
      </c>
      <c r="Y81" t="str">
        <f>VLOOKUP($A81,ScionOutput!$A$3:$BL$215,64,FALSE)</f>
        <v xml:space="preserve">824588. LineStatEns price is outside allowable range! VF plays are disallowed. No play due to strategy constraints. </v>
      </c>
    </row>
    <row r="82" spans="1:25" x14ac:dyDescent="0.2">
      <c r="A82">
        <v>824102</v>
      </c>
      <c r="B82" s="3">
        <f>VLOOKUP($A82,ScionOutput!$A$3:$BL$215,3,FALSE)</f>
        <v>46185</v>
      </c>
      <c r="C82">
        <f>VLOOKUP($A82,ScionOutput!$A$3:$BL$215,22,FALSE)</f>
        <v>13</v>
      </c>
      <c r="D82" t="str">
        <f>VLOOKUP($A82,ScionOutput!$A$3:$BL$215,23,FALSE)</f>
        <v>KC</v>
      </c>
      <c r="E82">
        <f>VLOOKUP($A82,ScionOutput!$A$3:$BL$215,6,FALSE)</f>
        <v>12</v>
      </c>
      <c r="F82" t="str">
        <f>VLOOKUP($A82,ScionOutput!$A$3:$BL$215,7,FALSE)</f>
        <v>HOU</v>
      </c>
      <c r="G82">
        <f>VLOOKUP($A82,ScionOutput!$A$3:$BL$215,26,FALSE)</f>
        <v>100</v>
      </c>
      <c r="H82">
        <f>VLOOKUP($A82,ScionOutput!$A$3:$BL$215,10,FALSE)</f>
        <v>-109</v>
      </c>
      <c r="I82" t="str">
        <f>VLOOKUP($A82,ScionOutput!$A$3:$BL$215,58,FALSE)</f>
        <v>No Play</v>
      </c>
      <c r="J82">
        <f>VLOOKUP($A82,ScionOutput!$A$3:$BL$215,59,FALSE)</f>
        <v>0</v>
      </c>
      <c r="K82">
        <f>VLOOKUP($A82,ScionOutput!$A$3:$BL$215,62,FALSE)</f>
        <v>0</v>
      </c>
      <c r="L82">
        <f>VLOOKUP($A82,ScionOutput!$A$3:$BL$215,63,FALSE)</f>
        <v>0</v>
      </c>
      <c r="M82" t="b">
        <f t="shared" si="9"/>
        <v>0</v>
      </c>
      <c r="N82">
        <f>VLOOKUP($A82,Outcomes!$B$3:$I$209,8,FALSE)</f>
        <v>18</v>
      </c>
      <c r="O82">
        <f t="shared" si="10"/>
        <v>-1</v>
      </c>
      <c r="P82">
        <f>VLOOKUP($A82,Outcomes!$B$3:$I$209,5,FALSE)</f>
        <v>8</v>
      </c>
      <c r="Q82">
        <f>VLOOKUP($A82,Outcomes!$B$3:$I$209,6,FALSE)</f>
        <v>10</v>
      </c>
      <c r="R82">
        <f>VLOOKUP($A82,Outcomes!$B$3:$I$209,7,FALSE)</f>
        <v>2</v>
      </c>
      <c r="S82" t="str">
        <f t="shared" si="11"/>
        <v>VisFave</v>
      </c>
      <c r="T82" t="str">
        <f t="shared" si="12"/>
        <v/>
      </c>
      <c r="U82" t="str">
        <f t="shared" si="8"/>
        <v/>
      </c>
      <c r="V82" t="str">
        <f t="shared" si="13"/>
        <v/>
      </c>
      <c r="W82" t="str">
        <f t="shared" si="14"/>
        <v/>
      </c>
      <c r="X82" s="2" t="str">
        <f t="shared" si="15"/>
        <v/>
      </c>
      <c r="Y82" t="str">
        <f>VLOOKUP($A82,ScionOutput!$A$3:$BL$215,64,FALSE)</f>
        <v xml:space="preserve">824102. VF plays are disallowed. No play due to strategy constraints. </v>
      </c>
    </row>
    <row r="83" spans="1:25" x14ac:dyDescent="0.2">
      <c r="A83">
        <v>823695</v>
      </c>
      <c r="B83" s="3">
        <f>VLOOKUP($A83,ScionOutput!$A$3:$BL$215,3,FALSE)</f>
        <v>46185</v>
      </c>
      <c r="C83">
        <f>VLOOKUP($A83,ScionOutput!$A$3:$BL$215,22,FALSE)</f>
        <v>15</v>
      </c>
      <c r="D83" t="str">
        <f>VLOOKUP($A83,ScionOutput!$A$3:$BL$215,23,FALSE)</f>
        <v>MIN</v>
      </c>
      <c r="E83">
        <f>VLOOKUP($A83,ScionOutput!$A$3:$BL$215,6,FALSE)</f>
        <v>26</v>
      </c>
      <c r="F83" t="str">
        <f>VLOOKUP($A83,ScionOutput!$A$3:$BL$215,7,FALSE)</f>
        <v>STL</v>
      </c>
      <c r="G83">
        <f>VLOOKUP($A83,ScionOutput!$A$3:$BL$215,26,FALSE)</f>
        <v>-130</v>
      </c>
      <c r="H83">
        <f>VLOOKUP($A83,ScionOutput!$A$3:$BL$215,10,FALSE)</f>
        <v>120</v>
      </c>
      <c r="I83" t="str">
        <f>VLOOKUP($A83,ScionOutput!$A$3:$BL$215,58,FALSE)</f>
        <v>No Play</v>
      </c>
      <c r="J83">
        <f>VLOOKUP($A83,ScionOutput!$A$3:$BL$215,59,FALSE)</f>
        <v>0</v>
      </c>
      <c r="K83">
        <f>VLOOKUP($A83,ScionOutput!$A$3:$BL$215,62,FALSE)</f>
        <v>0</v>
      </c>
      <c r="L83">
        <f>VLOOKUP($A83,ScionOutput!$A$3:$BL$215,63,FALSE)</f>
        <v>0</v>
      </c>
      <c r="M83" t="b">
        <f t="shared" si="9"/>
        <v>0</v>
      </c>
      <c r="N83">
        <f>VLOOKUP($A83,Outcomes!$B$3:$I$209,8,FALSE)</f>
        <v>17</v>
      </c>
      <c r="O83">
        <f t="shared" si="10"/>
        <v>1</v>
      </c>
      <c r="P83">
        <f>VLOOKUP($A83,Outcomes!$B$3:$I$209,5,FALSE)</f>
        <v>9</v>
      </c>
      <c r="Q83">
        <f>VLOOKUP($A83,Outcomes!$B$3:$I$209,6,FALSE)</f>
        <v>8</v>
      </c>
      <c r="R83">
        <f>VLOOKUP($A83,Outcomes!$B$3:$I$209,7,FALSE)</f>
        <v>-1</v>
      </c>
      <c r="S83" t="str">
        <f t="shared" si="11"/>
        <v>HomFave</v>
      </c>
      <c r="T83" t="str">
        <f t="shared" si="12"/>
        <v/>
      </c>
      <c r="U83" t="str">
        <f t="shared" si="8"/>
        <v/>
      </c>
      <c r="V83" t="str">
        <f t="shared" si="13"/>
        <v/>
      </c>
      <c r="W83" t="str">
        <f t="shared" si="14"/>
        <v/>
      </c>
      <c r="X83" s="2" t="str">
        <f t="shared" si="15"/>
        <v/>
      </c>
      <c r="Y83" t="str">
        <f>VLOOKUP($A83,ScionOutput!$A$3:$BL$215,64,FALSE)</f>
        <v xml:space="preserve">823695. LineStatEns probability points gap does not exceed threshold (no edge found)! StatOnlyEns probability points gap does not exceed threshold (no edge found)! No play due to strategy constraints. </v>
      </c>
    </row>
    <row r="84" spans="1:25" x14ac:dyDescent="0.2">
      <c r="A84">
        <v>822726</v>
      </c>
      <c r="B84" s="3">
        <f>VLOOKUP($A84,ScionOutput!$A$3:$BL$215,3,FALSE)</f>
        <v>46185</v>
      </c>
      <c r="C84">
        <f>VLOOKUP($A84,ScionOutput!$A$3:$BL$215,22,FALSE)</f>
        <v>16</v>
      </c>
      <c r="D84" t="str">
        <f>VLOOKUP($A84,ScionOutput!$A$3:$BL$215,23,FALSE)</f>
        <v>WAS</v>
      </c>
      <c r="E84">
        <f>VLOOKUP($A84,ScionOutput!$A$3:$BL$215,6,FALSE)</f>
        <v>24</v>
      </c>
      <c r="F84" t="str">
        <f>VLOOKUP($A84,ScionOutput!$A$3:$BL$215,7,FALSE)</f>
        <v>SEA</v>
      </c>
      <c r="G84">
        <f>VLOOKUP($A84,ScionOutput!$A$3:$BL$215,26,FALSE)</f>
        <v>126</v>
      </c>
      <c r="H84">
        <f>VLOOKUP($A84,ScionOutput!$A$3:$BL$215,10,FALSE)</f>
        <v>-137</v>
      </c>
      <c r="I84" t="str">
        <f>VLOOKUP($A84,ScionOutput!$A$3:$BL$215,58,FALSE)</f>
        <v>No Play</v>
      </c>
      <c r="J84">
        <f>VLOOKUP($A84,ScionOutput!$A$3:$BL$215,59,FALSE)</f>
        <v>0</v>
      </c>
      <c r="K84">
        <f>VLOOKUP($A84,ScionOutput!$A$3:$BL$215,62,FALSE)</f>
        <v>0</v>
      </c>
      <c r="L84">
        <f>VLOOKUP($A84,ScionOutput!$A$3:$BL$215,63,FALSE)</f>
        <v>0</v>
      </c>
      <c r="M84" t="b">
        <f t="shared" si="9"/>
        <v>0</v>
      </c>
      <c r="N84">
        <f>VLOOKUP($A84,Outcomes!$B$3:$I$209,8,FALSE)</f>
        <v>12</v>
      </c>
      <c r="O84">
        <f t="shared" si="10"/>
        <v>-1</v>
      </c>
      <c r="P84">
        <f>VLOOKUP($A84,Outcomes!$B$3:$I$209,5,FALSE)</f>
        <v>2</v>
      </c>
      <c r="Q84">
        <f>VLOOKUP($A84,Outcomes!$B$3:$I$209,6,FALSE)</f>
        <v>10</v>
      </c>
      <c r="R84">
        <f>VLOOKUP($A84,Outcomes!$B$3:$I$209,7,FALSE)</f>
        <v>8</v>
      </c>
      <c r="S84" t="str">
        <f t="shared" si="11"/>
        <v>VisFave</v>
      </c>
      <c r="T84" t="str">
        <f t="shared" si="12"/>
        <v/>
      </c>
      <c r="U84" t="str">
        <f t="shared" si="8"/>
        <v/>
      </c>
      <c r="V84" t="str">
        <f t="shared" si="13"/>
        <v/>
      </c>
      <c r="W84" t="str">
        <f t="shared" si="14"/>
        <v/>
      </c>
      <c r="X84" s="2" t="str">
        <f t="shared" si="15"/>
        <v/>
      </c>
      <c r="Y84" t="str">
        <f>VLOOKUP($A84,ScionOutput!$A$3:$BL$215,64,FALSE)</f>
        <v xml:space="preserve">822726. VF plays are disallowed. No play due to strategy constraints. </v>
      </c>
    </row>
    <row r="85" spans="1:25" x14ac:dyDescent="0.2">
      <c r="A85">
        <v>823778</v>
      </c>
      <c r="B85" s="3">
        <f>VLOOKUP($A85,ScionOutput!$A$3:$BL$215,3,FALSE)</f>
        <v>46185</v>
      </c>
      <c r="C85">
        <f>VLOOKUP($A85,ScionOutput!$A$3:$BL$215,22,FALSE)</f>
        <v>17</v>
      </c>
      <c r="D85" t="str">
        <f>VLOOKUP($A85,ScionOutput!$A$3:$BL$215,23,FALSE)</f>
        <v>MLW</v>
      </c>
      <c r="E85">
        <f>VLOOKUP($A85,ScionOutput!$A$3:$BL$215,6,FALSE)</f>
        <v>21</v>
      </c>
      <c r="F85" t="str">
        <f>VLOOKUP($A85,ScionOutput!$A$3:$BL$215,7,FALSE)</f>
        <v>PHI</v>
      </c>
      <c r="G85">
        <f>VLOOKUP($A85,ScionOutput!$A$3:$BL$215,26,FALSE)</f>
        <v>-236</v>
      </c>
      <c r="H85">
        <f>VLOOKUP($A85,ScionOutput!$A$3:$BL$215,10,FALSE)</f>
        <v>213</v>
      </c>
      <c r="I85" t="str">
        <f>VLOOKUP($A85,ScionOutput!$A$3:$BL$215,58,FALSE)</f>
        <v>No Play</v>
      </c>
      <c r="J85">
        <f>VLOOKUP($A85,ScionOutput!$A$3:$BL$215,59,FALSE)</f>
        <v>0</v>
      </c>
      <c r="K85">
        <f>VLOOKUP($A85,ScionOutput!$A$3:$BL$215,62,FALSE)</f>
        <v>0</v>
      </c>
      <c r="L85">
        <f>VLOOKUP($A85,ScionOutput!$A$3:$BL$215,63,FALSE)</f>
        <v>0</v>
      </c>
      <c r="M85" t="b">
        <f t="shared" si="9"/>
        <v>0</v>
      </c>
      <c r="N85">
        <f>VLOOKUP($A85,Outcomes!$B$3:$I$209,8,FALSE)</f>
        <v>6</v>
      </c>
      <c r="O85">
        <f t="shared" si="10"/>
        <v>1</v>
      </c>
      <c r="P85">
        <f>VLOOKUP($A85,Outcomes!$B$3:$I$209,5,FALSE)</f>
        <v>6</v>
      </c>
      <c r="Q85">
        <f>VLOOKUP($A85,Outcomes!$B$3:$I$209,6,FALSE)</f>
        <v>0</v>
      </c>
      <c r="R85">
        <f>VLOOKUP($A85,Outcomes!$B$3:$I$209,7,FALSE)</f>
        <v>-6</v>
      </c>
      <c r="S85" t="str">
        <f t="shared" si="11"/>
        <v>HomFave</v>
      </c>
      <c r="T85" t="str">
        <f t="shared" si="12"/>
        <v/>
      </c>
      <c r="U85" t="str">
        <f t="shared" si="8"/>
        <v/>
      </c>
      <c r="V85" t="str">
        <f t="shared" si="13"/>
        <v/>
      </c>
      <c r="W85" t="str">
        <f t="shared" si="14"/>
        <v/>
      </c>
      <c r="X85" s="2" t="str">
        <f t="shared" si="15"/>
        <v/>
      </c>
      <c r="Y85" t="str">
        <f>VLOOKUP($A85,ScionOutput!$A$3:$BL$215,64,FALSE)</f>
        <v xml:space="preserve">823778. V_SP is Null, team-based avg used. NoPlay as V_SP is Null. </v>
      </c>
    </row>
    <row r="86" spans="1:25" x14ac:dyDescent="0.2">
      <c r="A86">
        <v>823617</v>
      </c>
      <c r="B86" s="3">
        <f>VLOOKUP($A86,ScionOutput!$A$3:$BL$215,3,FALSE)</f>
        <v>46185</v>
      </c>
      <c r="C86">
        <f>VLOOKUP($A86,ScionOutput!$A$3:$BL$215,22,FALSE)</f>
        <v>18</v>
      </c>
      <c r="D86" t="str">
        <f>VLOOKUP($A86,ScionOutput!$A$3:$BL$215,23,FALSE)</f>
        <v>NYM</v>
      </c>
      <c r="E86">
        <f>VLOOKUP($A86,ScionOutput!$A$3:$BL$215,6,FALSE)</f>
        <v>0</v>
      </c>
      <c r="F86" t="str">
        <f>VLOOKUP($A86,ScionOutput!$A$3:$BL$215,7,FALSE)</f>
        <v>ATL</v>
      </c>
      <c r="G86">
        <f>VLOOKUP($A86,ScionOutput!$A$3:$BL$215,26,FALSE)</f>
        <v>-123</v>
      </c>
      <c r="H86">
        <f>VLOOKUP($A86,ScionOutput!$A$3:$BL$215,10,FALSE)</f>
        <v>113</v>
      </c>
      <c r="I86" t="str">
        <f>VLOOKUP($A86,ScionOutput!$A$3:$BL$215,58,FALSE)</f>
        <v>VisDog</v>
      </c>
      <c r="J86">
        <f>VLOOKUP($A86,ScionOutput!$A$3:$BL$215,59,FALSE)</f>
        <v>-6.0199999999999997E-2</v>
      </c>
      <c r="K86">
        <f>VLOOKUP($A86,ScionOutput!$A$3:$BL$215,62,FALSE)</f>
        <v>5</v>
      </c>
      <c r="L86">
        <f>VLOOKUP($A86,ScionOutput!$A$3:$BL$215,63,FALSE)</f>
        <v>0.73</v>
      </c>
      <c r="M86" t="b">
        <f t="shared" si="9"/>
        <v>1</v>
      </c>
      <c r="N86">
        <f>VLOOKUP($A86,Outcomes!$B$3:$I$209,8,FALSE)</f>
        <v>12</v>
      </c>
      <c r="O86">
        <f t="shared" si="10"/>
        <v>1</v>
      </c>
      <c r="P86">
        <f>VLOOKUP($A86,Outcomes!$B$3:$I$209,5,FALSE)</f>
        <v>7</v>
      </c>
      <c r="Q86">
        <f>VLOOKUP($A86,Outcomes!$B$3:$I$209,6,FALSE)</f>
        <v>5</v>
      </c>
      <c r="R86">
        <f>VLOOKUP($A86,Outcomes!$B$3:$I$209,7,FALSE)</f>
        <v>-2</v>
      </c>
      <c r="S86" t="str">
        <f t="shared" si="11"/>
        <v>HomFave</v>
      </c>
      <c r="T86">
        <f t="shared" si="12"/>
        <v>0</v>
      </c>
      <c r="U86">
        <f t="shared" si="8"/>
        <v>100</v>
      </c>
      <c r="V86">
        <f t="shared" si="13"/>
        <v>0</v>
      </c>
      <c r="W86">
        <f t="shared" si="14"/>
        <v>-100</v>
      </c>
      <c r="X86" s="2">
        <f t="shared" si="15"/>
        <v>-1</v>
      </c>
      <c r="Y86" t="str">
        <f>VLOOKUP($A86,ScionOutput!$A$3:$BL$215,64,FALSE)</f>
        <v xml:space="preserve">823617. Play determined by LineStatEns and StatOnlyEns agreement. </v>
      </c>
    </row>
    <row r="87" spans="1:25" x14ac:dyDescent="0.2">
      <c r="A87">
        <v>824997</v>
      </c>
      <c r="B87" s="3">
        <f>VLOOKUP($A87,ScionOutput!$A$3:$BL$215,3,FALSE)</f>
        <v>46185</v>
      </c>
      <c r="C87">
        <f>VLOOKUP($A87,ScionOutput!$A$3:$BL$215,22,FALSE)</f>
        <v>20</v>
      </c>
      <c r="D87" t="str">
        <f>VLOOKUP($A87,ScionOutput!$A$3:$BL$215,23,FALSE)</f>
        <v>OAK</v>
      </c>
      <c r="E87">
        <f>VLOOKUP($A87,ScionOutput!$A$3:$BL$215,6,FALSE)</f>
        <v>8</v>
      </c>
      <c r="F87" t="str">
        <f>VLOOKUP($A87,ScionOutput!$A$3:$BL$215,7,FALSE)</f>
        <v>COL</v>
      </c>
      <c r="G87">
        <f>VLOOKUP($A87,ScionOutput!$A$3:$BL$215,26,FALSE)</f>
        <v>-207</v>
      </c>
      <c r="H87">
        <f>VLOOKUP($A87,ScionOutput!$A$3:$BL$215,10,FALSE)</f>
        <v>188</v>
      </c>
      <c r="I87" t="str">
        <f>VLOOKUP($A87,ScionOutput!$A$3:$BL$215,58,FALSE)</f>
        <v>No Play</v>
      </c>
      <c r="J87">
        <f>VLOOKUP($A87,ScionOutput!$A$3:$BL$215,59,FALSE)</f>
        <v>0</v>
      </c>
      <c r="K87">
        <f>VLOOKUP($A87,ScionOutput!$A$3:$BL$215,62,FALSE)</f>
        <v>0</v>
      </c>
      <c r="L87">
        <f>VLOOKUP($A87,ScionOutput!$A$3:$BL$215,63,FALSE)</f>
        <v>0</v>
      </c>
      <c r="M87" t="b">
        <f t="shared" si="9"/>
        <v>0</v>
      </c>
      <c r="N87">
        <f>VLOOKUP($A87,Outcomes!$B$3:$I$209,8,FALSE)</f>
        <v>10</v>
      </c>
      <c r="O87">
        <f t="shared" si="10"/>
        <v>1</v>
      </c>
      <c r="P87">
        <f>VLOOKUP($A87,Outcomes!$B$3:$I$209,5,FALSE)</f>
        <v>6</v>
      </c>
      <c r="Q87">
        <f>VLOOKUP($A87,Outcomes!$B$3:$I$209,6,FALSE)</f>
        <v>4</v>
      </c>
      <c r="R87">
        <f>VLOOKUP($A87,Outcomes!$B$3:$I$209,7,FALSE)</f>
        <v>-2</v>
      </c>
      <c r="S87" t="str">
        <f t="shared" si="11"/>
        <v>HomFave</v>
      </c>
      <c r="T87" t="str">
        <f t="shared" si="12"/>
        <v/>
      </c>
      <c r="U87" t="str">
        <f t="shared" si="8"/>
        <v/>
      </c>
      <c r="V87" t="str">
        <f t="shared" si="13"/>
        <v/>
      </c>
      <c r="W87" t="str">
        <f t="shared" si="14"/>
        <v/>
      </c>
      <c r="X87" s="2" t="str">
        <f t="shared" si="15"/>
        <v/>
      </c>
      <c r="Y87" t="str">
        <f>VLOOKUP($A87,ScionOutput!$A$3:$BL$215,64,FALSE)</f>
        <v xml:space="preserve">824997. V_SP is Null, team-based avg used. NoPlay as V_SP is Null. </v>
      </c>
    </row>
    <row r="88" spans="1:25" x14ac:dyDescent="0.2">
      <c r="A88">
        <v>823370</v>
      </c>
      <c r="B88" s="3">
        <f>VLOOKUP($A88,ScionOutput!$A$3:$BL$215,3,FALSE)</f>
        <v>46185</v>
      </c>
      <c r="C88">
        <f>VLOOKUP($A88,ScionOutput!$A$3:$BL$215,22,FALSE)</f>
        <v>22</v>
      </c>
      <c r="D88" t="str">
        <f>VLOOKUP($A88,ScionOutput!$A$3:$BL$215,23,FALSE)</f>
        <v>PIT</v>
      </c>
      <c r="E88">
        <f>VLOOKUP($A88,ScionOutput!$A$3:$BL$215,6,FALSE)</f>
        <v>11</v>
      </c>
      <c r="F88" t="str">
        <f>VLOOKUP($A88,ScionOutput!$A$3:$BL$215,7,FALSE)</f>
        <v>FLO</v>
      </c>
      <c r="G88">
        <f>VLOOKUP($A88,ScionOutput!$A$3:$BL$215,26,FALSE)</f>
        <v>-137</v>
      </c>
      <c r="H88">
        <f>VLOOKUP($A88,ScionOutput!$A$3:$BL$215,10,FALSE)</f>
        <v>127</v>
      </c>
      <c r="I88" t="str">
        <f>VLOOKUP($A88,ScionOutput!$A$3:$BL$215,58,FALSE)</f>
        <v>No Play</v>
      </c>
      <c r="J88">
        <f>VLOOKUP($A88,ScionOutput!$A$3:$BL$215,59,FALSE)</f>
        <v>0</v>
      </c>
      <c r="K88">
        <f>VLOOKUP($A88,ScionOutput!$A$3:$BL$215,62,FALSE)</f>
        <v>0</v>
      </c>
      <c r="L88">
        <f>VLOOKUP($A88,ScionOutput!$A$3:$BL$215,63,FALSE)</f>
        <v>0</v>
      </c>
      <c r="M88" t="b">
        <f t="shared" si="9"/>
        <v>0</v>
      </c>
      <c r="N88">
        <f>VLOOKUP($A88,Outcomes!$B$3:$I$209,8,FALSE)</f>
        <v>11</v>
      </c>
      <c r="O88">
        <f t="shared" si="10"/>
        <v>-1</v>
      </c>
      <c r="P88">
        <f>VLOOKUP($A88,Outcomes!$B$3:$I$209,5,FALSE)</f>
        <v>3</v>
      </c>
      <c r="Q88">
        <f>VLOOKUP($A88,Outcomes!$B$3:$I$209,6,FALSE)</f>
        <v>8</v>
      </c>
      <c r="R88">
        <f>VLOOKUP($A88,Outcomes!$B$3:$I$209,7,FALSE)</f>
        <v>5</v>
      </c>
      <c r="S88" t="str">
        <f t="shared" si="11"/>
        <v>VisDog</v>
      </c>
      <c r="T88" t="str">
        <f t="shared" si="12"/>
        <v/>
      </c>
      <c r="U88" t="str">
        <f t="shared" si="8"/>
        <v/>
      </c>
      <c r="V88" t="str">
        <f t="shared" si="13"/>
        <v/>
      </c>
      <c r="W88" t="str">
        <f t="shared" si="14"/>
        <v/>
      </c>
      <c r="X88" s="2" t="str">
        <f t="shared" si="15"/>
        <v/>
      </c>
      <c r="Y88" t="str">
        <f>VLOOKUP($A88,ScionOutput!$A$3:$BL$215,64,FALSE)</f>
        <v xml:space="preserve">823370. LineStatEns probability points gap does not exceed threshold (no edge found)! StatOnlyEns probability points gap does not exceed threshold (no edge found)! No play due to strategy constraints. </v>
      </c>
    </row>
    <row r="89" spans="1:25" x14ac:dyDescent="0.2">
      <c r="A89">
        <v>823211</v>
      </c>
      <c r="B89" s="3">
        <f>VLOOKUP($A89,ScionOutput!$A$3:$BL$215,3,FALSE)</f>
        <v>46185</v>
      </c>
      <c r="C89">
        <f>VLOOKUP($A89,ScionOutput!$A$3:$BL$215,22,FALSE)</f>
        <v>25</v>
      </c>
      <c r="D89" t="str">
        <f>VLOOKUP($A89,ScionOutput!$A$3:$BL$215,23,FALSE)</f>
        <v>SF</v>
      </c>
      <c r="E89">
        <f>VLOOKUP($A89,ScionOutput!$A$3:$BL$215,6,FALSE)</f>
        <v>5</v>
      </c>
      <c r="F89" t="str">
        <f>VLOOKUP($A89,ScionOutput!$A$3:$BL$215,7,FALSE)</f>
        <v>CHC</v>
      </c>
      <c r="G89">
        <f>VLOOKUP($A89,ScionOutput!$A$3:$BL$215,26,FALSE)</f>
        <v>-120</v>
      </c>
      <c r="H89">
        <f>VLOOKUP($A89,ScionOutput!$A$3:$BL$215,10,FALSE)</f>
        <v>111</v>
      </c>
      <c r="I89" t="str">
        <f>VLOOKUP($A89,ScionOutput!$A$3:$BL$215,58,FALSE)</f>
        <v>No Play</v>
      </c>
      <c r="J89">
        <f>VLOOKUP($A89,ScionOutput!$A$3:$BL$215,59,FALSE)</f>
        <v>0</v>
      </c>
      <c r="K89">
        <f>VLOOKUP($A89,ScionOutput!$A$3:$BL$215,62,FALSE)</f>
        <v>0</v>
      </c>
      <c r="L89">
        <f>VLOOKUP($A89,ScionOutput!$A$3:$BL$215,63,FALSE)</f>
        <v>0</v>
      </c>
      <c r="M89" t="b">
        <f t="shared" si="9"/>
        <v>0</v>
      </c>
      <c r="N89">
        <f>VLOOKUP($A89,Outcomes!$B$3:$I$209,8,FALSE)</f>
        <v>6</v>
      </c>
      <c r="O89">
        <f t="shared" si="10"/>
        <v>-1</v>
      </c>
      <c r="P89">
        <f>VLOOKUP($A89,Outcomes!$B$3:$I$209,5,FALSE)</f>
        <v>1</v>
      </c>
      <c r="Q89">
        <f>VLOOKUP($A89,Outcomes!$B$3:$I$209,6,FALSE)</f>
        <v>5</v>
      </c>
      <c r="R89">
        <f>VLOOKUP($A89,Outcomes!$B$3:$I$209,7,FALSE)</f>
        <v>4</v>
      </c>
      <c r="S89" t="str">
        <f t="shared" si="11"/>
        <v>VisDog</v>
      </c>
      <c r="T89" t="str">
        <f t="shared" si="12"/>
        <v/>
      </c>
      <c r="U89" t="str">
        <f t="shared" si="8"/>
        <v/>
      </c>
      <c r="V89" t="str">
        <f t="shared" si="13"/>
        <v/>
      </c>
      <c r="W89" t="str">
        <f t="shared" si="14"/>
        <v/>
      </c>
      <c r="X89" s="2" t="str">
        <f t="shared" si="15"/>
        <v/>
      </c>
      <c r="Y89" t="str">
        <f>VLOOKUP($A89,ScionOutput!$A$3:$BL$215,64,FALSE)</f>
        <v xml:space="preserve">823211. LineStatEns probability points gap does not exceed threshold (no edge found)! No play due to strategy constraints. </v>
      </c>
    </row>
    <row r="90" spans="1:25" x14ac:dyDescent="0.2">
      <c r="A90">
        <v>822803</v>
      </c>
      <c r="B90" s="3">
        <f>VLOOKUP($A90,ScionOutput!$A$3:$BL$215,3,FALSE)</f>
        <v>46185</v>
      </c>
      <c r="C90">
        <f>VLOOKUP($A90,ScionOutput!$A$3:$BL$215,22,FALSE)</f>
        <v>29</v>
      </c>
      <c r="D90" t="str">
        <f>VLOOKUP($A90,ScionOutput!$A$3:$BL$215,23,FALSE)</f>
        <v>TOR</v>
      </c>
      <c r="E90">
        <f>VLOOKUP($A90,ScionOutput!$A$3:$BL$215,6,FALSE)</f>
        <v>19</v>
      </c>
      <c r="F90" t="str">
        <f>VLOOKUP($A90,ScionOutput!$A$3:$BL$215,7,FALSE)</f>
        <v>NYY</v>
      </c>
      <c r="G90">
        <f>VLOOKUP($A90,ScionOutput!$A$3:$BL$215,26,FALSE)</f>
        <v>-108</v>
      </c>
      <c r="H90">
        <f>VLOOKUP($A90,ScionOutput!$A$3:$BL$215,10,FALSE)</f>
        <v>100</v>
      </c>
      <c r="I90" t="str">
        <f>VLOOKUP($A90,ScionOutput!$A$3:$BL$215,58,FALSE)</f>
        <v>VisDog</v>
      </c>
      <c r="J90">
        <f>VLOOKUP($A90,ScionOutput!$A$3:$BL$215,59,FALSE)</f>
        <v>-2.9430000000000001E-2</v>
      </c>
      <c r="K90">
        <f>VLOOKUP($A90,ScionOutput!$A$3:$BL$215,62,FALSE)</f>
        <v>5</v>
      </c>
      <c r="L90">
        <f>VLOOKUP($A90,ScionOutput!$A$3:$BL$215,63,FALSE)</f>
        <v>0.8</v>
      </c>
      <c r="M90" t="b">
        <f t="shared" si="9"/>
        <v>1</v>
      </c>
      <c r="N90">
        <f>VLOOKUP($A90,Outcomes!$B$3:$I$209,8,FALSE)</f>
        <v>13</v>
      </c>
      <c r="O90">
        <f t="shared" si="10"/>
        <v>1</v>
      </c>
      <c r="P90">
        <f>VLOOKUP($A90,Outcomes!$B$3:$I$209,5,FALSE)</f>
        <v>8</v>
      </c>
      <c r="Q90">
        <f>VLOOKUP($A90,Outcomes!$B$3:$I$209,6,FALSE)</f>
        <v>5</v>
      </c>
      <c r="R90">
        <f>VLOOKUP($A90,Outcomes!$B$3:$I$209,7,FALSE)</f>
        <v>-3</v>
      </c>
      <c r="S90" t="str">
        <f t="shared" si="11"/>
        <v>HomFave</v>
      </c>
      <c r="T90">
        <f t="shared" si="12"/>
        <v>0</v>
      </c>
      <c r="U90">
        <f t="shared" si="8"/>
        <v>100</v>
      </c>
      <c r="V90">
        <f t="shared" si="13"/>
        <v>0</v>
      </c>
      <c r="W90">
        <f t="shared" si="14"/>
        <v>-100</v>
      </c>
      <c r="X90" s="2">
        <f t="shared" si="15"/>
        <v>-1</v>
      </c>
      <c r="Y90" t="str">
        <f>VLOOKUP($A90,ScionOutput!$A$3:$BL$215,64,FALSE)</f>
        <v xml:space="preserve">822803. Play determined by LineStatEns and StatOnlyEns agreement. </v>
      </c>
    </row>
    <row r="91" spans="1:25" x14ac:dyDescent="0.2">
      <c r="A91">
        <v>824828</v>
      </c>
      <c r="B91" s="3">
        <f>VLOOKUP($A91,ScionOutput!$A$3:$BL$215,3,FALSE)</f>
        <v>46186</v>
      </c>
      <c r="C91">
        <f>VLOOKUP($A91,ScionOutput!$A$3:$BL$215,22,FALSE)</f>
        <v>2</v>
      </c>
      <c r="D91" t="str">
        <f>VLOOKUP($A91,ScionOutput!$A$3:$BL$215,23,FALSE)</f>
        <v>BAL</v>
      </c>
      <c r="E91">
        <f>VLOOKUP($A91,ScionOutput!$A$3:$BL$215,6,FALSE)</f>
        <v>23</v>
      </c>
      <c r="F91" t="str">
        <f>VLOOKUP($A91,ScionOutput!$A$3:$BL$215,7,FALSE)</f>
        <v>SD</v>
      </c>
      <c r="G91">
        <f>VLOOKUP($A91,ScionOutput!$A$3:$BL$215,26,FALSE)</f>
        <v>-116</v>
      </c>
      <c r="H91">
        <f>VLOOKUP($A91,ScionOutput!$A$3:$BL$215,10,FALSE)</f>
        <v>107</v>
      </c>
      <c r="I91" t="str">
        <f>VLOOKUP($A91,ScionOutput!$A$3:$BL$215,58,FALSE)</f>
        <v>No Play</v>
      </c>
      <c r="J91">
        <f>VLOOKUP($A91,ScionOutput!$A$3:$BL$215,59,FALSE)</f>
        <v>0</v>
      </c>
      <c r="K91">
        <f>VLOOKUP($A91,ScionOutput!$A$3:$BL$215,62,FALSE)</f>
        <v>0</v>
      </c>
      <c r="L91">
        <f>VLOOKUP($A91,ScionOutput!$A$3:$BL$215,63,FALSE)</f>
        <v>0</v>
      </c>
      <c r="M91" t="b">
        <f t="shared" si="9"/>
        <v>0</v>
      </c>
      <c r="N91">
        <f>VLOOKUP($A91,Outcomes!$B$3:$I$209,8,FALSE)</f>
        <v>12</v>
      </c>
      <c r="O91">
        <f t="shared" si="10"/>
        <v>-1</v>
      </c>
      <c r="P91">
        <f>VLOOKUP($A91,Outcomes!$B$3:$I$209,5,FALSE)</f>
        <v>3</v>
      </c>
      <c r="Q91">
        <f>VLOOKUP($A91,Outcomes!$B$3:$I$209,6,FALSE)</f>
        <v>9</v>
      </c>
      <c r="R91">
        <f>VLOOKUP($A91,Outcomes!$B$3:$I$209,7,FALSE)</f>
        <v>6</v>
      </c>
      <c r="S91" t="str">
        <f t="shared" si="11"/>
        <v>VisDog</v>
      </c>
      <c r="T91" t="str">
        <f t="shared" si="12"/>
        <v/>
      </c>
      <c r="U91" t="str">
        <f t="shared" si="8"/>
        <v/>
      </c>
      <c r="V91" t="str">
        <f t="shared" si="13"/>
        <v/>
      </c>
      <c r="W91" t="str">
        <f t="shared" si="14"/>
        <v/>
      </c>
      <c r="X91" s="2" t="str">
        <f t="shared" si="15"/>
        <v/>
      </c>
      <c r="Y91" t="str">
        <f>VLOOKUP($A91,ScionOutput!$A$3:$BL$215,64,FALSE)</f>
        <v xml:space="preserve">824828. LineStatEns probability points gap does not exceed threshold (no edge found)! StatOnlyEns probability points gap does not exceed threshold (no edge found)! No play due to strategy constraints. </v>
      </c>
    </row>
    <row r="92" spans="1:25" x14ac:dyDescent="0.2">
      <c r="A92">
        <v>824749</v>
      </c>
      <c r="B92" s="3">
        <f>VLOOKUP($A92,ScionOutput!$A$3:$BL$215,3,FALSE)</f>
        <v>46186</v>
      </c>
      <c r="C92">
        <f>VLOOKUP($A92,ScionOutput!$A$3:$BL$215,22,FALSE)</f>
        <v>3</v>
      </c>
      <c r="D92" t="str">
        <f>VLOOKUP($A92,ScionOutput!$A$3:$BL$215,23,FALSE)</f>
        <v>BOS</v>
      </c>
      <c r="E92">
        <f>VLOOKUP($A92,ScionOutput!$A$3:$BL$215,6,FALSE)</f>
        <v>28</v>
      </c>
      <c r="F92" t="str">
        <f>VLOOKUP($A92,ScionOutput!$A$3:$BL$215,7,FALSE)</f>
        <v>TEX</v>
      </c>
      <c r="G92">
        <f>VLOOKUP($A92,ScionOutput!$A$3:$BL$215,26,FALSE)</f>
        <v>-111</v>
      </c>
      <c r="H92">
        <f>VLOOKUP($A92,ScionOutput!$A$3:$BL$215,10,FALSE)</f>
        <v>102</v>
      </c>
      <c r="I92" t="str">
        <f>VLOOKUP($A92,ScionOutput!$A$3:$BL$215,58,FALSE)</f>
        <v>No Play</v>
      </c>
      <c r="J92">
        <f>VLOOKUP($A92,ScionOutput!$A$3:$BL$215,59,FALSE)</f>
        <v>0</v>
      </c>
      <c r="K92">
        <f>VLOOKUP($A92,ScionOutput!$A$3:$BL$215,62,FALSE)</f>
        <v>0</v>
      </c>
      <c r="L92">
        <f>VLOOKUP($A92,ScionOutput!$A$3:$BL$215,63,FALSE)</f>
        <v>0</v>
      </c>
      <c r="M92" t="b">
        <f t="shared" si="9"/>
        <v>0</v>
      </c>
      <c r="N92">
        <f>VLOOKUP($A92,Outcomes!$B$3:$I$209,8,FALSE)</f>
        <v>9</v>
      </c>
      <c r="O92">
        <f t="shared" si="10"/>
        <v>1</v>
      </c>
      <c r="P92">
        <f>VLOOKUP($A92,Outcomes!$B$3:$I$209,5,FALSE)</f>
        <v>6</v>
      </c>
      <c r="Q92">
        <f>VLOOKUP($A92,Outcomes!$B$3:$I$209,6,FALSE)</f>
        <v>3</v>
      </c>
      <c r="R92">
        <f>VLOOKUP($A92,Outcomes!$B$3:$I$209,7,FALSE)</f>
        <v>-3</v>
      </c>
      <c r="S92" t="str">
        <f t="shared" si="11"/>
        <v>HomFave</v>
      </c>
      <c r="T92" t="str">
        <f t="shared" si="12"/>
        <v/>
      </c>
      <c r="U92" t="str">
        <f t="shared" si="8"/>
        <v/>
      </c>
      <c r="V92" t="str">
        <f t="shared" si="13"/>
        <v/>
      </c>
      <c r="W92" t="str">
        <f t="shared" si="14"/>
        <v/>
      </c>
      <c r="X92" s="2" t="str">
        <f t="shared" si="15"/>
        <v/>
      </c>
      <c r="Y92" t="str">
        <f>VLOOKUP($A92,ScionOutput!$A$3:$BL$215,64,FALSE)</f>
        <v xml:space="preserve">824749. LineStatEns probability points gap does not exceed threshold (no edge found)! StatOnlyEns probability points gap does not exceed threshold (no edge found)! No play due to strategy constraints. </v>
      </c>
    </row>
    <row r="93" spans="1:25" x14ac:dyDescent="0.2">
      <c r="A93">
        <v>824019</v>
      </c>
      <c r="B93" s="3">
        <f>VLOOKUP($A93,ScionOutput!$A$3:$BL$215,3,FALSE)</f>
        <v>46186</v>
      </c>
      <c r="C93">
        <f>VLOOKUP($A93,ScionOutput!$A$3:$BL$215,22,FALSE)</f>
        <v>4</v>
      </c>
      <c r="D93" t="str">
        <f>VLOOKUP($A93,ScionOutput!$A$3:$BL$215,23,FALSE)</f>
        <v>LAA</v>
      </c>
      <c r="E93">
        <f>VLOOKUP($A93,ScionOutput!$A$3:$BL$215,6,FALSE)</f>
        <v>27</v>
      </c>
      <c r="F93" t="str">
        <f>VLOOKUP($A93,ScionOutput!$A$3:$BL$215,7,FALSE)</f>
        <v>TB</v>
      </c>
      <c r="G93">
        <f>VLOOKUP($A93,ScionOutput!$A$3:$BL$215,26,FALSE)</f>
        <v>102</v>
      </c>
      <c r="H93">
        <f>VLOOKUP($A93,ScionOutput!$A$3:$BL$215,10,FALSE)</f>
        <v>-110</v>
      </c>
      <c r="I93" t="str">
        <f>VLOOKUP($A93,ScionOutput!$A$3:$BL$215,58,FALSE)</f>
        <v>No Play</v>
      </c>
      <c r="J93">
        <f>VLOOKUP($A93,ScionOutput!$A$3:$BL$215,59,FALSE)</f>
        <v>0</v>
      </c>
      <c r="K93">
        <f>VLOOKUP($A93,ScionOutput!$A$3:$BL$215,62,FALSE)</f>
        <v>0</v>
      </c>
      <c r="L93">
        <f>VLOOKUP($A93,ScionOutput!$A$3:$BL$215,63,FALSE)</f>
        <v>0</v>
      </c>
      <c r="M93" t="b">
        <f t="shared" si="9"/>
        <v>0</v>
      </c>
      <c r="N93">
        <f>VLOOKUP($A93,Outcomes!$B$3:$I$209,8,FALSE)</f>
        <v>8</v>
      </c>
      <c r="O93">
        <f t="shared" si="10"/>
        <v>1</v>
      </c>
      <c r="P93">
        <f>VLOOKUP($A93,Outcomes!$B$3:$I$209,5,FALSE)</f>
        <v>8</v>
      </c>
      <c r="Q93">
        <f>VLOOKUP($A93,Outcomes!$B$3:$I$209,6,FALSE)</f>
        <v>0</v>
      </c>
      <c r="R93">
        <f>VLOOKUP($A93,Outcomes!$B$3:$I$209,7,FALSE)</f>
        <v>-8</v>
      </c>
      <c r="S93" t="str">
        <f t="shared" si="11"/>
        <v>HomDog</v>
      </c>
      <c r="T93" t="str">
        <f t="shared" si="12"/>
        <v/>
      </c>
      <c r="U93" t="str">
        <f t="shared" si="8"/>
        <v/>
      </c>
      <c r="V93" t="str">
        <f t="shared" si="13"/>
        <v/>
      </c>
      <c r="W93" t="str">
        <f t="shared" si="14"/>
        <v/>
      </c>
      <c r="X93" s="2" t="str">
        <f t="shared" si="15"/>
        <v/>
      </c>
      <c r="Y93" t="str">
        <f>VLOOKUP($A93,ScionOutput!$A$3:$BL$215,64,FALSE)</f>
        <v xml:space="preserve">824019. VF plays are disallowed. No play due to strategy constraints. </v>
      </c>
    </row>
    <row r="94" spans="1:25" x14ac:dyDescent="0.2">
      <c r="A94">
        <v>824508</v>
      </c>
      <c r="B94" s="3">
        <f>VLOOKUP($A94,ScionOutput!$A$3:$BL$215,3,FALSE)</f>
        <v>46186</v>
      </c>
      <c r="C94">
        <f>VLOOKUP($A94,ScionOutput!$A$3:$BL$215,22,FALSE)</f>
        <v>6</v>
      </c>
      <c r="D94" t="str">
        <f>VLOOKUP($A94,ScionOutput!$A$3:$BL$215,23,FALSE)</f>
        <v>CIN</v>
      </c>
      <c r="E94">
        <f>VLOOKUP($A94,ScionOutput!$A$3:$BL$215,6,FALSE)</f>
        <v>1</v>
      </c>
      <c r="F94" t="str">
        <f>VLOOKUP($A94,ScionOutput!$A$3:$BL$215,7,FALSE)</f>
        <v>ARZ</v>
      </c>
      <c r="G94">
        <f>VLOOKUP($A94,ScionOutput!$A$3:$BL$215,26,FALSE)</f>
        <v>136</v>
      </c>
      <c r="H94">
        <f>VLOOKUP($A94,ScionOutput!$A$3:$BL$215,10,FALSE)</f>
        <v>-148</v>
      </c>
      <c r="I94" t="str">
        <f>VLOOKUP($A94,ScionOutput!$A$3:$BL$215,58,FALSE)</f>
        <v>No Play</v>
      </c>
      <c r="J94">
        <f>VLOOKUP($A94,ScionOutput!$A$3:$BL$215,59,FALSE)</f>
        <v>0</v>
      </c>
      <c r="K94">
        <f>VLOOKUP($A94,ScionOutput!$A$3:$BL$215,62,FALSE)</f>
        <v>0</v>
      </c>
      <c r="L94">
        <f>VLOOKUP($A94,ScionOutput!$A$3:$BL$215,63,FALSE)</f>
        <v>0</v>
      </c>
      <c r="M94" t="b">
        <f t="shared" si="9"/>
        <v>0</v>
      </c>
      <c r="N94">
        <f>VLOOKUP($A94,Outcomes!$B$3:$I$209,8,FALSE)</f>
        <v>3</v>
      </c>
      <c r="O94">
        <f t="shared" si="10"/>
        <v>1</v>
      </c>
      <c r="P94">
        <f>VLOOKUP($A94,Outcomes!$B$3:$I$209,5,FALSE)</f>
        <v>2</v>
      </c>
      <c r="Q94">
        <f>VLOOKUP($A94,Outcomes!$B$3:$I$209,6,FALSE)</f>
        <v>1</v>
      </c>
      <c r="R94">
        <f>VLOOKUP($A94,Outcomes!$B$3:$I$209,7,FALSE)</f>
        <v>-1</v>
      </c>
      <c r="S94" t="str">
        <f t="shared" si="11"/>
        <v>HomDog</v>
      </c>
      <c r="T94" t="str">
        <f t="shared" si="12"/>
        <v/>
      </c>
      <c r="U94" t="str">
        <f t="shared" si="8"/>
        <v/>
      </c>
      <c r="V94" t="str">
        <f t="shared" si="13"/>
        <v/>
      </c>
      <c r="W94" t="str">
        <f t="shared" si="14"/>
        <v/>
      </c>
      <c r="X94" s="2" t="str">
        <f t="shared" si="15"/>
        <v/>
      </c>
      <c r="Y94" t="str">
        <f>VLOOKUP($A94,ScionOutput!$A$3:$BL$215,64,FALSE)</f>
        <v xml:space="preserve">824508. VF plays are disallowed. No play due to strategy constraints. </v>
      </c>
    </row>
    <row r="95" spans="1:25" x14ac:dyDescent="0.2">
      <c r="A95">
        <v>824426</v>
      </c>
      <c r="B95" s="3">
        <f>VLOOKUP($A95,ScionOutput!$A$3:$BL$215,3,FALSE)</f>
        <v>46186</v>
      </c>
      <c r="C95">
        <f>VLOOKUP($A95,ScionOutput!$A$3:$BL$215,22,FALSE)</f>
        <v>7</v>
      </c>
      <c r="D95" t="str">
        <f>VLOOKUP($A95,ScionOutput!$A$3:$BL$215,23,FALSE)</f>
        <v>CLE</v>
      </c>
      <c r="E95">
        <f>VLOOKUP($A95,ScionOutput!$A$3:$BL$215,6,FALSE)</f>
        <v>10</v>
      </c>
      <c r="F95" t="str">
        <f>VLOOKUP($A95,ScionOutput!$A$3:$BL$215,7,FALSE)</f>
        <v>DET</v>
      </c>
      <c r="G95">
        <f>VLOOKUP($A95,ScionOutput!$A$3:$BL$215,26,FALSE)</f>
        <v>121</v>
      </c>
      <c r="H95">
        <f>VLOOKUP($A95,ScionOutput!$A$3:$BL$215,10,FALSE)</f>
        <v>-131</v>
      </c>
      <c r="I95" t="str">
        <f>VLOOKUP($A95,ScionOutput!$A$3:$BL$215,58,FALSE)</f>
        <v>No Play</v>
      </c>
      <c r="J95">
        <f>VLOOKUP($A95,ScionOutput!$A$3:$BL$215,59,FALSE)</f>
        <v>0</v>
      </c>
      <c r="K95">
        <f>VLOOKUP($A95,ScionOutput!$A$3:$BL$215,62,FALSE)</f>
        <v>0</v>
      </c>
      <c r="L95">
        <f>VLOOKUP($A95,ScionOutput!$A$3:$BL$215,63,FALSE)</f>
        <v>0</v>
      </c>
      <c r="M95" t="b">
        <f t="shared" si="9"/>
        <v>0</v>
      </c>
      <c r="N95">
        <f>VLOOKUP($A95,Outcomes!$B$3:$I$209,8,FALSE)</f>
        <v>4</v>
      </c>
      <c r="O95">
        <f t="shared" si="10"/>
        <v>1</v>
      </c>
      <c r="P95">
        <f>VLOOKUP($A95,Outcomes!$B$3:$I$209,5,FALSE)</f>
        <v>3</v>
      </c>
      <c r="Q95">
        <f>VLOOKUP($A95,Outcomes!$B$3:$I$209,6,FALSE)</f>
        <v>1</v>
      </c>
      <c r="R95">
        <f>VLOOKUP($A95,Outcomes!$B$3:$I$209,7,FALSE)</f>
        <v>-2</v>
      </c>
      <c r="S95" t="str">
        <f t="shared" si="11"/>
        <v>HomDog</v>
      </c>
      <c r="T95" t="str">
        <f t="shared" si="12"/>
        <v/>
      </c>
      <c r="U95" t="str">
        <f t="shared" si="8"/>
        <v/>
      </c>
      <c r="V95" t="str">
        <f t="shared" si="13"/>
        <v/>
      </c>
      <c r="W95" t="str">
        <f t="shared" si="14"/>
        <v/>
      </c>
      <c r="X95" s="2" t="str">
        <f t="shared" si="15"/>
        <v/>
      </c>
      <c r="Y95" t="str">
        <f>VLOOKUP($A95,ScionOutput!$A$3:$BL$215,64,FALSE)</f>
        <v xml:space="preserve">824426. VF plays are disallowed. No play due to strategy constraints. </v>
      </c>
    </row>
    <row r="96" spans="1:25" x14ac:dyDescent="0.2">
      <c r="A96">
        <v>824587</v>
      </c>
      <c r="B96" s="3">
        <f>VLOOKUP($A96,ScionOutput!$A$3:$BL$215,3,FALSE)</f>
        <v>46186</v>
      </c>
      <c r="C96">
        <f>VLOOKUP($A96,ScionOutput!$A$3:$BL$215,22,FALSE)</f>
        <v>9</v>
      </c>
      <c r="D96" t="str">
        <f>VLOOKUP($A96,ScionOutput!$A$3:$BL$215,23,FALSE)</f>
        <v>CWS</v>
      </c>
      <c r="E96">
        <f>VLOOKUP($A96,ScionOutput!$A$3:$BL$215,6,FALSE)</f>
        <v>14</v>
      </c>
      <c r="F96" t="str">
        <f>VLOOKUP($A96,ScionOutput!$A$3:$BL$215,7,FALSE)</f>
        <v>LA</v>
      </c>
      <c r="G96">
        <f>VLOOKUP($A96,ScionOutput!$A$3:$BL$215,26,FALSE)</f>
        <v>185</v>
      </c>
      <c r="H96">
        <f>VLOOKUP($A96,ScionOutput!$A$3:$BL$215,10,FALSE)</f>
        <v>-203</v>
      </c>
      <c r="I96" t="str">
        <f>VLOOKUP($A96,ScionOutput!$A$3:$BL$215,58,FALSE)</f>
        <v>No Play</v>
      </c>
      <c r="J96">
        <f>VLOOKUP($A96,ScionOutput!$A$3:$BL$215,59,FALSE)</f>
        <v>0</v>
      </c>
      <c r="K96">
        <f>VLOOKUP($A96,ScionOutput!$A$3:$BL$215,62,FALSE)</f>
        <v>0</v>
      </c>
      <c r="L96">
        <f>VLOOKUP($A96,ScionOutput!$A$3:$BL$215,63,FALSE)</f>
        <v>0</v>
      </c>
      <c r="M96" t="b">
        <f t="shared" si="9"/>
        <v>0</v>
      </c>
      <c r="N96">
        <f>VLOOKUP($A96,Outcomes!$B$3:$I$209,8,FALSE)</f>
        <v>8</v>
      </c>
      <c r="O96">
        <f t="shared" si="10"/>
        <v>-1</v>
      </c>
      <c r="P96">
        <f>VLOOKUP($A96,Outcomes!$B$3:$I$209,5,FALSE)</f>
        <v>1</v>
      </c>
      <c r="Q96">
        <f>VLOOKUP($A96,Outcomes!$B$3:$I$209,6,FALSE)</f>
        <v>7</v>
      </c>
      <c r="R96">
        <f>VLOOKUP($A96,Outcomes!$B$3:$I$209,7,FALSE)</f>
        <v>6</v>
      </c>
      <c r="S96" t="str">
        <f t="shared" si="11"/>
        <v>VisFave</v>
      </c>
      <c r="T96" t="str">
        <f t="shared" si="12"/>
        <v/>
      </c>
      <c r="U96" t="str">
        <f t="shared" si="8"/>
        <v/>
      </c>
      <c r="V96" t="str">
        <f t="shared" si="13"/>
        <v/>
      </c>
      <c r="W96" t="str">
        <f t="shared" si="14"/>
        <v/>
      </c>
      <c r="X96" s="2" t="str">
        <f t="shared" si="15"/>
        <v/>
      </c>
      <c r="Y96" t="str">
        <f>VLOOKUP($A96,ScionOutput!$A$3:$BL$215,64,FALSE)</f>
        <v xml:space="preserve">824587. LineStatEns is NoPlay as bookie-line outside range. StatOnlyEns is NoPlay as bookie-line outside range. No play due to strategy constraints. </v>
      </c>
    </row>
    <row r="97" spans="1:25" x14ac:dyDescent="0.2">
      <c r="A97">
        <v>824100</v>
      </c>
      <c r="B97" s="3">
        <f>VLOOKUP($A97,ScionOutput!$A$3:$BL$215,3,FALSE)</f>
        <v>46186</v>
      </c>
      <c r="C97">
        <f>VLOOKUP($A97,ScionOutput!$A$3:$BL$215,22,FALSE)</f>
        <v>13</v>
      </c>
      <c r="D97" t="str">
        <f>VLOOKUP($A97,ScionOutput!$A$3:$BL$215,23,FALSE)</f>
        <v>KC</v>
      </c>
      <c r="E97">
        <f>VLOOKUP($A97,ScionOutput!$A$3:$BL$215,6,FALSE)</f>
        <v>12</v>
      </c>
      <c r="F97" t="str">
        <f>VLOOKUP($A97,ScionOutput!$A$3:$BL$215,7,FALSE)</f>
        <v>HOU</v>
      </c>
      <c r="G97">
        <f>VLOOKUP($A97,ScionOutput!$A$3:$BL$215,26,FALSE)</f>
        <v>-121</v>
      </c>
      <c r="H97">
        <f>VLOOKUP($A97,ScionOutput!$A$3:$BL$215,10,FALSE)</f>
        <v>112</v>
      </c>
      <c r="I97" t="str">
        <f>VLOOKUP($A97,ScionOutput!$A$3:$BL$215,58,FALSE)</f>
        <v>VisDog</v>
      </c>
      <c r="J97">
        <f>VLOOKUP($A97,ScionOutput!$A$3:$BL$215,59,FALSE)</f>
        <v>-5.7189999999999998E-2</v>
      </c>
      <c r="K97">
        <f>VLOOKUP($A97,ScionOutput!$A$3:$BL$215,62,FALSE)</f>
        <v>5</v>
      </c>
      <c r="L97">
        <f>VLOOKUP($A97,ScionOutput!$A$3:$BL$215,63,FALSE)</f>
        <v>0.67</v>
      </c>
      <c r="M97" t="b">
        <f t="shared" si="9"/>
        <v>1</v>
      </c>
      <c r="N97">
        <f>VLOOKUP($A97,Outcomes!$B$3:$I$209,8,FALSE)</f>
        <v>15</v>
      </c>
      <c r="O97">
        <f t="shared" si="10"/>
        <v>-1</v>
      </c>
      <c r="P97">
        <f>VLOOKUP($A97,Outcomes!$B$3:$I$209,5,FALSE)</f>
        <v>7</v>
      </c>
      <c r="Q97">
        <f>VLOOKUP($A97,Outcomes!$B$3:$I$209,6,FALSE)</f>
        <v>8</v>
      </c>
      <c r="R97">
        <f>VLOOKUP($A97,Outcomes!$B$3:$I$209,7,FALSE)</f>
        <v>1</v>
      </c>
      <c r="S97" t="str">
        <f t="shared" si="11"/>
        <v>VisDog</v>
      </c>
      <c r="T97">
        <f t="shared" si="12"/>
        <v>1</v>
      </c>
      <c r="U97">
        <f t="shared" si="8"/>
        <v>100</v>
      </c>
      <c r="V97">
        <f t="shared" si="13"/>
        <v>212</v>
      </c>
      <c r="W97">
        <f t="shared" si="14"/>
        <v>112</v>
      </c>
      <c r="X97" s="2">
        <f t="shared" si="15"/>
        <v>1.1200000000000001</v>
      </c>
      <c r="Y97" t="str">
        <f>VLOOKUP($A97,ScionOutput!$A$3:$BL$215,64,FALSE)</f>
        <v xml:space="preserve">824100. Play determined by LineStatEns and StatOnlyEns agreement. </v>
      </c>
    </row>
    <row r="98" spans="1:25" x14ac:dyDescent="0.2">
      <c r="A98">
        <v>823694</v>
      </c>
      <c r="B98" s="3">
        <f>VLOOKUP($A98,ScionOutput!$A$3:$BL$215,3,FALSE)</f>
        <v>46186</v>
      </c>
      <c r="C98">
        <f>VLOOKUP($A98,ScionOutput!$A$3:$BL$215,22,FALSE)</f>
        <v>15</v>
      </c>
      <c r="D98" t="str">
        <f>VLOOKUP($A98,ScionOutput!$A$3:$BL$215,23,FALSE)</f>
        <v>MIN</v>
      </c>
      <c r="E98">
        <f>VLOOKUP($A98,ScionOutput!$A$3:$BL$215,6,FALSE)</f>
        <v>26</v>
      </c>
      <c r="F98" t="str">
        <f>VLOOKUP($A98,ScionOutput!$A$3:$BL$215,7,FALSE)</f>
        <v>STL</v>
      </c>
      <c r="G98">
        <f>VLOOKUP($A98,ScionOutput!$A$3:$BL$215,26,FALSE)</f>
        <v>102</v>
      </c>
      <c r="H98">
        <f>VLOOKUP($A98,ScionOutput!$A$3:$BL$215,10,FALSE)</f>
        <v>-110</v>
      </c>
      <c r="I98" t="str">
        <f>VLOOKUP($A98,ScionOutput!$A$3:$BL$215,58,FALSE)</f>
        <v>HomDog</v>
      </c>
      <c r="J98">
        <f>VLOOKUP($A98,ScionOutput!$A$3:$BL$215,59,FALSE)</f>
        <v>1.4109999999999999E-2</v>
      </c>
      <c r="K98">
        <f>VLOOKUP($A98,ScionOutput!$A$3:$BL$215,62,FALSE)</f>
        <v>5</v>
      </c>
      <c r="L98">
        <f>VLOOKUP($A98,ScionOutput!$A$3:$BL$215,63,FALSE)</f>
        <v>0.53</v>
      </c>
      <c r="M98" t="b">
        <f t="shared" si="9"/>
        <v>1</v>
      </c>
      <c r="N98">
        <f>VLOOKUP($A98,Outcomes!$B$3:$I$209,8,FALSE)</f>
        <v>15</v>
      </c>
      <c r="O98">
        <f t="shared" si="10"/>
        <v>-1</v>
      </c>
      <c r="P98">
        <f>VLOOKUP($A98,Outcomes!$B$3:$I$209,5,FALSE)</f>
        <v>6</v>
      </c>
      <c r="Q98">
        <f>VLOOKUP($A98,Outcomes!$B$3:$I$209,6,FALSE)</f>
        <v>9</v>
      </c>
      <c r="R98">
        <f>VLOOKUP($A98,Outcomes!$B$3:$I$209,7,FALSE)</f>
        <v>3</v>
      </c>
      <c r="S98" t="str">
        <f t="shared" si="11"/>
        <v>VisFave</v>
      </c>
      <c r="T98">
        <f t="shared" si="12"/>
        <v>0</v>
      </c>
      <c r="U98">
        <f t="shared" si="8"/>
        <v>100</v>
      </c>
      <c r="V98">
        <f t="shared" si="13"/>
        <v>0</v>
      </c>
      <c r="W98">
        <f t="shared" si="14"/>
        <v>-100</v>
      </c>
      <c r="X98" s="2">
        <f t="shared" si="15"/>
        <v>-1</v>
      </c>
      <c r="Y98" t="str">
        <f>VLOOKUP($A98,ScionOutput!$A$3:$BL$215,64,FALSE)</f>
        <v xml:space="preserve">823694. Play determined by LineStatEns and StatOnlyEns agreement. </v>
      </c>
    </row>
    <row r="99" spans="1:25" x14ac:dyDescent="0.2">
      <c r="A99">
        <v>822725</v>
      </c>
      <c r="B99" s="3">
        <f>VLOOKUP($A99,ScionOutput!$A$3:$BL$215,3,FALSE)</f>
        <v>46186</v>
      </c>
      <c r="C99">
        <f>VLOOKUP($A99,ScionOutput!$A$3:$BL$215,22,FALSE)</f>
        <v>16</v>
      </c>
      <c r="D99" t="str">
        <f>VLOOKUP($A99,ScionOutput!$A$3:$BL$215,23,FALSE)</f>
        <v>WAS</v>
      </c>
      <c r="E99">
        <f>VLOOKUP($A99,ScionOutput!$A$3:$BL$215,6,FALSE)</f>
        <v>24</v>
      </c>
      <c r="F99" t="str">
        <f>VLOOKUP($A99,ScionOutput!$A$3:$BL$215,7,FALSE)</f>
        <v>SEA</v>
      </c>
      <c r="G99">
        <f>VLOOKUP($A99,ScionOutput!$A$3:$BL$215,26,FALSE)</f>
        <v>-116</v>
      </c>
      <c r="H99">
        <f>VLOOKUP($A99,ScionOutput!$A$3:$BL$215,10,FALSE)</f>
        <v>108</v>
      </c>
      <c r="I99" t="str">
        <f>VLOOKUP($A99,ScionOutput!$A$3:$BL$215,58,FALSE)</f>
        <v>VisDog</v>
      </c>
      <c r="J99">
        <f>VLOOKUP($A99,ScionOutput!$A$3:$BL$215,59,FALSE)</f>
        <v>-4.7640000000000002E-2</v>
      </c>
      <c r="K99">
        <f>VLOOKUP($A99,ScionOutput!$A$3:$BL$215,62,FALSE)</f>
        <v>5</v>
      </c>
      <c r="L99">
        <f>VLOOKUP($A99,ScionOutput!$A$3:$BL$215,63,FALSE)</f>
        <v>0.73</v>
      </c>
      <c r="M99" t="b">
        <f t="shared" si="9"/>
        <v>1</v>
      </c>
      <c r="N99">
        <f>VLOOKUP($A99,Outcomes!$B$3:$I$209,8,FALSE)</f>
        <v>11</v>
      </c>
      <c r="O99">
        <f t="shared" si="10"/>
        <v>1</v>
      </c>
      <c r="P99">
        <f>VLOOKUP($A99,Outcomes!$B$3:$I$209,5,FALSE)</f>
        <v>8</v>
      </c>
      <c r="Q99">
        <f>VLOOKUP($A99,Outcomes!$B$3:$I$209,6,FALSE)</f>
        <v>3</v>
      </c>
      <c r="R99">
        <f>VLOOKUP($A99,Outcomes!$B$3:$I$209,7,FALSE)</f>
        <v>-5</v>
      </c>
      <c r="S99" t="str">
        <f t="shared" si="11"/>
        <v>HomFave</v>
      </c>
      <c r="T99">
        <f t="shared" si="12"/>
        <v>0</v>
      </c>
      <c r="U99">
        <f t="shared" si="8"/>
        <v>100</v>
      </c>
      <c r="V99">
        <f t="shared" si="13"/>
        <v>0</v>
      </c>
      <c r="W99">
        <f t="shared" si="14"/>
        <v>-100</v>
      </c>
      <c r="X99" s="2">
        <f t="shared" si="15"/>
        <v>-1</v>
      </c>
      <c r="Y99" t="str">
        <f>VLOOKUP($A99,ScionOutput!$A$3:$BL$215,64,FALSE)</f>
        <v xml:space="preserve">822725. Play determined by LineStatEns and StatOnlyEns agreement. </v>
      </c>
    </row>
    <row r="100" spans="1:25" x14ac:dyDescent="0.2">
      <c r="A100">
        <v>823776</v>
      </c>
      <c r="B100" s="3">
        <f>VLOOKUP($A100,ScionOutput!$A$3:$BL$215,3,FALSE)</f>
        <v>46186</v>
      </c>
      <c r="C100">
        <f>VLOOKUP($A100,ScionOutput!$A$3:$BL$215,22,FALSE)</f>
        <v>17</v>
      </c>
      <c r="D100" t="str">
        <f>VLOOKUP($A100,ScionOutput!$A$3:$BL$215,23,FALSE)</f>
        <v>MLW</v>
      </c>
      <c r="E100">
        <f>VLOOKUP($A100,ScionOutput!$A$3:$BL$215,6,FALSE)</f>
        <v>21</v>
      </c>
      <c r="F100" t="str">
        <f>VLOOKUP($A100,ScionOutput!$A$3:$BL$215,7,FALSE)</f>
        <v>PHI</v>
      </c>
      <c r="G100">
        <f>VLOOKUP($A100,ScionOutput!$A$3:$BL$215,26,FALSE)</f>
        <v>-163</v>
      </c>
      <c r="H100">
        <f>VLOOKUP($A100,ScionOutput!$A$3:$BL$215,10,FALSE)</f>
        <v>150</v>
      </c>
      <c r="I100" t="str">
        <f>VLOOKUP($A100,ScionOutput!$A$3:$BL$215,58,FALSE)</f>
        <v>No Play</v>
      </c>
      <c r="J100">
        <f>VLOOKUP($A100,ScionOutput!$A$3:$BL$215,59,FALSE)</f>
        <v>0</v>
      </c>
      <c r="K100">
        <f>VLOOKUP($A100,ScionOutput!$A$3:$BL$215,62,FALSE)</f>
        <v>0</v>
      </c>
      <c r="L100">
        <f>VLOOKUP($A100,ScionOutput!$A$3:$BL$215,63,FALSE)</f>
        <v>0</v>
      </c>
      <c r="M100" t="b">
        <f t="shared" si="9"/>
        <v>0</v>
      </c>
      <c r="N100">
        <f>VLOOKUP($A100,Outcomes!$B$3:$I$209,8,FALSE)</f>
        <v>17</v>
      </c>
      <c r="O100">
        <f t="shared" si="10"/>
        <v>-1</v>
      </c>
      <c r="P100">
        <f>VLOOKUP($A100,Outcomes!$B$3:$I$209,5,FALSE)</f>
        <v>8</v>
      </c>
      <c r="Q100">
        <f>VLOOKUP($A100,Outcomes!$B$3:$I$209,6,FALSE)</f>
        <v>9</v>
      </c>
      <c r="R100">
        <f>VLOOKUP($A100,Outcomes!$B$3:$I$209,7,FALSE)</f>
        <v>1</v>
      </c>
      <c r="S100" t="str">
        <f t="shared" si="11"/>
        <v>VisDog</v>
      </c>
      <c r="T100" t="str">
        <f t="shared" si="12"/>
        <v/>
      </c>
      <c r="U100" t="str">
        <f t="shared" si="8"/>
        <v/>
      </c>
      <c r="V100" t="str">
        <f t="shared" si="13"/>
        <v/>
      </c>
      <c r="W100" t="str">
        <f t="shared" si="14"/>
        <v/>
      </c>
      <c r="X100" s="2" t="str">
        <f t="shared" si="15"/>
        <v/>
      </c>
      <c r="Y100" t="str">
        <f>VLOOKUP($A100,ScionOutput!$A$3:$BL$215,64,FALSE)</f>
        <v xml:space="preserve">823776. LineStatEns is NoPlay as bookie-line outside range. StatOnlyEns is NoPlay as bookie-line outside range. No play due to strategy constraints. </v>
      </c>
    </row>
    <row r="101" spans="1:25" x14ac:dyDescent="0.2">
      <c r="A101">
        <v>823616</v>
      </c>
      <c r="B101" s="3">
        <f>VLOOKUP($A101,ScionOutput!$A$3:$BL$215,3,FALSE)</f>
        <v>46186</v>
      </c>
      <c r="C101">
        <f>VLOOKUP($A101,ScionOutput!$A$3:$BL$215,22,FALSE)</f>
        <v>18</v>
      </c>
      <c r="D101" t="str">
        <f>VLOOKUP($A101,ScionOutput!$A$3:$BL$215,23,FALSE)</f>
        <v>NYM</v>
      </c>
      <c r="E101">
        <f>VLOOKUP($A101,ScionOutput!$A$3:$BL$215,6,FALSE)</f>
        <v>0</v>
      </c>
      <c r="F101" t="str">
        <f>VLOOKUP($A101,ScionOutput!$A$3:$BL$215,7,FALSE)</f>
        <v>ATL</v>
      </c>
      <c r="G101">
        <f>VLOOKUP($A101,ScionOutput!$A$3:$BL$215,26,FALSE)</f>
        <v>-114</v>
      </c>
      <c r="H101">
        <f>VLOOKUP($A101,ScionOutput!$A$3:$BL$215,10,FALSE)</f>
        <v>105</v>
      </c>
      <c r="I101" t="str">
        <f>VLOOKUP($A101,ScionOutput!$A$3:$BL$215,58,FALSE)</f>
        <v>No Play</v>
      </c>
      <c r="J101">
        <f>VLOOKUP($A101,ScionOutput!$A$3:$BL$215,59,FALSE)</f>
        <v>0</v>
      </c>
      <c r="K101">
        <f>VLOOKUP($A101,ScionOutput!$A$3:$BL$215,62,FALSE)</f>
        <v>0</v>
      </c>
      <c r="L101">
        <f>VLOOKUP($A101,ScionOutput!$A$3:$BL$215,63,FALSE)</f>
        <v>0</v>
      </c>
      <c r="M101" t="b">
        <f t="shared" si="9"/>
        <v>0</v>
      </c>
      <c r="N101">
        <f>VLOOKUP($A101,Outcomes!$B$3:$I$209,8,FALSE)</f>
        <v>4</v>
      </c>
      <c r="O101">
        <f t="shared" si="10"/>
        <v>-1</v>
      </c>
      <c r="P101">
        <f>VLOOKUP($A101,Outcomes!$B$3:$I$209,5,FALSE)</f>
        <v>1</v>
      </c>
      <c r="Q101">
        <f>VLOOKUP($A101,Outcomes!$B$3:$I$209,6,FALSE)</f>
        <v>3</v>
      </c>
      <c r="R101">
        <f>VLOOKUP($A101,Outcomes!$B$3:$I$209,7,FALSE)</f>
        <v>2</v>
      </c>
      <c r="S101" t="str">
        <f t="shared" si="11"/>
        <v>VisDog</v>
      </c>
      <c r="T101" t="str">
        <f t="shared" si="12"/>
        <v/>
      </c>
      <c r="U101" t="str">
        <f t="shared" si="8"/>
        <v/>
      </c>
      <c r="V101" t="str">
        <f t="shared" si="13"/>
        <v/>
      </c>
      <c r="W101" t="str">
        <f t="shared" si="14"/>
        <v/>
      </c>
      <c r="X101" s="2" t="str">
        <f t="shared" si="15"/>
        <v/>
      </c>
      <c r="Y101" t="str">
        <f>VLOOKUP($A101,ScionOutput!$A$3:$BL$215,64,FALSE)</f>
        <v xml:space="preserve">823616. LineStatEns probability points gap does not exceed threshold (no edge found)! No play due to strategy constraints. </v>
      </c>
    </row>
    <row r="102" spans="1:25" x14ac:dyDescent="0.2">
      <c r="A102">
        <v>824995</v>
      </c>
      <c r="B102" s="3">
        <f>VLOOKUP($A102,ScionOutput!$A$3:$BL$215,3,FALSE)</f>
        <v>46186</v>
      </c>
      <c r="C102">
        <f>VLOOKUP($A102,ScionOutput!$A$3:$BL$215,22,FALSE)</f>
        <v>20</v>
      </c>
      <c r="D102" t="str">
        <f>VLOOKUP($A102,ScionOutput!$A$3:$BL$215,23,FALSE)</f>
        <v>OAK</v>
      </c>
      <c r="E102">
        <f>VLOOKUP($A102,ScionOutput!$A$3:$BL$215,6,FALSE)</f>
        <v>8</v>
      </c>
      <c r="F102" t="str">
        <f>VLOOKUP($A102,ScionOutput!$A$3:$BL$215,7,FALSE)</f>
        <v>COL</v>
      </c>
      <c r="G102">
        <f>VLOOKUP($A102,ScionOutput!$A$3:$BL$215,26,FALSE)</f>
        <v>-148</v>
      </c>
      <c r="H102">
        <f>VLOOKUP($A102,ScionOutput!$A$3:$BL$215,10,FALSE)</f>
        <v>136</v>
      </c>
      <c r="I102" t="str">
        <f>VLOOKUP($A102,ScionOutput!$A$3:$BL$215,58,FALSE)</f>
        <v>No Play</v>
      </c>
      <c r="J102">
        <f>VLOOKUP($A102,ScionOutput!$A$3:$BL$215,59,FALSE)</f>
        <v>0</v>
      </c>
      <c r="K102">
        <f>VLOOKUP($A102,ScionOutput!$A$3:$BL$215,62,FALSE)</f>
        <v>0</v>
      </c>
      <c r="L102">
        <f>VLOOKUP($A102,ScionOutput!$A$3:$BL$215,63,FALSE)</f>
        <v>0</v>
      </c>
      <c r="M102" t="b">
        <f t="shared" si="9"/>
        <v>0</v>
      </c>
      <c r="N102">
        <f>VLOOKUP($A102,Outcomes!$B$3:$I$209,8,FALSE)</f>
        <v>12</v>
      </c>
      <c r="O102">
        <f t="shared" si="10"/>
        <v>1</v>
      </c>
      <c r="P102">
        <f>VLOOKUP($A102,Outcomes!$B$3:$I$209,5,FALSE)</f>
        <v>7</v>
      </c>
      <c r="Q102">
        <f>VLOOKUP($A102,Outcomes!$B$3:$I$209,6,FALSE)</f>
        <v>5</v>
      </c>
      <c r="R102">
        <f>VLOOKUP($A102,Outcomes!$B$3:$I$209,7,FALSE)</f>
        <v>-2</v>
      </c>
      <c r="S102" t="str">
        <f t="shared" si="11"/>
        <v>HomFave</v>
      </c>
      <c r="T102" t="str">
        <f t="shared" si="12"/>
        <v/>
      </c>
      <c r="U102" t="str">
        <f t="shared" si="8"/>
        <v/>
      </c>
      <c r="V102" t="str">
        <f t="shared" si="13"/>
        <v/>
      </c>
      <c r="W102" t="str">
        <f t="shared" si="14"/>
        <v/>
      </c>
      <c r="X102" s="2" t="str">
        <f t="shared" si="15"/>
        <v/>
      </c>
      <c r="Y102" t="str">
        <f>VLOOKUP($A102,ScionOutput!$A$3:$BL$215,64,FALSE)</f>
        <v xml:space="preserve">824995. H_SP is Null, team-based avg used. NoPlay as H_SP is Null. </v>
      </c>
    </row>
    <row r="103" spans="1:25" x14ac:dyDescent="0.2">
      <c r="A103">
        <v>823369</v>
      </c>
      <c r="B103" s="3">
        <f>VLOOKUP($A103,ScionOutput!$A$3:$BL$215,3,FALSE)</f>
        <v>46186</v>
      </c>
      <c r="C103">
        <f>VLOOKUP($A103,ScionOutput!$A$3:$BL$215,22,FALSE)</f>
        <v>22</v>
      </c>
      <c r="D103" t="str">
        <f>VLOOKUP($A103,ScionOutput!$A$3:$BL$215,23,FALSE)</f>
        <v>PIT</v>
      </c>
      <c r="E103">
        <f>VLOOKUP($A103,ScionOutput!$A$3:$BL$215,6,FALSE)</f>
        <v>11</v>
      </c>
      <c r="F103" t="str">
        <f>VLOOKUP($A103,ScionOutput!$A$3:$BL$215,7,FALSE)</f>
        <v>FLO</v>
      </c>
      <c r="G103">
        <f>VLOOKUP($A103,ScionOutput!$A$3:$BL$215,26,FALSE)</f>
        <v>-110</v>
      </c>
      <c r="H103">
        <f>VLOOKUP($A103,ScionOutput!$A$3:$BL$215,10,FALSE)</f>
        <v>102</v>
      </c>
      <c r="I103" t="str">
        <f>VLOOKUP($A103,ScionOutput!$A$3:$BL$215,58,FALSE)</f>
        <v>VisDog</v>
      </c>
      <c r="J103">
        <f>VLOOKUP($A103,ScionOutput!$A$3:$BL$215,59,FALSE)</f>
        <v>-2.4109999999999999E-2</v>
      </c>
      <c r="K103">
        <f>VLOOKUP($A103,ScionOutput!$A$3:$BL$215,62,FALSE)</f>
        <v>5</v>
      </c>
      <c r="L103">
        <f>VLOOKUP($A103,ScionOutput!$A$3:$BL$215,63,FALSE)</f>
        <v>0.6</v>
      </c>
      <c r="M103" t="b">
        <f t="shared" si="9"/>
        <v>1</v>
      </c>
      <c r="N103">
        <f>VLOOKUP($A103,Outcomes!$B$3:$I$209,8,FALSE)</f>
        <v>5</v>
      </c>
      <c r="O103">
        <f t="shared" si="10"/>
        <v>1</v>
      </c>
      <c r="P103">
        <f>VLOOKUP($A103,Outcomes!$B$3:$I$209,5,FALSE)</f>
        <v>3</v>
      </c>
      <c r="Q103">
        <f>VLOOKUP($A103,Outcomes!$B$3:$I$209,6,FALSE)</f>
        <v>2</v>
      </c>
      <c r="R103">
        <f>VLOOKUP($A103,Outcomes!$B$3:$I$209,7,FALSE)</f>
        <v>-1</v>
      </c>
      <c r="S103" t="str">
        <f t="shared" si="11"/>
        <v>HomFave</v>
      </c>
      <c r="T103">
        <f t="shared" si="12"/>
        <v>0</v>
      </c>
      <c r="U103">
        <f t="shared" si="8"/>
        <v>100</v>
      </c>
      <c r="V103">
        <f t="shared" si="13"/>
        <v>0</v>
      </c>
      <c r="W103">
        <f t="shared" si="14"/>
        <v>-100</v>
      </c>
      <c r="X103" s="2">
        <f t="shared" si="15"/>
        <v>-1</v>
      </c>
      <c r="Y103" t="str">
        <f>VLOOKUP($A103,ScionOutput!$A$3:$BL$215,64,FALSE)</f>
        <v xml:space="preserve">823369. Play determined by LineStatEns and StatOnlyEns agreement. </v>
      </c>
    </row>
    <row r="104" spans="1:25" x14ac:dyDescent="0.2">
      <c r="A104">
        <v>823213</v>
      </c>
      <c r="B104" s="3">
        <f>VLOOKUP($A104,ScionOutput!$A$3:$BL$215,3,FALSE)</f>
        <v>46186</v>
      </c>
      <c r="C104">
        <f>VLOOKUP($A104,ScionOutput!$A$3:$BL$215,22,FALSE)</f>
        <v>25</v>
      </c>
      <c r="D104" t="str">
        <f>VLOOKUP($A104,ScionOutput!$A$3:$BL$215,23,FALSE)</f>
        <v>SF</v>
      </c>
      <c r="E104">
        <f>VLOOKUP($A104,ScionOutput!$A$3:$BL$215,6,FALSE)</f>
        <v>5</v>
      </c>
      <c r="F104" t="str">
        <f>VLOOKUP($A104,ScionOutput!$A$3:$BL$215,7,FALSE)</f>
        <v>CHC</v>
      </c>
      <c r="G104">
        <f>VLOOKUP($A104,ScionOutput!$A$3:$BL$215,26,FALSE)</f>
        <v>105</v>
      </c>
      <c r="H104">
        <f>VLOOKUP($A104,ScionOutput!$A$3:$BL$215,10,FALSE)</f>
        <v>-114</v>
      </c>
      <c r="I104" t="str">
        <f>VLOOKUP($A104,ScionOutput!$A$3:$BL$215,58,FALSE)</f>
        <v>No Play</v>
      </c>
      <c r="J104">
        <f>VLOOKUP($A104,ScionOutput!$A$3:$BL$215,59,FALSE)</f>
        <v>0</v>
      </c>
      <c r="K104">
        <f>VLOOKUP($A104,ScionOutput!$A$3:$BL$215,62,FALSE)</f>
        <v>0</v>
      </c>
      <c r="L104">
        <f>VLOOKUP($A104,ScionOutput!$A$3:$BL$215,63,FALSE)</f>
        <v>0</v>
      </c>
      <c r="M104" t="b">
        <f t="shared" si="9"/>
        <v>0</v>
      </c>
      <c r="N104">
        <f>VLOOKUP($A104,Outcomes!$B$3:$I$209,8,FALSE)</f>
        <v>7</v>
      </c>
      <c r="O104">
        <f t="shared" si="10"/>
        <v>-1</v>
      </c>
      <c r="P104">
        <f>VLOOKUP($A104,Outcomes!$B$3:$I$209,5,FALSE)</f>
        <v>1</v>
      </c>
      <c r="Q104">
        <f>VLOOKUP($A104,Outcomes!$B$3:$I$209,6,FALSE)</f>
        <v>6</v>
      </c>
      <c r="R104">
        <f>VLOOKUP($A104,Outcomes!$B$3:$I$209,7,FALSE)</f>
        <v>5</v>
      </c>
      <c r="S104" t="str">
        <f t="shared" si="11"/>
        <v>VisFave</v>
      </c>
      <c r="T104" t="str">
        <f t="shared" si="12"/>
        <v/>
      </c>
      <c r="U104" t="str">
        <f t="shared" si="8"/>
        <v/>
      </c>
      <c r="V104" t="str">
        <f t="shared" si="13"/>
        <v/>
      </c>
      <c r="W104" t="str">
        <f t="shared" si="14"/>
        <v/>
      </c>
      <c r="X104" s="2" t="str">
        <f t="shared" si="15"/>
        <v/>
      </c>
      <c r="Y104" t="str">
        <f>VLOOKUP($A104,ScionOutput!$A$3:$BL$215,64,FALSE)</f>
        <v xml:space="preserve">823213. VF plays are disallowed. No play due to strategy constraints. </v>
      </c>
    </row>
    <row r="105" spans="1:25" x14ac:dyDescent="0.2">
      <c r="A105">
        <v>822802</v>
      </c>
      <c r="B105" s="3">
        <f>VLOOKUP($A105,ScionOutput!$A$3:$BL$215,3,FALSE)</f>
        <v>46186</v>
      </c>
      <c r="C105">
        <f>VLOOKUP($A105,ScionOutput!$A$3:$BL$215,22,FALSE)</f>
        <v>29</v>
      </c>
      <c r="D105" t="str">
        <f>VLOOKUP($A105,ScionOutput!$A$3:$BL$215,23,FALSE)</f>
        <v>TOR</v>
      </c>
      <c r="E105">
        <f>VLOOKUP($A105,ScionOutput!$A$3:$BL$215,6,FALSE)</f>
        <v>19</v>
      </c>
      <c r="F105" t="str">
        <f>VLOOKUP($A105,ScionOutput!$A$3:$BL$215,7,FALSE)</f>
        <v>NYY</v>
      </c>
      <c r="G105">
        <f>VLOOKUP($A105,ScionOutput!$A$3:$BL$215,26,FALSE)</f>
        <v>105</v>
      </c>
      <c r="H105">
        <f>VLOOKUP($A105,ScionOutput!$A$3:$BL$215,10,FALSE)</f>
        <v>-114</v>
      </c>
      <c r="I105" t="str">
        <f>VLOOKUP($A105,ScionOutput!$A$3:$BL$215,58,FALSE)</f>
        <v>No Play</v>
      </c>
      <c r="J105">
        <f>VLOOKUP($A105,ScionOutput!$A$3:$BL$215,59,FALSE)</f>
        <v>0</v>
      </c>
      <c r="K105">
        <f>VLOOKUP($A105,ScionOutput!$A$3:$BL$215,62,FALSE)</f>
        <v>0</v>
      </c>
      <c r="L105">
        <f>VLOOKUP($A105,ScionOutput!$A$3:$BL$215,63,FALSE)</f>
        <v>0</v>
      </c>
      <c r="M105" t="b">
        <f t="shared" si="9"/>
        <v>0</v>
      </c>
      <c r="N105">
        <f>VLOOKUP($A105,Outcomes!$B$3:$I$209,8,FALSE)</f>
        <v>4</v>
      </c>
      <c r="O105">
        <f t="shared" si="10"/>
        <v>-1</v>
      </c>
      <c r="P105">
        <f>VLOOKUP($A105,Outcomes!$B$3:$I$209,5,FALSE)</f>
        <v>1</v>
      </c>
      <c r="Q105">
        <f>VLOOKUP($A105,Outcomes!$B$3:$I$209,6,FALSE)</f>
        <v>3</v>
      </c>
      <c r="R105">
        <f>VLOOKUP($A105,Outcomes!$B$3:$I$209,7,FALSE)</f>
        <v>2</v>
      </c>
      <c r="S105" t="str">
        <f t="shared" si="11"/>
        <v>VisFave</v>
      </c>
      <c r="T105" t="str">
        <f t="shared" si="12"/>
        <v/>
      </c>
      <c r="U105" t="str">
        <f t="shared" si="8"/>
        <v/>
      </c>
      <c r="V105" t="str">
        <f t="shared" si="13"/>
        <v/>
      </c>
      <c r="W105" t="str">
        <f t="shared" si="14"/>
        <v/>
      </c>
      <c r="X105" s="2" t="str">
        <f t="shared" si="15"/>
        <v/>
      </c>
      <c r="Y105" t="str">
        <f>VLOOKUP($A105,ScionOutput!$A$3:$BL$215,64,FALSE)</f>
        <v xml:space="preserve">822802. VF plays are disallowed. No play due to strategy constraints. </v>
      </c>
    </row>
    <row r="106" spans="1:25" x14ac:dyDescent="0.2">
      <c r="A106">
        <v>824823</v>
      </c>
      <c r="B106" s="3">
        <f>VLOOKUP($A106,ScionOutput!$A$3:$BL$215,3,FALSE)</f>
        <v>46187</v>
      </c>
      <c r="C106">
        <f>VLOOKUP($A106,ScionOutput!$A$3:$BL$215,22,FALSE)</f>
        <v>2</v>
      </c>
      <c r="D106" t="str">
        <f>VLOOKUP($A106,ScionOutput!$A$3:$BL$215,23,FALSE)</f>
        <v>BAL</v>
      </c>
      <c r="E106">
        <f>VLOOKUP($A106,ScionOutput!$A$3:$BL$215,6,FALSE)</f>
        <v>23</v>
      </c>
      <c r="F106" t="str">
        <f>VLOOKUP($A106,ScionOutput!$A$3:$BL$215,7,FALSE)</f>
        <v>SD</v>
      </c>
      <c r="G106">
        <f>VLOOKUP($A106,ScionOutput!$A$3:$BL$215,26,FALSE)</f>
        <v>-134</v>
      </c>
      <c r="H106">
        <f>VLOOKUP($A106,ScionOutput!$A$3:$BL$215,10,FALSE)</f>
        <v>123</v>
      </c>
      <c r="I106" t="str">
        <f>VLOOKUP($A106,ScionOutput!$A$3:$BL$215,58,FALSE)</f>
        <v>No Play</v>
      </c>
      <c r="J106">
        <f>VLOOKUP($A106,ScionOutput!$A$3:$BL$215,59,FALSE)</f>
        <v>0</v>
      </c>
      <c r="K106">
        <f>VLOOKUP($A106,ScionOutput!$A$3:$BL$215,62,FALSE)</f>
        <v>0</v>
      </c>
      <c r="L106">
        <f>VLOOKUP($A106,ScionOutput!$A$3:$BL$215,63,FALSE)</f>
        <v>0</v>
      </c>
      <c r="M106" t="b">
        <f t="shared" si="9"/>
        <v>0</v>
      </c>
      <c r="N106">
        <f>VLOOKUP($A106,Outcomes!$B$3:$I$209,8,FALSE)</f>
        <v>7</v>
      </c>
      <c r="O106">
        <f t="shared" si="10"/>
        <v>-1</v>
      </c>
      <c r="P106">
        <f>VLOOKUP($A106,Outcomes!$B$3:$I$209,5,FALSE)</f>
        <v>2</v>
      </c>
      <c r="Q106">
        <f>VLOOKUP($A106,Outcomes!$B$3:$I$209,6,FALSE)</f>
        <v>5</v>
      </c>
      <c r="R106">
        <f>VLOOKUP($A106,Outcomes!$B$3:$I$209,7,FALSE)</f>
        <v>3</v>
      </c>
      <c r="S106" t="str">
        <f t="shared" si="11"/>
        <v>VisDog</v>
      </c>
      <c r="T106" t="str">
        <f t="shared" si="12"/>
        <v/>
      </c>
      <c r="U106" t="str">
        <f t="shared" si="8"/>
        <v/>
      </c>
      <c r="V106" t="str">
        <f t="shared" si="13"/>
        <v/>
      </c>
      <c r="W106" t="str">
        <f t="shared" si="14"/>
        <v/>
      </c>
      <c r="X106" s="2" t="str">
        <f t="shared" si="15"/>
        <v/>
      </c>
      <c r="Y106" t="str">
        <f>VLOOKUP($A106,ScionOutput!$A$3:$BL$215,64,FALSE)</f>
        <v xml:space="preserve">824823. LineStatEns probability points gap does not exceed threshold (no edge found)! StatOnlyEns probability points gap does not exceed threshold (no edge found)! No play due to strategy constraints. </v>
      </c>
    </row>
    <row r="107" spans="1:25" x14ac:dyDescent="0.2">
      <c r="A107">
        <v>824751</v>
      </c>
      <c r="B107" s="3">
        <f>VLOOKUP($A107,ScionOutput!$A$3:$BL$215,3,FALSE)</f>
        <v>46187</v>
      </c>
      <c r="C107">
        <f>VLOOKUP($A107,ScionOutput!$A$3:$BL$215,22,FALSE)</f>
        <v>3</v>
      </c>
      <c r="D107" t="str">
        <f>VLOOKUP($A107,ScionOutput!$A$3:$BL$215,23,FALSE)</f>
        <v>BOS</v>
      </c>
      <c r="E107">
        <f>VLOOKUP($A107,ScionOutput!$A$3:$BL$215,6,FALSE)</f>
        <v>28</v>
      </c>
      <c r="F107" t="str">
        <f>VLOOKUP($A107,ScionOutput!$A$3:$BL$215,7,FALSE)</f>
        <v>TEX</v>
      </c>
      <c r="G107">
        <f>VLOOKUP($A107,ScionOutput!$A$3:$BL$215,26,FALSE)</f>
        <v>-107</v>
      </c>
      <c r="H107">
        <f>VLOOKUP($A107,ScionOutput!$A$3:$BL$215,10,FALSE)</f>
        <v>-101</v>
      </c>
      <c r="I107" t="str">
        <f>VLOOKUP($A107,ScionOutput!$A$3:$BL$215,58,FALSE)</f>
        <v>VisDog</v>
      </c>
      <c r="J107">
        <f>VLOOKUP($A107,ScionOutput!$A$3:$BL$215,59,FALSE)</f>
        <v>-1.7069999999999998E-2</v>
      </c>
      <c r="K107">
        <f>VLOOKUP($A107,ScionOutput!$A$3:$BL$215,62,FALSE)</f>
        <v>3</v>
      </c>
      <c r="L107">
        <f>VLOOKUP($A107,ScionOutput!$A$3:$BL$215,63,FALSE)</f>
        <v>0.6</v>
      </c>
      <c r="M107" t="b">
        <f t="shared" si="9"/>
        <v>0</v>
      </c>
      <c r="N107">
        <f>VLOOKUP($A107,Outcomes!$B$3:$I$209,8,FALSE)</f>
        <v>10</v>
      </c>
      <c r="O107">
        <f t="shared" si="10"/>
        <v>-1</v>
      </c>
      <c r="P107">
        <f>VLOOKUP($A107,Outcomes!$B$3:$I$209,5,FALSE)</f>
        <v>4</v>
      </c>
      <c r="Q107">
        <f>VLOOKUP($A107,Outcomes!$B$3:$I$209,6,FALSE)</f>
        <v>6</v>
      </c>
      <c r="R107">
        <f>VLOOKUP($A107,Outcomes!$B$3:$I$209,7,FALSE)</f>
        <v>2</v>
      </c>
      <c r="S107" t="str">
        <f t="shared" si="11"/>
        <v>VisDog</v>
      </c>
      <c r="T107" t="str">
        <f t="shared" si="12"/>
        <v/>
      </c>
      <c r="U107" t="str">
        <f t="shared" si="8"/>
        <v/>
      </c>
      <c r="V107" t="str">
        <f t="shared" si="13"/>
        <v/>
      </c>
      <c r="W107" t="str">
        <f t="shared" si="14"/>
        <v/>
      </c>
      <c r="X107" s="2" t="str">
        <f t="shared" si="15"/>
        <v/>
      </c>
      <c r="Y107" t="str">
        <f>VLOOKUP($A107,ScionOutput!$A$3:$BL$215,64,FALSE)</f>
        <v xml:space="preserve">824751. StatOnlyEns probability points gap does not exceed threshold (no edge found)! Play determined by LineStatEns only. </v>
      </c>
    </row>
    <row r="108" spans="1:25" x14ac:dyDescent="0.2">
      <c r="A108">
        <v>824021</v>
      </c>
      <c r="B108" s="3">
        <f>VLOOKUP($A108,ScionOutput!$A$3:$BL$215,3,FALSE)</f>
        <v>46187</v>
      </c>
      <c r="C108">
        <f>VLOOKUP($A108,ScionOutput!$A$3:$BL$215,22,FALSE)</f>
        <v>4</v>
      </c>
      <c r="D108" t="str">
        <f>VLOOKUP($A108,ScionOutput!$A$3:$BL$215,23,FALSE)</f>
        <v>LAA</v>
      </c>
      <c r="E108">
        <f>VLOOKUP($A108,ScionOutput!$A$3:$BL$215,6,FALSE)</f>
        <v>27</v>
      </c>
      <c r="F108" t="str">
        <f>VLOOKUP($A108,ScionOutput!$A$3:$BL$215,7,FALSE)</f>
        <v>TB</v>
      </c>
      <c r="G108">
        <f>VLOOKUP($A108,ScionOutput!$A$3:$BL$215,26,FALSE)</f>
        <v>106</v>
      </c>
      <c r="H108">
        <f>VLOOKUP($A108,ScionOutput!$A$3:$BL$215,10,FALSE)</f>
        <v>-115</v>
      </c>
      <c r="I108" t="str">
        <f>VLOOKUP($A108,ScionOutput!$A$3:$BL$215,58,FALSE)</f>
        <v>No Play</v>
      </c>
      <c r="J108">
        <f>VLOOKUP($A108,ScionOutput!$A$3:$BL$215,59,FALSE)</f>
        <v>0</v>
      </c>
      <c r="K108">
        <f>VLOOKUP($A108,ScionOutput!$A$3:$BL$215,62,FALSE)</f>
        <v>0</v>
      </c>
      <c r="L108">
        <f>VLOOKUP($A108,ScionOutput!$A$3:$BL$215,63,FALSE)</f>
        <v>0</v>
      </c>
      <c r="M108" t="b">
        <f t="shared" si="9"/>
        <v>0</v>
      </c>
      <c r="N108">
        <f>VLOOKUP($A108,Outcomes!$B$3:$I$209,8,FALSE)</f>
        <v>11</v>
      </c>
      <c r="O108">
        <f t="shared" si="10"/>
        <v>-1</v>
      </c>
      <c r="P108">
        <f>VLOOKUP($A108,Outcomes!$B$3:$I$209,5,FALSE)</f>
        <v>3</v>
      </c>
      <c r="Q108">
        <f>VLOOKUP($A108,Outcomes!$B$3:$I$209,6,FALSE)</f>
        <v>8</v>
      </c>
      <c r="R108">
        <f>VLOOKUP($A108,Outcomes!$B$3:$I$209,7,FALSE)</f>
        <v>5</v>
      </c>
      <c r="S108" t="str">
        <f t="shared" si="11"/>
        <v>VisFave</v>
      </c>
      <c r="T108" t="str">
        <f t="shared" si="12"/>
        <v/>
      </c>
      <c r="U108" t="str">
        <f t="shared" si="8"/>
        <v/>
      </c>
      <c r="V108" t="str">
        <f t="shared" si="13"/>
        <v/>
      </c>
      <c r="W108" t="str">
        <f t="shared" si="14"/>
        <v/>
      </c>
      <c r="X108" s="2" t="str">
        <f t="shared" si="15"/>
        <v/>
      </c>
      <c r="Y108" t="str">
        <f>VLOOKUP($A108,ScionOutput!$A$3:$BL$215,64,FALSE)</f>
        <v xml:space="preserve">824021. V_SP is Null, team-based avg used. NoPlay as V_SP is Null. </v>
      </c>
    </row>
    <row r="109" spans="1:25" x14ac:dyDescent="0.2">
      <c r="A109">
        <v>824506</v>
      </c>
      <c r="B109" s="3">
        <f>VLOOKUP($A109,ScionOutput!$A$3:$BL$215,3,FALSE)</f>
        <v>46187</v>
      </c>
      <c r="C109">
        <f>VLOOKUP($A109,ScionOutput!$A$3:$BL$215,22,FALSE)</f>
        <v>6</v>
      </c>
      <c r="D109" t="str">
        <f>VLOOKUP($A109,ScionOutput!$A$3:$BL$215,23,FALSE)</f>
        <v>CIN</v>
      </c>
      <c r="E109">
        <f>VLOOKUP($A109,ScionOutput!$A$3:$BL$215,6,FALSE)</f>
        <v>1</v>
      </c>
      <c r="F109" t="str">
        <f>VLOOKUP($A109,ScionOutput!$A$3:$BL$215,7,FALSE)</f>
        <v>ARZ</v>
      </c>
      <c r="G109">
        <f>VLOOKUP($A109,ScionOutput!$A$3:$BL$215,26,FALSE)</f>
        <v>-101</v>
      </c>
      <c r="H109">
        <f>VLOOKUP($A109,ScionOutput!$A$3:$BL$215,10,FALSE)</f>
        <v>-107</v>
      </c>
      <c r="I109" t="str">
        <f>VLOOKUP($A109,ScionOutput!$A$3:$BL$215,58,FALSE)</f>
        <v>No Play</v>
      </c>
      <c r="J109">
        <f>VLOOKUP($A109,ScionOutput!$A$3:$BL$215,59,FALSE)</f>
        <v>0</v>
      </c>
      <c r="K109">
        <f>VLOOKUP($A109,ScionOutput!$A$3:$BL$215,62,FALSE)</f>
        <v>0</v>
      </c>
      <c r="L109">
        <f>VLOOKUP($A109,ScionOutput!$A$3:$BL$215,63,FALSE)</f>
        <v>0</v>
      </c>
      <c r="M109" t="b">
        <f t="shared" si="9"/>
        <v>0</v>
      </c>
      <c r="N109">
        <f>VLOOKUP($A109,Outcomes!$B$3:$I$209,8,FALSE)</f>
        <v>8</v>
      </c>
      <c r="O109">
        <f t="shared" si="10"/>
        <v>-1</v>
      </c>
      <c r="P109">
        <f>VLOOKUP($A109,Outcomes!$B$3:$I$209,5,FALSE)</f>
        <v>3</v>
      </c>
      <c r="Q109">
        <f>VLOOKUP($A109,Outcomes!$B$3:$I$209,6,FALSE)</f>
        <v>5</v>
      </c>
      <c r="R109">
        <f>VLOOKUP($A109,Outcomes!$B$3:$I$209,7,FALSE)</f>
        <v>2</v>
      </c>
      <c r="S109" t="str">
        <f t="shared" si="11"/>
        <v>VisFave</v>
      </c>
      <c r="T109" t="str">
        <f t="shared" si="12"/>
        <v/>
      </c>
      <c r="U109" t="str">
        <f t="shared" si="8"/>
        <v/>
      </c>
      <c r="V109" t="str">
        <f t="shared" si="13"/>
        <v/>
      </c>
      <c r="W109" t="str">
        <f t="shared" si="14"/>
        <v/>
      </c>
      <c r="X109" s="2" t="str">
        <f t="shared" si="15"/>
        <v/>
      </c>
      <c r="Y109" t="str">
        <f>VLOOKUP($A109,ScionOutput!$A$3:$BL$215,64,FALSE)</f>
        <v xml:space="preserve">824506. VF plays are disallowed. No play due to strategy constraints. </v>
      </c>
    </row>
    <row r="110" spans="1:25" x14ac:dyDescent="0.2">
      <c r="A110">
        <v>824586</v>
      </c>
      <c r="B110" s="3">
        <f>VLOOKUP($A110,ScionOutput!$A$3:$BL$215,3,FALSE)</f>
        <v>46187</v>
      </c>
      <c r="C110">
        <f>VLOOKUP($A110,ScionOutput!$A$3:$BL$215,22,FALSE)</f>
        <v>9</v>
      </c>
      <c r="D110" t="str">
        <f>VLOOKUP($A110,ScionOutput!$A$3:$BL$215,23,FALSE)</f>
        <v>CWS</v>
      </c>
      <c r="E110">
        <f>VLOOKUP($A110,ScionOutput!$A$3:$BL$215,6,FALSE)</f>
        <v>14</v>
      </c>
      <c r="F110" t="str">
        <f>VLOOKUP($A110,ScionOutput!$A$3:$BL$215,7,FALSE)</f>
        <v>LA</v>
      </c>
      <c r="G110">
        <f>VLOOKUP($A110,ScionOutput!$A$3:$BL$215,26,FALSE)</f>
        <v>171</v>
      </c>
      <c r="H110">
        <f>VLOOKUP($A110,ScionOutput!$A$3:$BL$215,10,FALSE)</f>
        <v>-188</v>
      </c>
      <c r="I110" t="str">
        <f>VLOOKUP($A110,ScionOutput!$A$3:$BL$215,58,FALSE)</f>
        <v>No Play</v>
      </c>
      <c r="J110">
        <f>VLOOKUP($A110,ScionOutput!$A$3:$BL$215,59,FALSE)</f>
        <v>0</v>
      </c>
      <c r="K110">
        <f>VLOOKUP($A110,ScionOutput!$A$3:$BL$215,62,FALSE)</f>
        <v>0</v>
      </c>
      <c r="L110">
        <f>VLOOKUP($A110,ScionOutput!$A$3:$BL$215,63,FALSE)</f>
        <v>0</v>
      </c>
      <c r="M110" t="b">
        <f t="shared" si="9"/>
        <v>0</v>
      </c>
      <c r="N110">
        <f>VLOOKUP($A110,Outcomes!$B$3:$I$209,8,FALSE)</f>
        <v>10</v>
      </c>
      <c r="O110">
        <f t="shared" si="10"/>
        <v>1</v>
      </c>
      <c r="P110">
        <f>VLOOKUP($A110,Outcomes!$B$3:$I$209,5,FALSE)</f>
        <v>6</v>
      </c>
      <c r="Q110">
        <f>VLOOKUP($A110,Outcomes!$B$3:$I$209,6,FALSE)</f>
        <v>4</v>
      </c>
      <c r="R110">
        <f>VLOOKUP($A110,Outcomes!$B$3:$I$209,7,FALSE)</f>
        <v>-2</v>
      </c>
      <c r="S110" t="str">
        <f t="shared" si="11"/>
        <v>HomDog</v>
      </c>
      <c r="T110" t="str">
        <f t="shared" si="12"/>
        <v/>
      </c>
      <c r="U110" t="str">
        <f t="shared" si="8"/>
        <v/>
      </c>
      <c r="V110" t="str">
        <f t="shared" si="13"/>
        <v/>
      </c>
      <c r="W110" t="str">
        <f t="shared" si="14"/>
        <v/>
      </c>
      <c r="X110" s="2" t="str">
        <f t="shared" si="15"/>
        <v/>
      </c>
      <c r="Y110" t="str">
        <f>VLOOKUP($A110,ScionOutput!$A$3:$BL$215,64,FALSE)</f>
        <v xml:space="preserve">824586. LineStatEns is NoPlay as bookie-line outside range. StatOnlyEns is NoPlay as bookie-line outside range. No play due to strategy constraints. </v>
      </c>
    </row>
    <row r="111" spans="1:25" x14ac:dyDescent="0.2">
      <c r="A111">
        <v>824099</v>
      </c>
      <c r="B111" s="3">
        <f>VLOOKUP($A111,ScionOutput!$A$3:$BL$215,3,FALSE)</f>
        <v>46187</v>
      </c>
      <c r="C111">
        <f>VLOOKUP($A111,ScionOutput!$A$3:$BL$215,22,FALSE)</f>
        <v>13</v>
      </c>
      <c r="D111" t="str">
        <f>VLOOKUP($A111,ScionOutput!$A$3:$BL$215,23,FALSE)</f>
        <v>KC</v>
      </c>
      <c r="E111">
        <f>VLOOKUP($A111,ScionOutput!$A$3:$BL$215,6,FALSE)</f>
        <v>12</v>
      </c>
      <c r="F111" t="str">
        <f>VLOOKUP($A111,ScionOutput!$A$3:$BL$215,7,FALSE)</f>
        <v>HOU</v>
      </c>
      <c r="G111">
        <f>VLOOKUP($A111,ScionOutput!$A$3:$BL$215,26,FALSE)</f>
        <v>-116</v>
      </c>
      <c r="H111">
        <f>VLOOKUP($A111,ScionOutput!$A$3:$BL$215,10,FALSE)</f>
        <v>107</v>
      </c>
      <c r="I111" t="str">
        <f>VLOOKUP($A111,ScionOutput!$A$3:$BL$215,58,FALSE)</f>
        <v>VisDog</v>
      </c>
      <c r="J111">
        <f>VLOOKUP($A111,ScionOutput!$A$3:$BL$215,59,FALSE)</f>
        <v>-4.6440000000000002E-2</v>
      </c>
      <c r="K111">
        <f>VLOOKUP($A111,ScionOutput!$A$3:$BL$215,62,FALSE)</f>
        <v>3</v>
      </c>
      <c r="L111">
        <f>VLOOKUP($A111,ScionOutput!$A$3:$BL$215,63,FALSE)</f>
        <v>0.73</v>
      </c>
      <c r="M111" t="b">
        <f t="shared" si="9"/>
        <v>0</v>
      </c>
      <c r="N111">
        <f>VLOOKUP($A111,Outcomes!$B$3:$I$209,8,FALSE)</f>
        <v>4</v>
      </c>
      <c r="O111">
        <f t="shared" si="10"/>
        <v>1</v>
      </c>
      <c r="P111">
        <f>VLOOKUP($A111,Outcomes!$B$3:$I$209,5,FALSE)</f>
        <v>4</v>
      </c>
      <c r="Q111">
        <f>VLOOKUP($A111,Outcomes!$B$3:$I$209,6,FALSE)</f>
        <v>0</v>
      </c>
      <c r="R111">
        <f>VLOOKUP($A111,Outcomes!$B$3:$I$209,7,FALSE)</f>
        <v>-4</v>
      </c>
      <c r="S111" t="str">
        <f t="shared" si="11"/>
        <v>HomFave</v>
      </c>
      <c r="T111" t="str">
        <f t="shared" si="12"/>
        <v/>
      </c>
      <c r="U111" t="str">
        <f t="shared" si="8"/>
        <v/>
      </c>
      <c r="V111" t="str">
        <f t="shared" si="13"/>
        <v/>
      </c>
      <c r="W111" t="str">
        <f t="shared" si="14"/>
        <v/>
      </c>
      <c r="X111" s="2" t="str">
        <f t="shared" si="15"/>
        <v/>
      </c>
      <c r="Y111" t="str">
        <f>VLOOKUP($A111,ScionOutput!$A$3:$BL$215,64,FALSE)</f>
        <v xml:space="preserve">824099. StatOnlyEns probability points gap does not exceed threshold (no edge found)! Play determined by LineStatEns only. </v>
      </c>
    </row>
    <row r="112" spans="1:25" x14ac:dyDescent="0.2">
      <c r="A112">
        <v>823693</v>
      </c>
      <c r="B112" s="3">
        <f>VLOOKUP($A112,ScionOutput!$A$3:$BL$215,3,FALSE)</f>
        <v>46187</v>
      </c>
      <c r="C112">
        <f>VLOOKUP($A112,ScionOutput!$A$3:$BL$215,22,FALSE)</f>
        <v>15</v>
      </c>
      <c r="D112" t="str">
        <f>VLOOKUP($A112,ScionOutput!$A$3:$BL$215,23,FALSE)</f>
        <v>MIN</v>
      </c>
      <c r="E112">
        <f>VLOOKUP($A112,ScionOutput!$A$3:$BL$215,6,FALSE)</f>
        <v>26</v>
      </c>
      <c r="F112" t="str">
        <f>VLOOKUP($A112,ScionOutput!$A$3:$BL$215,7,FALSE)</f>
        <v>STL</v>
      </c>
      <c r="G112">
        <f>VLOOKUP($A112,ScionOutput!$A$3:$BL$215,26,FALSE)</f>
        <v>-108</v>
      </c>
      <c r="H112">
        <f>VLOOKUP($A112,ScionOutput!$A$3:$BL$215,10,FALSE)</f>
        <v>100</v>
      </c>
      <c r="I112" t="str">
        <f>VLOOKUP($A112,ScionOutput!$A$3:$BL$215,58,FALSE)</f>
        <v>No Play</v>
      </c>
      <c r="J112">
        <f>VLOOKUP($A112,ScionOutput!$A$3:$BL$215,59,FALSE)</f>
        <v>0</v>
      </c>
      <c r="K112">
        <f>VLOOKUP($A112,ScionOutput!$A$3:$BL$215,62,FALSE)</f>
        <v>0</v>
      </c>
      <c r="L112">
        <f>VLOOKUP($A112,ScionOutput!$A$3:$BL$215,63,FALSE)</f>
        <v>0</v>
      </c>
      <c r="M112" t="b">
        <f t="shared" si="9"/>
        <v>0</v>
      </c>
      <c r="N112">
        <f>VLOOKUP($A112,Outcomes!$B$3:$I$209,8,FALSE)</f>
        <v>9</v>
      </c>
      <c r="O112">
        <f t="shared" si="10"/>
        <v>1</v>
      </c>
      <c r="P112">
        <f>VLOOKUP($A112,Outcomes!$B$3:$I$209,5,FALSE)</f>
        <v>5</v>
      </c>
      <c r="Q112">
        <f>VLOOKUP($A112,Outcomes!$B$3:$I$209,6,FALSE)</f>
        <v>4</v>
      </c>
      <c r="R112">
        <f>VLOOKUP($A112,Outcomes!$B$3:$I$209,7,FALSE)</f>
        <v>-1</v>
      </c>
      <c r="S112" t="str">
        <f t="shared" si="11"/>
        <v>HomFave</v>
      </c>
      <c r="T112" t="str">
        <f t="shared" si="12"/>
        <v/>
      </c>
      <c r="U112" t="str">
        <f t="shared" si="8"/>
        <v/>
      </c>
      <c r="V112" t="str">
        <f t="shared" si="13"/>
        <v/>
      </c>
      <c r="W112" t="str">
        <f t="shared" si="14"/>
        <v/>
      </c>
      <c r="X112" s="2" t="str">
        <f t="shared" si="15"/>
        <v/>
      </c>
      <c r="Y112" t="str">
        <f>VLOOKUP($A112,ScionOutput!$A$3:$BL$215,64,FALSE)</f>
        <v xml:space="preserve">823693. LineStatEns probability points gap does not exceed threshold (no edge found)! StatOnlyEns probability points gap does not exceed threshold (no edge found)! No play due to strategy constraints. </v>
      </c>
    </row>
    <row r="113" spans="1:25" x14ac:dyDescent="0.2">
      <c r="A113">
        <v>822722</v>
      </c>
      <c r="B113" s="3">
        <f>VLOOKUP($A113,ScionOutput!$A$3:$BL$215,3,FALSE)</f>
        <v>46187</v>
      </c>
      <c r="C113">
        <f>VLOOKUP($A113,ScionOutput!$A$3:$BL$215,22,FALSE)</f>
        <v>16</v>
      </c>
      <c r="D113" t="str">
        <f>VLOOKUP($A113,ScionOutput!$A$3:$BL$215,23,FALSE)</f>
        <v>WAS</v>
      </c>
      <c r="E113">
        <f>VLOOKUP($A113,ScionOutput!$A$3:$BL$215,6,FALSE)</f>
        <v>24</v>
      </c>
      <c r="F113" t="str">
        <f>VLOOKUP($A113,ScionOutput!$A$3:$BL$215,7,FALSE)</f>
        <v>SEA</v>
      </c>
      <c r="G113">
        <f>VLOOKUP($A113,ScionOutput!$A$3:$BL$215,26,FALSE)</f>
        <v>119</v>
      </c>
      <c r="H113">
        <f>VLOOKUP($A113,ScionOutput!$A$3:$BL$215,10,FALSE)</f>
        <v>-129</v>
      </c>
      <c r="I113" t="str">
        <f>VLOOKUP($A113,ScionOutput!$A$3:$BL$215,58,FALSE)</f>
        <v>No Play</v>
      </c>
      <c r="J113">
        <f>VLOOKUP($A113,ScionOutput!$A$3:$BL$215,59,FALSE)</f>
        <v>0</v>
      </c>
      <c r="K113">
        <f>VLOOKUP($A113,ScionOutput!$A$3:$BL$215,62,FALSE)</f>
        <v>0</v>
      </c>
      <c r="L113">
        <f>VLOOKUP($A113,ScionOutput!$A$3:$BL$215,63,FALSE)</f>
        <v>0</v>
      </c>
      <c r="M113" t="b">
        <f t="shared" si="9"/>
        <v>0</v>
      </c>
      <c r="N113">
        <f>VLOOKUP($A113,Outcomes!$B$3:$I$209,8,FALSE)</f>
        <v>11</v>
      </c>
      <c r="O113">
        <f t="shared" si="10"/>
        <v>1</v>
      </c>
      <c r="P113">
        <f>VLOOKUP($A113,Outcomes!$B$3:$I$209,5,FALSE)</f>
        <v>10</v>
      </c>
      <c r="Q113">
        <f>VLOOKUP($A113,Outcomes!$B$3:$I$209,6,FALSE)</f>
        <v>1</v>
      </c>
      <c r="R113">
        <f>VLOOKUP($A113,Outcomes!$B$3:$I$209,7,FALSE)</f>
        <v>-9</v>
      </c>
      <c r="S113" t="str">
        <f t="shared" si="11"/>
        <v>HomDog</v>
      </c>
      <c r="T113" t="str">
        <f t="shared" si="12"/>
        <v/>
      </c>
      <c r="U113" t="str">
        <f t="shared" si="8"/>
        <v/>
      </c>
      <c r="V113" t="str">
        <f t="shared" si="13"/>
        <v/>
      </c>
      <c r="W113" t="str">
        <f t="shared" si="14"/>
        <v/>
      </c>
      <c r="X113" s="2" t="str">
        <f t="shared" si="15"/>
        <v/>
      </c>
      <c r="Y113" t="str">
        <f>VLOOKUP($A113,ScionOutput!$A$3:$BL$215,64,FALSE)</f>
        <v xml:space="preserve">822722. VF plays are disallowed. No play due to strategy constraints. </v>
      </c>
    </row>
    <row r="114" spans="1:25" x14ac:dyDescent="0.2">
      <c r="A114">
        <v>823777</v>
      </c>
      <c r="B114" s="3">
        <f>VLOOKUP($A114,ScionOutput!$A$3:$BL$215,3,FALSE)</f>
        <v>46187</v>
      </c>
      <c r="C114">
        <f>VLOOKUP($A114,ScionOutput!$A$3:$BL$215,22,FALSE)</f>
        <v>17</v>
      </c>
      <c r="D114" t="str">
        <f>VLOOKUP($A114,ScionOutput!$A$3:$BL$215,23,FALSE)</f>
        <v>MLW</v>
      </c>
      <c r="E114">
        <f>VLOOKUP($A114,ScionOutput!$A$3:$BL$215,6,FALSE)</f>
        <v>21</v>
      </c>
      <c r="F114" t="str">
        <f>VLOOKUP($A114,ScionOutput!$A$3:$BL$215,7,FALSE)</f>
        <v>PHI</v>
      </c>
      <c r="G114">
        <f>VLOOKUP($A114,ScionOutput!$A$3:$BL$215,26,FALSE)</f>
        <v>113</v>
      </c>
      <c r="H114">
        <f>VLOOKUP($A114,ScionOutput!$A$3:$BL$215,10,FALSE)</f>
        <v>-122</v>
      </c>
      <c r="I114" t="str">
        <f>VLOOKUP($A114,ScionOutput!$A$3:$BL$215,58,FALSE)</f>
        <v>No Play</v>
      </c>
      <c r="J114">
        <f>VLOOKUP($A114,ScionOutput!$A$3:$BL$215,59,FALSE)</f>
        <v>0</v>
      </c>
      <c r="K114">
        <f>VLOOKUP($A114,ScionOutput!$A$3:$BL$215,62,FALSE)</f>
        <v>0</v>
      </c>
      <c r="L114">
        <f>VLOOKUP($A114,ScionOutput!$A$3:$BL$215,63,FALSE)</f>
        <v>0</v>
      </c>
      <c r="M114" t="b">
        <f t="shared" si="9"/>
        <v>0</v>
      </c>
      <c r="N114">
        <f>VLOOKUP($A114,Outcomes!$B$3:$I$209,8,FALSE)</f>
        <v>4</v>
      </c>
      <c r="O114">
        <f t="shared" si="10"/>
        <v>1</v>
      </c>
      <c r="P114">
        <f>VLOOKUP($A114,Outcomes!$B$3:$I$209,5,FALSE)</f>
        <v>4</v>
      </c>
      <c r="Q114">
        <f>VLOOKUP($A114,Outcomes!$B$3:$I$209,6,FALSE)</f>
        <v>0</v>
      </c>
      <c r="R114">
        <f>VLOOKUP($A114,Outcomes!$B$3:$I$209,7,FALSE)</f>
        <v>-4</v>
      </c>
      <c r="S114" t="str">
        <f t="shared" si="11"/>
        <v>HomDog</v>
      </c>
      <c r="T114" t="str">
        <f t="shared" si="12"/>
        <v/>
      </c>
      <c r="U114" t="str">
        <f t="shared" si="8"/>
        <v/>
      </c>
      <c r="V114" t="str">
        <f t="shared" si="13"/>
        <v/>
      </c>
      <c r="W114" t="str">
        <f t="shared" si="14"/>
        <v/>
      </c>
      <c r="X114" s="2" t="str">
        <f t="shared" si="15"/>
        <v/>
      </c>
      <c r="Y114" t="str">
        <f>VLOOKUP($A114,ScionOutput!$A$3:$BL$215,64,FALSE)</f>
        <v xml:space="preserve">823777. VF plays are disallowed. No play due to strategy constraints. </v>
      </c>
    </row>
    <row r="115" spans="1:25" x14ac:dyDescent="0.2">
      <c r="A115">
        <v>823615</v>
      </c>
      <c r="B115" s="3">
        <f>VLOOKUP($A115,ScionOutput!$A$3:$BL$215,3,FALSE)</f>
        <v>46187</v>
      </c>
      <c r="C115">
        <f>VLOOKUP($A115,ScionOutput!$A$3:$BL$215,22,FALSE)</f>
        <v>18</v>
      </c>
      <c r="D115" t="str">
        <f>VLOOKUP($A115,ScionOutput!$A$3:$BL$215,23,FALSE)</f>
        <v>NYM</v>
      </c>
      <c r="E115">
        <f>VLOOKUP($A115,ScionOutput!$A$3:$BL$215,6,FALSE)</f>
        <v>0</v>
      </c>
      <c r="F115" t="str">
        <f>VLOOKUP($A115,ScionOutput!$A$3:$BL$215,7,FALSE)</f>
        <v>ATL</v>
      </c>
      <c r="G115">
        <f>VLOOKUP($A115,ScionOutput!$A$3:$BL$215,26,FALSE)</f>
        <v>-122</v>
      </c>
      <c r="H115">
        <f>VLOOKUP($A115,ScionOutput!$A$3:$BL$215,10,FALSE)</f>
        <v>113</v>
      </c>
      <c r="I115" t="str">
        <f>VLOOKUP($A115,ScionOutput!$A$3:$BL$215,58,FALSE)</f>
        <v>No Play</v>
      </c>
      <c r="J115">
        <f>VLOOKUP($A115,ScionOutput!$A$3:$BL$215,59,FALSE)</f>
        <v>0</v>
      </c>
      <c r="K115">
        <f>VLOOKUP($A115,ScionOutput!$A$3:$BL$215,62,FALSE)</f>
        <v>0</v>
      </c>
      <c r="L115">
        <f>VLOOKUP($A115,ScionOutput!$A$3:$BL$215,63,FALSE)</f>
        <v>0</v>
      </c>
      <c r="M115" t="b">
        <f t="shared" si="9"/>
        <v>0</v>
      </c>
      <c r="N115">
        <f>VLOOKUP($A115,Outcomes!$B$3:$I$209,8,FALSE)</f>
        <v>9</v>
      </c>
      <c r="O115">
        <f t="shared" si="10"/>
        <v>1</v>
      </c>
      <c r="P115">
        <f>VLOOKUP($A115,Outcomes!$B$3:$I$209,5,FALSE)</f>
        <v>8</v>
      </c>
      <c r="Q115">
        <f>VLOOKUP($A115,Outcomes!$B$3:$I$209,6,FALSE)</f>
        <v>1</v>
      </c>
      <c r="R115">
        <f>VLOOKUP($A115,Outcomes!$B$3:$I$209,7,FALSE)</f>
        <v>-7</v>
      </c>
      <c r="S115" t="str">
        <f t="shared" si="11"/>
        <v>HomFave</v>
      </c>
      <c r="T115" t="str">
        <f t="shared" si="12"/>
        <v/>
      </c>
      <c r="U115" t="str">
        <f t="shared" si="8"/>
        <v/>
      </c>
      <c r="V115" t="str">
        <f t="shared" si="13"/>
        <v/>
      </c>
      <c r="W115" t="str">
        <f t="shared" si="14"/>
        <v/>
      </c>
      <c r="X115" s="2" t="str">
        <f t="shared" si="15"/>
        <v/>
      </c>
      <c r="Y115" t="str">
        <f>VLOOKUP($A115,ScionOutput!$A$3:$BL$215,64,FALSE)</f>
        <v xml:space="preserve">823615. LineStatEns probability points gap does not exceed threshold (no edge found)! No play due to strategy constraints. </v>
      </c>
    </row>
    <row r="116" spans="1:25" x14ac:dyDescent="0.2">
      <c r="A116">
        <v>824994</v>
      </c>
      <c r="B116" s="3">
        <f>VLOOKUP($A116,ScionOutput!$A$3:$BL$215,3,FALSE)</f>
        <v>46187</v>
      </c>
      <c r="C116">
        <f>VLOOKUP($A116,ScionOutput!$A$3:$BL$215,22,FALSE)</f>
        <v>20</v>
      </c>
      <c r="D116" t="str">
        <f>VLOOKUP($A116,ScionOutput!$A$3:$BL$215,23,FALSE)</f>
        <v>OAK</v>
      </c>
      <c r="E116">
        <f>VLOOKUP($A116,ScionOutput!$A$3:$BL$215,6,FALSE)</f>
        <v>8</v>
      </c>
      <c r="F116" t="str">
        <f>VLOOKUP($A116,ScionOutput!$A$3:$BL$215,7,FALSE)</f>
        <v>COL</v>
      </c>
      <c r="G116">
        <f>VLOOKUP($A116,ScionOutput!$A$3:$BL$215,26,FALSE)</f>
        <v>-188</v>
      </c>
      <c r="H116">
        <f>VLOOKUP($A116,ScionOutput!$A$3:$BL$215,10,FALSE)</f>
        <v>171</v>
      </c>
      <c r="I116" t="str">
        <f>VLOOKUP($A116,ScionOutput!$A$3:$BL$215,58,FALSE)</f>
        <v>No Play</v>
      </c>
      <c r="J116">
        <f>VLOOKUP($A116,ScionOutput!$A$3:$BL$215,59,FALSE)</f>
        <v>0</v>
      </c>
      <c r="K116">
        <f>VLOOKUP($A116,ScionOutput!$A$3:$BL$215,62,FALSE)</f>
        <v>0</v>
      </c>
      <c r="L116">
        <f>VLOOKUP($A116,ScionOutput!$A$3:$BL$215,63,FALSE)</f>
        <v>0</v>
      </c>
      <c r="M116" t="b">
        <f t="shared" si="9"/>
        <v>0</v>
      </c>
      <c r="N116">
        <f>VLOOKUP($A116,Outcomes!$B$3:$I$209,8,FALSE)</f>
        <v>32</v>
      </c>
      <c r="O116">
        <f t="shared" si="10"/>
        <v>-1</v>
      </c>
      <c r="P116">
        <f>VLOOKUP($A116,Outcomes!$B$3:$I$209,5,FALSE)</f>
        <v>9</v>
      </c>
      <c r="Q116">
        <f>VLOOKUP($A116,Outcomes!$B$3:$I$209,6,FALSE)</f>
        <v>23</v>
      </c>
      <c r="R116">
        <f>VLOOKUP($A116,Outcomes!$B$3:$I$209,7,FALSE)</f>
        <v>14</v>
      </c>
      <c r="S116" t="str">
        <f t="shared" si="11"/>
        <v>VisDog</v>
      </c>
      <c r="T116" t="str">
        <f t="shared" si="12"/>
        <v/>
      </c>
      <c r="U116" t="str">
        <f t="shared" si="8"/>
        <v/>
      </c>
      <c r="V116" t="str">
        <f t="shared" si="13"/>
        <v/>
      </c>
      <c r="W116" t="str">
        <f t="shared" si="14"/>
        <v/>
      </c>
      <c r="X116" s="2" t="str">
        <f t="shared" si="15"/>
        <v/>
      </c>
      <c r="Y116" t="str">
        <f>VLOOKUP($A116,ScionOutput!$A$3:$BL$215,64,FALSE)</f>
        <v xml:space="preserve">824994. LineStatEns is NoPlay as bookie-line outside range. StatOnlyEns is NoPlay as bookie-line outside range. No play due to strategy constraints. </v>
      </c>
    </row>
    <row r="117" spans="1:25" x14ac:dyDescent="0.2">
      <c r="A117">
        <v>823368</v>
      </c>
      <c r="B117" s="3">
        <f>VLOOKUP($A117,ScionOutput!$A$3:$BL$215,3,FALSE)</f>
        <v>46187</v>
      </c>
      <c r="C117">
        <f>VLOOKUP($A117,ScionOutput!$A$3:$BL$215,22,FALSE)</f>
        <v>22</v>
      </c>
      <c r="D117" t="str">
        <f>VLOOKUP($A117,ScionOutput!$A$3:$BL$215,23,FALSE)</f>
        <v>PIT</v>
      </c>
      <c r="E117">
        <f>VLOOKUP($A117,ScionOutput!$A$3:$BL$215,6,FALSE)</f>
        <v>11</v>
      </c>
      <c r="F117" t="str">
        <f>VLOOKUP($A117,ScionOutput!$A$3:$BL$215,7,FALSE)</f>
        <v>FLO</v>
      </c>
      <c r="G117">
        <f>VLOOKUP($A117,ScionOutput!$A$3:$BL$215,26,FALSE)</f>
        <v>-150</v>
      </c>
      <c r="H117">
        <f>VLOOKUP($A117,ScionOutput!$A$3:$BL$215,10,FALSE)</f>
        <v>138</v>
      </c>
      <c r="I117" t="str">
        <f>VLOOKUP($A117,ScionOutput!$A$3:$BL$215,58,FALSE)</f>
        <v>No Play</v>
      </c>
      <c r="J117">
        <f>VLOOKUP($A117,ScionOutput!$A$3:$BL$215,59,FALSE)</f>
        <v>0</v>
      </c>
      <c r="K117">
        <f>VLOOKUP($A117,ScionOutput!$A$3:$BL$215,62,FALSE)</f>
        <v>0</v>
      </c>
      <c r="L117">
        <f>VLOOKUP($A117,ScionOutput!$A$3:$BL$215,63,FALSE)</f>
        <v>0</v>
      </c>
      <c r="M117" t="b">
        <f t="shared" si="9"/>
        <v>0</v>
      </c>
      <c r="N117">
        <f>VLOOKUP($A117,Outcomes!$B$3:$I$209,8,FALSE)</f>
        <v>6</v>
      </c>
      <c r="O117">
        <f t="shared" si="10"/>
        <v>-1</v>
      </c>
      <c r="P117">
        <f>VLOOKUP($A117,Outcomes!$B$3:$I$209,5,FALSE)</f>
        <v>2</v>
      </c>
      <c r="Q117">
        <f>VLOOKUP($A117,Outcomes!$B$3:$I$209,6,FALSE)</f>
        <v>4</v>
      </c>
      <c r="R117">
        <f>VLOOKUP($A117,Outcomes!$B$3:$I$209,7,FALSE)</f>
        <v>2</v>
      </c>
      <c r="S117" t="str">
        <f t="shared" si="11"/>
        <v>VisDog</v>
      </c>
      <c r="T117" t="str">
        <f t="shared" si="12"/>
        <v/>
      </c>
      <c r="U117" t="str">
        <f t="shared" si="8"/>
        <v/>
      </c>
      <c r="V117" t="str">
        <f t="shared" si="13"/>
        <v/>
      </c>
      <c r="W117" t="str">
        <f t="shared" si="14"/>
        <v/>
      </c>
      <c r="X117" s="2" t="str">
        <f t="shared" si="15"/>
        <v/>
      </c>
      <c r="Y117" t="str">
        <f>VLOOKUP($A117,ScionOutput!$A$3:$BL$215,64,FALSE)</f>
        <v xml:space="preserve">823368. LineStatEns probability points gap does not exceed threshold (no edge found)! No play due to strategy constraints. </v>
      </c>
    </row>
    <row r="118" spans="1:25" x14ac:dyDescent="0.2">
      <c r="A118">
        <v>823212</v>
      </c>
      <c r="B118" s="3">
        <f>VLOOKUP($A118,ScionOutput!$A$3:$BL$215,3,FALSE)</f>
        <v>46187</v>
      </c>
      <c r="C118">
        <f>VLOOKUP($A118,ScionOutput!$A$3:$BL$215,22,FALSE)</f>
        <v>25</v>
      </c>
      <c r="D118" t="str">
        <f>VLOOKUP($A118,ScionOutput!$A$3:$BL$215,23,FALSE)</f>
        <v>SF</v>
      </c>
      <c r="E118">
        <f>VLOOKUP($A118,ScionOutput!$A$3:$BL$215,6,FALSE)</f>
        <v>5</v>
      </c>
      <c r="F118" t="str">
        <f>VLOOKUP($A118,ScionOutput!$A$3:$BL$215,7,FALSE)</f>
        <v>CHC</v>
      </c>
      <c r="G118">
        <f>VLOOKUP($A118,ScionOutput!$A$3:$BL$215,26,FALSE)</f>
        <v>-124</v>
      </c>
      <c r="H118">
        <f>VLOOKUP($A118,ScionOutput!$A$3:$BL$215,10,FALSE)</f>
        <v>115</v>
      </c>
      <c r="I118" t="str">
        <f>VLOOKUP($A118,ScionOutput!$A$3:$BL$215,58,FALSE)</f>
        <v>No Play</v>
      </c>
      <c r="J118">
        <f>VLOOKUP($A118,ScionOutput!$A$3:$BL$215,59,FALSE)</f>
        <v>0</v>
      </c>
      <c r="K118">
        <f>VLOOKUP($A118,ScionOutput!$A$3:$BL$215,62,FALSE)</f>
        <v>0</v>
      </c>
      <c r="L118">
        <f>VLOOKUP($A118,ScionOutput!$A$3:$BL$215,63,FALSE)</f>
        <v>0</v>
      </c>
      <c r="M118" t="b">
        <f t="shared" si="9"/>
        <v>0</v>
      </c>
      <c r="N118">
        <f>VLOOKUP($A118,Outcomes!$B$3:$I$209,8,FALSE)</f>
        <v>6</v>
      </c>
      <c r="O118">
        <f t="shared" si="10"/>
        <v>1</v>
      </c>
      <c r="P118">
        <f>VLOOKUP($A118,Outcomes!$B$3:$I$209,5,FALSE)</f>
        <v>5</v>
      </c>
      <c r="Q118">
        <f>VLOOKUP($A118,Outcomes!$B$3:$I$209,6,FALSE)</f>
        <v>1</v>
      </c>
      <c r="R118">
        <f>VLOOKUP($A118,Outcomes!$B$3:$I$209,7,FALSE)</f>
        <v>-4</v>
      </c>
      <c r="S118" t="str">
        <f t="shared" si="11"/>
        <v>HomFave</v>
      </c>
      <c r="T118" t="str">
        <f t="shared" si="12"/>
        <v/>
      </c>
      <c r="U118" t="str">
        <f t="shared" si="8"/>
        <v/>
      </c>
      <c r="V118" t="str">
        <f t="shared" si="13"/>
        <v/>
      </c>
      <c r="W118" t="str">
        <f t="shared" si="14"/>
        <v/>
      </c>
      <c r="X118" s="2" t="str">
        <f t="shared" si="15"/>
        <v/>
      </c>
      <c r="Y118" t="str">
        <f>VLOOKUP($A118,ScionOutput!$A$3:$BL$215,64,FALSE)</f>
        <v xml:space="preserve">823212. V_SP is Null, team-based avg used. NoPlay as V_SP is Null. </v>
      </c>
    </row>
    <row r="119" spans="1:25" x14ac:dyDescent="0.2">
      <c r="A119">
        <v>822801</v>
      </c>
      <c r="B119" s="3">
        <f>VLOOKUP($A119,ScionOutput!$A$3:$BL$215,3,FALSE)</f>
        <v>46187</v>
      </c>
      <c r="C119">
        <f>VLOOKUP($A119,ScionOutput!$A$3:$BL$215,22,FALSE)</f>
        <v>29</v>
      </c>
      <c r="D119" t="str">
        <f>VLOOKUP($A119,ScionOutput!$A$3:$BL$215,23,FALSE)</f>
        <v>TOR</v>
      </c>
      <c r="E119">
        <f>VLOOKUP($A119,ScionOutput!$A$3:$BL$215,6,FALSE)</f>
        <v>19</v>
      </c>
      <c r="F119" t="str">
        <f>VLOOKUP($A119,ScionOutput!$A$3:$BL$215,7,FALSE)</f>
        <v>NYY</v>
      </c>
      <c r="G119">
        <f>VLOOKUP($A119,ScionOutput!$A$3:$BL$215,26,FALSE)</f>
        <v>112</v>
      </c>
      <c r="H119">
        <f>VLOOKUP($A119,ScionOutput!$A$3:$BL$215,10,FALSE)</f>
        <v>-121</v>
      </c>
      <c r="I119" t="str">
        <f>VLOOKUP($A119,ScionOutput!$A$3:$BL$215,58,FALSE)</f>
        <v>No Play</v>
      </c>
      <c r="J119">
        <f>VLOOKUP($A119,ScionOutput!$A$3:$BL$215,59,FALSE)</f>
        <v>0</v>
      </c>
      <c r="K119">
        <f>VLOOKUP($A119,ScionOutput!$A$3:$BL$215,62,FALSE)</f>
        <v>0</v>
      </c>
      <c r="L119">
        <f>VLOOKUP($A119,ScionOutput!$A$3:$BL$215,63,FALSE)</f>
        <v>0</v>
      </c>
      <c r="M119" t="b">
        <f t="shared" si="9"/>
        <v>0</v>
      </c>
      <c r="N119">
        <f>VLOOKUP($A119,Outcomes!$B$3:$I$209,8,FALSE)</f>
        <v>11</v>
      </c>
      <c r="O119">
        <f t="shared" si="10"/>
        <v>-1</v>
      </c>
      <c r="P119">
        <f>VLOOKUP($A119,Outcomes!$B$3:$I$209,5,FALSE)</f>
        <v>3</v>
      </c>
      <c r="Q119">
        <f>VLOOKUP($A119,Outcomes!$B$3:$I$209,6,FALSE)</f>
        <v>8</v>
      </c>
      <c r="R119">
        <f>VLOOKUP($A119,Outcomes!$B$3:$I$209,7,FALSE)</f>
        <v>5</v>
      </c>
      <c r="S119" t="str">
        <f t="shared" si="11"/>
        <v>VisFave</v>
      </c>
      <c r="T119" t="str">
        <f t="shared" si="12"/>
        <v/>
      </c>
      <c r="U119" t="str">
        <f t="shared" si="8"/>
        <v/>
      </c>
      <c r="V119" t="str">
        <f t="shared" si="13"/>
        <v/>
      </c>
      <c r="W119" t="str">
        <f t="shared" si="14"/>
        <v/>
      </c>
      <c r="X119" s="2" t="str">
        <f t="shared" si="15"/>
        <v/>
      </c>
      <c r="Y119" t="str">
        <f>VLOOKUP($A119,ScionOutput!$A$3:$BL$215,64,FALSE)</f>
        <v xml:space="preserve">822801. VF plays are disallowed. No play due to strategy constraints. </v>
      </c>
    </row>
    <row r="120" spans="1:25" x14ac:dyDescent="0.2">
      <c r="A120">
        <v>825071</v>
      </c>
      <c r="B120" s="3">
        <f>VLOOKUP($A120,ScionOutput!$A$3:$BL$215,3,FALSE)</f>
        <v>46188</v>
      </c>
      <c r="C120">
        <f>VLOOKUP($A120,ScionOutput!$A$3:$BL$215,22,FALSE)</f>
        <v>1</v>
      </c>
      <c r="D120" t="str">
        <f>VLOOKUP($A120,ScionOutput!$A$3:$BL$215,23,FALSE)</f>
        <v>ARZ</v>
      </c>
      <c r="E120">
        <f>VLOOKUP($A120,ScionOutput!$A$3:$BL$215,6,FALSE)</f>
        <v>4</v>
      </c>
      <c r="F120" t="str">
        <f>VLOOKUP($A120,ScionOutput!$A$3:$BL$215,7,FALSE)</f>
        <v>LAA</v>
      </c>
      <c r="G120">
        <f>VLOOKUP($A120,ScionOutput!$A$3:$BL$215,26,FALSE)</f>
        <v>-125</v>
      </c>
      <c r="H120">
        <f>VLOOKUP($A120,ScionOutput!$A$3:$BL$215,10,FALSE)</f>
        <v>116</v>
      </c>
      <c r="I120" t="str">
        <f>VLOOKUP($A120,ScionOutput!$A$3:$BL$215,58,FALSE)</f>
        <v>No Play</v>
      </c>
      <c r="J120">
        <f>VLOOKUP($A120,ScionOutput!$A$3:$BL$215,59,FALSE)</f>
        <v>0</v>
      </c>
      <c r="K120">
        <f>VLOOKUP($A120,ScionOutput!$A$3:$BL$215,62,FALSE)</f>
        <v>0</v>
      </c>
      <c r="L120">
        <f>VLOOKUP($A120,ScionOutput!$A$3:$BL$215,63,FALSE)</f>
        <v>0</v>
      </c>
      <c r="M120" t="b">
        <f t="shared" si="9"/>
        <v>0</v>
      </c>
      <c r="N120">
        <f>VLOOKUP($A120,Outcomes!$B$3:$I$209,8,FALSE)</f>
        <v>7</v>
      </c>
      <c r="O120">
        <f t="shared" si="10"/>
        <v>1</v>
      </c>
      <c r="P120">
        <f>VLOOKUP($A120,Outcomes!$B$3:$I$209,5,FALSE)</f>
        <v>4</v>
      </c>
      <c r="Q120">
        <f>VLOOKUP($A120,Outcomes!$B$3:$I$209,6,FALSE)</f>
        <v>3</v>
      </c>
      <c r="R120">
        <f>VLOOKUP($A120,Outcomes!$B$3:$I$209,7,FALSE)</f>
        <v>-1</v>
      </c>
      <c r="S120" t="str">
        <f t="shared" si="11"/>
        <v>HomFave</v>
      </c>
      <c r="T120" t="str">
        <f t="shared" si="12"/>
        <v/>
      </c>
      <c r="U120" t="str">
        <f t="shared" si="8"/>
        <v/>
      </c>
      <c r="V120" t="str">
        <f t="shared" si="13"/>
        <v/>
      </c>
      <c r="W120" t="str">
        <f t="shared" si="14"/>
        <v/>
      </c>
      <c r="X120" s="2" t="str">
        <f t="shared" si="15"/>
        <v/>
      </c>
      <c r="Y120" t="str">
        <f>VLOOKUP($A120,ScionOutput!$A$3:$BL$215,64,FALSE)</f>
        <v xml:space="preserve">825071. LineStatEns probability points gap does not exceed threshold (no edge found)! StatOnlyEns probability points gap does not exceed threshold (no edge found)! No play due to strategy constraints. </v>
      </c>
    </row>
    <row r="121" spans="1:25" x14ac:dyDescent="0.2">
      <c r="A121">
        <v>824666</v>
      </c>
      <c r="B121" s="3">
        <f>VLOOKUP($A121,ScionOutput!$A$3:$BL$215,3,FALSE)</f>
        <v>46188</v>
      </c>
      <c r="C121">
        <f>VLOOKUP($A121,ScionOutput!$A$3:$BL$215,22,FALSE)</f>
        <v>5</v>
      </c>
      <c r="D121" t="str">
        <f>VLOOKUP($A121,ScionOutput!$A$3:$BL$215,23,FALSE)</f>
        <v>CHC</v>
      </c>
      <c r="E121">
        <f>VLOOKUP($A121,ScionOutput!$A$3:$BL$215,6,FALSE)</f>
        <v>8</v>
      </c>
      <c r="F121" t="str">
        <f>VLOOKUP($A121,ScionOutput!$A$3:$BL$215,7,FALSE)</f>
        <v>COL</v>
      </c>
      <c r="G121">
        <f>VLOOKUP($A121,ScionOutput!$A$3:$BL$215,26,FALSE)</f>
        <v>-205</v>
      </c>
      <c r="H121">
        <f>VLOOKUP($A121,ScionOutput!$A$3:$BL$215,10,FALSE)</f>
        <v>186</v>
      </c>
      <c r="I121" t="str">
        <f>VLOOKUP($A121,ScionOutput!$A$3:$BL$215,58,FALSE)</f>
        <v>No Play</v>
      </c>
      <c r="J121">
        <f>VLOOKUP($A121,ScionOutput!$A$3:$BL$215,59,FALSE)</f>
        <v>0</v>
      </c>
      <c r="K121">
        <f>VLOOKUP($A121,ScionOutput!$A$3:$BL$215,62,FALSE)</f>
        <v>0</v>
      </c>
      <c r="L121">
        <f>VLOOKUP($A121,ScionOutput!$A$3:$BL$215,63,FALSE)</f>
        <v>0</v>
      </c>
      <c r="M121" t="b">
        <f t="shared" si="9"/>
        <v>0</v>
      </c>
      <c r="N121">
        <f>VLOOKUP($A121,Outcomes!$B$3:$I$209,8,FALSE)</f>
        <v>9</v>
      </c>
      <c r="O121">
        <f t="shared" si="10"/>
        <v>1</v>
      </c>
      <c r="P121">
        <f>VLOOKUP($A121,Outcomes!$B$3:$I$209,5,FALSE)</f>
        <v>5</v>
      </c>
      <c r="Q121">
        <f>VLOOKUP($A121,Outcomes!$B$3:$I$209,6,FALSE)</f>
        <v>4</v>
      </c>
      <c r="R121">
        <f>VLOOKUP($A121,Outcomes!$B$3:$I$209,7,FALSE)</f>
        <v>-1</v>
      </c>
      <c r="S121" t="str">
        <f t="shared" si="11"/>
        <v>HomFave</v>
      </c>
      <c r="T121" t="str">
        <f t="shared" si="12"/>
        <v/>
      </c>
      <c r="U121" t="str">
        <f t="shared" si="8"/>
        <v/>
      </c>
      <c r="V121" t="str">
        <f t="shared" si="13"/>
        <v/>
      </c>
      <c r="W121" t="str">
        <f t="shared" si="14"/>
        <v/>
      </c>
      <c r="X121" s="2" t="str">
        <f t="shared" si="15"/>
        <v/>
      </c>
      <c r="Y121" t="str">
        <f>VLOOKUP($A121,ScionOutput!$A$3:$BL$215,64,FALSE)</f>
        <v xml:space="preserve">824666. LineStatEns is NoPlay as bookie-line outside range. StatOnlyEns is NoPlay as bookie-line outside range. No play due to strategy constraints. </v>
      </c>
    </row>
    <row r="122" spans="1:25" x14ac:dyDescent="0.2">
      <c r="A122">
        <v>824505</v>
      </c>
      <c r="B122" s="3">
        <f>VLOOKUP($A122,ScionOutput!$A$3:$BL$215,3,FALSE)</f>
        <v>46188</v>
      </c>
      <c r="C122">
        <f>VLOOKUP($A122,ScionOutput!$A$3:$BL$215,22,FALSE)</f>
        <v>6</v>
      </c>
      <c r="D122" t="str">
        <f>VLOOKUP($A122,ScionOutput!$A$3:$BL$215,23,FALSE)</f>
        <v>CIN</v>
      </c>
      <c r="E122">
        <f>VLOOKUP($A122,ScionOutput!$A$3:$BL$215,6,FALSE)</f>
        <v>18</v>
      </c>
      <c r="F122" t="str">
        <f>VLOOKUP($A122,ScionOutput!$A$3:$BL$215,7,FALSE)</f>
        <v>NYM</v>
      </c>
      <c r="G122">
        <f>VLOOKUP($A122,ScionOutput!$A$3:$BL$215,26,FALSE)</f>
        <v>-131</v>
      </c>
      <c r="H122">
        <f>VLOOKUP($A122,ScionOutput!$A$3:$BL$215,10,FALSE)</f>
        <v>121</v>
      </c>
      <c r="I122" t="str">
        <f>VLOOKUP($A122,ScionOutput!$A$3:$BL$215,58,FALSE)</f>
        <v>No Play</v>
      </c>
      <c r="J122">
        <f>VLOOKUP($A122,ScionOutput!$A$3:$BL$215,59,FALSE)</f>
        <v>0</v>
      </c>
      <c r="K122">
        <f>VLOOKUP($A122,ScionOutput!$A$3:$BL$215,62,FALSE)</f>
        <v>0</v>
      </c>
      <c r="L122">
        <f>VLOOKUP($A122,ScionOutput!$A$3:$BL$215,63,FALSE)</f>
        <v>0</v>
      </c>
      <c r="M122" t="b">
        <f t="shared" si="9"/>
        <v>0</v>
      </c>
      <c r="N122">
        <f>VLOOKUP($A122,Outcomes!$B$3:$I$209,8,FALSE)</f>
        <v>12</v>
      </c>
      <c r="O122">
        <f t="shared" si="10"/>
        <v>1</v>
      </c>
      <c r="P122">
        <f>VLOOKUP($A122,Outcomes!$B$3:$I$209,5,FALSE)</f>
        <v>12</v>
      </c>
      <c r="Q122">
        <f>VLOOKUP($A122,Outcomes!$B$3:$I$209,6,FALSE)</f>
        <v>0</v>
      </c>
      <c r="R122">
        <f>VLOOKUP($A122,Outcomes!$B$3:$I$209,7,FALSE)</f>
        <v>-12</v>
      </c>
      <c r="S122" t="str">
        <f t="shared" si="11"/>
        <v>HomFave</v>
      </c>
      <c r="T122" t="str">
        <f t="shared" si="12"/>
        <v/>
      </c>
      <c r="U122" t="str">
        <f t="shared" si="8"/>
        <v/>
      </c>
      <c r="V122" t="str">
        <f t="shared" si="13"/>
        <v/>
      </c>
      <c r="W122" t="str">
        <f t="shared" si="14"/>
        <v/>
      </c>
      <c r="X122" s="2" t="str">
        <f t="shared" si="15"/>
        <v/>
      </c>
      <c r="Y122" t="str">
        <f>VLOOKUP($A122,ScionOutput!$A$3:$BL$215,64,FALSE)</f>
        <v xml:space="preserve">824505. LineStatEns probability points gap does not exceed threshold (no edge found)! StatOnlyEns probability points gap does not exceed threshold (no edge found)! No play due to strategy constraints. </v>
      </c>
    </row>
    <row r="123" spans="1:25" x14ac:dyDescent="0.2">
      <c r="A123">
        <v>824181</v>
      </c>
      <c r="B123" s="3">
        <f>VLOOKUP($A123,ScionOutput!$A$3:$BL$215,3,FALSE)</f>
        <v>46188</v>
      </c>
      <c r="C123">
        <f>VLOOKUP($A123,ScionOutput!$A$3:$BL$215,22,FALSE)</f>
        <v>12</v>
      </c>
      <c r="D123" t="str">
        <f>VLOOKUP($A123,ScionOutput!$A$3:$BL$215,23,FALSE)</f>
        <v>HOU</v>
      </c>
      <c r="E123">
        <f>VLOOKUP($A123,ScionOutput!$A$3:$BL$215,6,FALSE)</f>
        <v>10</v>
      </c>
      <c r="F123" t="str">
        <f>VLOOKUP($A123,ScionOutput!$A$3:$BL$215,7,FALSE)</f>
        <v>DET</v>
      </c>
      <c r="G123">
        <f>VLOOKUP($A123,ScionOutput!$A$3:$BL$215,26,FALSE)</f>
        <v>-114</v>
      </c>
      <c r="H123">
        <f>VLOOKUP($A123,ScionOutput!$A$3:$BL$215,10,FALSE)</f>
        <v>106</v>
      </c>
      <c r="I123" t="str">
        <f>VLOOKUP($A123,ScionOutput!$A$3:$BL$215,58,FALSE)</f>
        <v>VisDog</v>
      </c>
      <c r="J123">
        <f>VLOOKUP($A123,ScionOutput!$A$3:$BL$215,59,FALSE)</f>
        <v>-3.322E-2</v>
      </c>
      <c r="K123">
        <f>VLOOKUP($A123,ScionOutput!$A$3:$BL$215,62,FALSE)</f>
        <v>5</v>
      </c>
      <c r="L123">
        <f>VLOOKUP($A123,ScionOutput!$A$3:$BL$215,63,FALSE)</f>
        <v>0.8</v>
      </c>
      <c r="M123" t="b">
        <f t="shared" si="9"/>
        <v>1</v>
      </c>
      <c r="N123">
        <f>VLOOKUP($A123,Outcomes!$B$3:$I$209,8,FALSE)</f>
        <v>12</v>
      </c>
      <c r="O123">
        <f t="shared" si="10"/>
        <v>-1</v>
      </c>
      <c r="P123">
        <f>VLOOKUP($A123,Outcomes!$B$3:$I$209,5,FALSE)</f>
        <v>3</v>
      </c>
      <c r="Q123">
        <f>VLOOKUP($A123,Outcomes!$B$3:$I$209,6,FALSE)</f>
        <v>9</v>
      </c>
      <c r="R123">
        <f>VLOOKUP($A123,Outcomes!$B$3:$I$209,7,FALSE)</f>
        <v>6</v>
      </c>
      <c r="S123" t="str">
        <f t="shared" si="11"/>
        <v>VisDog</v>
      </c>
      <c r="T123">
        <f t="shared" si="12"/>
        <v>1</v>
      </c>
      <c r="U123">
        <f t="shared" si="8"/>
        <v>100</v>
      </c>
      <c r="V123">
        <f t="shared" si="13"/>
        <v>206</v>
      </c>
      <c r="W123">
        <f t="shared" si="14"/>
        <v>106</v>
      </c>
      <c r="X123" s="2">
        <f t="shared" si="15"/>
        <v>1.06</v>
      </c>
      <c r="Y123" t="str">
        <f>VLOOKUP($A123,ScionOutput!$A$3:$BL$215,64,FALSE)</f>
        <v xml:space="preserve">824181. Play determined by LineStatEns and StatOnlyEns agreement. </v>
      </c>
    </row>
    <row r="124" spans="1:25" x14ac:dyDescent="0.2">
      <c r="A124">
        <v>823938</v>
      </c>
      <c r="B124" s="3">
        <f>VLOOKUP($A124,ScionOutput!$A$3:$BL$215,3,FALSE)</f>
        <v>46188</v>
      </c>
      <c r="C124">
        <f>VLOOKUP($A124,ScionOutput!$A$3:$BL$215,22,FALSE)</f>
        <v>14</v>
      </c>
      <c r="D124" t="str">
        <f>VLOOKUP($A124,ScionOutput!$A$3:$BL$215,23,FALSE)</f>
        <v>LA</v>
      </c>
      <c r="E124">
        <f>VLOOKUP($A124,ScionOutput!$A$3:$BL$215,6,FALSE)</f>
        <v>27</v>
      </c>
      <c r="F124" t="str">
        <f>VLOOKUP($A124,ScionOutput!$A$3:$BL$215,7,FALSE)</f>
        <v>TB</v>
      </c>
      <c r="G124">
        <f>VLOOKUP($A124,ScionOutput!$A$3:$BL$215,26,FALSE)</f>
        <v>-172</v>
      </c>
      <c r="H124">
        <f>VLOOKUP($A124,ScionOutput!$A$3:$BL$215,10,FALSE)</f>
        <v>158</v>
      </c>
      <c r="I124" t="str">
        <f>VLOOKUP($A124,ScionOutput!$A$3:$BL$215,58,FALSE)</f>
        <v>No Play</v>
      </c>
      <c r="J124">
        <f>VLOOKUP($A124,ScionOutput!$A$3:$BL$215,59,FALSE)</f>
        <v>0</v>
      </c>
      <c r="K124">
        <f>VLOOKUP($A124,ScionOutput!$A$3:$BL$215,62,FALSE)</f>
        <v>0</v>
      </c>
      <c r="L124">
        <f>VLOOKUP($A124,ScionOutput!$A$3:$BL$215,63,FALSE)</f>
        <v>0</v>
      </c>
      <c r="M124" t="b">
        <f t="shared" si="9"/>
        <v>0</v>
      </c>
      <c r="N124">
        <f>VLOOKUP($A124,Outcomes!$B$3:$I$209,8,FALSE)</f>
        <v>7</v>
      </c>
      <c r="O124">
        <f t="shared" si="10"/>
        <v>1</v>
      </c>
      <c r="P124">
        <f>VLOOKUP($A124,Outcomes!$B$3:$I$209,5,FALSE)</f>
        <v>4</v>
      </c>
      <c r="Q124">
        <f>VLOOKUP($A124,Outcomes!$B$3:$I$209,6,FALSE)</f>
        <v>3</v>
      </c>
      <c r="R124">
        <f>VLOOKUP($A124,Outcomes!$B$3:$I$209,7,FALSE)</f>
        <v>-1</v>
      </c>
      <c r="S124" t="str">
        <f t="shared" si="11"/>
        <v>HomFave</v>
      </c>
      <c r="T124" t="str">
        <f t="shared" si="12"/>
        <v/>
      </c>
      <c r="U124" t="str">
        <f t="shared" si="8"/>
        <v/>
      </c>
      <c r="V124" t="str">
        <f t="shared" si="13"/>
        <v/>
      </c>
      <c r="W124" t="str">
        <f t="shared" si="14"/>
        <v/>
      </c>
      <c r="X124" s="2" t="str">
        <f t="shared" si="15"/>
        <v/>
      </c>
      <c r="Y124" t="str">
        <f>VLOOKUP($A124,ScionOutput!$A$3:$BL$215,64,FALSE)</f>
        <v xml:space="preserve">823938. LineStatEns is NoPlay as bookie-line outside range. StatOnlyEns is NoPlay as bookie-line outside range. No play due to strategy constraints. </v>
      </c>
    </row>
    <row r="125" spans="1:25" x14ac:dyDescent="0.2">
      <c r="A125">
        <v>822724</v>
      </c>
      <c r="B125" s="3">
        <f>VLOOKUP($A125,ScionOutput!$A$3:$BL$215,3,FALSE)</f>
        <v>46188</v>
      </c>
      <c r="C125">
        <f>VLOOKUP($A125,ScionOutput!$A$3:$BL$215,22,FALSE)</f>
        <v>16</v>
      </c>
      <c r="D125" t="str">
        <f>VLOOKUP($A125,ScionOutput!$A$3:$BL$215,23,FALSE)</f>
        <v>WAS</v>
      </c>
      <c r="E125">
        <f>VLOOKUP($A125,ScionOutput!$A$3:$BL$215,6,FALSE)</f>
        <v>13</v>
      </c>
      <c r="F125" t="str">
        <f>VLOOKUP($A125,ScionOutput!$A$3:$BL$215,7,FALSE)</f>
        <v>KC</v>
      </c>
      <c r="G125">
        <f>VLOOKUP($A125,ScionOutput!$A$3:$BL$215,26,FALSE)</f>
        <v>-127</v>
      </c>
      <c r="H125">
        <f>VLOOKUP($A125,ScionOutput!$A$3:$BL$215,10,FALSE)</f>
        <v>118</v>
      </c>
      <c r="I125" t="str">
        <f>VLOOKUP($A125,ScionOutput!$A$3:$BL$215,58,FALSE)</f>
        <v>No Play</v>
      </c>
      <c r="J125">
        <f>VLOOKUP($A125,ScionOutput!$A$3:$BL$215,59,FALSE)</f>
        <v>0</v>
      </c>
      <c r="K125">
        <f>VLOOKUP($A125,ScionOutput!$A$3:$BL$215,62,FALSE)</f>
        <v>0</v>
      </c>
      <c r="L125">
        <f>VLOOKUP($A125,ScionOutput!$A$3:$BL$215,63,FALSE)</f>
        <v>0</v>
      </c>
      <c r="M125" t="b">
        <f t="shared" si="9"/>
        <v>0</v>
      </c>
      <c r="N125">
        <f>VLOOKUP($A125,Outcomes!$B$3:$I$209,8,FALSE)</f>
        <v>10</v>
      </c>
      <c r="O125">
        <f t="shared" si="10"/>
        <v>1</v>
      </c>
      <c r="P125">
        <f>VLOOKUP($A125,Outcomes!$B$3:$I$209,5,FALSE)</f>
        <v>7</v>
      </c>
      <c r="Q125">
        <f>VLOOKUP($A125,Outcomes!$B$3:$I$209,6,FALSE)</f>
        <v>3</v>
      </c>
      <c r="R125">
        <f>VLOOKUP($A125,Outcomes!$B$3:$I$209,7,FALSE)</f>
        <v>-4</v>
      </c>
      <c r="S125" t="str">
        <f t="shared" si="11"/>
        <v>HomFave</v>
      </c>
      <c r="T125" t="str">
        <f t="shared" si="12"/>
        <v/>
      </c>
      <c r="U125" t="str">
        <f t="shared" si="8"/>
        <v/>
      </c>
      <c r="V125" t="str">
        <f t="shared" si="13"/>
        <v/>
      </c>
      <c r="W125" t="str">
        <f t="shared" si="14"/>
        <v/>
      </c>
      <c r="X125" s="2" t="str">
        <f t="shared" si="15"/>
        <v/>
      </c>
      <c r="Y125" t="str">
        <f>VLOOKUP($A125,ScionOutput!$A$3:$BL$215,64,FALSE)</f>
        <v xml:space="preserve">822724. V_SP is Null, team-based avg used. NoPlay as V_SP is Null. </v>
      </c>
    </row>
    <row r="126" spans="1:25" x14ac:dyDescent="0.2">
      <c r="A126">
        <v>824993</v>
      </c>
      <c r="B126" s="3">
        <f>VLOOKUP($A126,ScionOutput!$A$3:$BL$215,3,FALSE)</f>
        <v>46188</v>
      </c>
      <c r="C126">
        <f>VLOOKUP($A126,ScionOutput!$A$3:$BL$215,22,FALSE)</f>
        <v>20</v>
      </c>
      <c r="D126" t="str">
        <f>VLOOKUP($A126,ScionOutput!$A$3:$BL$215,23,FALSE)</f>
        <v>OAK</v>
      </c>
      <c r="E126">
        <f>VLOOKUP($A126,ScionOutput!$A$3:$BL$215,6,FALSE)</f>
        <v>22</v>
      </c>
      <c r="F126" t="str">
        <f>VLOOKUP($A126,ScionOutput!$A$3:$BL$215,7,FALSE)</f>
        <v>PIT</v>
      </c>
      <c r="G126">
        <f>VLOOKUP($A126,ScionOutput!$A$3:$BL$215,26,FALSE)</f>
        <v>-116</v>
      </c>
      <c r="H126">
        <f>VLOOKUP($A126,ScionOutput!$A$3:$BL$215,10,FALSE)</f>
        <v>107</v>
      </c>
      <c r="I126" t="str">
        <f>VLOOKUP($A126,ScionOutput!$A$3:$BL$215,58,FALSE)</f>
        <v>HomFave</v>
      </c>
      <c r="J126">
        <f>VLOOKUP($A126,ScionOutput!$A$3:$BL$215,59,FALSE)</f>
        <v>1.3559999999999999E-2</v>
      </c>
      <c r="K126">
        <f>VLOOKUP($A126,ScionOutput!$A$3:$BL$215,62,FALSE)</f>
        <v>1</v>
      </c>
      <c r="L126">
        <f>VLOOKUP($A126,ScionOutput!$A$3:$BL$215,63,FALSE)</f>
        <v>1</v>
      </c>
      <c r="M126" t="b">
        <f t="shared" si="9"/>
        <v>1</v>
      </c>
      <c r="N126">
        <f>VLOOKUP($A126,Outcomes!$B$3:$I$209,8,FALSE)</f>
        <v>13</v>
      </c>
      <c r="O126">
        <f t="shared" si="10"/>
        <v>1</v>
      </c>
      <c r="P126">
        <f>VLOOKUP($A126,Outcomes!$B$3:$I$209,5,FALSE)</f>
        <v>11</v>
      </c>
      <c r="Q126">
        <f>VLOOKUP($A126,Outcomes!$B$3:$I$209,6,FALSE)</f>
        <v>2</v>
      </c>
      <c r="R126">
        <f>VLOOKUP($A126,Outcomes!$B$3:$I$209,7,FALSE)</f>
        <v>-9</v>
      </c>
      <c r="S126" t="str">
        <f t="shared" si="11"/>
        <v>HomFave</v>
      </c>
      <c r="T126">
        <f t="shared" si="12"/>
        <v>1</v>
      </c>
      <c r="U126">
        <f t="shared" si="8"/>
        <v>116</v>
      </c>
      <c r="V126">
        <f t="shared" si="13"/>
        <v>216</v>
      </c>
      <c r="W126">
        <f t="shared" si="14"/>
        <v>100</v>
      </c>
      <c r="X126" s="2">
        <f t="shared" si="15"/>
        <v>0.86206896551724133</v>
      </c>
      <c r="Y126" t="str">
        <f>VLOOKUP($A126,ScionOutput!$A$3:$BL$215,64,FALSE)</f>
        <v xml:space="preserve">824993. Play determined by LineStatEns and StatOnlyEns agreement. </v>
      </c>
    </row>
    <row r="127" spans="1:25" x14ac:dyDescent="0.2">
      <c r="A127">
        <v>823452</v>
      </c>
      <c r="B127" s="3">
        <f>VLOOKUP($A127,ScionOutput!$A$3:$BL$215,3,FALSE)</f>
        <v>46188</v>
      </c>
      <c r="C127">
        <f>VLOOKUP($A127,ScionOutput!$A$3:$BL$215,22,FALSE)</f>
        <v>21</v>
      </c>
      <c r="D127" t="str">
        <f>VLOOKUP($A127,ScionOutput!$A$3:$BL$215,23,FALSE)</f>
        <v>PHI</v>
      </c>
      <c r="E127">
        <f>VLOOKUP($A127,ScionOutput!$A$3:$BL$215,6,FALSE)</f>
        <v>11</v>
      </c>
      <c r="F127" t="str">
        <f>VLOOKUP($A127,ScionOutput!$A$3:$BL$215,7,FALSE)</f>
        <v>FLO</v>
      </c>
      <c r="G127">
        <f>VLOOKUP($A127,ScionOutput!$A$3:$BL$215,26,FALSE)</f>
        <v>-186</v>
      </c>
      <c r="H127">
        <f>VLOOKUP($A127,ScionOutput!$A$3:$BL$215,10,FALSE)</f>
        <v>170</v>
      </c>
      <c r="I127" t="str">
        <f>VLOOKUP($A127,ScionOutput!$A$3:$BL$215,58,FALSE)</f>
        <v>No Play</v>
      </c>
      <c r="J127">
        <f>VLOOKUP($A127,ScionOutput!$A$3:$BL$215,59,FALSE)</f>
        <v>0</v>
      </c>
      <c r="K127">
        <f>VLOOKUP($A127,ScionOutput!$A$3:$BL$215,62,FALSE)</f>
        <v>0</v>
      </c>
      <c r="L127">
        <f>VLOOKUP($A127,ScionOutput!$A$3:$BL$215,63,FALSE)</f>
        <v>0</v>
      </c>
      <c r="M127" t="b">
        <f t="shared" si="9"/>
        <v>0</v>
      </c>
      <c r="N127">
        <f>VLOOKUP($A127,Outcomes!$B$3:$I$209,8,FALSE)</f>
        <v>7</v>
      </c>
      <c r="O127">
        <f t="shared" si="10"/>
        <v>1</v>
      </c>
      <c r="P127">
        <f>VLOOKUP($A127,Outcomes!$B$3:$I$209,5,FALSE)</f>
        <v>7</v>
      </c>
      <c r="Q127">
        <f>VLOOKUP($A127,Outcomes!$B$3:$I$209,6,FALSE)</f>
        <v>0</v>
      </c>
      <c r="R127">
        <f>VLOOKUP($A127,Outcomes!$B$3:$I$209,7,FALSE)</f>
        <v>-7</v>
      </c>
      <c r="S127" t="str">
        <f t="shared" si="11"/>
        <v>HomFave</v>
      </c>
      <c r="T127" t="str">
        <f t="shared" si="12"/>
        <v/>
      </c>
      <c r="U127" t="str">
        <f t="shared" si="8"/>
        <v/>
      </c>
      <c r="V127" t="str">
        <f t="shared" si="13"/>
        <v/>
      </c>
      <c r="W127" t="str">
        <f t="shared" si="14"/>
        <v/>
      </c>
      <c r="X127" s="2" t="str">
        <f t="shared" si="15"/>
        <v/>
      </c>
      <c r="Y127" t="str">
        <f>VLOOKUP($A127,ScionOutput!$A$3:$BL$215,64,FALSE)</f>
        <v xml:space="preserve">823452. LineStatEns is NoPlay as bookie-line outside range. StatOnlyEns is NoPlay as bookie-line outside range. No play due to strategy constraints. </v>
      </c>
    </row>
    <row r="128" spans="1:25" x14ac:dyDescent="0.2">
      <c r="A128">
        <v>823046</v>
      </c>
      <c r="B128" s="3">
        <f>VLOOKUP($A128,ScionOutput!$A$3:$BL$215,3,FALSE)</f>
        <v>46188</v>
      </c>
      <c r="C128">
        <f>VLOOKUP($A128,ScionOutput!$A$3:$BL$215,22,FALSE)</f>
        <v>26</v>
      </c>
      <c r="D128" t="str">
        <f>VLOOKUP($A128,ScionOutput!$A$3:$BL$215,23,FALSE)</f>
        <v>STL</v>
      </c>
      <c r="E128">
        <f>VLOOKUP($A128,ScionOutput!$A$3:$BL$215,6,FALSE)</f>
        <v>23</v>
      </c>
      <c r="F128" t="str">
        <f>VLOOKUP($A128,ScionOutput!$A$3:$BL$215,7,FALSE)</f>
        <v>SD</v>
      </c>
      <c r="G128">
        <f>VLOOKUP($A128,ScionOutput!$A$3:$BL$215,26,FALSE)</f>
        <v>-159</v>
      </c>
      <c r="H128">
        <f>VLOOKUP($A128,ScionOutput!$A$3:$BL$215,10,FALSE)</f>
        <v>146</v>
      </c>
      <c r="I128" t="str">
        <f>VLOOKUP($A128,ScionOutput!$A$3:$BL$215,58,FALSE)</f>
        <v>No Play</v>
      </c>
      <c r="J128">
        <f>VLOOKUP($A128,ScionOutput!$A$3:$BL$215,59,FALSE)</f>
        <v>0</v>
      </c>
      <c r="K128">
        <f>VLOOKUP($A128,ScionOutput!$A$3:$BL$215,62,FALSE)</f>
        <v>0</v>
      </c>
      <c r="L128">
        <f>VLOOKUP($A128,ScionOutput!$A$3:$BL$215,63,FALSE)</f>
        <v>0</v>
      </c>
      <c r="M128" t="b">
        <f t="shared" si="9"/>
        <v>0</v>
      </c>
      <c r="N128">
        <f>VLOOKUP($A128,Outcomes!$B$3:$I$209,8,FALSE)</f>
        <v>3</v>
      </c>
      <c r="O128">
        <f t="shared" si="10"/>
        <v>1</v>
      </c>
      <c r="P128">
        <f>VLOOKUP($A128,Outcomes!$B$3:$I$209,5,FALSE)</f>
        <v>3</v>
      </c>
      <c r="Q128">
        <f>VLOOKUP($A128,Outcomes!$B$3:$I$209,6,FALSE)</f>
        <v>0</v>
      </c>
      <c r="R128">
        <f>VLOOKUP($A128,Outcomes!$B$3:$I$209,7,FALSE)</f>
        <v>-3</v>
      </c>
      <c r="S128" t="str">
        <f t="shared" si="11"/>
        <v>HomFave</v>
      </c>
      <c r="T128" t="str">
        <f t="shared" si="12"/>
        <v/>
      </c>
      <c r="U128" t="str">
        <f t="shared" si="8"/>
        <v/>
      </c>
      <c r="V128" t="str">
        <f t="shared" si="13"/>
        <v/>
      </c>
      <c r="W128" t="str">
        <f t="shared" si="14"/>
        <v/>
      </c>
      <c r="X128" s="2" t="str">
        <f t="shared" si="15"/>
        <v/>
      </c>
      <c r="Y128" t="str">
        <f>VLOOKUP($A128,ScionOutput!$A$3:$BL$215,64,FALSE)</f>
        <v xml:space="preserve">823046. LineStatEns is NoPlay as bookie-line outside range. StatOnlyEns is NoPlay as bookie-line outside range. No play due to strategy constraints. </v>
      </c>
    </row>
    <row r="129" spans="1:25" x14ac:dyDescent="0.2">
      <c r="A129">
        <v>822887</v>
      </c>
      <c r="B129" s="3">
        <f>VLOOKUP($A129,ScionOutput!$A$3:$BL$215,3,FALSE)</f>
        <v>46188</v>
      </c>
      <c r="C129">
        <f>VLOOKUP($A129,ScionOutput!$A$3:$BL$215,22,FALSE)</f>
        <v>28</v>
      </c>
      <c r="D129" t="str">
        <f>VLOOKUP($A129,ScionOutput!$A$3:$BL$215,23,FALSE)</f>
        <v>TEX</v>
      </c>
      <c r="E129">
        <f>VLOOKUP($A129,ScionOutput!$A$3:$BL$215,6,FALSE)</f>
        <v>15</v>
      </c>
      <c r="F129" t="str">
        <f>VLOOKUP($A129,ScionOutput!$A$3:$BL$215,7,FALSE)</f>
        <v>MIN</v>
      </c>
      <c r="G129">
        <f>VLOOKUP($A129,ScionOutput!$A$3:$BL$215,26,FALSE)</f>
        <v>-150</v>
      </c>
      <c r="H129">
        <f>VLOOKUP($A129,ScionOutput!$A$3:$BL$215,10,FALSE)</f>
        <v>138</v>
      </c>
      <c r="I129" t="str">
        <f>VLOOKUP($A129,ScionOutput!$A$3:$BL$215,58,FALSE)</f>
        <v>No Play</v>
      </c>
      <c r="J129">
        <f>VLOOKUP($A129,ScionOutput!$A$3:$BL$215,59,FALSE)</f>
        <v>0</v>
      </c>
      <c r="K129">
        <f>VLOOKUP($A129,ScionOutput!$A$3:$BL$215,62,FALSE)</f>
        <v>0</v>
      </c>
      <c r="L129">
        <f>VLOOKUP($A129,ScionOutput!$A$3:$BL$215,63,FALSE)</f>
        <v>0</v>
      </c>
      <c r="M129" t="b">
        <f t="shared" si="9"/>
        <v>0</v>
      </c>
      <c r="N129">
        <f>VLOOKUP($A129,Outcomes!$B$3:$I$209,8,FALSE)</f>
        <v>6</v>
      </c>
      <c r="O129">
        <f t="shared" si="10"/>
        <v>-1</v>
      </c>
      <c r="P129">
        <f>VLOOKUP($A129,Outcomes!$B$3:$I$209,5,FALSE)</f>
        <v>2</v>
      </c>
      <c r="Q129">
        <f>VLOOKUP($A129,Outcomes!$B$3:$I$209,6,FALSE)</f>
        <v>4</v>
      </c>
      <c r="R129">
        <f>VLOOKUP($A129,Outcomes!$B$3:$I$209,7,FALSE)</f>
        <v>2</v>
      </c>
      <c r="S129" t="str">
        <f t="shared" si="11"/>
        <v>VisDog</v>
      </c>
      <c r="T129" t="str">
        <f t="shared" si="12"/>
        <v/>
      </c>
      <c r="U129" t="str">
        <f t="shared" si="8"/>
        <v/>
      </c>
      <c r="V129" t="str">
        <f t="shared" si="13"/>
        <v/>
      </c>
      <c r="W129" t="str">
        <f t="shared" si="14"/>
        <v/>
      </c>
      <c r="X129" s="2" t="str">
        <f t="shared" si="15"/>
        <v/>
      </c>
      <c r="Y129" t="str">
        <f>VLOOKUP($A129,ScionOutput!$A$3:$BL$215,64,FALSE)</f>
        <v xml:space="preserve">822887. LineStatEns probability points gap does not exceed threshold (no edge found)! StatOnlyEns probability points gap does not exceed threshold (no edge found)! No play due to strategy constraints. </v>
      </c>
    </row>
    <row r="130" spans="1:25" x14ac:dyDescent="0.2">
      <c r="A130">
        <v>824912</v>
      </c>
      <c r="B130" s="3">
        <f>VLOOKUP($A130,ScionOutput!$A$3:$BL$215,3,FALSE)</f>
        <v>46189</v>
      </c>
      <c r="C130">
        <f>VLOOKUP($A130,ScionOutput!$A$3:$BL$215,22,FALSE)</f>
        <v>0</v>
      </c>
      <c r="D130" t="str">
        <f>VLOOKUP($A130,ScionOutput!$A$3:$BL$215,23,FALSE)</f>
        <v>ATL</v>
      </c>
      <c r="E130">
        <f>VLOOKUP($A130,ScionOutput!$A$3:$BL$215,6,FALSE)</f>
        <v>25</v>
      </c>
      <c r="F130" t="str">
        <f>VLOOKUP($A130,ScionOutput!$A$3:$BL$215,7,FALSE)</f>
        <v>SF</v>
      </c>
      <c r="G130">
        <f>VLOOKUP($A130,ScionOutput!$A$3:$BL$215,26,FALSE)</f>
        <v>-169</v>
      </c>
      <c r="H130">
        <f>VLOOKUP($A130,ScionOutput!$A$3:$BL$215,10,FALSE)</f>
        <v>154</v>
      </c>
      <c r="I130" t="str">
        <f>VLOOKUP($A130,ScionOutput!$A$3:$BL$215,58,FALSE)</f>
        <v>No Play</v>
      </c>
      <c r="J130">
        <f>VLOOKUP($A130,ScionOutput!$A$3:$BL$215,59,FALSE)</f>
        <v>0</v>
      </c>
      <c r="K130">
        <f>VLOOKUP($A130,ScionOutput!$A$3:$BL$215,62,FALSE)</f>
        <v>0</v>
      </c>
      <c r="L130">
        <f>VLOOKUP($A130,ScionOutput!$A$3:$BL$215,63,FALSE)</f>
        <v>0</v>
      </c>
      <c r="M130" t="b">
        <f t="shared" si="9"/>
        <v>0</v>
      </c>
      <c r="N130">
        <f>VLOOKUP($A130,Outcomes!$B$3:$I$209,8,FALSE)</f>
        <v>9</v>
      </c>
      <c r="O130">
        <f t="shared" si="10"/>
        <v>-1</v>
      </c>
      <c r="P130">
        <f>VLOOKUP($A130,Outcomes!$B$3:$I$209,5,FALSE)</f>
        <v>2</v>
      </c>
      <c r="Q130">
        <f>VLOOKUP($A130,Outcomes!$B$3:$I$209,6,FALSE)</f>
        <v>7</v>
      </c>
      <c r="R130">
        <f>VLOOKUP($A130,Outcomes!$B$3:$I$209,7,FALSE)</f>
        <v>5</v>
      </c>
      <c r="S130" t="str">
        <f t="shared" si="11"/>
        <v>VisDog</v>
      </c>
      <c r="T130" t="str">
        <f t="shared" si="12"/>
        <v/>
      </c>
      <c r="U130" t="str">
        <f t="shared" ref="U130:U193" si="16">IF(T130="","",IF(G130&lt;H130,IF(I130="HomFave",ABS(G130),IF(H130&lt;0,ABS(H130),100)),IF(I130="VisFave",ABS(H130),IF(G130&lt;0,ABS(G130),100))))</f>
        <v/>
      </c>
      <c r="V130" t="str">
        <f t="shared" si="13"/>
        <v/>
      </c>
      <c r="W130" t="str">
        <f t="shared" si="14"/>
        <v/>
      </c>
      <c r="X130" s="2" t="str">
        <f t="shared" si="15"/>
        <v/>
      </c>
      <c r="Y130" t="str">
        <f>VLOOKUP($A130,ScionOutput!$A$3:$BL$215,64,FALSE)</f>
        <v xml:space="preserve">824912. LineStatEns is NoPlay as bookie-line outside range. StatOnlyEns is NoPlay as bookie-line outside range. No play due to strategy constraints. </v>
      </c>
    </row>
    <row r="131" spans="1:25" x14ac:dyDescent="0.2">
      <c r="A131">
        <v>825070</v>
      </c>
      <c r="B131" s="3">
        <f>VLOOKUP($A131,ScionOutput!$A$3:$BL$215,3,FALSE)</f>
        <v>46189</v>
      </c>
      <c r="C131">
        <f>VLOOKUP($A131,ScionOutput!$A$3:$BL$215,22,FALSE)</f>
        <v>1</v>
      </c>
      <c r="D131" t="str">
        <f>VLOOKUP($A131,ScionOutput!$A$3:$BL$215,23,FALSE)</f>
        <v>ARZ</v>
      </c>
      <c r="E131">
        <f>VLOOKUP($A131,ScionOutput!$A$3:$BL$215,6,FALSE)</f>
        <v>4</v>
      </c>
      <c r="F131" t="str">
        <f>VLOOKUP($A131,ScionOutput!$A$3:$BL$215,7,FALSE)</f>
        <v>LAA</v>
      </c>
      <c r="G131">
        <f>VLOOKUP($A131,ScionOutput!$A$3:$BL$215,26,FALSE)</f>
        <v>-101</v>
      </c>
      <c r="H131">
        <f>VLOOKUP($A131,ScionOutput!$A$3:$BL$215,10,FALSE)</f>
        <v>-107</v>
      </c>
      <c r="I131" t="str">
        <f>VLOOKUP($A131,ScionOutput!$A$3:$BL$215,58,FALSE)</f>
        <v>No Play</v>
      </c>
      <c r="J131">
        <f>VLOOKUP($A131,ScionOutput!$A$3:$BL$215,59,FALSE)</f>
        <v>0</v>
      </c>
      <c r="K131">
        <f>VLOOKUP($A131,ScionOutput!$A$3:$BL$215,62,FALSE)</f>
        <v>0</v>
      </c>
      <c r="L131">
        <f>VLOOKUP($A131,ScionOutput!$A$3:$BL$215,63,FALSE)</f>
        <v>0</v>
      </c>
      <c r="M131" t="b">
        <f t="shared" ref="M131:M194" si="17">ISNUMBER(SEARCH("Play determined by LineStatEns and StatOnlyEns agreement", Y131))</f>
        <v>0</v>
      </c>
      <c r="N131">
        <f>VLOOKUP($A131,Outcomes!$B$3:$I$209,8,FALSE)</f>
        <v>7</v>
      </c>
      <c r="O131">
        <f t="shared" ref="O131:O194" si="18">IF(P131&gt;Q131,1,IF(P131&lt;Q131,-1,0))</f>
        <v>-1</v>
      </c>
      <c r="P131">
        <f>VLOOKUP($A131,Outcomes!$B$3:$I$209,5,FALSE)</f>
        <v>0</v>
      </c>
      <c r="Q131">
        <f>VLOOKUP($A131,Outcomes!$B$3:$I$209,6,FALSE)</f>
        <v>7</v>
      </c>
      <c r="R131">
        <f>VLOOKUP($A131,Outcomes!$B$3:$I$209,7,FALSE)</f>
        <v>7</v>
      </c>
      <c r="S131" t="str">
        <f t="shared" ref="S131:S194" si="19">IF(R131=0,"Push",IF(G131&lt;H131,IF(R131&lt;0,"HomFave","VisDog"),IF(R131&gt;0,"VisFave","HomDog")))</f>
        <v>VisFave</v>
      </c>
      <c r="T131" t="str">
        <f t="shared" ref="T131:T194" si="20">IF(OR(R131=0,I131="No Play",M131&lt;&gt;TRUE),"",IF(S131=I131,1,0))</f>
        <v/>
      </c>
      <c r="U131" t="str">
        <f t="shared" si="16"/>
        <v/>
      </c>
      <c r="V131" t="str">
        <f t="shared" ref="V131:V194" si="21">IF(T131="","",IF(T131=0,0,IF(G131&lt;H131,IF(I131="HomFave",U131+100,IF(H131&lt;0,100+U131,U131+ABS(H131))),IF(I131="VisFave",U131+100,IF(G131&lt;0,100+U131,U131+ABS(G131))))))</f>
        <v/>
      </c>
      <c r="W131" t="str">
        <f t="shared" ref="W131:W194" si="22">IF(T131="","",V131-U131)</f>
        <v/>
      </c>
      <c r="X131" s="2" t="str">
        <f t="shared" ref="X131:X194" si="23">IF(T131="","",W131/U131)</f>
        <v/>
      </c>
      <c r="Y131" t="str">
        <f>VLOOKUP($A131,ScionOutput!$A$3:$BL$215,64,FALSE)</f>
        <v xml:space="preserve">825070. VF plays are disallowed. No play due to strategy constraints. </v>
      </c>
    </row>
    <row r="132" spans="1:25" x14ac:dyDescent="0.2">
      <c r="A132">
        <v>824750</v>
      </c>
      <c r="B132" s="3">
        <f>VLOOKUP($A132,ScionOutput!$A$3:$BL$215,3,FALSE)</f>
        <v>46189</v>
      </c>
      <c r="C132">
        <f>VLOOKUP($A132,ScionOutput!$A$3:$BL$215,22,FALSE)</f>
        <v>3</v>
      </c>
      <c r="D132" t="str">
        <f>VLOOKUP($A132,ScionOutput!$A$3:$BL$215,23,FALSE)</f>
        <v>BOS</v>
      </c>
      <c r="E132">
        <f>VLOOKUP($A132,ScionOutput!$A$3:$BL$215,6,FALSE)</f>
        <v>29</v>
      </c>
      <c r="F132" t="str">
        <f>VLOOKUP($A132,ScionOutput!$A$3:$BL$215,7,FALSE)</f>
        <v>TOR</v>
      </c>
      <c r="G132">
        <f>VLOOKUP($A132,ScionOutput!$A$3:$BL$215,26,FALSE)</f>
        <v>105</v>
      </c>
      <c r="H132">
        <f>VLOOKUP($A132,ScionOutput!$A$3:$BL$215,10,FALSE)</f>
        <v>-114</v>
      </c>
      <c r="I132" t="str">
        <f>VLOOKUP($A132,ScionOutput!$A$3:$BL$215,58,FALSE)</f>
        <v>No Play</v>
      </c>
      <c r="J132">
        <f>VLOOKUP($A132,ScionOutput!$A$3:$BL$215,59,FALSE)</f>
        <v>0</v>
      </c>
      <c r="K132">
        <f>VLOOKUP($A132,ScionOutput!$A$3:$BL$215,62,FALSE)</f>
        <v>0</v>
      </c>
      <c r="L132">
        <f>VLOOKUP($A132,ScionOutput!$A$3:$BL$215,63,FALSE)</f>
        <v>0</v>
      </c>
      <c r="M132" t="b">
        <f t="shared" si="17"/>
        <v>0</v>
      </c>
      <c r="N132">
        <f>VLOOKUP($A132,Outcomes!$B$3:$I$209,8,FALSE)</f>
        <v>7</v>
      </c>
      <c r="O132">
        <f t="shared" si="18"/>
        <v>-1</v>
      </c>
      <c r="P132">
        <f>VLOOKUP($A132,Outcomes!$B$3:$I$209,5,FALSE)</f>
        <v>1</v>
      </c>
      <c r="Q132">
        <f>VLOOKUP($A132,Outcomes!$B$3:$I$209,6,FALSE)</f>
        <v>6</v>
      </c>
      <c r="R132">
        <f>VLOOKUP($A132,Outcomes!$B$3:$I$209,7,FALSE)</f>
        <v>5</v>
      </c>
      <c r="S132" t="str">
        <f t="shared" si="19"/>
        <v>VisFave</v>
      </c>
      <c r="T132" t="str">
        <f t="shared" si="20"/>
        <v/>
      </c>
      <c r="U132" t="str">
        <f t="shared" si="16"/>
        <v/>
      </c>
      <c r="V132" t="str">
        <f t="shared" si="21"/>
        <v/>
      </c>
      <c r="W132" t="str">
        <f t="shared" si="22"/>
        <v/>
      </c>
      <c r="X132" s="2" t="str">
        <f t="shared" si="23"/>
        <v/>
      </c>
      <c r="Y132" t="str">
        <f>VLOOKUP($A132,ScionOutput!$A$3:$BL$215,64,FALSE)</f>
        <v xml:space="preserve">824750. VF plays are disallowed. No play due to strategy constraints. </v>
      </c>
    </row>
    <row r="133" spans="1:25" x14ac:dyDescent="0.2">
      <c r="A133">
        <v>824667</v>
      </c>
      <c r="B133" s="3">
        <f>VLOOKUP($A133,ScionOutput!$A$3:$BL$215,3,FALSE)</f>
        <v>46189</v>
      </c>
      <c r="C133">
        <f>VLOOKUP($A133,ScionOutput!$A$3:$BL$215,22,FALSE)</f>
        <v>5</v>
      </c>
      <c r="D133" t="str">
        <f>VLOOKUP($A133,ScionOutput!$A$3:$BL$215,23,FALSE)</f>
        <v>CHC</v>
      </c>
      <c r="E133">
        <f>VLOOKUP($A133,ScionOutput!$A$3:$BL$215,6,FALSE)</f>
        <v>8</v>
      </c>
      <c r="F133" t="str">
        <f>VLOOKUP($A133,ScionOutput!$A$3:$BL$215,7,FALSE)</f>
        <v>COL</v>
      </c>
      <c r="G133">
        <f>VLOOKUP($A133,ScionOutput!$A$3:$BL$215,26,FALSE)</f>
        <v>-194</v>
      </c>
      <c r="H133">
        <f>VLOOKUP($A133,ScionOutput!$A$3:$BL$215,10,FALSE)</f>
        <v>176</v>
      </c>
      <c r="I133" t="str">
        <f>VLOOKUP($A133,ScionOutput!$A$3:$BL$215,58,FALSE)</f>
        <v>No Play</v>
      </c>
      <c r="J133">
        <f>VLOOKUP($A133,ScionOutput!$A$3:$BL$215,59,FALSE)</f>
        <v>0</v>
      </c>
      <c r="K133">
        <f>VLOOKUP($A133,ScionOutput!$A$3:$BL$215,62,FALSE)</f>
        <v>0</v>
      </c>
      <c r="L133">
        <f>VLOOKUP($A133,ScionOutput!$A$3:$BL$215,63,FALSE)</f>
        <v>0</v>
      </c>
      <c r="M133" t="b">
        <f t="shared" si="17"/>
        <v>0</v>
      </c>
      <c r="N133">
        <f>VLOOKUP($A133,Outcomes!$B$3:$I$209,8,FALSE)</f>
        <v>7</v>
      </c>
      <c r="O133">
        <f t="shared" si="18"/>
        <v>-1</v>
      </c>
      <c r="P133">
        <f>VLOOKUP($A133,Outcomes!$B$3:$I$209,5,FALSE)</f>
        <v>2</v>
      </c>
      <c r="Q133">
        <f>VLOOKUP($A133,Outcomes!$B$3:$I$209,6,FALSE)</f>
        <v>5</v>
      </c>
      <c r="R133">
        <f>VLOOKUP($A133,Outcomes!$B$3:$I$209,7,FALSE)</f>
        <v>3</v>
      </c>
      <c r="S133" t="str">
        <f t="shared" si="19"/>
        <v>VisDog</v>
      </c>
      <c r="T133" t="str">
        <f t="shared" si="20"/>
        <v/>
      </c>
      <c r="U133" t="str">
        <f t="shared" si="16"/>
        <v/>
      </c>
      <c r="V133" t="str">
        <f t="shared" si="21"/>
        <v/>
      </c>
      <c r="W133" t="str">
        <f t="shared" si="22"/>
        <v/>
      </c>
      <c r="X133" s="2" t="str">
        <f t="shared" si="23"/>
        <v/>
      </c>
      <c r="Y133" t="str">
        <f>VLOOKUP($A133,ScionOutput!$A$3:$BL$215,64,FALSE)</f>
        <v xml:space="preserve">824667. LineStatEns is NoPlay as bookie-line outside range. StatOnlyEns is NoPlay as bookie-line outside range. No play due to strategy constraints. </v>
      </c>
    </row>
    <row r="134" spans="1:25" x14ac:dyDescent="0.2">
      <c r="A134">
        <v>824504</v>
      </c>
      <c r="B134" s="3">
        <f>VLOOKUP($A134,ScionOutput!$A$3:$BL$215,3,FALSE)</f>
        <v>46189</v>
      </c>
      <c r="C134">
        <f>VLOOKUP($A134,ScionOutput!$A$3:$BL$215,22,FALSE)</f>
        <v>6</v>
      </c>
      <c r="D134" t="str">
        <f>VLOOKUP($A134,ScionOutput!$A$3:$BL$215,23,FALSE)</f>
        <v>CIN</v>
      </c>
      <c r="E134">
        <f>VLOOKUP($A134,ScionOutput!$A$3:$BL$215,6,FALSE)</f>
        <v>18</v>
      </c>
      <c r="F134" t="str">
        <f>VLOOKUP($A134,ScionOutput!$A$3:$BL$215,7,FALSE)</f>
        <v>NYM</v>
      </c>
      <c r="G134">
        <f>VLOOKUP($A134,ScionOutput!$A$3:$BL$215,26,FALSE)</f>
        <v>107</v>
      </c>
      <c r="H134">
        <f>VLOOKUP($A134,ScionOutput!$A$3:$BL$215,10,FALSE)</f>
        <v>-115</v>
      </c>
      <c r="I134" t="str">
        <f>VLOOKUP($A134,ScionOutput!$A$3:$BL$215,58,FALSE)</f>
        <v>No Play</v>
      </c>
      <c r="J134">
        <f>VLOOKUP($A134,ScionOutput!$A$3:$BL$215,59,FALSE)</f>
        <v>0</v>
      </c>
      <c r="K134">
        <f>VLOOKUP($A134,ScionOutput!$A$3:$BL$215,62,FALSE)</f>
        <v>0</v>
      </c>
      <c r="L134">
        <f>VLOOKUP($A134,ScionOutput!$A$3:$BL$215,63,FALSE)</f>
        <v>0</v>
      </c>
      <c r="M134" t="b">
        <f t="shared" si="17"/>
        <v>0</v>
      </c>
      <c r="N134">
        <f>VLOOKUP($A134,Outcomes!$B$3:$I$209,8,FALSE)</f>
        <v>8</v>
      </c>
      <c r="O134">
        <f t="shared" si="18"/>
        <v>1</v>
      </c>
      <c r="P134">
        <f>VLOOKUP($A134,Outcomes!$B$3:$I$209,5,FALSE)</f>
        <v>5</v>
      </c>
      <c r="Q134">
        <f>VLOOKUP($A134,Outcomes!$B$3:$I$209,6,FALSE)</f>
        <v>3</v>
      </c>
      <c r="R134">
        <f>VLOOKUP($A134,Outcomes!$B$3:$I$209,7,FALSE)</f>
        <v>-2</v>
      </c>
      <c r="S134" t="str">
        <f t="shared" si="19"/>
        <v>HomDog</v>
      </c>
      <c r="T134" t="str">
        <f t="shared" si="20"/>
        <v/>
      </c>
      <c r="U134" t="str">
        <f t="shared" si="16"/>
        <v/>
      </c>
      <c r="V134" t="str">
        <f t="shared" si="21"/>
        <v/>
      </c>
      <c r="W134" t="str">
        <f t="shared" si="22"/>
        <v/>
      </c>
      <c r="X134" s="2" t="str">
        <f t="shared" si="23"/>
        <v/>
      </c>
      <c r="Y134" t="str">
        <f>VLOOKUP($A134,ScionOutput!$A$3:$BL$215,64,FALSE)</f>
        <v xml:space="preserve">824504. VF plays are disallowed. No play due to strategy constraints. </v>
      </c>
    </row>
    <row r="135" spans="1:25" x14ac:dyDescent="0.2">
      <c r="A135">
        <v>824182</v>
      </c>
      <c r="B135" s="3">
        <f>VLOOKUP($A135,ScionOutput!$A$3:$BL$215,3,FALSE)</f>
        <v>46189</v>
      </c>
      <c r="C135">
        <f>VLOOKUP($A135,ScionOutput!$A$3:$BL$215,22,FALSE)</f>
        <v>12</v>
      </c>
      <c r="D135" t="str">
        <f>VLOOKUP($A135,ScionOutput!$A$3:$BL$215,23,FALSE)</f>
        <v>HOU</v>
      </c>
      <c r="E135">
        <f>VLOOKUP($A135,ScionOutput!$A$3:$BL$215,6,FALSE)</f>
        <v>10</v>
      </c>
      <c r="F135" t="str">
        <f>VLOOKUP($A135,ScionOutput!$A$3:$BL$215,7,FALSE)</f>
        <v>DET</v>
      </c>
      <c r="G135">
        <f>VLOOKUP($A135,ScionOutput!$A$3:$BL$215,26,FALSE)</f>
        <v>-167</v>
      </c>
      <c r="H135">
        <f>VLOOKUP($A135,ScionOutput!$A$3:$BL$215,10,FALSE)</f>
        <v>153</v>
      </c>
      <c r="I135" t="str">
        <f>VLOOKUP($A135,ScionOutput!$A$3:$BL$215,58,FALSE)</f>
        <v>No Play</v>
      </c>
      <c r="J135">
        <f>VLOOKUP($A135,ScionOutput!$A$3:$BL$215,59,FALSE)</f>
        <v>0</v>
      </c>
      <c r="K135">
        <f>VLOOKUP($A135,ScionOutput!$A$3:$BL$215,62,FALSE)</f>
        <v>0</v>
      </c>
      <c r="L135">
        <f>VLOOKUP($A135,ScionOutput!$A$3:$BL$215,63,FALSE)</f>
        <v>0</v>
      </c>
      <c r="M135" t="b">
        <f t="shared" si="17"/>
        <v>0</v>
      </c>
      <c r="N135">
        <f>VLOOKUP($A135,Outcomes!$B$3:$I$209,8,FALSE)</f>
        <v>6</v>
      </c>
      <c r="O135">
        <f t="shared" si="18"/>
        <v>1</v>
      </c>
      <c r="P135">
        <f>VLOOKUP($A135,Outcomes!$B$3:$I$209,5,FALSE)</f>
        <v>4</v>
      </c>
      <c r="Q135">
        <f>VLOOKUP($A135,Outcomes!$B$3:$I$209,6,FALSE)</f>
        <v>2</v>
      </c>
      <c r="R135">
        <f>VLOOKUP($A135,Outcomes!$B$3:$I$209,7,FALSE)</f>
        <v>-2</v>
      </c>
      <c r="S135" t="str">
        <f t="shared" si="19"/>
        <v>HomFave</v>
      </c>
      <c r="T135" t="str">
        <f t="shared" si="20"/>
        <v/>
      </c>
      <c r="U135" t="str">
        <f t="shared" si="16"/>
        <v/>
      </c>
      <c r="V135" t="str">
        <f t="shared" si="21"/>
        <v/>
      </c>
      <c r="W135" t="str">
        <f t="shared" si="22"/>
        <v/>
      </c>
      <c r="X135" s="2" t="str">
        <f t="shared" si="23"/>
        <v/>
      </c>
      <c r="Y135" t="str">
        <f>VLOOKUP($A135,ScionOutput!$A$3:$BL$215,64,FALSE)</f>
        <v xml:space="preserve">824182. LineStatEns is NoPlay as bookie-line outside range. StatOnlyEns is NoPlay as bookie-line outside range. No play due to strategy constraints. </v>
      </c>
    </row>
    <row r="136" spans="1:25" x14ac:dyDescent="0.2">
      <c r="A136">
        <v>823939</v>
      </c>
      <c r="B136" s="3">
        <f>VLOOKUP($A136,ScionOutput!$A$3:$BL$215,3,FALSE)</f>
        <v>46189</v>
      </c>
      <c r="C136">
        <f>VLOOKUP($A136,ScionOutput!$A$3:$BL$215,22,FALSE)</f>
        <v>14</v>
      </c>
      <c r="D136" t="str">
        <f>VLOOKUP($A136,ScionOutput!$A$3:$BL$215,23,FALSE)</f>
        <v>LA</v>
      </c>
      <c r="E136">
        <f>VLOOKUP($A136,ScionOutput!$A$3:$BL$215,6,FALSE)</f>
        <v>27</v>
      </c>
      <c r="F136" t="str">
        <f>VLOOKUP($A136,ScionOutput!$A$3:$BL$215,7,FALSE)</f>
        <v>TB</v>
      </c>
      <c r="G136">
        <f>VLOOKUP($A136,ScionOutput!$A$3:$BL$215,26,FALSE)</f>
        <v>-144</v>
      </c>
      <c r="H136">
        <f>VLOOKUP($A136,ScionOutput!$A$3:$BL$215,10,FALSE)</f>
        <v>133</v>
      </c>
      <c r="I136" t="str">
        <f>VLOOKUP($A136,ScionOutput!$A$3:$BL$215,58,FALSE)</f>
        <v>No Play</v>
      </c>
      <c r="J136">
        <f>VLOOKUP($A136,ScionOutput!$A$3:$BL$215,59,FALSE)</f>
        <v>0</v>
      </c>
      <c r="K136">
        <f>VLOOKUP($A136,ScionOutput!$A$3:$BL$215,62,FALSE)</f>
        <v>0</v>
      </c>
      <c r="L136">
        <f>VLOOKUP($A136,ScionOutput!$A$3:$BL$215,63,FALSE)</f>
        <v>0</v>
      </c>
      <c r="M136" t="b">
        <f t="shared" si="17"/>
        <v>0</v>
      </c>
      <c r="N136">
        <f>VLOOKUP($A136,Outcomes!$B$3:$I$209,8,FALSE)</f>
        <v>1</v>
      </c>
      <c r="O136">
        <f t="shared" si="18"/>
        <v>1</v>
      </c>
      <c r="P136">
        <f>VLOOKUP($A136,Outcomes!$B$3:$I$209,5,FALSE)</f>
        <v>1</v>
      </c>
      <c r="Q136">
        <f>VLOOKUP($A136,Outcomes!$B$3:$I$209,6,FALSE)</f>
        <v>0</v>
      </c>
      <c r="R136">
        <f>VLOOKUP($A136,Outcomes!$B$3:$I$209,7,FALSE)</f>
        <v>-1</v>
      </c>
      <c r="S136" t="str">
        <f t="shared" si="19"/>
        <v>HomFave</v>
      </c>
      <c r="T136" t="str">
        <f t="shared" si="20"/>
        <v/>
      </c>
      <c r="U136" t="str">
        <f t="shared" si="16"/>
        <v/>
      </c>
      <c r="V136" t="str">
        <f t="shared" si="21"/>
        <v/>
      </c>
      <c r="W136" t="str">
        <f t="shared" si="22"/>
        <v/>
      </c>
      <c r="X136" s="2" t="str">
        <f t="shared" si="23"/>
        <v/>
      </c>
      <c r="Y136" t="str">
        <f>VLOOKUP($A136,ScionOutput!$A$3:$BL$215,64,FALSE)</f>
        <v xml:space="preserve">823939. LineStatEns probability points gap does not exceed threshold (no edge found)! StatOnlyEns probability points gap does not exceed threshold (no edge found)! No play due to strategy constraints. </v>
      </c>
    </row>
    <row r="137" spans="1:25" x14ac:dyDescent="0.2">
      <c r="A137">
        <v>822723</v>
      </c>
      <c r="B137" s="3">
        <f>VLOOKUP($A137,ScionOutput!$A$3:$BL$215,3,FALSE)</f>
        <v>46189</v>
      </c>
      <c r="C137">
        <f>VLOOKUP($A137,ScionOutput!$A$3:$BL$215,22,FALSE)</f>
        <v>16</v>
      </c>
      <c r="D137" t="str">
        <f>VLOOKUP($A137,ScionOutput!$A$3:$BL$215,23,FALSE)</f>
        <v>WAS</v>
      </c>
      <c r="E137">
        <f>VLOOKUP($A137,ScionOutput!$A$3:$BL$215,6,FALSE)</f>
        <v>13</v>
      </c>
      <c r="F137" t="str">
        <f>VLOOKUP($A137,ScionOutput!$A$3:$BL$215,7,FALSE)</f>
        <v>KC</v>
      </c>
      <c r="G137">
        <f>VLOOKUP($A137,ScionOutput!$A$3:$BL$215,26,FALSE)</f>
        <v>-131</v>
      </c>
      <c r="H137">
        <f>VLOOKUP($A137,ScionOutput!$A$3:$BL$215,10,FALSE)</f>
        <v>121</v>
      </c>
      <c r="I137" t="str">
        <f>VLOOKUP($A137,ScionOutput!$A$3:$BL$215,58,FALSE)</f>
        <v>No Play</v>
      </c>
      <c r="J137">
        <f>VLOOKUP($A137,ScionOutput!$A$3:$BL$215,59,FALSE)</f>
        <v>0</v>
      </c>
      <c r="K137">
        <f>VLOOKUP($A137,ScionOutput!$A$3:$BL$215,62,FALSE)</f>
        <v>0</v>
      </c>
      <c r="L137">
        <f>VLOOKUP($A137,ScionOutput!$A$3:$BL$215,63,FALSE)</f>
        <v>0</v>
      </c>
      <c r="M137" t="b">
        <f t="shared" si="17"/>
        <v>0</v>
      </c>
      <c r="N137">
        <f>VLOOKUP($A137,Outcomes!$B$3:$I$209,8,FALSE)</f>
        <v>10</v>
      </c>
      <c r="O137">
        <f t="shared" si="18"/>
        <v>1</v>
      </c>
      <c r="P137">
        <f>VLOOKUP($A137,Outcomes!$B$3:$I$209,5,FALSE)</f>
        <v>6</v>
      </c>
      <c r="Q137">
        <f>VLOOKUP($A137,Outcomes!$B$3:$I$209,6,FALSE)</f>
        <v>4</v>
      </c>
      <c r="R137">
        <f>VLOOKUP($A137,Outcomes!$B$3:$I$209,7,FALSE)</f>
        <v>-2</v>
      </c>
      <c r="S137" t="str">
        <f t="shared" si="19"/>
        <v>HomFave</v>
      </c>
      <c r="T137" t="str">
        <f t="shared" si="20"/>
        <v/>
      </c>
      <c r="U137" t="str">
        <f t="shared" si="16"/>
        <v/>
      </c>
      <c r="V137" t="str">
        <f t="shared" si="21"/>
        <v/>
      </c>
      <c r="W137" t="str">
        <f t="shared" si="22"/>
        <v/>
      </c>
      <c r="X137" s="2" t="str">
        <f t="shared" si="23"/>
        <v/>
      </c>
      <c r="Y137" t="str">
        <f>VLOOKUP($A137,ScionOutput!$A$3:$BL$215,64,FALSE)</f>
        <v xml:space="preserve">822723. LineStatEns probability points gap does not exceed threshold (no edge found)! StatOnlyEns probability points gap does not exceed threshold (no edge found)! No play due to strategy constraints. </v>
      </c>
    </row>
    <row r="138" spans="1:25" x14ac:dyDescent="0.2">
      <c r="A138">
        <v>823775</v>
      </c>
      <c r="B138" s="3">
        <f>VLOOKUP($A138,ScionOutput!$A$3:$BL$215,3,FALSE)</f>
        <v>46189</v>
      </c>
      <c r="C138">
        <f>VLOOKUP($A138,ScionOutput!$A$3:$BL$215,22,FALSE)</f>
        <v>17</v>
      </c>
      <c r="D138" t="str">
        <f>VLOOKUP($A138,ScionOutput!$A$3:$BL$215,23,FALSE)</f>
        <v>MLW</v>
      </c>
      <c r="E138">
        <f>VLOOKUP($A138,ScionOutput!$A$3:$BL$215,6,FALSE)</f>
        <v>7</v>
      </c>
      <c r="F138" t="str">
        <f>VLOOKUP($A138,ScionOutput!$A$3:$BL$215,7,FALSE)</f>
        <v>CLE</v>
      </c>
      <c r="G138">
        <f>VLOOKUP($A138,ScionOutput!$A$3:$BL$215,26,FALSE)</f>
        <v>-151</v>
      </c>
      <c r="H138">
        <f>VLOOKUP($A138,ScionOutput!$A$3:$BL$215,10,FALSE)</f>
        <v>139</v>
      </c>
      <c r="I138" t="str">
        <f>VLOOKUP($A138,ScionOutput!$A$3:$BL$215,58,FALSE)</f>
        <v>No Play</v>
      </c>
      <c r="J138">
        <f>VLOOKUP($A138,ScionOutput!$A$3:$BL$215,59,FALSE)</f>
        <v>0</v>
      </c>
      <c r="K138">
        <f>VLOOKUP($A138,ScionOutput!$A$3:$BL$215,62,FALSE)</f>
        <v>0</v>
      </c>
      <c r="L138">
        <f>VLOOKUP($A138,ScionOutput!$A$3:$BL$215,63,FALSE)</f>
        <v>0</v>
      </c>
      <c r="M138" t="b">
        <f t="shared" si="17"/>
        <v>0</v>
      </c>
      <c r="N138">
        <f>VLOOKUP($A138,Outcomes!$B$3:$I$209,8,FALSE)</f>
        <v>3</v>
      </c>
      <c r="O138">
        <f t="shared" si="18"/>
        <v>1</v>
      </c>
      <c r="P138">
        <f>VLOOKUP($A138,Outcomes!$B$3:$I$209,5,FALSE)</f>
        <v>2</v>
      </c>
      <c r="Q138">
        <f>VLOOKUP($A138,Outcomes!$B$3:$I$209,6,FALSE)</f>
        <v>1</v>
      </c>
      <c r="R138">
        <f>VLOOKUP($A138,Outcomes!$B$3:$I$209,7,FALSE)</f>
        <v>-1</v>
      </c>
      <c r="S138" t="str">
        <f t="shared" si="19"/>
        <v>HomFave</v>
      </c>
      <c r="T138" t="str">
        <f t="shared" si="20"/>
        <v/>
      </c>
      <c r="U138" t="str">
        <f t="shared" si="16"/>
        <v/>
      </c>
      <c r="V138" t="str">
        <f t="shared" si="21"/>
        <v/>
      </c>
      <c r="W138" t="str">
        <f t="shared" si="22"/>
        <v/>
      </c>
      <c r="X138" s="2" t="str">
        <f t="shared" si="23"/>
        <v/>
      </c>
      <c r="Y138" t="str">
        <f>VLOOKUP($A138,ScionOutput!$A$3:$BL$215,64,FALSE)</f>
        <v xml:space="preserve">823775. LineStatEns is NoPlay as bookie-line outside range. StatOnlyEns is NoPlay as bookie-line outside range. No play due to strategy constraints. </v>
      </c>
    </row>
    <row r="139" spans="1:25" x14ac:dyDescent="0.2">
      <c r="A139">
        <v>823535</v>
      </c>
      <c r="B139" s="3">
        <f>VLOOKUP($A139,ScionOutput!$A$3:$BL$215,3,FALSE)</f>
        <v>46189</v>
      </c>
      <c r="C139">
        <f>VLOOKUP($A139,ScionOutput!$A$3:$BL$215,22,FALSE)</f>
        <v>19</v>
      </c>
      <c r="D139" t="str">
        <f>VLOOKUP($A139,ScionOutput!$A$3:$BL$215,23,FALSE)</f>
        <v>NYY</v>
      </c>
      <c r="E139">
        <f>VLOOKUP($A139,ScionOutput!$A$3:$BL$215,6,FALSE)</f>
        <v>9</v>
      </c>
      <c r="F139" t="str">
        <f>VLOOKUP($A139,ScionOutput!$A$3:$BL$215,7,FALSE)</f>
        <v>CWS</v>
      </c>
      <c r="G139">
        <f>VLOOKUP($A139,ScionOutput!$A$3:$BL$215,26,FALSE)</f>
        <v>-138</v>
      </c>
      <c r="H139">
        <f>VLOOKUP($A139,ScionOutput!$A$3:$BL$215,10,FALSE)</f>
        <v>127</v>
      </c>
      <c r="I139" t="str">
        <f>VLOOKUP($A139,ScionOutput!$A$3:$BL$215,58,FALSE)</f>
        <v>No Play</v>
      </c>
      <c r="J139">
        <f>VLOOKUP($A139,ScionOutput!$A$3:$BL$215,59,FALSE)</f>
        <v>0</v>
      </c>
      <c r="K139">
        <f>VLOOKUP($A139,ScionOutput!$A$3:$BL$215,62,FALSE)</f>
        <v>0</v>
      </c>
      <c r="L139">
        <f>VLOOKUP($A139,ScionOutput!$A$3:$BL$215,63,FALSE)</f>
        <v>0</v>
      </c>
      <c r="M139" t="b">
        <f t="shared" si="17"/>
        <v>0</v>
      </c>
      <c r="N139">
        <f>VLOOKUP($A139,Outcomes!$B$3:$I$209,8,FALSE)</f>
        <v>14</v>
      </c>
      <c r="O139">
        <f t="shared" si="18"/>
        <v>1</v>
      </c>
      <c r="P139">
        <f>VLOOKUP($A139,Outcomes!$B$3:$I$209,5,FALSE)</f>
        <v>12</v>
      </c>
      <c r="Q139">
        <f>VLOOKUP($A139,Outcomes!$B$3:$I$209,6,FALSE)</f>
        <v>2</v>
      </c>
      <c r="R139">
        <f>VLOOKUP($A139,Outcomes!$B$3:$I$209,7,FALSE)</f>
        <v>-10</v>
      </c>
      <c r="S139" t="str">
        <f t="shared" si="19"/>
        <v>HomFave</v>
      </c>
      <c r="T139" t="str">
        <f t="shared" si="20"/>
        <v/>
      </c>
      <c r="U139" t="str">
        <f t="shared" si="16"/>
        <v/>
      </c>
      <c r="V139" t="str">
        <f t="shared" si="21"/>
        <v/>
      </c>
      <c r="W139" t="str">
        <f t="shared" si="22"/>
        <v/>
      </c>
      <c r="X139" s="2" t="str">
        <f t="shared" si="23"/>
        <v/>
      </c>
      <c r="Y139" t="str">
        <f>VLOOKUP($A139,ScionOutput!$A$3:$BL$215,64,FALSE)</f>
        <v xml:space="preserve">823535. LineStatEns probability points gap does not exceed threshold (no edge found)! StatOnlyEns probability points gap does not exceed threshold (no edge found)! No play due to strategy constraints. </v>
      </c>
    </row>
    <row r="140" spans="1:25" x14ac:dyDescent="0.2">
      <c r="A140">
        <v>824991</v>
      </c>
      <c r="B140" s="3">
        <f>VLOOKUP($A140,ScionOutput!$A$3:$BL$215,3,FALSE)</f>
        <v>46189</v>
      </c>
      <c r="C140">
        <f>VLOOKUP($A140,ScionOutput!$A$3:$BL$215,22,FALSE)</f>
        <v>20</v>
      </c>
      <c r="D140" t="str">
        <f>VLOOKUP($A140,ScionOutput!$A$3:$BL$215,23,FALSE)</f>
        <v>OAK</v>
      </c>
      <c r="E140">
        <f>VLOOKUP($A140,ScionOutput!$A$3:$BL$215,6,FALSE)</f>
        <v>22</v>
      </c>
      <c r="F140" t="str">
        <f>VLOOKUP($A140,ScionOutput!$A$3:$BL$215,7,FALSE)</f>
        <v>PIT</v>
      </c>
      <c r="G140">
        <f>VLOOKUP($A140,ScionOutput!$A$3:$BL$215,26,FALSE)</f>
        <v>-137</v>
      </c>
      <c r="H140">
        <f>VLOOKUP($A140,ScionOutput!$A$3:$BL$215,10,FALSE)</f>
        <v>126</v>
      </c>
      <c r="I140" t="str">
        <f>VLOOKUP($A140,ScionOutput!$A$3:$BL$215,58,FALSE)</f>
        <v>No Play</v>
      </c>
      <c r="J140">
        <f>VLOOKUP($A140,ScionOutput!$A$3:$BL$215,59,FALSE)</f>
        <v>0</v>
      </c>
      <c r="K140">
        <f>VLOOKUP($A140,ScionOutput!$A$3:$BL$215,62,FALSE)</f>
        <v>0</v>
      </c>
      <c r="L140">
        <f>VLOOKUP($A140,ScionOutput!$A$3:$BL$215,63,FALSE)</f>
        <v>0</v>
      </c>
      <c r="M140" t="b">
        <f t="shared" si="17"/>
        <v>0</v>
      </c>
      <c r="N140">
        <f>VLOOKUP($A140,Outcomes!$B$3:$I$209,8,FALSE)</f>
        <v>11</v>
      </c>
      <c r="O140">
        <f t="shared" si="18"/>
        <v>-1</v>
      </c>
      <c r="P140">
        <f>VLOOKUP($A140,Outcomes!$B$3:$I$209,5,FALSE)</f>
        <v>5</v>
      </c>
      <c r="Q140">
        <f>VLOOKUP($A140,Outcomes!$B$3:$I$209,6,FALSE)</f>
        <v>6</v>
      </c>
      <c r="R140">
        <f>VLOOKUP($A140,Outcomes!$B$3:$I$209,7,FALSE)</f>
        <v>1</v>
      </c>
      <c r="S140" t="str">
        <f t="shared" si="19"/>
        <v>VisDog</v>
      </c>
      <c r="T140" t="str">
        <f t="shared" si="20"/>
        <v/>
      </c>
      <c r="U140" t="str">
        <f t="shared" si="16"/>
        <v/>
      </c>
      <c r="V140" t="str">
        <f t="shared" si="21"/>
        <v/>
      </c>
      <c r="W140" t="str">
        <f t="shared" si="22"/>
        <v/>
      </c>
      <c r="X140" s="2" t="str">
        <f t="shared" si="23"/>
        <v/>
      </c>
      <c r="Y140" t="str">
        <f>VLOOKUP($A140,ScionOutput!$A$3:$BL$215,64,FALSE)</f>
        <v xml:space="preserve">824991. LineStatEns probability points gap does not exceed threshold (no edge found)! StatOnlyEns probability points gap does not exceed threshold (no edge found)! No play due to strategy constraints. </v>
      </c>
    </row>
    <row r="141" spans="1:25" x14ac:dyDescent="0.2">
      <c r="A141">
        <v>823451</v>
      </c>
      <c r="B141" s="3">
        <f>VLOOKUP($A141,ScionOutput!$A$3:$BL$215,3,FALSE)</f>
        <v>46189</v>
      </c>
      <c r="C141">
        <f>VLOOKUP($A141,ScionOutput!$A$3:$BL$215,22,FALSE)</f>
        <v>21</v>
      </c>
      <c r="D141" t="str">
        <f>VLOOKUP($A141,ScionOutput!$A$3:$BL$215,23,FALSE)</f>
        <v>PHI</v>
      </c>
      <c r="E141">
        <f>VLOOKUP($A141,ScionOutput!$A$3:$BL$215,6,FALSE)</f>
        <v>11</v>
      </c>
      <c r="F141" t="str">
        <f>VLOOKUP($A141,ScionOutput!$A$3:$BL$215,7,FALSE)</f>
        <v>FLO</v>
      </c>
      <c r="G141">
        <f>VLOOKUP($A141,ScionOutput!$A$3:$BL$215,26,FALSE)</f>
        <v>-165</v>
      </c>
      <c r="H141">
        <f>VLOOKUP($A141,ScionOutput!$A$3:$BL$215,10,FALSE)</f>
        <v>152</v>
      </c>
      <c r="I141" t="str">
        <f>VLOOKUP($A141,ScionOutput!$A$3:$BL$215,58,FALSE)</f>
        <v>No Play</v>
      </c>
      <c r="J141">
        <f>VLOOKUP($A141,ScionOutput!$A$3:$BL$215,59,FALSE)</f>
        <v>0</v>
      </c>
      <c r="K141">
        <f>VLOOKUP($A141,ScionOutput!$A$3:$BL$215,62,FALSE)</f>
        <v>0</v>
      </c>
      <c r="L141">
        <f>VLOOKUP($A141,ScionOutput!$A$3:$BL$215,63,FALSE)</f>
        <v>0</v>
      </c>
      <c r="M141" t="b">
        <f t="shared" si="17"/>
        <v>0</v>
      </c>
      <c r="N141">
        <f>VLOOKUP($A141,Outcomes!$B$3:$I$209,8,FALSE)</f>
        <v>10</v>
      </c>
      <c r="O141">
        <f t="shared" si="18"/>
        <v>1</v>
      </c>
      <c r="P141">
        <f>VLOOKUP($A141,Outcomes!$B$3:$I$209,5,FALSE)</f>
        <v>8</v>
      </c>
      <c r="Q141">
        <f>VLOOKUP($A141,Outcomes!$B$3:$I$209,6,FALSE)</f>
        <v>2</v>
      </c>
      <c r="R141">
        <f>VLOOKUP($A141,Outcomes!$B$3:$I$209,7,FALSE)</f>
        <v>-6</v>
      </c>
      <c r="S141" t="str">
        <f t="shared" si="19"/>
        <v>HomFave</v>
      </c>
      <c r="T141" t="str">
        <f t="shared" si="20"/>
        <v/>
      </c>
      <c r="U141" t="str">
        <f t="shared" si="16"/>
        <v/>
      </c>
      <c r="V141" t="str">
        <f t="shared" si="21"/>
        <v/>
      </c>
      <c r="W141" t="str">
        <f t="shared" si="22"/>
        <v/>
      </c>
      <c r="X141" s="2" t="str">
        <f t="shared" si="23"/>
        <v/>
      </c>
      <c r="Y141" t="str">
        <f>VLOOKUP($A141,ScionOutput!$A$3:$BL$215,64,FALSE)</f>
        <v xml:space="preserve">823451. LineStatEns is NoPlay as bookie-line outside range. StatOnlyEns is NoPlay as bookie-line outside range. No play due to strategy constraints. </v>
      </c>
    </row>
    <row r="142" spans="1:25" x14ac:dyDescent="0.2">
      <c r="A142">
        <v>823128</v>
      </c>
      <c r="B142" s="3">
        <f>VLOOKUP($A142,ScionOutput!$A$3:$BL$215,3,FALSE)</f>
        <v>46189</v>
      </c>
      <c r="C142">
        <f>VLOOKUP($A142,ScionOutput!$A$3:$BL$215,22,FALSE)</f>
        <v>24</v>
      </c>
      <c r="D142" t="str">
        <f>VLOOKUP($A142,ScionOutput!$A$3:$BL$215,23,FALSE)</f>
        <v>SEA</v>
      </c>
      <c r="E142">
        <f>VLOOKUP($A142,ScionOutput!$A$3:$BL$215,6,FALSE)</f>
        <v>2</v>
      </c>
      <c r="F142" t="str">
        <f>VLOOKUP($A142,ScionOutput!$A$3:$BL$215,7,FALSE)</f>
        <v>BAL</v>
      </c>
      <c r="G142">
        <f>VLOOKUP($A142,ScionOutput!$A$3:$BL$215,26,FALSE)</f>
        <v>-151</v>
      </c>
      <c r="H142">
        <f>VLOOKUP($A142,ScionOutput!$A$3:$BL$215,10,FALSE)</f>
        <v>139</v>
      </c>
      <c r="I142" t="str">
        <f>VLOOKUP($A142,ScionOutput!$A$3:$BL$215,58,FALSE)</f>
        <v>No Play</v>
      </c>
      <c r="J142">
        <f>VLOOKUP($A142,ScionOutput!$A$3:$BL$215,59,FALSE)</f>
        <v>0</v>
      </c>
      <c r="K142">
        <f>VLOOKUP($A142,ScionOutput!$A$3:$BL$215,62,FALSE)</f>
        <v>0</v>
      </c>
      <c r="L142">
        <f>VLOOKUP($A142,ScionOutput!$A$3:$BL$215,63,FALSE)</f>
        <v>0</v>
      </c>
      <c r="M142" t="b">
        <f t="shared" si="17"/>
        <v>0</v>
      </c>
      <c r="N142">
        <f>VLOOKUP($A142,Outcomes!$B$3:$I$209,8,FALSE)</f>
        <v>4</v>
      </c>
      <c r="O142">
        <f t="shared" si="18"/>
        <v>1</v>
      </c>
      <c r="P142">
        <f>VLOOKUP($A142,Outcomes!$B$3:$I$209,5,FALSE)</f>
        <v>3</v>
      </c>
      <c r="Q142">
        <f>VLOOKUP($A142,Outcomes!$B$3:$I$209,6,FALSE)</f>
        <v>1</v>
      </c>
      <c r="R142">
        <f>VLOOKUP($A142,Outcomes!$B$3:$I$209,7,FALSE)</f>
        <v>-2</v>
      </c>
      <c r="S142" t="str">
        <f t="shared" si="19"/>
        <v>HomFave</v>
      </c>
      <c r="T142" t="str">
        <f t="shared" si="20"/>
        <v/>
      </c>
      <c r="U142" t="str">
        <f t="shared" si="16"/>
        <v/>
      </c>
      <c r="V142" t="str">
        <f t="shared" si="21"/>
        <v/>
      </c>
      <c r="W142" t="str">
        <f t="shared" si="22"/>
        <v/>
      </c>
      <c r="X142" s="2" t="str">
        <f t="shared" si="23"/>
        <v/>
      </c>
      <c r="Y142" t="str">
        <f>VLOOKUP($A142,ScionOutput!$A$3:$BL$215,64,FALSE)</f>
        <v xml:space="preserve">823128. LineStatEns is NoPlay as bookie-line outside range. StatOnlyEns is NoPlay as bookie-line outside range. No play due to strategy constraints. </v>
      </c>
    </row>
    <row r="143" spans="1:25" x14ac:dyDescent="0.2">
      <c r="A143">
        <v>823045</v>
      </c>
      <c r="B143" s="3">
        <f>VLOOKUP($A143,ScionOutput!$A$3:$BL$215,3,FALSE)</f>
        <v>46189</v>
      </c>
      <c r="C143">
        <f>VLOOKUP($A143,ScionOutput!$A$3:$BL$215,22,FALSE)</f>
        <v>26</v>
      </c>
      <c r="D143" t="str">
        <f>VLOOKUP($A143,ScionOutput!$A$3:$BL$215,23,FALSE)</f>
        <v>STL</v>
      </c>
      <c r="E143">
        <f>VLOOKUP($A143,ScionOutput!$A$3:$BL$215,6,FALSE)</f>
        <v>23</v>
      </c>
      <c r="F143" t="str">
        <f>VLOOKUP($A143,ScionOutput!$A$3:$BL$215,7,FALSE)</f>
        <v>SD</v>
      </c>
      <c r="G143">
        <f>VLOOKUP($A143,ScionOutput!$A$3:$BL$215,26,FALSE)</f>
        <v>-113</v>
      </c>
      <c r="H143">
        <f>VLOOKUP($A143,ScionOutput!$A$3:$BL$215,10,FALSE)</f>
        <v>105</v>
      </c>
      <c r="I143" t="str">
        <f>VLOOKUP($A143,ScionOutput!$A$3:$BL$215,58,FALSE)</f>
        <v>HomFave</v>
      </c>
      <c r="J143">
        <f>VLOOKUP($A143,ScionOutput!$A$3:$BL$215,59,FALSE)</f>
        <v>1.9029999999999998E-2</v>
      </c>
      <c r="K143">
        <f>VLOOKUP($A143,ScionOutput!$A$3:$BL$215,62,FALSE)</f>
        <v>3</v>
      </c>
      <c r="L143">
        <f>VLOOKUP($A143,ScionOutput!$A$3:$BL$215,63,FALSE)</f>
        <v>0.93</v>
      </c>
      <c r="M143" t="b">
        <f t="shared" si="17"/>
        <v>0</v>
      </c>
      <c r="N143">
        <f>VLOOKUP($A143,Outcomes!$B$3:$I$209,8,FALSE)</f>
        <v>5</v>
      </c>
      <c r="O143">
        <f t="shared" si="18"/>
        <v>1</v>
      </c>
      <c r="P143">
        <f>VLOOKUP($A143,Outcomes!$B$3:$I$209,5,FALSE)</f>
        <v>3</v>
      </c>
      <c r="Q143">
        <f>VLOOKUP($A143,Outcomes!$B$3:$I$209,6,FALSE)</f>
        <v>2</v>
      </c>
      <c r="R143">
        <f>VLOOKUP($A143,Outcomes!$B$3:$I$209,7,FALSE)</f>
        <v>-1</v>
      </c>
      <c r="S143" t="str">
        <f t="shared" si="19"/>
        <v>HomFave</v>
      </c>
      <c r="T143" t="str">
        <f t="shared" si="20"/>
        <v/>
      </c>
      <c r="U143" t="str">
        <f t="shared" si="16"/>
        <v/>
      </c>
      <c r="V143" t="str">
        <f t="shared" si="21"/>
        <v/>
      </c>
      <c r="W143" t="str">
        <f t="shared" si="22"/>
        <v/>
      </c>
      <c r="X143" s="2" t="str">
        <f t="shared" si="23"/>
        <v/>
      </c>
      <c r="Y143" t="str">
        <f>VLOOKUP($A143,ScionOutput!$A$3:$BL$215,64,FALSE)</f>
        <v xml:space="preserve">823045. StatOnlyEns probability points gap does not exceed threshold (no edge found)! Play determined by LineStatEns only. </v>
      </c>
    </row>
    <row r="144" spans="1:25" x14ac:dyDescent="0.2">
      <c r="A144">
        <v>822888</v>
      </c>
      <c r="B144" s="3">
        <f>VLOOKUP($A144,ScionOutput!$A$3:$BL$215,3,FALSE)</f>
        <v>46189</v>
      </c>
      <c r="C144">
        <f>VLOOKUP($A144,ScionOutput!$A$3:$BL$215,22,FALSE)</f>
        <v>28</v>
      </c>
      <c r="D144" t="str">
        <f>VLOOKUP($A144,ScionOutput!$A$3:$BL$215,23,FALSE)</f>
        <v>TEX</v>
      </c>
      <c r="E144">
        <f>VLOOKUP($A144,ScionOutput!$A$3:$BL$215,6,FALSE)</f>
        <v>15</v>
      </c>
      <c r="F144" t="str">
        <f>VLOOKUP($A144,ScionOutput!$A$3:$BL$215,7,FALSE)</f>
        <v>MIN</v>
      </c>
      <c r="G144">
        <f>VLOOKUP($A144,ScionOutput!$A$3:$BL$215,26,FALSE)</f>
        <v>-120</v>
      </c>
      <c r="H144">
        <f>VLOOKUP($A144,ScionOutput!$A$3:$BL$215,10,FALSE)</f>
        <v>111</v>
      </c>
      <c r="I144" t="str">
        <f>VLOOKUP($A144,ScionOutput!$A$3:$BL$215,58,FALSE)</f>
        <v>No Play</v>
      </c>
      <c r="J144">
        <f>VLOOKUP($A144,ScionOutput!$A$3:$BL$215,59,FALSE)</f>
        <v>0</v>
      </c>
      <c r="K144">
        <f>VLOOKUP($A144,ScionOutput!$A$3:$BL$215,62,FALSE)</f>
        <v>0</v>
      </c>
      <c r="L144">
        <f>VLOOKUP($A144,ScionOutput!$A$3:$BL$215,63,FALSE)</f>
        <v>0</v>
      </c>
      <c r="M144" t="b">
        <f t="shared" si="17"/>
        <v>0</v>
      </c>
      <c r="N144">
        <f>VLOOKUP($A144,Outcomes!$B$3:$I$209,8,FALSE)</f>
        <v>14</v>
      </c>
      <c r="O144">
        <f t="shared" si="18"/>
        <v>-1</v>
      </c>
      <c r="P144">
        <f>VLOOKUP($A144,Outcomes!$B$3:$I$209,5,FALSE)</f>
        <v>2</v>
      </c>
      <c r="Q144">
        <f>VLOOKUP($A144,Outcomes!$B$3:$I$209,6,FALSE)</f>
        <v>12</v>
      </c>
      <c r="R144">
        <f>VLOOKUP($A144,Outcomes!$B$3:$I$209,7,FALSE)</f>
        <v>10</v>
      </c>
      <c r="S144" t="str">
        <f t="shared" si="19"/>
        <v>VisDog</v>
      </c>
      <c r="T144" t="str">
        <f t="shared" si="20"/>
        <v/>
      </c>
      <c r="U144" t="str">
        <f t="shared" si="16"/>
        <v/>
      </c>
      <c r="V144" t="str">
        <f t="shared" si="21"/>
        <v/>
      </c>
      <c r="W144" t="str">
        <f t="shared" si="22"/>
        <v/>
      </c>
      <c r="X144" s="2" t="str">
        <f t="shared" si="23"/>
        <v/>
      </c>
      <c r="Y144" t="str">
        <f>VLOOKUP($A144,ScionOutput!$A$3:$BL$215,64,FALSE)</f>
        <v xml:space="preserve">822888. LineStatEns probability points gap does not exceed threshold (no edge found)! StatOnlyEns probability points gap does not exceed threshold (no edge found)! No play due to strategy constraints. </v>
      </c>
    </row>
    <row r="145" spans="1:25" x14ac:dyDescent="0.2">
      <c r="A145">
        <v>824912</v>
      </c>
      <c r="B145" s="3">
        <f>VLOOKUP($A145,ScionOutput!$A$3:$BL$215,3,FALSE)</f>
        <v>46189</v>
      </c>
      <c r="C145">
        <f>VLOOKUP($A145,ScionOutput!$A$3:$BL$215,22,FALSE)</f>
        <v>0</v>
      </c>
      <c r="D145" t="str">
        <f>VLOOKUP($A145,ScionOutput!$A$3:$BL$215,23,FALSE)</f>
        <v>ATL</v>
      </c>
      <c r="E145">
        <f>VLOOKUP($A145,ScionOutput!$A$3:$BL$215,6,FALSE)</f>
        <v>25</v>
      </c>
      <c r="F145" t="str">
        <f>VLOOKUP($A145,ScionOutput!$A$3:$BL$215,7,FALSE)</f>
        <v>SF</v>
      </c>
      <c r="G145">
        <f>VLOOKUP($A145,ScionOutput!$A$3:$BL$215,26,FALSE)</f>
        <v>-169</v>
      </c>
      <c r="H145">
        <f>VLOOKUP($A145,ScionOutput!$A$3:$BL$215,10,FALSE)</f>
        <v>154</v>
      </c>
      <c r="I145" t="str">
        <f>VLOOKUP($A145,ScionOutput!$A$3:$BL$215,58,FALSE)</f>
        <v>No Play</v>
      </c>
      <c r="J145">
        <f>VLOOKUP($A145,ScionOutput!$A$3:$BL$215,59,FALSE)</f>
        <v>0</v>
      </c>
      <c r="K145">
        <f>VLOOKUP($A145,ScionOutput!$A$3:$BL$215,62,FALSE)</f>
        <v>0</v>
      </c>
      <c r="L145">
        <f>VLOOKUP($A145,ScionOutput!$A$3:$BL$215,63,FALSE)</f>
        <v>0</v>
      </c>
      <c r="M145" t="b">
        <f t="shared" si="17"/>
        <v>0</v>
      </c>
      <c r="N145">
        <f>VLOOKUP($A145,Outcomes!$B$3:$I$209,8,FALSE)</f>
        <v>9</v>
      </c>
      <c r="O145">
        <f t="shared" si="18"/>
        <v>-1</v>
      </c>
      <c r="P145">
        <f>VLOOKUP($A145,Outcomes!$B$3:$I$209,5,FALSE)</f>
        <v>2</v>
      </c>
      <c r="Q145">
        <f>VLOOKUP($A145,Outcomes!$B$3:$I$209,6,FALSE)</f>
        <v>7</v>
      </c>
      <c r="R145">
        <f>VLOOKUP($A145,Outcomes!$B$3:$I$209,7,FALSE)</f>
        <v>5</v>
      </c>
      <c r="S145" t="str">
        <f t="shared" si="19"/>
        <v>VisDog</v>
      </c>
      <c r="T145" t="str">
        <f t="shared" si="20"/>
        <v/>
      </c>
      <c r="U145" t="str">
        <f t="shared" si="16"/>
        <v/>
      </c>
      <c r="V145" t="str">
        <f t="shared" si="21"/>
        <v/>
      </c>
      <c r="W145" t="str">
        <f t="shared" si="22"/>
        <v/>
      </c>
      <c r="X145" s="2" t="str">
        <f t="shared" si="23"/>
        <v/>
      </c>
      <c r="Y145" t="str">
        <f>VLOOKUP($A145,ScionOutput!$A$3:$BL$215,64,FALSE)</f>
        <v xml:space="preserve">824912. LineStatEns is NoPlay as bookie-line outside range. StatOnlyEns is NoPlay as bookie-line outside range. No play due to strategy constraints. </v>
      </c>
    </row>
    <row r="146" spans="1:25" x14ac:dyDescent="0.2">
      <c r="A146">
        <v>824913</v>
      </c>
      <c r="B146" s="3">
        <f>VLOOKUP($A146,ScionOutput!$A$3:$BL$215,3,FALSE)</f>
        <v>46190</v>
      </c>
      <c r="C146">
        <f>VLOOKUP($A146,ScionOutput!$A$3:$BL$215,22,FALSE)</f>
        <v>0</v>
      </c>
      <c r="D146" t="str">
        <f>VLOOKUP($A146,ScionOutput!$A$3:$BL$215,23,FALSE)</f>
        <v>ATL</v>
      </c>
      <c r="E146">
        <f>VLOOKUP($A146,ScionOutput!$A$3:$BL$215,6,FALSE)</f>
        <v>25</v>
      </c>
      <c r="F146" t="str">
        <f>VLOOKUP($A146,ScionOutput!$A$3:$BL$215,7,FALSE)</f>
        <v>SF</v>
      </c>
      <c r="G146">
        <f>VLOOKUP($A146,ScionOutput!$A$3:$BL$215,26,FALSE)</f>
        <v>-137</v>
      </c>
      <c r="H146">
        <f>VLOOKUP($A146,ScionOutput!$A$3:$BL$215,10,FALSE)</f>
        <v>124</v>
      </c>
      <c r="I146" t="str">
        <f>VLOOKUP($A146,ScionOutput!$A$3:$BL$215,58,FALSE)</f>
        <v>HomFave</v>
      </c>
      <c r="J146">
        <f>VLOOKUP($A146,ScionOutput!$A$3:$BL$215,59,FALSE)</f>
        <v>1.576E-2</v>
      </c>
      <c r="K146">
        <f>VLOOKUP($A146,ScionOutput!$A$3:$BL$215,62,FALSE)</f>
        <v>3</v>
      </c>
      <c r="L146">
        <f>VLOOKUP($A146,ScionOutput!$A$3:$BL$215,63,FALSE)</f>
        <v>1</v>
      </c>
      <c r="M146" t="b">
        <f t="shared" si="17"/>
        <v>0</v>
      </c>
      <c r="N146">
        <f>VLOOKUP($A146,Outcomes!$B$3:$I$209,8,FALSE)</f>
        <v>12</v>
      </c>
      <c r="O146">
        <f t="shared" si="18"/>
        <v>-1</v>
      </c>
      <c r="P146">
        <f>VLOOKUP($A146,Outcomes!$B$3:$I$209,5,FALSE)</f>
        <v>5</v>
      </c>
      <c r="Q146">
        <f>VLOOKUP($A146,Outcomes!$B$3:$I$209,6,FALSE)</f>
        <v>7</v>
      </c>
      <c r="R146">
        <f>VLOOKUP($A146,Outcomes!$B$3:$I$209,7,FALSE)</f>
        <v>2</v>
      </c>
      <c r="S146" t="str">
        <f t="shared" si="19"/>
        <v>VisDog</v>
      </c>
      <c r="T146" t="str">
        <f t="shared" si="20"/>
        <v/>
      </c>
      <c r="U146" t="str">
        <f t="shared" si="16"/>
        <v/>
      </c>
      <c r="V146" t="str">
        <f t="shared" si="21"/>
        <v/>
      </c>
      <c r="W146" t="str">
        <f t="shared" si="22"/>
        <v/>
      </c>
      <c r="X146" s="2" t="str">
        <f t="shared" si="23"/>
        <v/>
      </c>
      <c r="Y146" t="str">
        <f>VLOOKUP($A146,ScionOutput!$A$3:$BL$215,64,FALSE)</f>
        <v xml:space="preserve">824913. StatOnlyEns probability points gap does not exceed threshold (no edge found)! Play determined by LineStatEns only. </v>
      </c>
    </row>
    <row r="147" spans="1:25" x14ac:dyDescent="0.2">
      <c r="A147">
        <v>825072</v>
      </c>
      <c r="B147" s="3">
        <f>VLOOKUP($A147,ScionOutput!$A$3:$BL$215,3,FALSE)</f>
        <v>46190</v>
      </c>
      <c r="C147">
        <f>VLOOKUP($A147,ScionOutput!$A$3:$BL$215,22,FALSE)</f>
        <v>1</v>
      </c>
      <c r="D147" t="str">
        <f>VLOOKUP($A147,ScionOutput!$A$3:$BL$215,23,FALSE)</f>
        <v>ARZ</v>
      </c>
      <c r="E147">
        <f>VLOOKUP($A147,ScionOutput!$A$3:$BL$215,6,FALSE)</f>
        <v>4</v>
      </c>
      <c r="F147" t="str">
        <f>VLOOKUP($A147,ScionOutput!$A$3:$BL$215,7,FALSE)</f>
        <v>LAA</v>
      </c>
      <c r="G147">
        <f>VLOOKUP($A147,ScionOutput!$A$3:$BL$215,26,FALSE)</f>
        <v>-163</v>
      </c>
      <c r="H147">
        <f>VLOOKUP($A147,ScionOutput!$A$3:$BL$215,10,FALSE)</f>
        <v>146</v>
      </c>
      <c r="I147" t="str">
        <f>VLOOKUP($A147,ScionOutput!$A$3:$BL$215,58,FALSE)</f>
        <v>No Play</v>
      </c>
      <c r="J147">
        <f>VLOOKUP($A147,ScionOutput!$A$3:$BL$215,59,FALSE)</f>
        <v>0</v>
      </c>
      <c r="K147">
        <f>VLOOKUP($A147,ScionOutput!$A$3:$BL$215,62,FALSE)</f>
        <v>0</v>
      </c>
      <c r="L147">
        <f>VLOOKUP($A147,ScionOutput!$A$3:$BL$215,63,FALSE)</f>
        <v>0</v>
      </c>
      <c r="M147" t="b">
        <f t="shared" si="17"/>
        <v>0</v>
      </c>
      <c r="N147">
        <f>VLOOKUP($A147,Outcomes!$B$3:$I$209,8,FALSE)</f>
        <v>9</v>
      </c>
      <c r="O147">
        <f t="shared" si="18"/>
        <v>1</v>
      </c>
      <c r="P147">
        <f>VLOOKUP($A147,Outcomes!$B$3:$I$209,5,FALSE)</f>
        <v>8</v>
      </c>
      <c r="Q147">
        <f>VLOOKUP($A147,Outcomes!$B$3:$I$209,6,FALSE)</f>
        <v>1</v>
      </c>
      <c r="R147">
        <f>VLOOKUP($A147,Outcomes!$B$3:$I$209,7,FALSE)</f>
        <v>-7</v>
      </c>
      <c r="S147" t="str">
        <f t="shared" si="19"/>
        <v>HomFave</v>
      </c>
      <c r="T147" t="str">
        <f t="shared" si="20"/>
        <v/>
      </c>
      <c r="U147" t="str">
        <f t="shared" si="16"/>
        <v/>
      </c>
      <c r="V147" t="str">
        <f t="shared" si="21"/>
        <v/>
      </c>
      <c r="W147" t="str">
        <f t="shared" si="22"/>
        <v/>
      </c>
      <c r="X147" s="2" t="str">
        <f t="shared" si="23"/>
        <v/>
      </c>
      <c r="Y147" t="str">
        <f>VLOOKUP($A147,ScionOutput!$A$3:$BL$215,64,FALSE)</f>
        <v xml:space="preserve">825072. LineStatEns is NoPlay as bookie-line outside range. StatOnlyEns is NoPlay as bookie-line outside range. No play due to strategy constraints. </v>
      </c>
    </row>
    <row r="148" spans="1:25" x14ac:dyDescent="0.2">
      <c r="A148">
        <v>824746</v>
      </c>
      <c r="B148" s="3">
        <f>VLOOKUP($A148,ScionOutput!$A$3:$BL$215,3,FALSE)</f>
        <v>46190</v>
      </c>
      <c r="C148">
        <f>VLOOKUP($A148,ScionOutput!$A$3:$BL$215,22,FALSE)</f>
        <v>3</v>
      </c>
      <c r="D148" t="str">
        <f>VLOOKUP($A148,ScionOutput!$A$3:$BL$215,23,FALSE)</f>
        <v>BOS</v>
      </c>
      <c r="E148">
        <f>VLOOKUP($A148,ScionOutput!$A$3:$BL$215,6,FALSE)</f>
        <v>29</v>
      </c>
      <c r="F148" t="str">
        <f>VLOOKUP($A148,ScionOutput!$A$3:$BL$215,7,FALSE)</f>
        <v>TOR</v>
      </c>
      <c r="G148">
        <f>VLOOKUP($A148,ScionOutput!$A$3:$BL$215,26,FALSE)</f>
        <v>-124</v>
      </c>
      <c r="H148">
        <f>VLOOKUP($A148,ScionOutput!$A$3:$BL$215,10,FALSE)</f>
        <v>112</v>
      </c>
      <c r="I148" t="str">
        <f>VLOOKUP($A148,ScionOutput!$A$3:$BL$215,58,FALSE)</f>
        <v>No Play</v>
      </c>
      <c r="J148">
        <f>VLOOKUP($A148,ScionOutput!$A$3:$BL$215,59,FALSE)</f>
        <v>0</v>
      </c>
      <c r="K148">
        <f>VLOOKUP($A148,ScionOutput!$A$3:$BL$215,62,FALSE)</f>
        <v>0</v>
      </c>
      <c r="L148">
        <f>VLOOKUP($A148,ScionOutput!$A$3:$BL$215,63,FALSE)</f>
        <v>0</v>
      </c>
      <c r="M148" t="b">
        <f t="shared" si="17"/>
        <v>0</v>
      </c>
      <c r="N148">
        <f>VLOOKUP($A148,Outcomes!$B$3:$I$209,8,FALSE)</f>
        <v>3</v>
      </c>
      <c r="O148">
        <f t="shared" si="18"/>
        <v>-1</v>
      </c>
      <c r="P148">
        <f>VLOOKUP($A148,Outcomes!$B$3:$I$209,5,FALSE)</f>
        <v>0</v>
      </c>
      <c r="Q148">
        <f>VLOOKUP($A148,Outcomes!$B$3:$I$209,6,FALSE)</f>
        <v>3</v>
      </c>
      <c r="R148">
        <f>VLOOKUP($A148,Outcomes!$B$3:$I$209,7,FALSE)</f>
        <v>3</v>
      </c>
      <c r="S148" t="str">
        <f t="shared" si="19"/>
        <v>VisDog</v>
      </c>
      <c r="T148" t="str">
        <f t="shared" si="20"/>
        <v/>
      </c>
      <c r="U148" t="str">
        <f t="shared" si="16"/>
        <v/>
      </c>
      <c r="V148" t="str">
        <f t="shared" si="21"/>
        <v/>
      </c>
      <c r="W148" t="str">
        <f t="shared" si="22"/>
        <v/>
      </c>
      <c r="X148" s="2" t="str">
        <f t="shared" si="23"/>
        <v/>
      </c>
      <c r="Y148" t="str">
        <f>VLOOKUP($A148,ScionOutput!$A$3:$BL$215,64,FALSE)</f>
        <v xml:space="preserve">824746. LineStatEns probability points gap does not exceed threshold (no edge found)! No play due to strategy constraints. </v>
      </c>
    </row>
    <row r="149" spans="1:25" x14ac:dyDescent="0.2">
      <c r="A149">
        <v>824668</v>
      </c>
      <c r="B149" s="3">
        <f>VLOOKUP($A149,ScionOutput!$A$3:$BL$215,3,FALSE)</f>
        <v>46190</v>
      </c>
      <c r="C149">
        <f>VLOOKUP($A149,ScionOutput!$A$3:$BL$215,22,FALSE)</f>
        <v>5</v>
      </c>
      <c r="D149" t="str">
        <f>VLOOKUP($A149,ScionOutput!$A$3:$BL$215,23,FALSE)</f>
        <v>CHC</v>
      </c>
      <c r="E149">
        <f>VLOOKUP($A149,ScionOutput!$A$3:$BL$215,6,FALSE)</f>
        <v>8</v>
      </c>
      <c r="F149" t="str">
        <f>VLOOKUP($A149,ScionOutput!$A$3:$BL$215,7,FALSE)</f>
        <v>COL</v>
      </c>
      <c r="G149">
        <f>VLOOKUP($A149,ScionOutput!$A$3:$BL$215,26,FALSE)</f>
        <v>-180</v>
      </c>
      <c r="H149">
        <f>VLOOKUP($A149,ScionOutput!$A$3:$BL$215,10,FALSE)</f>
        <v>161</v>
      </c>
      <c r="I149" t="str">
        <f>VLOOKUP($A149,ScionOutput!$A$3:$BL$215,58,FALSE)</f>
        <v>No Play</v>
      </c>
      <c r="J149">
        <f>VLOOKUP($A149,ScionOutput!$A$3:$BL$215,59,FALSE)</f>
        <v>0</v>
      </c>
      <c r="K149">
        <f>VLOOKUP($A149,ScionOutput!$A$3:$BL$215,62,FALSE)</f>
        <v>0</v>
      </c>
      <c r="L149">
        <f>VLOOKUP($A149,ScionOutput!$A$3:$BL$215,63,FALSE)</f>
        <v>0</v>
      </c>
      <c r="M149" t="b">
        <f t="shared" si="17"/>
        <v>0</v>
      </c>
      <c r="N149">
        <f>VLOOKUP($A149,Outcomes!$B$3:$I$209,8,FALSE)</f>
        <v>14</v>
      </c>
      <c r="O149">
        <f t="shared" si="18"/>
        <v>1</v>
      </c>
      <c r="P149">
        <f>VLOOKUP($A149,Outcomes!$B$3:$I$209,5,FALSE)</f>
        <v>8</v>
      </c>
      <c r="Q149">
        <f>VLOOKUP($A149,Outcomes!$B$3:$I$209,6,FALSE)</f>
        <v>6</v>
      </c>
      <c r="R149">
        <f>VLOOKUP($A149,Outcomes!$B$3:$I$209,7,FALSE)</f>
        <v>-2</v>
      </c>
      <c r="S149" t="str">
        <f t="shared" si="19"/>
        <v>HomFave</v>
      </c>
      <c r="T149" t="str">
        <f t="shared" si="20"/>
        <v/>
      </c>
      <c r="U149" t="str">
        <f t="shared" si="16"/>
        <v/>
      </c>
      <c r="V149" t="str">
        <f t="shared" si="21"/>
        <v/>
      </c>
      <c r="W149" t="str">
        <f t="shared" si="22"/>
        <v/>
      </c>
      <c r="X149" s="2" t="str">
        <f t="shared" si="23"/>
        <v/>
      </c>
      <c r="Y149" t="str">
        <f>VLOOKUP($A149,ScionOutput!$A$3:$BL$215,64,FALSE)</f>
        <v xml:space="preserve">824668. LineStatEns is NoPlay as bookie-line outside range. StatOnlyEns is NoPlay as bookie-line outside range. No play due to strategy constraints. </v>
      </c>
    </row>
    <row r="150" spans="1:25" x14ac:dyDescent="0.2">
      <c r="A150">
        <v>824503</v>
      </c>
      <c r="B150" s="3">
        <f>VLOOKUP($A150,ScionOutput!$A$3:$BL$215,3,FALSE)</f>
        <v>46190</v>
      </c>
      <c r="C150">
        <f>VLOOKUP($A150,ScionOutput!$A$3:$BL$215,22,FALSE)</f>
        <v>6</v>
      </c>
      <c r="D150" t="str">
        <f>VLOOKUP($A150,ScionOutput!$A$3:$BL$215,23,FALSE)</f>
        <v>CIN</v>
      </c>
      <c r="E150">
        <f>VLOOKUP($A150,ScionOutput!$A$3:$BL$215,6,FALSE)</f>
        <v>18</v>
      </c>
      <c r="F150" t="str">
        <f>VLOOKUP($A150,ScionOutput!$A$3:$BL$215,7,FALSE)</f>
        <v>NYM</v>
      </c>
      <c r="G150">
        <f>VLOOKUP($A150,ScionOutput!$A$3:$BL$215,26,FALSE)</f>
        <v>113</v>
      </c>
      <c r="H150">
        <f>VLOOKUP($A150,ScionOutput!$A$3:$BL$215,10,FALSE)</f>
        <v>-125</v>
      </c>
      <c r="I150" t="str">
        <f>VLOOKUP($A150,ScionOutput!$A$3:$BL$215,58,FALSE)</f>
        <v>No Play</v>
      </c>
      <c r="J150">
        <f>VLOOKUP($A150,ScionOutput!$A$3:$BL$215,59,FALSE)</f>
        <v>0</v>
      </c>
      <c r="K150">
        <f>VLOOKUP($A150,ScionOutput!$A$3:$BL$215,62,FALSE)</f>
        <v>0</v>
      </c>
      <c r="L150">
        <f>VLOOKUP($A150,ScionOutput!$A$3:$BL$215,63,FALSE)</f>
        <v>0</v>
      </c>
      <c r="M150" t="b">
        <f t="shared" si="17"/>
        <v>0</v>
      </c>
      <c r="N150">
        <f>VLOOKUP($A150,Outcomes!$B$3:$I$209,8,FALSE)</f>
        <v>10</v>
      </c>
      <c r="O150">
        <f t="shared" si="18"/>
        <v>-1</v>
      </c>
      <c r="P150">
        <f>VLOOKUP($A150,Outcomes!$B$3:$I$209,5,FALSE)</f>
        <v>1</v>
      </c>
      <c r="Q150">
        <f>VLOOKUP($A150,Outcomes!$B$3:$I$209,6,FALSE)</f>
        <v>9</v>
      </c>
      <c r="R150">
        <f>VLOOKUP($A150,Outcomes!$B$3:$I$209,7,FALSE)</f>
        <v>8</v>
      </c>
      <c r="S150" t="str">
        <f t="shared" si="19"/>
        <v>VisFave</v>
      </c>
      <c r="T150" t="str">
        <f t="shared" si="20"/>
        <v/>
      </c>
      <c r="U150" t="str">
        <f t="shared" si="16"/>
        <v/>
      </c>
      <c r="V150" t="str">
        <f t="shared" si="21"/>
        <v/>
      </c>
      <c r="W150" t="str">
        <f t="shared" si="22"/>
        <v/>
      </c>
      <c r="X150" s="2" t="str">
        <f t="shared" si="23"/>
        <v/>
      </c>
      <c r="Y150" t="str">
        <f>VLOOKUP($A150,ScionOutput!$A$3:$BL$215,64,FALSE)</f>
        <v xml:space="preserve">824503. VF plays are disallowed. No play due to strategy constraints. </v>
      </c>
    </row>
    <row r="151" spans="1:25" x14ac:dyDescent="0.2">
      <c r="A151">
        <v>824178</v>
      </c>
      <c r="B151" s="3">
        <f>VLOOKUP($A151,ScionOutput!$A$3:$BL$215,3,FALSE)</f>
        <v>46190</v>
      </c>
      <c r="C151">
        <f>VLOOKUP($A151,ScionOutput!$A$3:$BL$215,22,FALSE)</f>
        <v>12</v>
      </c>
      <c r="D151" t="str">
        <f>VLOOKUP($A151,ScionOutput!$A$3:$BL$215,23,FALSE)</f>
        <v>HOU</v>
      </c>
      <c r="E151">
        <f>VLOOKUP($A151,ScionOutput!$A$3:$BL$215,6,FALSE)</f>
        <v>10</v>
      </c>
      <c r="F151" t="str">
        <f>VLOOKUP($A151,ScionOutput!$A$3:$BL$215,7,FALSE)</f>
        <v>DET</v>
      </c>
      <c r="G151">
        <f>VLOOKUP($A151,ScionOutput!$A$3:$BL$215,26,FALSE)</f>
        <v>-103</v>
      </c>
      <c r="H151">
        <f>VLOOKUP($A151,ScionOutput!$A$3:$BL$215,10,FALSE)</f>
        <v>-107</v>
      </c>
      <c r="I151" t="str">
        <f>VLOOKUP($A151,ScionOutput!$A$3:$BL$215,58,FALSE)</f>
        <v>No Play</v>
      </c>
      <c r="J151">
        <f>VLOOKUP($A151,ScionOutput!$A$3:$BL$215,59,FALSE)</f>
        <v>0</v>
      </c>
      <c r="K151">
        <f>VLOOKUP($A151,ScionOutput!$A$3:$BL$215,62,FALSE)</f>
        <v>0</v>
      </c>
      <c r="L151">
        <f>VLOOKUP($A151,ScionOutput!$A$3:$BL$215,63,FALSE)</f>
        <v>0</v>
      </c>
      <c r="M151" t="b">
        <f t="shared" si="17"/>
        <v>0</v>
      </c>
      <c r="N151">
        <f>VLOOKUP($A151,Outcomes!$B$3:$I$209,8,FALSE)</f>
        <v>6</v>
      </c>
      <c r="O151">
        <f t="shared" si="18"/>
        <v>1</v>
      </c>
      <c r="P151">
        <f>VLOOKUP($A151,Outcomes!$B$3:$I$209,5,FALSE)</f>
        <v>4</v>
      </c>
      <c r="Q151">
        <f>VLOOKUP($A151,Outcomes!$B$3:$I$209,6,FALSE)</f>
        <v>2</v>
      </c>
      <c r="R151">
        <f>VLOOKUP($A151,Outcomes!$B$3:$I$209,7,FALSE)</f>
        <v>-2</v>
      </c>
      <c r="S151" t="str">
        <f t="shared" si="19"/>
        <v>HomDog</v>
      </c>
      <c r="T151" t="str">
        <f t="shared" si="20"/>
        <v/>
      </c>
      <c r="U151" t="str">
        <f t="shared" si="16"/>
        <v/>
      </c>
      <c r="V151" t="str">
        <f t="shared" si="21"/>
        <v/>
      </c>
      <c r="W151" t="str">
        <f t="shared" si="22"/>
        <v/>
      </c>
      <c r="X151" s="2" t="str">
        <f t="shared" si="23"/>
        <v/>
      </c>
      <c r="Y151" t="str">
        <f>VLOOKUP($A151,ScionOutput!$A$3:$BL$215,64,FALSE)</f>
        <v xml:space="preserve">824178. VF plays are disallowed. No play due to strategy constraints. </v>
      </c>
    </row>
    <row r="152" spans="1:25" x14ac:dyDescent="0.2">
      <c r="A152">
        <v>823940</v>
      </c>
      <c r="B152" s="3">
        <f>VLOOKUP($A152,ScionOutput!$A$3:$BL$215,3,FALSE)</f>
        <v>46190</v>
      </c>
      <c r="C152">
        <f>VLOOKUP($A152,ScionOutput!$A$3:$BL$215,22,FALSE)</f>
        <v>14</v>
      </c>
      <c r="D152" t="str">
        <f>VLOOKUP($A152,ScionOutput!$A$3:$BL$215,23,FALSE)</f>
        <v>LA</v>
      </c>
      <c r="E152">
        <f>VLOOKUP($A152,ScionOutput!$A$3:$BL$215,6,FALSE)</f>
        <v>27</v>
      </c>
      <c r="F152" t="str">
        <f>VLOOKUP($A152,ScionOutput!$A$3:$BL$215,7,FALSE)</f>
        <v>TB</v>
      </c>
      <c r="G152">
        <f>VLOOKUP($A152,ScionOutput!$A$3:$BL$215,26,FALSE)</f>
        <v>-181</v>
      </c>
      <c r="H152">
        <f>VLOOKUP($A152,ScionOutput!$A$3:$BL$215,10,FALSE)</f>
        <v>162</v>
      </c>
      <c r="I152" t="str">
        <f>VLOOKUP($A152,ScionOutput!$A$3:$BL$215,58,FALSE)</f>
        <v>No Play</v>
      </c>
      <c r="J152">
        <f>VLOOKUP($A152,ScionOutput!$A$3:$BL$215,59,FALSE)</f>
        <v>0</v>
      </c>
      <c r="K152">
        <f>VLOOKUP($A152,ScionOutput!$A$3:$BL$215,62,FALSE)</f>
        <v>0</v>
      </c>
      <c r="L152">
        <f>VLOOKUP($A152,ScionOutput!$A$3:$BL$215,63,FALSE)</f>
        <v>0</v>
      </c>
      <c r="M152" t="b">
        <f t="shared" si="17"/>
        <v>0</v>
      </c>
      <c r="N152">
        <f>VLOOKUP($A152,Outcomes!$B$3:$I$209,8,FALSE)</f>
        <v>9</v>
      </c>
      <c r="O152">
        <f t="shared" si="18"/>
        <v>1</v>
      </c>
      <c r="P152">
        <f>VLOOKUP($A152,Outcomes!$B$3:$I$209,5,FALSE)</f>
        <v>5</v>
      </c>
      <c r="Q152">
        <f>VLOOKUP($A152,Outcomes!$B$3:$I$209,6,FALSE)</f>
        <v>4</v>
      </c>
      <c r="R152">
        <f>VLOOKUP($A152,Outcomes!$B$3:$I$209,7,FALSE)</f>
        <v>-1</v>
      </c>
      <c r="S152" t="str">
        <f t="shared" si="19"/>
        <v>HomFave</v>
      </c>
      <c r="T152" t="str">
        <f t="shared" si="20"/>
        <v/>
      </c>
      <c r="U152" t="str">
        <f t="shared" si="16"/>
        <v/>
      </c>
      <c r="V152" t="str">
        <f t="shared" si="21"/>
        <v/>
      </c>
      <c r="W152" t="str">
        <f t="shared" si="22"/>
        <v/>
      </c>
      <c r="X152" s="2" t="str">
        <f t="shared" si="23"/>
        <v/>
      </c>
      <c r="Y152" t="str">
        <f>VLOOKUP($A152,ScionOutput!$A$3:$BL$215,64,FALSE)</f>
        <v xml:space="preserve">823940. LineStatEns is NoPlay as bookie-line outside range. StatOnlyEns is NoPlay as bookie-line outside range. No play due to strategy constraints. </v>
      </c>
    </row>
    <row r="153" spans="1:25" x14ac:dyDescent="0.2">
      <c r="A153">
        <v>822721</v>
      </c>
      <c r="B153" s="3">
        <f>VLOOKUP($A153,ScionOutput!$A$3:$BL$215,3,FALSE)</f>
        <v>46190</v>
      </c>
      <c r="C153">
        <f>VLOOKUP($A153,ScionOutput!$A$3:$BL$215,22,FALSE)</f>
        <v>16</v>
      </c>
      <c r="D153" t="str">
        <f>VLOOKUP($A153,ScionOutput!$A$3:$BL$215,23,FALSE)</f>
        <v>WAS</v>
      </c>
      <c r="E153">
        <f>VLOOKUP($A153,ScionOutput!$A$3:$BL$215,6,FALSE)</f>
        <v>13</v>
      </c>
      <c r="F153" t="str">
        <f>VLOOKUP($A153,ScionOutput!$A$3:$BL$215,7,FALSE)</f>
        <v>KC</v>
      </c>
      <c r="G153">
        <f>VLOOKUP($A153,ScionOutput!$A$3:$BL$215,26,FALSE)</f>
        <v>-125</v>
      </c>
      <c r="H153">
        <f>VLOOKUP($A153,ScionOutput!$A$3:$BL$215,10,FALSE)</f>
        <v>113</v>
      </c>
      <c r="I153" t="str">
        <f>VLOOKUP($A153,ScionOutput!$A$3:$BL$215,58,FALSE)</f>
        <v>No Play</v>
      </c>
      <c r="J153">
        <f>VLOOKUP($A153,ScionOutput!$A$3:$BL$215,59,FALSE)</f>
        <v>0</v>
      </c>
      <c r="K153">
        <f>VLOOKUP($A153,ScionOutput!$A$3:$BL$215,62,FALSE)</f>
        <v>0</v>
      </c>
      <c r="L153">
        <f>VLOOKUP($A153,ScionOutput!$A$3:$BL$215,63,FALSE)</f>
        <v>0</v>
      </c>
      <c r="M153" t="b">
        <f t="shared" si="17"/>
        <v>0</v>
      </c>
      <c r="N153">
        <f>VLOOKUP($A153,Outcomes!$B$3:$I$209,8,FALSE)</f>
        <v>8</v>
      </c>
      <c r="O153">
        <f t="shared" si="18"/>
        <v>-1</v>
      </c>
      <c r="P153">
        <f>VLOOKUP($A153,Outcomes!$B$3:$I$209,5,FALSE)</f>
        <v>2</v>
      </c>
      <c r="Q153">
        <f>VLOOKUP($A153,Outcomes!$B$3:$I$209,6,FALSE)</f>
        <v>6</v>
      </c>
      <c r="R153">
        <f>VLOOKUP($A153,Outcomes!$B$3:$I$209,7,FALSE)</f>
        <v>4</v>
      </c>
      <c r="S153" t="str">
        <f t="shared" si="19"/>
        <v>VisDog</v>
      </c>
      <c r="T153" t="str">
        <f t="shared" si="20"/>
        <v/>
      </c>
      <c r="U153" t="str">
        <f t="shared" si="16"/>
        <v/>
      </c>
      <c r="V153" t="str">
        <f t="shared" si="21"/>
        <v/>
      </c>
      <c r="W153" t="str">
        <f t="shared" si="22"/>
        <v/>
      </c>
      <c r="X153" s="2" t="str">
        <f t="shared" si="23"/>
        <v/>
      </c>
      <c r="Y153" t="str">
        <f>VLOOKUP($A153,ScionOutput!$A$3:$BL$215,64,FALSE)</f>
        <v xml:space="preserve">822721. LineStatEns probability points gap does not exceed threshold (no edge found)! StatOnlyEns probability points gap does not exceed threshold (no edge found)! No play due to strategy constraints. </v>
      </c>
    </row>
    <row r="154" spans="1:25" x14ac:dyDescent="0.2">
      <c r="A154">
        <v>823774</v>
      </c>
      <c r="B154" s="3">
        <f>VLOOKUP($A154,ScionOutput!$A$3:$BL$215,3,FALSE)</f>
        <v>46190</v>
      </c>
      <c r="C154">
        <f>VLOOKUP($A154,ScionOutput!$A$3:$BL$215,22,FALSE)</f>
        <v>17</v>
      </c>
      <c r="D154" t="str">
        <f>VLOOKUP($A154,ScionOutput!$A$3:$BL$215,23,FALSE)</f>
        <v>MLW</v>
      </c>
      <c r="E154">
        <f>VLOOKUP($A154,ScionOutput!$A$3:$BL$215,6,FALSE)</f>
        <v>7</v>
      </c>
      <c r="F154" t="str">
        <f>VLOOKUP($A154,ScionOutput!$A$3:$BL$215,7,FALSE)</f>
        <v>CLE</v>
      </c>
      <c r="G154">
        <f>VLOOKUP($A154,ScionOutput!$A$3:$BL$215,26,FALSE)</f>
        <v>-118</v>
      </c>
      <c r="H154">
        <f>VLOOKUP($A154,ScionOutput!$A$3:$BL$215,10,FALSE)</f>
        <v>107</v>
      </c>
      <c r="I154" t="str">
        <f>VLOOKUP($A154,ScionOutput!$A$3:$BL$215,58,FALSE)</f>
        <v>No Play</v>
      </c>
      <c r="J154">
        <f>VLOOKUP($A154,ScionOutput!$A$3:$BL$215,59,FALSE)</f>
        <v>0</v>
      </c>
      <c r="K154">
        <f>VLOOKUP($A154,ScionOutput!$A$3:$BL$215,62,FALSE)</f>
        <v>0</v>
      </c>
      <c r="L154">
        <f>VLOOKUP($A154,ScionOutput!$A$3:$BL$215,63,FALSE)</f>
        <v>0</v>
      </c>
      <c r="M154" t="b">
        <f t="shared" si="17"/>
        <v>0</v>
      </c>
      <c r="N154">
        <f>VLOOKUP($A154,Outcomes!$B$3:$I$209,8,FALSE)</f>
        <v>13</v>
      </c>
      <c r="O154">
        <f t="shared" si="18"/>
        <v>1</v>
      </c>
      <c r="P154">
        <f>VLOOKUP($A154,Outcomes!$B$3:$I$209,5,FALSE)</f>
        <v>9</v>
      </c>
      <c r="Q154">
        <f>VLOOKUP($A154,Outcomes!$B$3:$I$209,6,FALSE)</f>
        <v>4</v>
      </c>
      <c r="R154">
        <f>VLOOKUP($A154,Outcomes!$B$3:$I$209,7,FALSE)</f>
        <v>-5</v>
      </c>
      <c r="S154" t="str">
        <f t="shared" si="19"/>
        <v>HomFave</v>
      </c>
      <c r="T154" t="str">
        <f t="shared" si="20"/>
        <v/>
      </c>
      <c r="U154" t="str">
        <f t="shared" si="16"/>
        <v/>
      </c>
      <c r="V154" t="str">
        <f t="shared" si="21"/>
        <v/>
      </c>
      <c r="W154" t="str">
        <f t="shared" si="22"/>
        <v/>
      </c>
      <c r="X154" s="2" t="str">
        <f t="shared" si="23"/>
        <v/>
      </c>
      <c r="Y154" t="str">
        <f>VLOOKUP($A154,ScionOutput!$A$3:$BL$215,64,FALSE)</f>
        <v xml:space="preserve">823774. LineStatEns probability points gap does not exceed threshold (no edge found)! No play due to strategy constraints. </v>
      </c>
    </row>
    <row r="155" spans="1:25" x14ac:dyDescent="0.2">
      <c r="A155">
        <v>823536</v>
      </c>
      <c r="B155" s="3">
        <f>VLOOKUP($A155,ScionOutput!$A$3:$BL$215,3,FALSE)</f>
        <v>46190</v>
      </c>
      <c r="C155">
        <f>VLOOKUP($A155,ScionOutput!$A$3:$BL$215,22,FALSE)</f>
        <v>19</v>
      </c>
      <c r="D155" t="str">
        <f>VLOOKUP($A155,ScionOutput!$A$3:$BL$215,23,FALSE)</f>
        <v>NYY</v>
      </c>
      <c r="E155">
        <f>VLOOKUP($A155,ScionOutput!$A$3:$BL$215,6,FALSE)</f>
        <v>9</v>
      </c>
      <c r="F155" t="str">
        <f>VLOOKUP($A155,ScionOutput!$A$3:$BL$215,7,FALSE)</f>
        <v>CWS</v>
      </c>
      <c r="G155">
        <f>VLOOKUP($A155,ScionOutput!$A$3:$BL$215,26,FALSE)</f>
        <v>-170</v>
      </c>
      <c r="H155">
        <f>VLOOKUP($A155,ScionOutput!$A$3:$BL$215,10,FALSE)</f>
        <v>153</v>
      </c>
      <c r="I155" t="str">
        <f>VLOOKUP($A155,ScionOutput!$A$3:$BL$215,58,FALSE)</f>
        <v>No Play</v>
      </c>
      <c r="J155">
        <f>VLOOKUP($A155,ScionOutput!$A$3:$BL$215,59,FALSE)</f>
        <v>0</v>
      </c>
      <c r="K155">
        <f>VLOOKUP($A155,ScionOutput!$A$3:$BL$215,62,FALSE)</f>
        <v>0</v>
      </c>
      <c r="L155">
        <f>VLOOKUP($A155,ScionOutput!$A$3:$BL$215,63,FALSE)</f>
        <v>0</v>
      </c>
      <c r="M155" t="b">
        <f t="shared" si="17"/>
        <v>0</v>
      </c>
      <c r="N155">
        <f>VLOOKUP($A155,Outcomes!$B$3:$I$209,8,FALSE)</f>
        <v>15</v>
      </c>
      <c r="O155">
        <f t="shared" si="18"/>
        <v>1</v>
      </c>
      <c r="P155">
        <f>VLOOKUP($A155,Outcomes!$B$3:$I$209,5,FALSE)</f>
        <v>10</v>
      </c>
      <c r="Q155">
        <f>VLOOKUP($A155,Outcomes!$B$3:$I$209,6,FALSE)</f>
        <v>5</v>
      </c>
      <c r="R155">
        <f>VLOOKUP($A155,Outcomes!$B$3:$I$209,7,FALSE)</f>
        <v>-5</v>
      </c>
      <c r="S155" t="str">
        <f t="shared" si="19"/>
        <v>HomFave</v>
      </c>
      <c r="T155" t="str">
        <f t="shared" si="20"/>
        <v/>
      </c>
      <c r="U155" t="str">
        <f t="shared" si="16"/>
        <v/>
      </c>
      <c r="V155" t="str">
        <f t="shared" si="21"/>
        <v/>
      </c>
      <c r="W155" t="str">
        <f t="shared" si="22"/>
        <v/>
      </c>
      <c r="X155" s="2" t="str">
        <f t="shared" si="23"/>
        <v/>
      </c>
      <c r="Y155" t="str">
        <f>VLOOKUP($A155,ScionOutput!$A$3:$BL$215,64,FALSE)</f>
        <v xml:space="preserve">823536. LineStatEns is NoPlay as bookie-line outside range. StatOnlyEns is NoPlay as bookie-line outside range. No play due to strategy constraints. </v>
      </c>
    </row>
    <row r="156" spans="1:25" x14ac:dyDescent="0.2">
      <c r="A156">
        <v>824992</v>
      </c>
      <c r="B156" s="3">
        <f>VLOOKUP($A156,ScionOutput!$A$3:$BL$215,3,FALSE)</f>
        <v>46190</v>
      </c>
      <c r="C156">
        <f>VLOOKUP($A156,ScionOutput!$A$3:$BL$215,22,FALSE)</f>
        <v>20</v>
      </c>
      <c r="D156" t="str">
        <f>VLOOKUP($A156,ScionOutput!$A$3:$BL$215,23,FALSE)</f>
        <v>OAK</v>
      </c>
      <c r="E156">
        <f>VLOOKUP($A156,ScionOutput!$A$3:$BL$215,6,FALSE)</f>
        <v>22</v>
      </c>
      <c r="F156" t="str">
        <f>VLOOKUP($A156,ScionOutput!$A$3:$BL$215,7,FALSE)</f>
        <v>PIT</v>
      </c>
      <c r="G156">
        <f>VLOOKUP($A156,ScionOutput!$A$3:$BL$215,26,FALSE)</f>
        <v>104</v>
      </c>
      <c r="H156">
        <f>VLOOKUP($A156,ScionOutput!$A$3:$BL$215,10,FALSE)</f>
        <v>-114</v>
      </c>
      <c r="I156" t="str">
        <f>VLOOKUP($A156,ScionOutput!$A$3:$BL$215,58,FALSE)</f>
        <v>HomDog</v>
      </c>
      <c r="J156">
        <f>VLOOKUP($A156,ScionOutput!$A$3:$BL$215,59,FALSE)</f>
        <v>2.078E-2</v>
      </c>
      <c r="K156">
        <f>VLOOKUP($A156,ScionOutput!$A$3:$BL$215,62,FALSE)</f>
        <v>5</v>
      </c>
      <c r="L156">
        <f>VLOOKUP($A156,ScionOutput!$A$3:$BL$215,63,FALSE)</f>
        <v>0.53</v>
      </c>
      <c r="M156" t="b">
        <f t="shared" si="17"/>
        <v>1</v>
      </c>
      <c r="N156">
        <f>VLOOKUP($A156,Outcomes!$B$3:$I$209,8,FALSE)</f>
        <v>16</v>
      </c>
      <c r="O156">
        <f t="shared" si="18"/>
        <v>-1</v>
      </c>
      <c r="P156">
        <f>VLOOKUP($A156,Outcomes!$B$3:$I$209,5,FALSE)</f>
        <v>4</v>
      </c>
      <c r="Q156">
        <f>VLOOKUP($A156,Outcomes!$B$3:$I$209,6,FALSE)</f>
        <v>12</v>
      </c>
      <c r="R156">
        <f>VLOOKUP($A156,Outcomes!$B$3:$I$209,7,FALSE)</f>
        <v>8</v>
      </c>
      <c r="S156" t="str">
        <f t="shared" si="19"/>
        <v>VisFave</v>
      </c>
      <c r="T156">
        <f t="shared" si="20"/>
        <v>0</v>
      </c>
      <c r="U156">
        <f t="shared" si="16"/>
        <v>100</v>
      </c>
      <c r="V156">
        <f t="shared" si="21"/>
        <v>0</v>
      </c>
      <c r="W156">
        <f t="shared" si="22"/>
        <v>-100</v>
      </c>
      <c r="X156" s="2">
        <f t="shared" si="23"/>
        <v>-1</v>
      </c>
      <c r="Y156" t="str">
        <f>VLOOKUP($A156,ScionOutput!$A$3:$BL$215,64,FALSE)</f>
        <v xml:space="preserve">824992. Play determined by LineStatEns and StatOnlyEns agreement. </v>
      </c>
    </row>
    <row r="157" spans="1:25" x14ac:dyDescent="0.2">
      <c r="A157">
        <v>823450</v>
      </c>
      <c r="B157" s="3">
        <f>VLOOKUP($A157,ScionOutput!$A$3:$BL$215,3,FALSE)</f>
        <v>46190</v>
      </c>
      <c r="C157">
        <f>VLOOKUP($A157,ScionOutput!$A$3:$BL$215,22,FALSE)</f>
        <v>21</v>
      </c>
      <c r="D157" t="str">
        <f>VLOOKUP($A157,ScionOutput!$A$3:$BL$215,23,FALSE)</f>
        <v>PHI</v>
      </c>
      <c r="E157">
        <f>VLOOKUP($A157,ScionOutput!$A$3:$BL$215,6,FALSE)</f>
        <v>11</v>
      </c>
      <c r="F157" t="str">
        <f>VLOOKUP($A157,ScionOutput!$A$3:$BL$215,7,FALSE)</f>
        <v>FLO</v>
      </c>
      <c r="G157">
        <f>VLOOKUP($A157,ScionOutput!$A$3:$BL$215,26,FALSE)</f>
        <v>-111</v>
      </c>
      <c r="H157">
        <f>VLOOKUP($A157,ScionOutput!$A$3:$BL$215,10,FALSE)</f>
        <v>100</v>
      </c>
      <c r="I157" t="str">
        <f>VLOOKUP($A157,ScionOutput!$A$3:$BL$215,58,FALSE)</f>
        <v>HomFave</v>
      </c>
      <c r="J157">
        <f>VLOOKUP($A157,ScionOutput!$A$3:$BL$215,59,FALSE)</f>
        <v>7.3000000000000001E-3</v>
      </c>
      <c r="K157">
        <f>VLOOKUP($A157,ScionOutput!$A$3:$BL$215,62,FALSE)</f>
        <v>3</v>
      </c>
      <c r="L157">
        <f>VLOOKUP($A157,ScionOutput!$A$3:$BL$215,63,FALSE)</f>
        <v>0.93</v>
      </c>
      <c r="M157" t="b">
        <f t="shared" si="17"/>
        <v>0</v>
      </c>
      <c r="N157">
        <f>VLOOKUP($A157,Outcomes!$B$3:$I$209,8,FALSE)</f>
        <v>16</v>
      </c>
      <c r="O157">
        <f t="shared" si="18"/>
        <v>-1</v>
      </c>
      <c r="P157">
        <f>VLOOKUP($A157,Outcomes!$B$3:$I$209,5,FALSE)</f>
        <v>4</v>
      </c>
      <c r="Q157">
        <f>VLOOKUP($A157,Outcomes!$B$3:$I$209,6,FALSE)</f>
        <v>12</v>
      </c>
      <c r="R157">
        <f>VLOOKUP($A157,Outcomes!$B$3:$I$209,7,FALSE)</f>
        <v>8</v>
      </c>
      <c r="S157" t="str">
        <f t="shared" si="19"/>
        <v>VisDog</v>
      </c>
      <c r="T157" t="str">
        <f t="shared" si="20"/>
        <v/>
      </c>
      <c r="U157" t="str">
        <f t="shared" si="16"/>
        <v/>
      </c>
      <c r="V157" t="str">
        <f t="shared" si="21"/>
        <v/>
      </c>
      <c r="W157" t="str">
        <f t="shared" si="22"/>
        <v/>
      </c>
      <c r="X157" s="2" t="str">
        <f t="shared" si="23"/>
        <v/>
      </c>
      <c r="Y157" t="str">
        <f>VLOOKUP($A157,ScionOutput!$A$3:$BL$215,64,FALSE)</f>
        <v xml:space="preserve">823450. StatOnlyEns probability points gap does not exceed threshold (no edge found)! Play determined by LineStatEns only. </v>
      </c>
    </row>
    <row r="158" spans="1:25" x14ac:dyDescent="0.2">
      <c r="A158">
        <v>823127</v>
      </c>
      <c r="B158" s="3">
        <f>VLOOKUP($A158,ScionOutput!$A$3:$BL$215,3,FALSE)</f>
        <v>46190</v>
      </c>
      <c r="C158">
        <f>VLOOKUP($A158,ScionOutput!$A$3:$BL$215,22,FALSE)</f>
        <v>24</v>
      </c>
      <c r="D158" t="str">
        <f>VLOOKUP($A158,ScionOutput!$A$3:$BL$215,23,FALSE)</f>
        <v>SEA</v>
      </c>
      <c r="E158">
        <f>VLOOKUP($A158,ScionOutput!$A$3:$BL$215,6,FALSE)</f>
        <v>2</v>
      </c>
      <c r="F158" t="str">
        <f>VLOOKUP($A158,ScionOutput!$A$3:$BL$215,7,FALSE)</f>
        <v>BAL</v>
      </c>
      <c r="G158">
        <f>VLOOKUP($A158,ScionOutput!$A$3:$BL$215,26,FALSE)</f>
        <v>-139</v>
      </c>
      <c r="H158">
        <f>VLOOKUP($A158,ScionOutput!$A$3:$BL$215,10,FALSE)</f>
        <v>126</v>
      </c>
      <c r="I158" t="str">
        <f>VLOOKUP($A158,ScionOutput!$A$3:$BL$215,58,FALSE)</f>
        <v>No Play</v>
      </c>
      <c r="J158">
        <f>VLOOKUP($A158,ScionOutput!$A$3:$BL$215,59,FALSE)</f>
        <v>0</v>
      </c>
      <c r="K158">
        <f>VLOOKUP($A158,ScionOutput!$A$3:$BL$215,62,FALSE)</f>
        <v>0</v>
      </c>
      <c r="L158">
        <f>VLOOKUP($A158,ScionOutput!$A$3:$BL$215,63,FALSE)</f>
        <v>0</v>
      </c>
      <c r="M158" t="b">
        <f t="shared" si="17"/>
        <v>0</v>
      </c>
      <c r="N158">
        <f>VLOOKUP($A158,Outcomes!$B$3:$I$209,8,FALSE)</f>
        <v>8</v>
      </c>
      <c r="O158">
        <f t="shared" si="18"/>
        <v>-1</v>
      </c>
      <c r="P158">
        <f>VLOOKUP($A158,Outcomes!$B$3:$I$209,5,FALSE)</f>
        <v>3</v>
      </c>
      <c r="Q158">
        <f>VLOOKUP($A158,Outcomes!$B$3:$I$209,6,FALSE)</f>
        <v>5</v>
      </c>
      <c r="R158">
        <f>VLOOKUP($A158,Outcomes!$B$3:$I$209,7,FALSE)</f>
        <v>2</v>
      </c>
      <c r="S158" t="str">
        <f t="shared" si="19"/>
        <v>VisDog</v>
      </c>
      <c r="T158" t="str">
        <f t="shared" si="20"/>
        <v/>
      </c>
      <c r="U158" t="str">
        <f t="shared" si="16"/>
        <v/>
      </c>
      <c r="V158" t="str">
        <f t="shared" si="21"/>
        <v/>
      </c>
      <c r="W158" t="str">
        <f t="shared" si="22"/>
        <v/>
      </c>
      <c r="X158" s="2" t="str">
        <f t="shared" si="23"/>
        <v/>
      </c>
      <c r="Y158" t="str">
        <f>VLOOKUP($A158,ScionOutput!$A$3:$BL$215,64,FALSE)</f>
        <v xml:space="preserve">823127. LineStatEns probability points gap does not exceed threshold (no edge found)! StatOnlyEns probability points gap does not exceed threshold (no edge found)! No play due to strategy constraints. </v>
      </c>
    </row>
    <row r="159" spans="1:25" x14ac:dyDescent="0.2">
      <c r="A159">
        <v>823044</v>
      </c>
      <c r="B159" s="3">
        <f>VLOOKUP($A159,ScionOutput!$A$3:$BL$215,3,FALSE)</f>
        <v>46190</v>
      </c>
      <c r="C159">
        <f>VLOOKUP($A159,ScionOutput!$A$3:$BL$215,22,FALSE)</f>
        <v>26</v>
      </c>
      <c r="D159" t="str">
        <f>VLOOKUP($A159,ScionOutput!$A$3:$BL$215,23,FALSE)</f>
        <v>STL</v>
      </c>
      <c r="E159">
        <f>VLOOKUP($A159,ScionOutput!$A$3:$BL$215,6,FALSE)</f>
        <v>23</v>
      </c>
      <c r="F159" t="str">
        <f>VLOOKUP($A159,ScionOutput!$A$3:$BL$215,7,FALSE)</f>
        <v>SD</v>
      </c>
      <c r="G159">
        <f>VLOOKUP($A159,ScionOutput!$A$3:$BL$215,26,FALSE)</f>
        <v>-124</v>
      </c>
      <c r="H159">
        <f>VLOOKUP($A159,ScionOutput!$A$3:$BL$215,10,FALSE)</f>
        <v>112</v>
      </c>
      <c r="I159" t="str">
        <f>VLOOKUP($A159,ScionOutput!$A$3:$BL$215,58,FALSE)</f>
        <v>No Play</v>
      </c>
      <c r="J159">
        <f>VLOOKUP($A159,ScionOutput!$A$3:$BL$215,59,FALSE)</f>
        <v>0</v>
      </c>
      <c r="K159">
        <f>VLOOKUP($A159,ScionOutput!$A$3:$BL$215,62,FALSE)</f>
        <v>0</v>
      </c>
      <c r="L159">
        <f>VLOOKUP($A159,ScionOutput!$A$3:$BL$215,63,FALSE)</f>
        <v>0</v>
      </c>
      <c r="M159" t="b">
        <f t="shared" si="17"/>
        <v>0</v>
      </c>
      <c r="N159">
        <f>VLOOKUP($A159,Outcomes!$B$3:$I$209,8,FALSE)</f>
        <v>7</v>
      </c>
      <c r="O159">
        <f t="shared" si="18"/>
        <v>-1</v>
      </c>
      <c r="P159">
        <f>VLOOKUP($A159,Outcomes!$B$3:$I$209,5,FALSE)</f>
        <v>1</v>
      </c>
      <c r="Q159">
        <f>VLOOKUP($A159,Outcomes!$B$3:$I$209,6,FALSE)</f>
        <v>6</v>
      </c>
      <c r="R159">
        <f>VLOOKUP($A159,Outcomes!$B$3:$I$209,7,FALSE)</f>
        <v>5</v>
      </c>
      <c r="S159" t="str">
        <f t="shared" si="19"/>
        <v>VisDog</v>
      </c>
      <c r="T159" t="str">
        <f t="shared" si="20"/>
        <v/>
      </c>
      <c r="U159" t="str">
        <f t="shared" si="16"/>
        <v/>
      </c>
      <c r="V159" t="str">
        <f t="shared" si="21"/>
        <v/>
      </c>
      <c r="W159" t="str">
        <f t="shared" si="22"/>
        <v/>
      </c>
      <c r="X159" s="2" t="str">
        <f t="shared" si="23"/>
        <v/>
      </c>
      <c r="Y159" t="str">
        <f>VLOOKUP($A159,ScionOutput!$A$3:$BL$215,64,FALSE)</f>
        <v xml:space="preserve">823044. LineStatEns probability points gap does not exceed threshold (no edge found)! StatOnlyEns probability points gap does not exceed threshold (no edge found)! No play due to strategy constraints. </v>
      </c>
    </row>
    <row r="160" spans="1:25" x14ac:dyDescent="0.2">
      <c r="A160">
        <v>824748</v>
      </c>
      <c r="B160" s="3">
        <f>VLOOKUP($A160,ScionOutput!$A$3:$BL$215,3,FALSE)</f>
        <v>46191</v>
      </c>
      <c r="C160">
        <f>VLOOKUP($A160,ScionOutput!$A$3:$BL$215,22,FALSE)</f>
        <v>3</v>
      </c>
      <c r="D160" t="str">
        <f>VLOOKUP($A160,ScionOutput!$A$3:$BL$215,23,FALSE)</f>
        <v>BOS</v>
      </c>
      <c r="E160">
        <f>VLOOKUP($A160,ScionOutput!$A$3:$BL$215,6,FALSE)</f>
        <v>29</v>
      </c>
      <c r="F160" t="str">
        <f>VLOOKUP($A160,ScionOutput!$A$3:$BL$215,7,FALSE)</f>
        <v>TOR</v>
      </c>
      <c r="G160">
        <f>VLOOKUP($A160,ScionOutput!$A$3:$BL$215,26,FALSE)</f>
        <v>-131</v>
      </c>
      <c r="H160">
        <f>VLOOKUP($A160,ScionOutput!$A$3:$BL$215,10,FALSE)</f>
        <v>120</v>
      </c>
      <c r="I160" t="str">
        <f>VLOOKUP($A160,ScionOutput!$A$3:$BL$215,58,FALSE)</f>
        <v>No Play</v>
      </c>
      <c r="J160">
        <f>VLOOKUP($A160,ScionOutput!$A$3:$BL$215,59,FALSE)</f>
        <v>0</v>
      </c>
      <c r="K160">
        <f>VLOOKUP($A160,ScionOutput!$A$3:$BL$215,62,FALSE)</f>
        <v>0</v>
      </c>
      <c r="L160">
        <f>VLOOKUP($A160,ScionOutput!$A$3:$BL$215,63,FALSE)</f>
        <v>0</v>
      </c>
      <c r="M160" t="b">
        <f t="shared" si="17"/>
        <v>0</v>
      </c>
      <c r="N160">
        <f>VLOOKUP($A160,Outcomes!$B$3:$I$209,8,FALSE)</f>
        <v>7</v>
      </c>
      <c r="O160">
        <f t="shared" si="18"/>
        <v>-1</v>
      </c>
      <c r="P160">
        <f>VLOOKUP($A160,Outcomes!$B$3:$I$209,5,FALSE)</f>
        <v>3</v>
      </c>
      <c r="Q160">
        <f>VLOOKUP($A160,Outcomes!$B$3:$I$209,6,FALSE)</f>
        <v>4</v>
      </c>
      <c r="R160">
        <f>VLOOKUP($A160,Outcomes!$B$3:$I$209,7,FALSE)</f>
        <v>1</v>
      </c>
      <c r="S160" t="str">
        <f t="shared" si="19"/>
        <v>VisDog</v>
      </c>
      <c r="T160" t="str">
        <f t="shared" si="20"/>
        <v/>
      </c>
      <c r="U160" t="str">
        <f t="shared" si="16"/>
        <v/>
      </c>
      <c r="V160" t="str">
        <f t="shared" si="21"/>
        <v/>
      </c>
      <c r="W160" t="str">
        <f t="shared" si="22"/>
        <v/>
      </c>
      <c r="X160" s="2" t="str">
        <f t="shared" si="23"/>
        <v/>
      </c>
      <c r="Y160" t="str">
        <f>VLOOKUP($A160,ScionOutput!$A$3:$BL$215,64,FALSE)</f>
        <v xml:space="preserve">824748. LineStatEns probability points gap does not exceed threshold (no edge found)! No play due to strategy constraints. </v>
      </c>
    </row>
    <row r="161" spans="1:25" x14ac:dyDescent="0.2">
      <c r="A161">
        <v>824098</v>
      </c>
      <c r="B161" s="3">
        <f>VLOOKUP($A161,ScionOutput!$A$3:$BL$215,3,FALSE)</f>
        <v>46191</v>
      </c>
      <c r="C161">
        <f>VLOOKUP($A161,ScionOutput!$A$3:$BL$215,22,FALSE)</f>
        <v>13</v>
      </c>
      <c r="D161" t="str">
        <f>VLOOKUP($A161,ScionOutput!$A$3:$BL$215,23,FALSE)</f>
        <v>KC</v>
      </c>
      <c r="E161">
        <f>VLOOKUP($A161,ScionOutput!$A$3:$BL$215,6,FALSE)</f>
        <v>26</v>
      </c>
      <c r="F161" t="str">
        <f>VLOOKUP($A161,ScionOutput!$A$3:$BL$215,7,FALSE)</f>
        <v>STL</v>
      </c>
      <c r="G161">
        <f>VLOOKUP($A161,ScionOutput!$A$3:$BL$215,26,FALSE)</f>
        <v>-111</v>
      </c>
      <c r="H161">
        <f>VLOOKUP($A161,ScionOutput!$A$3:$BL$215,10,FALSE)</f>
        <v>103</v>
      </c>
      <c r="I161" t="str">
        <f>VLOOKUP($A161,ScionOutput!$A$3:$BL$215,58,FALSE)</f>
        <v>No Play</v>
      </c>
      <c r="J161">
        <f>VLOOKUP($A161,ScionOutput!$A$3:$BL$215,59,FALSE)</f>
        <v>0</v>
      </c>
      <c r="K161">
        <f>VLOOKUP($A161,ScionOutput!$A$3:$BL$215,62,FALSE)</f>
        <v>0</v>
      </c>
      <c r="L161">
        <f>VLOOKUP($A161,ScionOutput!$A$3:$BL$215,63,FALSE)</f>
        <v>0</v>
      </c>
      <c r="M161" t="b">
        <f t="shared" si="17"/>
        <v>0</v>
      </c>
      <c r="N161">
        <f>VLOOKUP($A161,Outcomes!$B$3:$I$209,8,FALSE)</f>
        <v>20</v>
      </c>
      <c r="O161">
        <f t="shared" si="18"/>
        <v>1</v>
      </c>
      <c r="P161">
        <f>VLOOKUP($A161,Outcomes!$B$3:$I$209,5,FALSE)</f>
        <v>14</v>
      </c>
      <c r="Q161">
        <f>VLOOKUP($A161,Outcomes!$B$3:$I$209,6,FALSE)</f>
        <v>6</v>
      </c>
      <c r="R161">
        <f>VLOOKUP($A161,Outcomes!$B$3:$I$209,7,FALSE)</f>
        <v>-8</v>
      </c>
      <c r="S161" t="str">
        <f t="shared" si="19"/>
        <v>HomFave</v>
      </c>
      <c r="T161" t="str">
        <f t="shared" si="20"/>
        <v/>
      </c>
      <c r="U161" t="str">
        <f t="shared" si="16"/>
        <v/>
      </c>
      <c r="V161" t="str">
        <f t="shared" si="21"/>
        <v/>
      </c>
      <c r="W161" t="str">
        <f t="shared" si="22"/>
        <v/>
      </c>
      <c r="X161" s="2" t="str">
        <f t="shared" si="23"/>
        <v/>
      </c>
      <c r="Y161" t="str">
        <f>VLOOKUP($A161,ScionOutput!$A$3:$BL$215,64,FALSE)</f>
        <v xml:space="preserve">824098. LineStatEns probability points gap does not exceed threshold (no edge found)! No play due to strategy constraints. </v>
      </c>
    </row>
    <row r="162" spans="1:25" x14ac:dyDescent="0.2">
      <c r="A162">
        <v>823772</v>
      </c>
      <c r="B162" s="3">
        <f>VLOOKUP($A162,ScionOutput!$A$3:$BL$215,3,FALSE)</f>
        <v>46191</v>
      </c>
      <c r="C162">
        <f>VLOOKUP($A162,ScionOutput!$A$3:$BL$215,22,FALSE)</f>
        <v>17</v>
      </c>
      <c r="D162" t="str">
        <f>VLOOKUP($A162,ScionOutput!$A$3:$BL$215,23,FALSE)</f>
        <v>MLW</v>
      </c>
      <c r="E162">
        <f>VLOOKUP($A162,ScionOutput!$A$3:$BL$215,6,FALSE)</f>
        <v>7</v>
      </c>
      <c r="F162" t="str">
        <f>VLOOKUP($A162,ScionOutput!$A$3:$BL$215,7,FALSE)</f>
        <v>CLE</v>
      </c>
      <c r="G162">
        <f>VLOOKUP($A162,ScionOutput!$A$3:$BL$215,26,FALSE)</f>
        <v>-138</v>
      </c>
      <c r="H162">
        <f>VLOOKUP($A162,ScionOutput!$A$3:$BL$215,10,FALSE)</f>
        <v>127</v>
      </c>
      <c r="I162" t="str">
        <f>VLOOKUP($A162,ScionOutput!$A$3:$BL$215,58,FALSE)</f>
        <v>No Play</v>
      </c>
      <c r="J162">
        <f>VLOOKUP($A162,ScionOutput!$A$3:$BL$215,59,FALSE)</f>
        <v>0</v>
      </c>
      <c r="K162">
        <f>VLOOKUP($A162,ScionOutput!$A$3:$BL$215,62,FALSE)</f>
        <v>0</v>
      </c>
      <c r="L162">
        <f>VLOOKUP($A162,ScionOutput!$A$3:$BL$215,63,FALSE)</f>
        <v>0</v>
      </c>
      <c r="M162" t="b">
        <f t="shared" si="17"/>
        <v>0</v>
      </c>
      <c r="N162">
        <f>VLOOKUP($A162,Outcomes!$B$3:$I$209,8,FALSE)</f>
        <v>6</v>
      </c>
      <c r="O162">
        <f t="shared" si="18"/>
        <v>-1</v>
      </c>
      <c r="P162">
        <f>VLOOKUP($A162,Outcomes!$B$3:$I$209,5,FALSE)</f>
        <v>2</v>
      </c>
      <c r="Q162">
        <f>VLOOKUP($A162,Outcomes!$B$3:$I$209,6,FALSE)</f>
        <v>4</v>
      </c>
      <c r="R162">
        <f>VLOOKUP($A162,Outcomes!$B$3:$I$209,7,FALSE)</f>
        <v>2</v>
      </c>
      <c r="S162" t="str">
        <f t="shared" si="19"/>
        <v>VisDog</v>
      </c>
      <c r="T162" t="str">
        <f t="shared" si="20"/>
        <v/>
      </c>
      <c r="U162" t="str">
        <f t="shared" si="16"/>
        <v/>
      </c>
      <c r="V162" t="str">
        <f t="shared" si="21"/>
        <v/>
      </c>
      <c r="W162" t="str">
        <f t="shared" si="22"/>
        <v/>
      </c>
      <c r="X162" s="2" t="str">
        <f t="shared" si="23"/>
        <v/>
      </c>
      <c r="Y162" t="str">
        <f>VLOOKUP($A162,ScionOutput!$A$3:$BL$215,64,FALSE)</f>
        <v xml:space="preserve">823772. LineStatEns probability points gap does not exceed threshold (no edge found)! StatOnlyEns probability points gap does not exceed threshold (no edge found)! No play due to strategy constraints. </v>
      </c>
    </row>
    <row r="163" spans="1:25" x14ac:dyDescent="0.2">
      <c r="A163">
        <v>823533</v>
      </c>
      <c r="B163" s="3">
        <f>VLOOKUP($A163,ScionOutput!$A$3:$BL$215,3,FALSE)</f>
        <v>46191</v>
      </c>
      <c r="C163">
        <f>VLOOKUP($A163,ScionOutput!$A$3:$BL$215,22,FALSE)</f>
        <v>19</v>
      </c>
      <c r="D163" t="str">
        <f>VLOOKUP($A163,ScionOutput!$A$3:$BL$215,23,FALSE)</f>
        <v>NYY</v>
      </c>
      <c r="E163">
        <f>VLOOKUP($A163,ScionOutput!$A$3:$BL$215,6,FALSE)</f>
        <v>9</v>
      </c>
      <c r="F163" t="str">
        <f>VLOOKUP($A163,ScionOutput!$A$3:$BL$215,7,FALSE)</f>
        <v>CWS</v>
      </c>
      <c r="G163">
        <f>VLOOKUP($A163,ScionOutput!$A$3:$BL$215,26,FALSE)</f>
        <v>-157</v>
      </c>
      <c r="H163">
        <f>VLOOKUP($A163,ScionOutput!$A$3:$BL$215,10,FALSE)</f>
        <v>144</v>
      </c>
      <c r="I163" t="str">
        <f>VLOOKUP($A163,ScionOutput!$A$3:$BL$215,58,FALSE)</f>
        <v>No Play</v>
      </c>
      <c r="J163">
        <f>VLOOKUP($A163,ScionOutput!$A$3:$BL$215,59,FALSE)</f>
        <v>0</v>
      </c>
      <c r="K163">
        <f>VLOOKUP($A163,ScionOutput!$A$3:$BL$215,62,FALSE)</f>
        <v>0</v>
      </c>
      <c r="L163">
        <f>VLOOKUP($A163,ScionOutput!$A$3:$BL$215,63,FALSE)</f>
        <v>0</v>
      </c>
      <c r="M163" t="b">
        <f t="shared" si="17"/>
        <v>0</v>
      </c>
      <c r="N163">
        <f>VLOOKUP($A163,Outcomes!$B$3:$I$209,8,FALSE)</f>
        <v>6</v>
      </c>
      <c r="O163">
        <f t="shared" si="18"/>
        <v>-1</v>
      </c>
      <c r="P163">
        <f>VLOOKUP($A163,Outcomes!$B$3:$I$209,5,FALSE)</f>
        <v>1</v>
      </c>
      <c r="Q163">
        <f>VLOOKUP($A163,Outcomes!$B$3:$I$209,6,FALSE)</f>
        <v>5</v>
      </c>
      <c r="R163">
        <f>VLOOKUP($A163,Outcomes!$B$3:$I$209,7,FALSE)</f>
        <v>4</v>
      </c>
      <c r="S163" t="str">
        <f t="shared" si="19"/>
        <v>VisDog</v>
      </c>
      <c r="T163" t="str">
        <f t="shared" si="20"/>
        <v/>
      </c>
      <c r="U163" t="str">
        <f t="shared" si="16"/>
        <v/>
      </c>
      <c r="V163" t="str">
        <f t="shared" si="21"/>
        <v/>
      </c>
      <c r="W163" t="str">
        <f t="shared" si="22"/>
        <v/>
      </c>
      <c r="X163" s="2" t="str">
        <f t="shared" si="23"/>
        <v/>
      </c>
      <c r="Y163" t="str">
        <f>VLOOKUP($A163,ScionOutput!$A$3:$BL$215,64,FALSE)</f>
        <v xml:space="preserve">823533. LineStatEns is NoPlay as bookie-line outside range. StatOnlyEns is NoPlay as bookie-line outside range. No play due to strategy constraints. </v>
      </c>
    </row>
    <row r="164" spans="1:25" x14ac:dyDescent="0.2">
      <c r="A164">
        <v>824989</v>
      </c>
      <c r="B164" s="3">
        <f>VLOOKUP($A164,ScionOutput!$A$3:$BL$215,3,FALSE)</f>
        <v>46191</v>
      </c>
      <c r="C164">
        <f>VLOOKUP($A164,ScionOutput!$A$3:$BL$215,22,FALSE)</f>
        <v>20</v>
      </c>
      <c r="D164" t="str">
        <f>VLOOKUP($A164,ScionOutput!$A$3:$BL$215,23,FALSE)</f>
        <v>OAK</v>
      </c>
      <c r="E164">
        <f>VLOOKUP($A164,ScionOutput!$A$3:$BL$215,6,FALSE)</f>
        <v>4</v>
      </c>
      <c r="F164" t="str">
        <f>VLOOKUP($A164,ScionOutput!$A$3:$BL$215,7,FALSE)</f>
        <v>LAA</v>
      </c>
      <c r="G164">
        <f>VLOOKUP($A164,ScionOutput!$A$3:$BL$215,26,FALSE)</f>
        <v>-133</v>
      </c>
      <c r="H164">
        <f>VLOOKUP($A164,ScionOutput!$A$3:$BL$215,10,FALSE)</f>
        <v>123</v>
      </c>
      <c r="I164" t="str">
        <f>VLOOKUP($A164,ScionOutput!$A$3:$BL$215,58,FALSE)</f>
        <v>No Play</v>
      </c>
      <c r="J164">
        <f>VLOOKUP($A164,ScionOutput!$A$3:$BL$215,59,FALSE)</f>
        <v>0</v>
      </c>
      <c r="K164">
        <f>VLOOKUP($A164,ScionOutput!$A$3:$BL$215,62,FALSE)</f>
        <v>0</v>
      </c>
      <c r="L164">
        <f>VLOOKUP($A164,ScionOutput!$A$3:$BL$215,63,FALSE)</f>
        <v>0</v>
      </c>
      <c r="M164" t="b">
        <f t="shared" si="17"/>
        <v>0</v>
      </c>
      <c r="N164">
        <f>VLOOKUP($A164,Outcomes!$B$3:$I$209,8,FALSE)</f>
        <v>5</v>
      </c>
      <c r="O164">
        <f t="shared" si="18"/>
        <v>1</v>
      </c>
      <c r="P164">
        <f>VLOOKUP($A164,Outcomes!$B$3:$I$209,5,FALSE)</f>
        <v>5</v>
      </c>
      <c r="Q164">
        <f>VLOOKUP($A164,Outcomes!$B$3:$I$209,6,FALSE)</f>
        <v>0</v>
      </c>
      <c r="R164">
        <f>VLOOKUP($A164,Outcomes!$B$3:$I$209,7,FALSE)</f>
        <v>-5</v>
      </c>
      <c r="S164" t="str">
        <f t="shared" si="19"/>
        <v>HomFave</v>
      </c>
      <c r="T164" t="str">
        <f t="shared" si="20"/>
        <v/>
      </c>
      <c r="U164" t="str">
        <f t="shared" si="16"/>
        <v/>
      </c>
      <c r="V164" t="str">
        <f t="shared" si="21"/>
        <v/>
      </c>
      <c r="W164" t="str">
        <f t="shared" si="22"/>
        <v/>
      </c>
      <c r="X164" s="2" t="str">
        <f t="shared" si="23"/>
        <v/>
      </c>
      <c r="Y164" t="str">
        <f>VLOOKUP($A164,ScionOutput!$A$3:$BL$215,64,FALSE)</f>
        <v xml:space="preserve">824989. LineStatEns probability points gap does not exceed threshold (no edge found)! No play due to strategy constraints. </v>
      </c>
    </row>
    <row r="165" spans="1:25" x14ac:dyDescent="0.2">
      <c r="A165">
        <v>823448</v>
      </c>
      <c r="B165" s="3">
        <f>VLOOKUP($A165,ScionOutput!$A$3:$BL$215,3,FALSE)</f>
        <v>46191</v>
      </c>
      <c r="C165">
        <f>VLOOKUP($A165,ScionOutput!$A$3:$BL$215,22,FALSE)</f>
        <v>21</v>
      </c>
      <c r="D165" t="str">
        <f>VLOOKUP($A165,ScionOutput!$A$3:$BL$215,23,FALSE)</f>
        <v>PHI</v>
      </c>
      <c r="E165">
        <f>VLOOKUP($A165,ScionOutput!$A$3:$BL$215,6,FALSE)</f>
        <v>18</v>
      </c>
      <c r="F165" t="str">
        <f>VLOOKUP($A165,ScionOutput!$A$3:$BL$215,7,FALSE)</f>
        <v>NYM</v>
      </c>
      <c r="G165">
        <f>VLOOKUP($A165,ScionOutput!$A$3:$BL$215,26,FALSE)</f>
        <v>-114</v>
      </c>
      <c r="H165">
        <f>VLOOKUP($A165,ScionOutput!$A$3:$BL$215,10,FALSE)</f>
        <v>105</v>
      </c>
      <c r="I165" t="str">
        <f>VLOOKUP($A165,ScionOutput!$A$3:$BL$215,58,FALSE)</f>
        <v>VisDog</v>
      </c>
      <c r="J165">
        <f>VLOOKUP($A165,ScionOutput!$A$3:$BL$215,59,FALSE)</f>
        <v>-4.2000000000000003E-2</v>
      </c>
      <c r="K165">
        <f>VLOOKUP($A165,ScionOutput!$A$3:$BL$215,62,FALSE)</f>
        <v>3</v>
      </c>
      <c r="L165">
        <f>VLOOKUP($A165,ScionOutput!$A$3:$BL$215,63,FALSE)</f>
        <v>0.67</v>
      </c>
      <c r="M165" t="b">
        <f t="shared" si="17"/>
        <v>0</v>
      </c>
      <c r="N165">
        <f>VLOOKUP($A165,Outcomes!$B$3:$I$209,8,FALSE)</f>
        <v>10</v>
      </c>
      <c r="O165">
        <f t="shared" si="18"/>
        <v>-1</v>
      </c>
      <c r="P165">
        <f>VLOOKUP($A165,Outcomes!$B$3:$I$209,5,FALSE)</f>
        <v>4</v>
      </c>
      <c r="Q165">
        <f>VLOOKUP($A165,Outcomes!$B$3:$I$209,6,FALSE)</f>
        <v>6</v>
      </c>
      <c r="R165">
        <f>VLOOKUP($A165,Outcomes!$B$3:$I$209,7,FALSE)</f>
        <v>2</v>
      </c>
      <c r="S165" t="str">
        <f t="shared" si="19"/>
        <v>VisDog</v>
      </c>
      <c r="T165" t="str">
        <f t="shared" si="20"/>
        <v/>
      </c>
      <c r="U165" t="str">
        <f t="shared" si="16"/>
        <v/>
      </c>
      <c r="V165" t="str">
        <f t="shared" si="21"/>
        <v/>
      </c>
      <c r="W165" t="str">
        <f t="shared" si="22"/>
        <v/>
      </c>
      <c r="X165" s="2" t="str">
        <f t="shared" si="23"/>
        <v/>
      </c>
      <c r="Y165" t="str">
        <f>VLOOKUP($A165,ScionOutput!$A$3:$BL$215,64,FALSE)</f>
        <v xml:space="preserve">823448. StatOnlyEns probability points gap does not exceed threshold (no edge found)! Play determined by LineStatEns only. </v>
      </c>
    </row>
    <row r="166" spans="1:25" x14ac:dyDescent="0.2">
      <c r="A166">
        <v>823125</v>
      </c>
      <c r="B166" s="3">
        <f>VLOOKUP($A166,ScionOutput!$A$3:$BL$215,3,FALSE)</f>
        <v>46191</v>
      </c>
      <c r="C166">
        <f>VLOOKUP($A166,ScionOutput!$A$3:$BL$215,22,FALSE)</f>
        <v>24</v>
      </c>
      <c r="D166" t="str">
        <f>VLOOKUP($A166,ScionOutput!$A$3:$BL$215,23,FALSE)</f>
        <v>SEA</v>
      </c>
      <c r="E166">
        <f>VLOOKUP($A166,ScionOutput!$A$3:$BL$215,6,FALSE)</f>
        <v>2</v>
      </c>
      <c r="F166" t="str">
        <f>VLOOKUP($A166,ScionOutput!$A$3:$BL$215,7,FALSE)</f>
        <v>BAL</v>
      </c>
      <c r="G166">
        <f>VLOOKUP($A166,ScionOutput!$A$3:$BL$215,26,FALSE)</f>
        <v>-133</v>
      </c>
      <c r="H166">
        <f>VLOOKUP($A166,ScionOutput!$A$3:$BL$215,10,FALSE)</f>
        <v>122</v>
      </c>
      <c r="I166" t="str">
        <f>VLOOKUP($A166,ScionOutput!$A$3:$BL$215,58,FALSE)</f>
        <v>No Play</v>
      </c>
      <c r="J166">
        <f>VLOOKUP($A166,ScionOutput!$A$3:$BL$215,59,FALSE)</f>
        <v>0</v>
      </c>
      <c r="K166">
        <f>VLOOKUP($A166,ScionOutput!$A$3:$BL$215,62,FALSE)</f>
        <v>0</v>
      </c>
      <c r="L166">
        <f>VLOOKUP($A166,ScionOutput!$A$3:$BL$215,63,FALSE)</f>
        <v>0</v>
      </c>
      <c r="M166" t="b">
        <f t="shared" si="17"/>
        <v>0</v>
      </c>
      <c r="N166">
        <f>VLOOKUP($A166,Outcomes!$B$3:$I$209,8,FALSE)</f>
        <v>3</v>
      </c>
      <c r="O166">
        <f t="shared" si="18"/>
        <v>1</v>
      </c>
      <c r="P166">
        <f>VLOOKUP($A166,Outcomes!$B$3:$I$209,5,FALSE)</f>
        <v>3</v>
      </c>
      <c r="Q166">
        <f>VLOOKUP($A166,Outcomes!$B$3:$I$209,6,FALSE)</f>
        <v>0</v>
      </c>
      <c r="R166">
        <f>VLOOKUP($A166,Outcomes!$B$3:$I$209,7,FALSE)</f>
        <v>-3</v>
      </c>
      <c r="S166" t="str">
        <f t="shared" si="19"/>
        <v>HomFave</v>
      </c>
      <c r="T166" t="str">
        <f t="shared" si="20"/>
        <v/>
      </c>
      <c r="U166" t="str">
        <f t="shared" si="16"/>
        <v/>
      </c>
      <c r="V166" t="str">
        <f t="shared" si="21"/>
        <v/>
      </c>
      <c r="W166" t="str">
        <f t="shared" si="22"/>
        <v/>
      </c>
      <c r="X166" s="2" t="str">
        <f t="shared" si="23"/>
        <v/>
      </c>
      <c r="Y166" t="str">
        <f>VLOOKUP($A166,ScionOutput!$A$3:$BL$215,64,FALSE)</f>
        <v xml:space="preserve">823125. LineStatEns probability points gap does not exceed threshold (no edge found)! StatOnlyEns probability points gap does not exceed threshold (no edge found)! No play due to strategy constraints. </v>
      </c>
    </row>
    <row r="167" spans="1:25" x14ac:dyDescent="0.2">
      <c r="A167">
        <v>822889</v>
      </c>
      <c r="B167" s="3">
        <f>VLOOKUP($A167,ScionOutput!$A$3:$BL$215,3,FALSE)</f>
        <v>46191</v>
      </c>
      <c r="C167">
        <f>VLOOKUP($A167,ScionOutput!$A$3:$BL$215,22,FALSE)</f>
        <v>28</v>
      </c>
      <c r="D167" t="str">
        <f>VLOOKUP($A167,ScionOutput!$A$3:$BL$215,23,FALSE)</f>
        <v>TEX</v>
      </c>
      <c r="E167">
        <f>VLOOKUP($A167,ScionOutput!$A$3:$BL$215,6,FALSE)</f>
        <v>15</v>
      </c>
      <c r="F167" t="str">
        <f>VLOOKUP($A167,ScionOutput!$A$3:$BL$215,7,FALSE)</f>
        <v>MIN</v>
      </c>
      <c r="G167">
        <f>VLOOKUP($A167,ScionOutput!$A$3:$BL$215,26,FALSE)</f>
        <v>108</v>
      </c>
      <c r="H167">
        <f>VLOOKUP($A167,ScionOutput!$A$3:$BL$215,10,FALSE)</f>
        <v>-117</v>
      </c>
      <c r="I167" t="str">
        <f>VLOOKUP($A167,ScionOutput!$A$3:$BL$215,58,FALSE)</f>
        <v>No Play</v>
      </c>
      <c r="J167">
        <f>VLOOKUP($A167,ScionOutput!$A$3:$BL$215,59,FALSE)</f>
        <v>0</v>
      </c>
      <c r="K167">
        <f>VLOOKUP($A167,ScionOutput!$A$3:$BL$215,62,FALSE)</f>
        <v>0</v>
      </c>
      <c r="L167">
        <f>VLOOKUP($A167,ScionOutput!$A$3:$BL$215,63,FALSE)</f>
        <v>0</v>
      </c>
      <c r="M167" t="b">
        <f t="shared" si="17"/>
        <v>0</v>
      </c>
      <c r="N167">
        <f>VLOOKUP($A167,Outcomes!$B$3:$I$209,8,FALSE)</f>
        <v>12</v>
      </c>
      <c r="O167">
        <f t="shared" si="18"/>
        <v>-1</v>
      </c>
      <c r="P167">
        <f>VLOOKUP($A167,Outcomes!$B$3:$I$209,5,FALSE)</f>
        <v>3</v>
      </c>
      <c r="Q167">
        <f>VLOOKUP($A167,Outcomes!$B$3:$I$209,6,FALSE)</f>
        <v>9</v>
      </c>
      <c r="R167">
        <f>VLOOKUP($A167,Outcomes!$B$3:$I$209,7,FALSE)</f>
        <v>6</v>
      </c>
      <c r="S167" t="str">
        <f t="shared" si="19"/>
        <v>VisFave</v>
      </c>
      <c r="T167" t="str">
        <f t="shared" si="20"/>
        <v/>
      </c>
      <c r="U167" t="str">
        <f t="shared" si="16"/>
        <v/>
      </c>
      <c r="V167" t="str">
        <f t="shared" si="21"/>
        <v/>
      </c>
      <c r="W167" t="str">
        <f t="shared" si="22"/>
        <v/>
      </c>
      <c r="X167" s="2" t="str">
        <f t="shared" si="23"/>
        <v/>
      </c>
      <c r="Y167" t="str">
        <f>VLOOKUP($A167,ScionOutput!$A$3:$BL$215,64,FALSE)</f>
        <v xml:space="preserve">822889. VF plays are disallowed. No play due to strategy constraints. </v>
      </c>
    </row>
    <row r="168" spans="1:25" x14ac:dyDescent="0.2">
      <c r="A168">
        <v>824910</v>
      </c>
      <c r="B168" s="3">
        <f>VLOOKUP($A168,ScionOutput!$A$3:$BL$215,3,FALSE)</f>
        <v>46192</v>
      </c>
      <c r="C168">
        <f>VLOOKUP($A168,ScionOutput!$A$3:$BL$215,22,FALSE)</f>
        <v>0</v>
      </c>
      <c r="D168" t="str">
        <f>VLOOKUP($A168,ScionOutput!$A$3:$BL$215,23,FALSE)</f>
        <v>ATL</v>
      </c>
      <c r="E168">
        <f>VLOOKUP($A168,ScionOutput!$A$3:$BL$215,6,FALSE)</f>
        <v>17</v>
      </c>
      <c r="F168" t="str">
        <f>VLOOKUP($A168,ScionOutput!$A$3:$BL$215,7,FALSE)</f>
        <v>MLW</v>
      </c>
      <c r="G168">
        <f>VLOOKUP($A168,ScionOutput!$A$3:$BL$215,26,FALSE)</f>
        <v>143</v>
      </c>
      <c r="H168">
        <f>VLOOKUP($A168,ScionOutput!$A$3:$BL$215,10,FALSE)</f>
        <v>-156</v>
      </c>
      <c r="I168" t="str">
        <f>VLOOKUP($A168,ScionOutput!$A$3:$BL$215,58,FALSE)</f>
        <v>No Play</v>
      </c>
      <c r="J168">
        <f>VLOOKUP($A168,ScionOutput!$A$3:$BL$215,59,FALSE)</f>
        <v>0</v>
      </c>
      <c r="K168">
        <f>VLOOKUP($A168,ScionOutput!$A$3:$BL$215,62,FALSE)</f>
        <v>0</v>
      </c>
      <c r="L168">
        <f>VLOOKUP($A168,ScionOutput!$A$3:$BL$215,63,FALSE)</f>
        <v>0</v>
      </c>
      <c r="M168" t="b">
        <f t="shared" si="17"/>
        <v>0</v>
      </c>
      <c r="N168">
        <f>VLOOKUP($A168,Outcomes!$B$3:$I$209,8,FALSE)</f>
        <v>5</v>
      </c>
      <c r="O168">
        <f t="shared" si="18"/>
        <v>1</v>
      </c>
      <c r="P168">
        <f>VLOOKUP($A168,Outcomes!$B$3:$I$209,5,FALSE)</f>
        <v>3</v>
      </c>
      <c r="Q168">
        <f>VLOOKUP($A168,Outcomes!$B$3:$I$209,6,FALSE)</f>
        <v>2</v>
      </c>
      <c r="R168">
        <f>VLOOKUP($A168,Outcomes!$B$3:$I$209,7,FALSE)</f>
        <v>-1</v>
      </c>
      <c r="S168" t="str">
        <f t="shared" si="19"/>
        <v>HomDog</v>
      </c>
      <c r="T168" t="str">
        <f t="shared" si="20"/>
        <v/>
      </c>
      <c r="U168" t="str">
        <f t="shared" si="16"/>
        <v/>
      </c>
      <c r="V168" t="str">
        <f t="shared" si="21"/>
        <v/>
      </c>
      <c r="W168" t="str">
        <f t="shared" si="22"/>
        <v/>
      </c>
      <c r="X168" s="2" t="str">
        <f t="shared" si="23"/>
        <v/>
      </c>
      <c r="Y168" t="str">
        <f>VLOOKUP($A168,ScionOutput!$A$3:$BL$215,64,FALSE)</f>
        <v xml:space="preserve">824910. VF plays are disallowed. No play due to strategy constraints. </v>
      </c>
    </row>
    <row r="169" spans="1:25" x14ac:dyDescent="0.2">
      <c r="A169">
        <v>825069</v>
      </c>
      <c r="B169" s="3">
        <f>VLOOKUP($A169,ScionOutput!$A$3:$BL$215,3,FALSE)</f>
        <v>46192</v>
      </c>
      <c r="C169">
        <f>VLOOKUP($A169,ScionOutput!$A$3:$BL$215,22,FALSE)</f>
        <v>1</v>
      </c>
      <c r="D169" t="str">
        <f>VLOOKUP($A169,ScionOutput!$A$3:$BL$215,23,FALSE)</f>
        <v>ARZ</v>
      </c>
      <c r="E169">
        <f>VLOOKUP($A169,ScionOutput!$A$3:$BL$215,6,FALSE)</f>
        <v>15</v>
      </c>
      <c r="F169" t="str">
        <f>VLOOKUP($A169,ScionOutput!$A$3:$BL$215,7,FALSE)</f>
        <v>MIN</v>
      </c>
      <c r="G169">
        <f>VLOOKUP($A169,ScionOutput!$A$3:$BL$215,26,FALSE)</f>
        <v>-165</v>
      </c>
      <c r="H169">
        <f>VLOOKUP($A169,ScionOutput!$A$3:$BL$215,10,FALSE)</f>
        <v>152</v>
      </c>
      <c r="I169" t="str">
        <f>VLOOKUP($A169,ScionOutput!$A$3:$BL$215,58,FALSE)</f>
        <v>No Play</v>
      </c>
      <c r="J169">
        <f>VLOOKUP($A169,ScionOutput!$A$3:$BL$215,59,FALSE)</f>
        <v>0</v>
      </c>
      <c r="K169">
        <f>VLOOKUP($A169,ScionOutput!$A$3:$BL$215,62,FALSE)</f>
        <v>0</v>
      </c>
      <c r="L169">
        <f>VLOOKUP($A169,ScionOutput!$A$3:$BL$215,63,FALSE)</f>
        <v>0</v>
      </c>
      <c r="M169" t="b">
        <f t="shared" si="17"/>
        <v>0</v>
      </c>
      <c r="N169">
        <f>VLOOKUP($A169,Outcomes!$B$3:$I$209,8,FALSE)</f>
        <v>14</v>
      </c>
      <c r="O169">
        <f t="shared" si="18"/>
        <v>1</v>
      </c>
      <c r="P169">
        <f>VLOOKUP($A169,Outcomes!$B$3:$I$209,5,FALSE)</f>
        <v>9</v>
      </c>
      <c r="Q169">
        <f>VLOOKUP($A169,Outcomes!$B$3:$I$209,6,FALSE)</f>
        <v>5</v>
      </c>
      <c r="R169">
        <f>VLOOKUP($A169,Outcomes!$B$3:$I$209,7,FALSE)</f>
        <v>-4</v>
      </c>
      <c r="S169" t="str">
        <f t="shared" si="19"/>
        <v>HomFave</v>
      </c>
      <c r="T169" t="str">
        <f t="shared" si="20"/>
        <v/>
      </c>
      <c r="U169" t="str">
        <f t="shared" si="16"/>
        <v/>
      </c>
      <c r="V169" t="str">
        <f t="shared" si="21"/>
        <v/>
      </c>
      <c r="W169" t="str">
        <f t="shared" si="22"/>
        <v/>
      </c>
      <c r="X169" s="2" t="str">
        <f t="shared" si="23"/>
        <v/>
      </c>
      <c r="Y169" t="str">
        <f>VLOOKUP($A169,ScionOutput!$A$3:$BL$215,64,FALSE)</f>
        <v xml:space="preserve">825069. LineStatEns is NoPlay as bookie-line outside range. StatOnlyEns is NoPlay as bookie-line outside range. No play due to strategy constraints. </v>
      </c>
    </row>
    <row r="170" spans="1:25" x14ac:dyDescent="0.2">
      <c r="A170">
        <v>824663</v>
      </c>
      <c r="B170" s="3">
        <f>VLOOKUP($A170,ScionOutput!$A$3:$BL$215,3,FALSE)</f>
        <v>46192</v>
      </c>
      <c r="C170">
        <f>VLOOKUP($A170,ScionOutput!$A$3:$BL$215,22,FALSE)</f>
        <v>5</v>
      </c>
      <c r="D170" t="str">
        <f>VLOOKUP($A170,ScionOutput!$A$3:$BL$215,23,FALSE)</f>
        <v>CHC</v>
      </c>
      <c r="E170">
        <f>VLOOKUP($A170,ScionOutput!$A$3:$BL$215,6,FALSE)</f>
        <v>29</v>
      </c>
      <c r="F170" t="str">
        <f>VLOOKUP($A170,ScionOutput!$A$3:$BL$215,7,FALSE)</f>
        <v>TOR</v>
      </c>
      <c r="G170">
        <f>VLOOKUP($A170,ScionOutput!$A$3:$BL$215,26,FALSE)</f>
        <v>-120</v>
      </c>
      <c r="H170">
        <f>VLOOKUP($A170,ScionOutput!$A$3:$BL$215,10,FALSE)</f>
        <v>111</v>
      </c>
      <c r="I170" t="str">
        <f>VLOOKUP($A170,ScionOutput!$A$3:$BL$215,58,FALSE)</f>
        <v>No Play</v>
      </c>
      <c r="J170">
        <f>VLOOKUP($A170,ScionOutput!$A$3:$BL$215,59,FALSE)</f>
        <v>0</v>
      </c>
      <c r="K170">
        <f>VLOOKUP($A170,ScionOutput!$A$3:$BL$215,62,FALSE)</f>
        <v>0</v>
      </c>
      <c r="L170">
        <f>VLOOKUP($A170,ScionOutput!$A$3:$BL$215,63,FALSE)</f>
        <v>0</v>
      </c>
      <c r="M170" t="b">
        <f t="shared" si="17"/>
        <v>0</v>
      </c>
      <c r="N170">
        <f>VLOOKUP($A170,Outcomes!$B$3:$I$209,8,FALSE)</f>
        <v>18</v>
      </c>
      <c r="O170">
        <f t="shared" si="18"/>
        <v>1</v>
      </c>
      <c r="P170">
        <f>VLOOKUP($A170,Outcomes!$B$3:$I$209,5,FALSE)</f>
        <v>16</v>
      </c>
      <c r="Q170">
        <f>VLOOKUP($A170,Outcomes!$B$3:$I$209,6,FALSE)</f>
        <v>2</v>
      </c>
      <c r="R170">
        <f>VLOOKUP($A170,Outcomes!$B$3:$I$209,7,FALSE)</f>
        <v>-14</v>
      </c>
      <c r="S170" t="str">
        <f t="shared" si="19"/>
        <v>HomFave</v>
      </c>
      <c r="T170" t="str">
        <f t="shared" si="20"/>
        <v/>
      </c>
      <c r="U170" t="str">
        <f t="shared" si="16"/>
        <v/>
      </c>
      <c r="V170" t="str">
        <f t="shared" si="21"/>
        <v/>
      </c>
      <c r="W170" t="str">
        <f t="shared" si="22"/>
        <v/>
      </c>
      <c r="X170" s="2" t="str">
        <f t="shared" si="23"/>
        <v/>
      </c>
      <c r="Y170" t="str">
        <f>VLOOKUP($A170,ScionOutput!$A$3:$BL$215,64,FALSE)</f>
        <v xml:space="preserve">824663. LineStatEns probability points gap does not exceed threshold (no edge found)! StatOnlyEns probability points gap does not exceed threshold (no edge found)! No play due to strategy constraints. </v>
      </c>
    </row>
    <row r="171" spans="1:25" x14ac:dyDescent="0.2">
      <c r="A171">
        <v>824345</v>
      </c>
      <c r="B171" s="3">
        <f>VLOOKUP($A171,ScionOutput!$A$3:$BL$215,3,FALSE)</f>
        <v>46192</v>
      </c>
      <c r="C171">
        <f>VLOOKUP($A171,ScionOutput!$A$3:$BL$215,22,FALSE)</f>
        <v>8</v>
      </c>
      <c r="D171" t="str">
        <f>VLOOKUP($A171,ScionOutput!$A$3:$BL$215,23,FALSE)</f>
        <v>COL</v>
      </c>
      <c r="E171">
        <f>VLOOKUP($A171,ScionOutput!$A$3:$BL$215,6,FALSE)</f>
        <v>22</v>
      </c>
      <c r="F171" t="str">
        <f>VLOOKUP($A171,ScionOutput!$A$3:$BL$215,7,FALSE)</f>
        <v>PIT</v>
      </c>
      <c r="G171">
        <f>VLOOKUP($A171,ScionOutput!$A$3:$BL$215,26,FALSE)</f>
        <v>122</v>
      </c>
      <c r="H171">
        <f>VLOOKUP($A171,ScionOutput!$A$3:$BL$215,10,FALSE)</f>
        <v>-132</v>
      </c>
      <c r="I171" t="str">
        <f>VLOOKUP($A171,ScionOutput!$A$3:$BL$215,58,FALSE)</f>
        <v>No Play</v>
      </c>
      <c r="J171">
        <f>VLOOKUP($A171,ScionOutput!$A$3:$BL$215,59,FALSE)</f>
        <v>0</v>
      </c>
      <c r="K171">
        <f>VLOOKUP($A171,ScionOutput!$A$3:$BL$215,62,FALSE)</f>
        <v>0</v>
      </c>
      <c r="L171">
        <f>VLOOKUP($A171,ScionOutput!$A$3:$BL$215,63,FALSE)</f>
        <v>0</v>
      </c>
      <c r="M171" t="b">
        <f t="shared" si="17"/>
        <v>0</v>
      </c>
      <c r="N171">
        <f>VLOOKUP($A171,Outcomes!$B$3:$I$209,8,FALSE)</f>
        <v>7</v>
      </c>
      <c r="O171">
        <f t="shared" si="18"/>
        <v>1</v>
      </c>
      <c r="P171">
        <f>VLOOKUP($A171,Outcomes!$B$3:$I$209,5,FALSE)</f>
        <v>4</v>
      </c>
      <c r="Q171">
        <f>VLOOKUP($A171,Outcomes!$B$3:$I$209,6,FALSE)</f>
        <v>3</v>
      </c>
      <c r="R171">
        <f>VLOOKUP($A171,Outcomes!$B$3:$I$209,7,FALSE)</f>
        <v>-1</v>
      </c>
      <c r="S171" t="str">
        <f t="shared" si="19"/>
        <v>HomDog</v>
      </c>
      <c r="T171" t="str">
        <f t="shared" si="20"/>
        <v/>
      </c>
      <c r="U171" t="str">
        <f t="shared" si="16"/>
        <v/>
      </c>
      <c r="V171" t="str">
        <f t="shared" si="21"/>
        <v/>
      </c>
      <c r="W171" t="str">
        <f t="shared" si="22"/>
        <v/>
      </c>
      <c r="X171" s="2" t="str">
        <f t="shared" si="23"/>
        <v/>
      </c>
      <c r="Y171" t="str">
        <f>VLOOKUP($A171,ScionOutput!$A$3:$BL$215,64,FALSE)</f>
        <v xml:space="preserve">824345. VF plays are disallowed. No play due to strategy constraints. </v>
      </c>
    </row>
    <row r="172" spans="1:25" x14ac:dyDescent="0.2">
      <c r="A172">
        <v>824264</v>
      </c>
      <c r="B172" s="3">
        <f>VLOOKUP($A172,ScionOutput!$A$3:$BL$215,3,FALSE)</f>
        <v>46192</v>
      </c>
      <c r="C172">
        <f>VLOOKUP($A172,ScionOutput!$A$3:$BL$215,22,FALSE)</f>
        <v>10</v>
      </c>
      <c r="D172" t="str">
        <f>VLOOKUP($A172,ScionOutput!$A$3:$BL$215,23,FALSE)</f>
        <v>DET</v>
      </c>
      <c r="E172">
        <f>VLOOKUP($A172,ScionOutput!$A$3:$BL$215,6,FALSE)</f>
        <v>9</v>
      </c>
      <c r="F172" t="str">
        <f>VLOOKUP($A172,ScionOutput!$A$3:$BL$215,7,FALSE)</f>
        <v>CWS</v>
      </c>
      <c r="G172">
        <f>VLOOKUP($A172,ScionOutput!$A$3:$BL$215,26,FALSE)</f>
        <v>-182</v>
      </c>
      <c r="H172">
        <f>VLOOKUP($A172,ScionOutput!$A$3:$BL$215,10,FALSE)</f>
        <v>166</v>
      </c>
      <c r="I172" t="str">
        <f>VLOOKUP($A172,ScionOutput!$A$3:$BL$215,58,FALSE)</f>
        <v>No Play</v>
      </c>
      <c r="J172">
        <f>VLOOKUP($A172,ScionOutput!$A$3:$BL$215,59,FALSE)</f>
        <v>0</v>
      </c>
      <c r="K172">
        <f>VLOOKUP($A172,ScionOutput!$A$3:$BL$215,62,FALSE)</f>
        <v>0</v>
      </c>
      <c r="L172">
        <f>VLOOKUP($A172,ScionOutput!$A$3:$BL$215,63,FALSE)</f>
        <v>0</v>
      </c>
      <c r="M172" t="b">
        <f t="shared" si="17"/>
        <v>0</v>
      </c>
      <c r="N172">
        <f>VLOOKUP($A172,Outcomes!$B$3:$I$209,8,FALSE)</f>
        <v>7</v>
      </c>
      <c r="O172">
        <f t="shared" si="18"/>
        <v>1</v>
      </c>
      <c r="P172">
        <f>VLOOKUP($A172,Outcomes!$B$3:$I$209,5,FALSE)</f>
        <v>4</v>
      </c>
      <c r="Q172">
        <f>VLOOKUP($A172,Outcomes!$B$3:$I$209,6,FALSE)</f>
        <v>3</v>
      </c>
      <c r="R172">
        <f>VLOOKUP($A172,Outcomes!$B$3:$I$209,7,FALSE)</f>
        <v>-1</v>
      </c>
      <c r="S172" t="str">
        <f t="shared" si="19"/>
        <v>HomFave</v>
      </c>
      <c r="T172" t="str">
        <f t="shared" si="20"/>
        <v/>
      </c>
      <c r="U172" t="str">
        <f t="shared" si="16"/>
        <v/>
      </c>
      <c r="V172" t="str">
        <f t="shared" si="21"/>
        <v/>
      </c>
      <c r="W172" t="str">
        <f t="shared" si="22"/>
        <v/>
      </c>
      <c r="X172" s="2" t="str">
        <f t="shared" si="23"/>
        <v/>
      </c>
      <c r="Y172" t="str">
        <f>VLOOKUP($A172,ScionOutput!$A$3:$BL$215,64,FALSE)</f>
        <v xml:space="preserve">824264. LineStatEns is NoPlay as bookie-line outside range. StatOnlyEns is NoPlay as bookie-line outside range. No play due to strategy constraints. </v>
      </c>
    </row>
    <row r="173" spans="1:25" x14ac:dyDescent="0.2">
      <c r="A173">
        <v>823853</v>
      </c>
      <c r="B173" s="3">
        <f>VLOOKUP($A173,ScionOutput!$A$3:$BL$215,3,FALSE)</f>
        <v>46192</v>
      </c>
      <c r="C173">
        <f>VLOOKUP($A173,ScionOutput!$A$3:$BL$215,22,FALSE)</f>
        <v>11</v>
      </c>
      <c r="D173" t="str">
        <f>VLOOKUP($A173,ScionOutput!$A$3:$BL$215,23,FALSE)</f>
        <v>FLO</v>
      </c>
      <c r="E173">
        <f>VLOOKUP($A173,ScionOutput!$A$3:$BL$215,6,FALSE)</f>
        <v>25</v>
      </c>
      <c r="F173" t="str">
        <f>VLOOKUP($A173,ScionOutput!$A$3:$BL$215,7,FALSE)</f>
        <v>SF</v>
      </c>
      <c r="G173">
        <f>VLOOKUP($A173,ScionOutput!$A$3:$BL$215,26,FALSE)</f>
        <v>-111</v>
      </c>
      <c r="H173">
        <f>VLOOKUP($A173,ScionOutput!$A$3:$BL$215,10,FALSE)</f>
        <v>103</v>
      </c>
      <c r="I173" t="str">
        <f>VLOOKUP($A173,ScionOutput!$A$3:$BL$215,58,FALSE)</f>
        <v>No Play</v>
      </c>
      <c r="J173">
        <f>VLOOKUP($A173,ScionOutput!$A$3:$BL$215,59,FALSE)</f>
        <v>0</v>
      </c>
      <c r="K173">
        <f>VLOOKUP($A173,ScionOutput!$A$3:$BL$215,62,FALSE)</f>
        <v>0</v>
      </c>
      <c r="L173">
        <f>VLOOKUP($A173,ScionOutput!$A$3:$BL$215,63,FALSE)</f>
        <v>0</v>
      </c>
      <c r="M173" t="b">
        <f t="shared" si="17"/>
        <v>0</v>
      </c>
      <c r="N173">
        <f>VLOOKUP($A173,Outcomes!$B$3:$I$209,8,FALSE)</f>
        <v>7</v>
      </c>
      <c r="O173">
        <f t="shared" si="18"/>
        <v>1</v>
      </c>
      <c r="P173">
        <f>VLOOKUP($A173,Outcomes!$B$3:$I$209,5,FALSE)</f>
        <v>4</v>
      </c>
      <c r="Q173">
        <f>VLOOKUP($A173,Outcomes!$B$3:$I$209,6,FALSE)</f>
        <v>3</v>
      </c>
      <c r="R173">
        <f>VLOOKUP($A173,Outcomes!$B$3:$I$209,7,FALSE)</f>
        <v>-1</v>
      </c>
      <c r="S173" t="str">
        <f t="shared" si="19"/>
        <v>HomFave</v>
      </c>
      <c r="T173" t="str">
        <f t="shared" si="20"/>
        <v/>
      </c>
      <c r="U173" t="str">
        <f t="shared" si="16"/>
        <v/>
      </c>
      <c r="V173" t="str">
        <f t="shared" si="21"/>
        <v/>
      </c>
      <c r="W173" t="str">
        <f t="shared" si="22"/>
        <v/>
      </c>
      <c r="X173" s="2" t="str">
        <f t="shared" si="23"/>
        <v/>
      </c>
      <c r="Y173" t="str">
        <f>VLOOKUP($A173,ScionOutput!$A$3:$BL$215,64,FALSE)</f>
        <v xml:space="preserve">823853. LineStatEns probability points gap does not exceed threshold (no edge found)! StatOnlyEns probability points gap does not exceed threshold (no edge found)! No play due to strategy constraints. </v>
      </c>
    </row>
    <row r="174" spans="1:25" x14ac:dyDescent="0.2">
      <c r="A174">
        <v>824179</v>
      </c>
      <c r="B174" s="3">
        <f>VLOOKUP($A174,ScionOutput!$A$3:$BL$215,3,FALSE)</f>
        <v>46192</v>
      </c>
      <c r="C174">
        <f>VLOOKUP($A174,ScionOutput!$A$3:$BL$215,22,FALSE)</f>
        <v>12</v>
      </c>
      <c r="D174" t="str">
        <f>VLOOKUP($A174,ScionOutput!$A$3:$BL$215,23,FALSE)</f>
        <v>HOU</v>
      </c>
      <c r="E174">
        <f>VLOOKUP($A174,ScionOutput!$A$3:$BL$215,6,FALSE)</f>
        <v>7</v>
      </c>
      <c r="F174" t="str">
        <f>VLOOKUP($A174,ScionOutput!$A$3:$BL$215,7,FALSE)</f>
        <v>CLE</v>
      </c>
      <c r="G174">
        <f>VLOOKUP($A174,ScionOutput!$A$3:$BL$215,26,FALSE)</f>
        <v>-121</v>
      </c>
      <c r="H174">
        <f>VLOOKUP($A174,ScionOutput!$A$3:$BL$215,10,FALSE)</f>
        <v>111</v>
      </c>
      <c r="I174" t="str">
        <f>VLOOKUP($A174,ScionOutput!$A$3:$BL$215,58,FALSE)</f>
        <v>VisDog</v>
      </c>
      <c r="J174">
        <f>VLOOKUP($A174,ScionOutput!$A$3:$BL$215,59,FALSE)</f>
        <v>-5.602E-2</v>
      </c>
      <c r="K174">
        <f>VLOOKUP($A174,ScionOutput!$A$3:$BL$215,62,FALSE)</f>
        <v>5</v>
      </c>
      <c r="L174">
        <f>VLOOKUP($A174,ScionOutput!$A$3:$BL$215,63,FALSE)</f>
        <v>0.67</v>
      </c>
      <c r="M174" t="b">
        <f t="shared" si="17"/>
        <v>1</v>
      </c>
      <c r="N174">
        <f>VLOOKUP($A174,Outcomes!$B$3:$I$209,8,FALSE)</f>
        <v>12</v>
      </c>
      <c r="O174">
        <f t="shared" si="18"/>
        <v>1</v>
      </c>
      <c r="P174">
        <f>VLOOKUP($A174,Outcomes!$B$3:$I$209,5,FALSE)</f>
        <v>9</v>
      </c>
      <c r="Q174">
        <f>VLOOKUP($A174,Outcomes!$B$3:$I$209,6,FALSE)</f>
        <v>3</v>
      </c>
      <c r="R174">
        <f>VLOOKUP($A174,Outcomes!$B$3:$I$209,7,FALSE)</f>
        <v>-6</v>
      </c>
      <c r="S174" t="str">
        <f t="shared" si="19"/>
        <v>HomFave</v>
      </c>
      <c r="T174">
        <f t="shared" si="20"/>
        <v>0</v>
      </c>
      <c r="U174">
        <f t="shared" si="16"/>
        <v>100</v>
      </c>
      <c r="V174">
        <f t="shared" si="21"/>
        <v>0</v>
      </c>
      <c r="W174">
        <f t="shared" si="22"/>
        <v>-100</v>
      </c>
      <c r="X174" s="2">
        <f t="shared" si="23"/>
        <v>-1</v>
      </c>
      <c r="Y174" t="str">
        <f>VLOOKUP($A174,ScionOutput!$A$3:$BL$215,64,FALSE)</f>
        <v xml:space="preserve">824179. Play determined by LineStatEns and StatOnlyEns agreement. </v>
      </c>
    </row>
    <row r="175" spans="1:25" x14ac:dyDescent="0.2">
      <c r="A175">
        <v>824097</v>
      </c>
      <c r="B175" s="3">
        <f>VLOOKUP($A175,ScionOutput!$A$3:$BL$215,3,FALSE)</f>
        <v>46192</v>
      </c>
      <c r="C175">
        <f>VLOOKUP($A175,ScionOutput!$A$3:$BL$215,22,FALSE)</f>
        <v>13</v>
      </c>
      <c r="D175" t="str">
        <f>VLOOKUP($A175,ScionOutput!$A$3:$BL$215,23,FALSE)</f>
        <v>KC</v>
      </c>
      <c r="E175">
        <f>VLOOKUP($A175,ScionOutput!$A$3:$BL$215,6,FALSE)</f>
        <v>26</v>
      </c>
      <c r="F175" t="str">
        <f>VLOOKUP($A175,ScionOutput!$A$3:$BL$215,7,FALSE)</f>
        <v>STL</v>
      </c>
      <c r="G175">
        <f>VLOOKUP($A175,ScionOutput!$A$3:$BL$215,26,FALSE)</f>
        <v>105</v>
      </c>
      <c r="H175">
        <f>VLOOKUP($A175,ScionOutput!$A$3:$BL$215,10,FALSE)</f>
        <v>-114</v>
      </c>
      <c r="I175" t="str">
        <f>VLOOKUP($A175,ScionOutput!$A$3:$BL$215,58,FALSE)</f>
        <v>No Play</v>
      </c>
      <c r="J175">
        <f>VLOOKUP($A175,ScionOutput!$A$3:$BL$215,59,FALSE)</f>
        <v>0</v>
      </c>
      <c r="K175">
        <f>VLOOKUP($A175,ScionOutput!$A$3:$BL$215,62,FALSE)</f>
        <v>0</v>
      </c>
      <c r="L175">
        <f>VLOOKUP($A175,ScionOutput!$A$3:$BL$215,63,FALSE)</f>
        <v>0</v>
      </c>
      <c r="M175" t="b">
        <f t="shared" si="17"/>
        <v>0</v>
      </c>
      <c r="N175">
        <f>VLOOKUP($A175,Outcomes!$B$3:$I$209,8,FALSE)</f>
        <v>11</v>
      </c>
      <c r="O175">
        <f t="shared" si="18"/>
        <v>1</v>
      </c>
      <c r="P175">
        <f>VLOOKUP($A175,Outcomes!$B$3:$I$209,5,FALSE)</f>
        <v>6</v>
      </c>
      <c r="Q175">
        <f>VLOOKUP($A175,Outcomes!$B$3:$I$209,6,FALSE)</f>
        <v>5</v>
      </c>
      <c r="R175">
        <f>VLOOKUP($A175,Outcomes!$B$3:$I$209,7,FALSE)</f>
        <v>-1</v>
      </c>
      <c r="S175" t="str">
        <f t="shared" si="19"/>
        <v>HomDog</v>
      </c>
      <c r="T175" t="str">
        <f t="shared" si="20"/>
        <v/>
      </c>
      <c r="U175" t="str">
        <f t="shared" si="16"/>
        <v/>
      </c>
      <c r="V175" t="str">
        <f t="shared" si="21"/>
        <v/>
      </c>
      <c r="W175" t="str">
        <f t="shared" si="22"/>
        <v/>
      </c>
      <c r="X175" s="2" t="str">
        <f t="shared" si="23"/>
        <v/>
      </c>
      <c r="Y175" t="str">
        <f>VLOOKUP($A175,ScionOutput!$A$3:$BL$215,64,FALSE)</f>
        <v xml:space="preserve">824097. VF plays are disallowed. No play due to strategy constraints. </v>
      </c>
    </row>
    <row r="176" spans="1:25" x14ac:dyDescent="0.2">
      <c r="A176">
        <v>823936</v>
      </c>
      <c r="B176" s="3">
        <f>VLOOKUP($A176,ScionOutput!$A$3:$BL$215,3,FALSE)</f>
        <v>46192</v>
      </c>
      <c r="C176">
        <f>VLOOKUP($A176,ScionOutput!$A$3:$BL$215,22,FALSE)</f>
        <v>14</v>
      </c>
      <c r="D176" t="str">
        <f>VLOOKUP($A176,ScionOutput!$A$3:$BL$215,23,FALSE)</f>
        <v>LA</v>
      </c>
      <c r="E176">
        <f>VLOOKUP($A176,ScionOutput!$A$3:$BL$215,6,FALSE)</f>
        <v>2</v>
      </c>
      <c r="F176" t="str">
        <f>VLOOKUP($A176,ScionOutput!$A$3:$BL$215,7,FALSE)</f>
        <v>BAL</v>
      </c>
      <c r="G176">
        <f>VLOOKUP($A176,ScionOutput!$A$3:$BL$215,26,FALSE)</f>
        <v>-206</v>
      </c>
      <c r="H176">
        <f>VLOOKUP($A176,ScionOutput!$A$3:$BL$215,10,FALSE)</f>
        <v>187</v>
      </c>
      <c r="I176" t="str">
        <f>VLOOKUP($A176,ScionOutput!$A$3:$BL$215,58,FALSE)</f>
        <v>No Play</v>
      </c>
      <c r="J176">
        <f>VLOOKUP($A176,ScionOutput!$A$3:$BL$215,59,FALSE)</f>
        <v>0</v>
      </c>
      <c r="K176">
        <f>VLOOKUP($A176,ScionOutput!$A$3:$BL$215,62,FALSE)</f>
        <v>0</v>
      </c>
      <c r="L176">
        <f>VLOOKUP($A176,ScionOutput!$A$3:$BL$215,63,FALSE)</f>
        <v>0</v>
      </c>
      <c r="M176" t="b">
        <f t="shared" si="17"/>
        <v>0</v>
      </c>
      <c r="N176">
        <f>VLOOKUP($A176,Outcomes!$B$3:$I$209,8,FALSE)</f>
        <v>11</v>
      </c>
      <c r="O176">
        <f t="shared" si="18"/>
        <v>1</v>
      </c>
      <c r="P176">
        <f>VLOOKUP($A176,Outcomes!$B$3:$I$209,5,FALSE)</f>
        <v>6</v>
      </c>
      <c r="Q176">
        <f>VLOOKUP($A176,Outcomes!$B$3:$I$209,6,FALSE)</f>
        <v>5</v>
      </c>
      <c r="R176">
        <f>VLOOKUP($A176,Outcomes!$B$3:$I$209,7,FALSE)</f>
        <v>-1</v>
      </c>
      <c r="S176" t="str">
        <f t="shared" si="19"/>
        <v>HomFave</v>
      </c>
      <c r="T176" t="str">
        <f t="shared" si="20"/>
        <v/>
      </c>
      <c r="U176" t="str">
        <f t="shared" si="16"/>
        <v/>
      </c>
      <c r="V176" t="str">
        <f t="shared" si="21"/>
        <v/>
      </c>
      <c r="W176" t="str">
        <f t="shared" si="22"/>
        <v/>
      </c>
      <c r="X176" s="2" t="str">
        <f t="shared" si="23"/>
        <v/>
      </c>
      <c r="Y176" t="str">
        <f>VLOOKUP($A176,ScionOutput!$A$3:$BL$215,64,FALSE)</f>
        <v xml:space="preserve">823936. LineStatEns is NoPlay as bookie-line outside range. StatOnlyEns is NoPlay as bookie-line outside range. No play due to strategy constraints. </v>
      </c>
    </row>
    <row r="177" spans="1:25" x14ac:dyDescent="0.2">
      <c r="A177">
        <v>823534</v>
      </c>
      <c r="B177" s="3">
        <f>VLOOKUP($A177,ScionOutput!$A$3:$BL$215,3,FALSE)</f>
        <v>46192</v>
      </c>
      <c r="C177">
        <f>VLOOKUP($A177,ScionOutput!$A$3:$BL$215,22,FALSE)</f>
        <v>19</v>
      </c>
      <c r="D177" t="str">
        <f>VLOOKUP($A177,ScionOutput!$A$3:$BL$215,23,FALSE)</f>
        <v>NYY</v>
      </c>
      <c r="E177">
        <f>VLOOKUP($A177,ScionOutput!$A$3:$BL$215,6,FALSE)</f>
        <v>6</v>
      </c>
      <c r="F177" t="str">
        <f>VLOOKUP($A177,ScionOutput!$A$3:$BL$215,7,FALSE)</f>
        <v>CIN</v>
      </c>
      <c r="G177">
        <f>VLOOKUP($A177,ScionOutput!$A$3:$BL$215,26,FALSE)</f>
        <v>-269</v>
      </c>
      <c r="H177">
        <f>VLOOKUP($A177,ScionOutput!$A$3:$BL$215,10,FALSE)</f>
        <v>240</v>
      </c>
      <c r="I177" t="str">
        <f>VLOOKUP($A177,ScionOutput!$A$3:$BL$215,58,FALSE)</f>
        <v>No Play</v>
      </c>
      <c r="J177">
        <f>VLOOKUP($A177,ScionOutput!$A$3:$BL$215,59,FALSE)</f>
        <v>0</v>
      </c>
      <c r="K177">
        <f>VLOOKUP($A177,ScionOutput!$A$3:$BL$215,62,FALSE)</f>
        <v>0</v>
      </c>
      <c r="L177">
        <f>VLOOKUP($A177,ScionOutput!$A$3:$BL$215,63,FALSE)</f>
        <v>0</v>
      </c>
      <c r="M177" t="b">
        <f t="shared" si="17"/>
        <v>0</v>
      </c>
      <c r="N177">
        <f>VLOOKUP($A177,Outcomes!$B$3:$I$209,8,FALSE)</f>
        <v>5</v>
      </c>
      <c r="O177">
        <f t="shared" si="18"/>
        <v>1</v>
      </c>
      <c r="P177">
        <f>VLOOKUP($A177,Outcomes!$B$3:$I$209,5,FALSE)</f>
        <v>5</v>
      </c>
      <c r="Q177">
        <f>VLOOKUP($A177,Outcomes!$B$3:$I$209,6,FALSE)</f>
        <v>0</v>
      </c>
      <c r="R177">
        <f>VLOOKUP($A177,Outcomes!$B$3:$I$209,7,FALSE)</f>
        <v>-5</v>
      </c>
      <c r="S177" t="str">
        <f t="shared" si="19"/>
        <v>HomFave</v>
      </c>
      <c r="T177" t="str">
        <f t="shared" si="20"/>
        <v/>
      </c>
      <c r="U177" t="str">
        <f t="shared" si="16"/>
        <v/>
      </c>
      <c r="V177" t="str">
        <f t="shared" si="21"/>
        <v/>
      </c>
      <c r="W177" t="str">
        <f t="shared" si="22"/>
        <v/>
      </c>
      <c r="X177" s="2" t="str">
        <f t="shared" si="23"/>
        <v/>
      </c>
      <c r="Y177" t="str">
        <f>VLOOKUP($A177,ScionOutput!$A$3:$BL$215,64,FALSE)</f>
        <v xml:space="preserve">823534. LineStatEns is NoPlay as bookie-line outside range. StatOnlyEns is NoPlay as bookie-line outside range. No play due to strategy constraints. </v>
      </c>
    </row>
    <row r="178" spans="1:25" x14ac:dyDescent="0.2">
      <c r="A178">
        <v>824990</v>
      </c>
      <c r="B178" s="3">
        <f>VLOOKUP($A178,ScionOutput!$A$3:$BL$215,3,FALSE)</f>
        <v>46192</v>
      </c>
      <c r="C178">
        <f>VLOOKUP($A178,ScionOutput!$A$3:$BL$215,22,FALSE)</f>
        <v>20</v>
      </c>
      <c r="D178" t="str">
        <f>VLOOKUP($A178,ScionOutput!$A$3:$BL$215,23,FALSE)</f>
        <v>OAK</v>
      </c>
      <c r="E178">
        <f>VLOOKUP($A178,ScionOutput!$A$3:$BL$215,6,FALSE)</f>
        <v>4</v>
      </c>
      <c r="F178" t="str">
        <f>VLOOKUP($A178,ScionOutput!$A$3:$BL$215,7,FALSE)</f>
        <v>LAA</v>
      </c>
      <c r="G178">
        <f>VLOOKUP($A178,ScionOutput!$A$3:$BL$215,26,FALSE)</f>
        <v>-153</v>
      </c>
      <c r="H178">
        <f>VLOOKUP($A178,ScionOutput!$A$3:$BL$215,10,FALSE)</f>
        <v>141</v>
      </c>
      <c r="I178" t="str">
        <f>VLOOKUP($A178,ScionOutput!$A$3:$BL$215,58,FALSE)</f>
        <v>No Play</v>
      </c>
      <c r="J178">
        <f>VLOOKUP($A178,ScionOutput!$A$3:$BL$215,59,FALSE)</f>
        <v>0</v>
      </c>
      <c r="K178">
        <f>VLOOKUP($A178,ScionOutput!$A$3:$BL$215,62,FALSE)</f>
        <v>0</v>
      </c>
      <c r="L178">
        <f>VLOOKUP($A178,ScionOutput!$A$3:$BL$215,63,FALSE)</f>
        <v>0</v>
      </c>
      <c r="M178" t="b">
        <f t="shared" si="17"/>
        <v>0</v>
      </c>
      <c r="N178">
        <f>VLOOKUP($A178,Outcomes!$B$3:$I$209,8,FALSE)</f>
        <v>23</v>
      </c>
      <c r="O178">
        <f t="shared" si="18"/>
        <v>1</v>
      </c>
      <c r="P178">
        <f>VLOOKUP($A178,Outcomes!$B$3:$I$209,5,FALSE)</f>
        <v>12</v>
      </c>
      <c r="Q178">
        <f>VLOOKUP($A178,Outcomes!$B$3:$I$209,6,FALSE)</f>
        <v>11</v>
      </c>
      <c r="R178">
        <f>VLOOKUP($A178,Outcomes!$B$3:$I$209,7,FALSE)</f>
        <v>-1</v>
      </c>
      <c r="S178" t="str">
        <f t="shared" si="19"/>
        <v>HomFave</v>
      </c>
      <c r="T178" t="str">
        <f t="shared" si="20"/>
        <v/>
      </c>
      <c r="U178" t="str">
        <f t="shared" si="16"/>
        <v/>
      </c>
      <c r="V178" t="str">
        <f t="shared" si="21"/>
        <v/>
      </c>
      <c r="W178" t="str">
        <f t="shared" si="22"/>
        <v/>
      </c>
      <c r="X178" s="2" t="str">
        <f t="shared" si="23"/>
        <v/>
      </c>
      <c r="Y178" t="str">
        <f>VLOOKUP($A178,ScionOutput!$A$3:$BL$215,64,FALSE)</f>
        <v xml:space="preserve">824990. LineStatEns is NoPlay as bookie-line outside range. StatOnlyEns is NoPlay as bookie-line outside range. No play due to strategy constraints. </v>
      </c>
    </row>
    <row r="179" spans="1:25" x14ac:dyDescent="0.2">
      <c r="A179">
        <v>823124</v>
      </c>
      <c r="B179" s="3">
        <f>VLOOKUP($A179,ScionOutput!$A$3:$BL$215,3,FALSE)</f>
        <v>46192</v>
      </c>
      <c r="C179">
        <f>VLOOKUP($A179,ScionOutput!$A$3:$BL$215,22,FALSE)</f>
        <v>24</v>
      </c>
      <c r="D179" t="str">
        <f>VLOOKUP($A179,ScionOutput!$A$3:$BL$215,23,FALSE)</f>
        <v>SEA</v>
      </c>
      <c r="E179">
        <f>VLOOKUP($A179,ScionOutput!$A$3:$BL$215,6,FALSE)</f>
        <v>3</v>
      </c>
      <c r="F179" t="str">
        <f>VLOOKUP($A179,ScionOutput!$A$3:$BL$215,7,FALSE)</f>
        <v>BOS</v>
      </c>
      <c r="G179">
        <f>VLOOKUP($A179,ScionOutput!$A$3:$BL$215,26,FALSE)</f>
        <v>-108</v>
      </c>
      <c r="H179">
        <f>VLOOKUP($A179,ScionOutput!$A$3:$BL$215,10,FALSE)</f>
        <v>100</v>
      </c>
      <c r="I179" t="str">
        <f>VLOOKUP($A179,ScionOutput!$A$3:$BL$215,58,FALSE)</f>
        <v>HomFave</v>
      </c>
      <c r="J179">
        <f>VLOOKUP($A179,ScionOutput!$A$3:$BL$215,59,FALSE)</f>
        <v>3.057E-2</v>
      </c>
      <c r="K179">
        <f>VLOOKUP($A179,ScionOutput!$A$3:$BL$215,62,FALSE)</f>
        <v>5</v>
      </c>
      <c r="L179">
        <f>VLOOKUP($A179,ScionOutput!$A$3:$BL$215,63,FALSE)</f>
        <v>0.98</v>
      </c>
      <c r="M179" t="b">
        <f t="shared" si="17"/>
        <v>0</v>
      </c>
      <c r="N179">
        <f>VLOOKUP($A179,Outcomes!$B$3:$I$209,8,FALSE)</f>
        <v>8</v>
      </c>
      <c r="O179">
        <f t="shared" si="18"/>
        <v>-1</v>
      </c>
      <c r="P179">
        <f>VLOOKUP($A179,Outcomes!$B$3:$I$209,5,FALSE)</f>
        <v>2</v>
      </c>
      <c r="Q179">
        <f>VLOOKUP($A179,Outcomes!$B$3:$I$209,6,FALSE)</f>
        <v>6</v>
      </c>
      <c r="R179">
        <f>VLOOKUP($A179,Outcomes!$B$3:$I$209,7,FALSE)</f>
        <v>4</v>
      </c>
      <c r="S179" t="str">
        <f t="shared" si="19"/>
        <v>VisDog</v>
      </c>
      <c r="T179" t="str">
        <f t="shared" si="20"/>
        <v/>
      </c>
      <c r="U179" t="str">
        <f t="shared" si="16"/>
        <v/>
      </c>
      <c r="V179" t="str">
        <f t="shared" si="21"/>
        <v/>
      </c>
      <c r="W179" t="str">
        <f t="shared" si="22"/>
        <v/>
      </c>
      <c r="X179" s="2" t="str">
        <f t="shared" si="23"/>
        <v/>
      </c>
      <c r="Y179" t="str">
        <f>VLOOKUP($A179,ScionOutput!$A$3:$BL$215,64,FALSE)</f>
        <v xml:space="preserve">823124. Play determined by StatOnlyEns when it disagrees with LineStatEns. </v>
      </c>
    </row>
    <row r="180" spans="1:25" x14ac:dyDescent="0.2">
      <c r="A180">
        <v>822966</v>
      </c>
      <c r="B180" s="3">
        <f>VLOOKUP($A180,ScionOutput!$A$3:$BL$215,3,FALSE)</f>
        <v>46192</v>
      </c>
      <c r="C180">
        <f>VLOOKUP($A180,ScionOutput!$A$3:$BL$215,22,FALSE)</f>
        <v>27</v>
      </c>
      <c r="D180" t="str">
        <f>VLOOKUP($A180,ScionOutput!$A$3:$BL$215,23,FALSE)</f>
        <v>TB</v>
      </c>
      <c r="E180">
        <f>VLOOKUP($A180,ScionOutput!$A$3:$BL$215,6,FALSE)</f>
        <v>16</v>
      </c>
      <c r="F180" t="str">
        <f>VLOOKUP($A180,ScionOutput!$A$3:$BL$215,7,FALSE)</f>
        <v>WAS</v>
      </c>
      <c r="G180">
        <f>VLOOKUP($A180,ScionOutput!$A$3:$BL$215,26,FALSE)</f>
        <v>-119</v>
      </c>
      <c r="H180">
        <f>VLOOKUP($A180,ScionOutput!$A$3:$BL$215,10,FALSE)</f>
        <v>110</v>
      </c>
      <c r="I180" t="str">
        <f>VLOOKUP($A180,ScionOutput!$A$3:$BL$215,58,FALSE)</f>
        <v>No Play</v>
      </c>
      <c r="J180">
        <f>VLOOKUP($A180,ScionOutput!$A$3:$BL$215,59,FALSE)</f>
        <v>0</v>
      </c>
      <c r="K180">
        <f>VLOOKUP($A180,ScionOutput!$A$3:$BL$215,62,FALSE)</f>
        <v>0</v>
      </c>
      <c r="L180">
        <f>VLOOKUP($A180,ScionOutput!$A$3:$BL$215,63,FALSE)</f>
        <v>0</v>
      </c>
      <c r="M180" t="b">
        <f t="shared" si="17"/>
        <v>0</v>
      </c>
      <c r="N180">
        <f>VLOOKUP($A180,Outcomes!$B$3:$I$209,8,FALSE)</f>
        <v>7</v>
      </c>
      <c r="O180">
        <f t="shared" si="18"/>
        <v>1</v>
      </c>
      <c r="P180">
        <f>VLOOKUP($A180,Outcomes!$B$3:$I$209,5,FALSE)</f>
        <v>5</v>
      </c>
      <c r="Q180">
        <f>VLOOKUP($A180,Outcomes!$B$3:$I$209,6,FALSE)</f>
        <v>2</v>
      </c>
      <c r="R180">
        <f>VLOOKUP($A180,Outcomes!$B$3:$I$209,7,FALSE)</f>
        <v>-3</v>
      </c>
      <c r="S180" t="str">
        <f t="shared" si="19"/>
        <v>HomFave</v>
      </c>
      <c r="T180" t="str">
        <f t="shared" si="20"/>
        <v/>
      </c>
      <c r="U180" t="str">
        <f t="shared" si="16"/>
        <v/>
      </c>
      <c r="V180" t="str">
        <f t="shared" si="21"/>
        <v/>
      </c>
      <c r="W180" t="str">
        <f t="shared" si="22"/>
        <v/>
      </c>
      <c r="X180" s="2" t="str">
        <f t="shared" si="23"/>
        <v/>
      </c>
      <c r="Y180" t="str">
        <f>VLOOKUP($A180,ScionOutput!$A$3:$BL$215,64,FALSE)</f>
        <v xml:space="preserve">822966. LineStatEns probability points gap does not exceed threshold (no edge found)! StatOnlyEns probability points gap does not exceed threshold (no edge found)! No play due to strategy constraints. </v>
      </c>
    </row>
    <row r="181" spans="1:25" x14ac:dyDescent="0.2">
      <c r="A181">
        <v>822886</v>
      </c>
      <c r="B181" s="3">
        <f>VLOOKUP($A181,ScionOutput!$A$3:$BL$215,3,FALSE)</f>
        <v>46192</v>
      </c>
      <c r="C181">
        <f>VLOOKUP($A181,ScionOutput!$A$3:$BL$215,22,FALSE)</f>
        <v>28</v>
      </c>
      <c r="D181" t="str">
        <f>VLOOKUP($A181,ScionOutput!$A$3:$BL$215,23,FALSE)</f>
        <v>TEX</v>
      </c>
      <c r="E181">
        <f>VLOOKUP($A181,ScionOutput!$A$3:$BL$215,6,FALSE)</f>
        <v>23</v>
      </c>
      <c r="F181" t="str">
        <f>VLOOKUP($A181,ScionOutput!$A$3:$BL$215,7,FALSE)</f>
        <v>SD</v>
      </c>
      <c r="G181">
        <f>VLOOKUP($A181,ScionOutput!$A$3:$BL$215,26,FALSE)</f>
        <v>-154</v>
      </c>
      <c r="H181">
        <f>VLOOKUP($A181,ScionOutput!$A$3:$BL$215,10,FALSE)</f>
        <v>142</v>
      </c>
      <c r="I181" t="str">
        <f>VLOOKUP($A181,ScionOutput!$A$3:$BL$215,58,FALSE)</f>
        <v>No Play</v>
      </c>
      <c r="J181">
        <f>VLOOKUP($A181,ScionOutput!$A$3:$BL$215,59,FALSE)</f>
        <v>0</v>
      </c>
      <c r="K181">
        <f>VLOOKUP($A181,ScionOutput!$A$3:$BL$215,62,FALSE)</f>
        <v>0</v>
      </c>
      <c r="L181">
        <f>VLOOKUP($A181,ScionOutput!$A$3:$BL$215,63,FALSE)</f>
        <v>0</v>
      </c>
      <c r="M181" t="b">
        <f t="shared" si="17"/>
        <v>0</v>
      </c>
      <c r="N181">
        <f>VLOOKUP($A181,Outcomes!$B$3:$I$209,8,FALSE)</f>
        <v>16</v>
      </c>
      <c r="O181">
        <f t="shared" si="18"/>
        <v>1</v>
      </c>
      <c r="P181">
        <f>VLOOKUP($A181,Outcomes!$B$3:$I$209,5,FALSE)</f>
        <v>9</v>
      </c>
      <c r="Q181">
        <f>VLOOKUP($A181,Outcomes!$B$3:$I$209,6,FALSE)</f>
        <v>7</v>
      </c>
      <c r="R181">
        <f>VLOOKUP($A181,Outcomes!$B$3:$I$209,7,FALSE)</f>
        <v>-2</v>
      </c>
      <c r="S181" t="str">
        <f t="shared" si="19"/>
        <v>HomFave</v>
      </c>
      <c r="T181" t="str">
        <f t="shared" si="20"/>
        <v/>
      </c>
      <c r="U181" t="str">
        <f t="shared" si="16"/>
        <v/>
      </c>
      <c r="V181" t="str">
        <f t="shared" si="21"/>
        <v/>
      </c>
      <c r="W181" t="str">
        <f t="shared" si="22"/>
        <v/>
      </c>
      <c r="X181" s="2" t="str">
        <f t="shared" si="23"/>
        <v/>
      </c>
      <c r="Y181" t="str">
        <f>VLOOKUP($A181,ScionOutput!$A$3:$BL$215,64,FALSE)</f>
        <v xml:space="preserve">822886. LineStatEns is NoPlay as bookie-line outside range. StatOnlyEns is NoPlay as bookie-line outside range. No play due to strategy constraints. </v>
      </c>
    </row>
    <row r="182" spans="1:25" x14ac:dyDescent="0.2">
      <c r="A182">
        <v>824909</v>
      </c>
      <c r="B182" s="3">
        <f>VLOOKUP($A182,ScionOutput!$A$3:$BL$215,3,FALSE)</f>
        <v>46193</v>
      </c>
      <c r="C182">
        <f>VLOOKUP($A182,ScionOutput!$A$3:$BL$215,22,FALSE)</f>
        <v>0</v>
      </c>
      <c r="D182" t="str">
        <f>VLOOKUP($A182,ScionOutput!$A$3:$BL$215,23,FALSE)</f>
        <v>ATL</v>
      </c>
      <c r="E182">
        <f>VLOOKUP($A182,ScionOutput!$A$3:$BL$215,6,FALSE)</f>
        <v>17</v>
      </c>
      <c r="F182" t="str">
        <f>VLOOKUP($A182,ScionOutput!$A$3:$BL$215,7,FALSE)</f>
        <v>MLW</v>
      </c>
      <c r="G182">
        <f>VLOOKUP($A182,ScionOutput!$A$3:$BL$215,26,FALSE)</f>
        <v>-128</v>
      </c>
      <c r="H182">
        <f>VLOOKUP($A182,ScionOutput!$A$3:$BL$215,10,FALSE)</f>
        <v>118</v>
      </c>
      <c r="I182" t="str">
        <f>VLOOKUP($A182,ScionOutput!$A$3:$BL$215,58,FALSE)</f>
        <v>No Play</v>
      </c>
      <c r="J182">
        <f>VLOOKUP($A182,ScionOutput!$A$3:$BL$215,59,FALSE)</f>
        <v>0</v>
      </c>
      <c r="K182">
        <f>VLOOKUP($A182,ScionOutput!$A$3:$BL$215,62,FALSE)</f>
        <v>0</v>
      </c>
      <c r="L182">
        <f>VLOOKUP($A182,ScionOutput!$A$3:$BL$215,63,FALSE)</f>
        <v>0</v>
      </c>
      <c r="M182" t="b">
        <f t="shared" si="17"/>
        <v>0</v>
      </c>
      <c r="N182">
        <f>VLOOKUP($A182,Outcomes!$B$3:$I$209,8,FALSE)</f>
        <v>7</v>
      </c>
      <c r="O182">
        <f t="shared" si="18"/>
        <v>1</v>
      </c>
      <c r="P182">
        <f>VLOOKUP($A182,Outcomes!$B$3:$I$209,5,FALSE)</f>
        <v>4</v>
      </c>
      <c r="Q182">
        <f>VLOOKUP($A182,Outcomes!$B$3:$I$209,6,FALSE)</f>
        <v>3</v>
      </c>
      <c r="R182">
        <f>VLOOKUP($A182,Outcomes!$B$3:$I$209,7,FALSE)</f>
        <v>-1</v>
      </c>
      <c r="S182" t="str">
        <f t="shared" si="19"/>
        <v>HomFave</v>
      </c>
      <c r="T182" t="str">
        <f t="shared" si="20"/>
        <v/>
      </c>
      <c r="U182" t="str">
        <f t="shared" si="16"/>
        <v/>
      </c>
      <c r="V182" t="str">
        <f t="shared" si="21"/>
        <v/>
      </c>
      <c r="W182" t="str">
        <f t="shared" si="22"/>
        <v/>
      </c>
      <c r="X182" s="2" t="str">
        <f t="shared" si="23"/>
        <v/>
      </c>
      <c r="Y182" t="str">
        <f>VLOOKUP($A182,ScionOutput!$A$3:$BL$215,64,FALSE)</f>
        <v xml:space="preserve">824909. LineStatEns probability points gap does not exceed threshold (no edge found)! StatOnlyEns probability points gap does not exceed threshold (no edge found)! No play due to strategy constraints. </v>
      </c>
    </row>
    <row r="183" spans="1:25" x14ac:dyDescent="0.2">
      <c r="A183">
        <v>825068</v>
      </c>
      <c r="B183" s="3">
        <f>VLOOKUP($A183,ScionOutput!$A$3:$BL$215,3,FALSE)</f>
        <v>46193</v>
      </c>
      <c r="C183">
        <f>VLOOKUP($A183,ScionOutput!$A$3:$BL$215,22,FALSE)</f>
        <v>1</v>
      </c>
      <c r="D183" t="str">
        <f>VLOOKUP($A183,ScionOutput!$A$3:$BL$215,23,FALSE)</f>
        <v>ARZ</v>
      </c>
      <c r="E183">
        <f>VLOOKUP($A183,ScionOutput!$A$3:$BL$215,6,FALSE)</f>
        <v>15</v>
      </c>
      <c r="F183" t="str">
        <f>VLOOKUP($A183,ScionOutput!$A$3:$BL$215,7,FALSE)</f>
        <v>MIN</v>
      </c>
      <c r="G183">
        <f>VLOOKUP($A183,ScionOutput!$A$3:$BL$215,26,FALSE)</f>
        <v>-125</v>
      </c>
      <c r="H183">
        <f>VLOOKUP($A183,ScionOutput!$A$3:$BL$215,10,FALSE)</f>
        <v>115</v>
      </c>
      <c r="I183" t="str">
        <f>VLOOKUP($A183,ScionOutput!$A$3:$BL$215,58,FALSE)</f>
        <v>No Play</v>
      </c>
      <c r="J183">
        <f>VLOOKUP($A183,ScionOutput!$A$3:$BL$215,59,FALSE)</f>
        <v>0</v>
      </c>
      <c r="K183">
        <f>VLOOKUP($A183,ScionOutput!$A$3:$BL$215,62,FALSE)</f>
        <v>0</v>
      </c>
      <c r="L183">
        <f>VLOOKUP($A183,ScionOutput!$A$3:$BL$215,63,FALSE)</f>
        <v>0</v>
      </c>
      <c r="M183" t="b">
        <f t="shared" si="17"/>
        <v>0</v>
      </c>
      <c r="N183">
        <f>VLOOKUP($A183,Outcomes!$B$3:$I$209,8,FALSE)</f>
        <v>24</v>
      </c>
      <c r="O183">
        <f t="shared" si="18"/>
        <v>-1</v>
      </c>
      <c r="P183">
        <f>VLOOKUP($A183,Outcomes!$B$3:$I$209,5,FALSE)</f>
        <v>8</v>
      </c>
      <c r="Q183">
        <f>VLOOKUP($A183,Outcomes!$B$3:$I$209,6,FALSE)</f>
        <v>16</v>
      </c>
      <c r="R183">
        <f>VLOOKUP($A183,Outcomes!$B$3:$I$209,7,FALSE)</f>
        <v>8</v>
      </c>
      <c r="S183" t="str">
        <f t="shared" si="19"/>
        <v>VisDog</v>
      </c>
      <c r="T183" t="str">
        <f t="shared" si="20"/>
        <v/>
      </c>
      <c r="U183" t="str">
        <f t="shared" si="16"/>
        <v/>
      </c>
      <c r="V183" t="str">
        <f t="shared" si="21"/>
        <v/>
      </c>
      <c r="W183" t="str">
        <f t="shared" si="22"/>
        <v/>
      </c>
      <c r="X183" s="2" t="str">
        <f t="shared" si="23"/>
        <v/>
      </c>
      <c r="Y183" t="str">
        <f>VLOOKUP($A183,ScionOutput!$A$3:$BL$215,64,FALSE)</f>
        <v xml:space="preserve">825068. LineStatEns probability points gap does not exceed threshold (no edge found)! StatOnlyEns probability points gap does not exceed threshold (no edge found)! No play due to strategy constraints. </v>
      </c>
    </row>
    <row r="184" spans="1:25" x14ac:dyDescent="0.2">
      <c r="A184">
        <v>824665</v>
      </c>
      <c r="B184" s="3">
        <f>VLOOKUP($A184,ScionOutput!$A$3:$BL$215,3,FALSE)</f>
        <v>46193</v>
      </c>
      <c r="C184">
        <f>VLOOKUP($A184,ScionOutput!$A$3:$BL$215,22,FALSE)</f>
        <v>5</v>
      </c>
      <c r="D184" t="str">
        <f>VLOOKUP($A184,ScionOutput!$A$3:$BL$215,23,FALSE)</f>
        <v>CHC</v>
      </c>
      <c r="E184">
        <f>VLOOKUP($A184,ScionOutput!$A$3:$BL$215,6,FALSE)</f>
        <v>29</v>
      </c>
      <c r="F184" t="str">
        <f>VLOOKUP($A184,ScionOutput!$A$3:$BL$215,7,FALSE)</f>
        <v>TOR</v>
      </c>
      <c r="G184">
        <f>VLOOKUP($A184,ScionOutput!$A$3:$BL$215,26,FALSE)</f>
        <v>-126</v>
      </c>
      <c r="H184">
        <f>VLOOKUP($A184,ScionOutput!$A$3:$BL$215,10,FALSE)</f>
        <v>116</v>
      </c>
      <c r="I184" t="str">
        <f>VLOOKUP($A184,ScionOutput!$A$3:$BL$215,58,FALSE)</f>
        <v>HomFave</v>
      </c>
      <c r="J184">
        <f>VLOOKUP($A184,ScionOutput!$A$3:$BL$215,59,FALSE)</f>
        <v>1.367E-2</v>
      </c>
      <c r="K184">
        <f>VLOOKUP($A184,ScionOutput!$A$3:$BL$215,62,FALSE)</f>
        <v>1</v>
      </c>
      <c r="L184">
        <f>VLOOKUP($A184,ScionOutput!$A$3:$BL$215,63,FALSE)</f>
        <v>0.87</v>
      </c>
      <c r="M184" t="b">
        <f t="shared" si="17"/>
        <v>1</v>
      </c>
      <c r="N184">
        <f>VLOOKUP($A184,Outcomes!$B$3:$I$209,8,FALSE)</f>
        <v>14</v>
      </c>
      <c r="O184">
        <f t="shared" si="18"/>
        <v>-1</v>
      </c>
      <c r="P184">
        <f>VLOOKUP($A184,Outcomes!$B$3:$I$209,5,FALSE)</f>
        <v>6</v>
      </c>
      <c r="Q184">
        <f>VLOOKUP($A184,Outcomes!$B$3:$I$209,6,FALSE)</f>
        <v>8</v>
      </c>
      <c r="R184">
        <f>VLOOKUP($A184,Outcomes!$B$3:$I$209,7,FALSE)</f>
        <v>2</v>
      </c>
      <c r="S184" t="str">
        <f t="shared" si="19"/>
        <v>VisDog</v>
      </c>
      <c r="T184">
        <f t="shared" si="20"/>
        <v>0</v>
      </c>
      <c r="U184">
        <f t="shared" si="16"/>
        <v>126</v>
      </c>
      <c r="V184">
        <f t="shared" si="21"/>
        <v>0</v>
      </c>
      <c r="W184">
        <f t="shared" si="22"/>
        <v>-126</v>
      </c>
      <c r="X184" s="2">
        <f t="shared" si="23"/>
        <v>-1</v>
      </c>
      <c r="Y184" t="str">
        <f>VLOOKUP($A184,ScionOutput!$A$3:$BL$215,64,FALSE)</f>
        <v xml:space="preserve">824665. Play determined by LineStatEns and StatOnlyEns agreement. </v>
      </c>
    </row>
    <row r="185" spans="1:25" x14ac:dyDescent="0.2">
      <c r="A185">
        <v>824342</v>
      </c>
      <c r="B185" s="3">
        <f>VLOOKUP($A185,ScionOutput!$A$3:$BL$215,3,FALSE)</f>
        <v>46193</v>
      </c>
      <c r="C185">
        <f>VLOOKUP($A185,ScionOutput!$A$3:$BL$215,22,FALSE)</f>
        <v>8</v>
      </c>
      <c r="D185" t="str">
        <f>VLOOKUP($A185,ScionOutput!$A$3:$BL$215,23,FALSE)</f>
        <v>COL</v>
      </c>
      <c r="E185">
        <f>VLOOKUP($A185,ScionOutput!$A$3:$BL$215,6,FALSE)</f>
        <v>22</v>
      </c>
      <c r="F185" t="str">
        <f>VLOOKUP($A185,ScionOutput!$A$3:$BL$215,7,FALSE)</f>
        <v>PIT</v>
      </c>
      <c r="G185">
        <f>VLOOKUP($A185,ScionOutput!$A$3:$BL$215,26,FALSE)</f>
        <v>183</v>
      </c>
      <c r="H185">
        <f>VLOOKUP($A185,ScionOutput!$A$3:$BL$215,10,FALSE)</f>
        <v>-201</v>
      </c>
      <c r="I185" t="str">
        <f>VLOOKUP($A185,ScionOutput!$A$3:$BL$215,58,FALSE)</f>
        <v>No Play</v>
      </c>
      <c r="J185">
        <f>VLOOKUP($A185,ScionOutput!$A$3:$BL$215,59,FALSE)</f>
        <v>0</v>
      </c>
      <c r="K185">
        <f>VLOOKUP($A185,ScionOutput!$A$3:$BL$215,62,FALSE)</f>
        <v>0</v>
      </c>
      <c r="L185">
        <f>VLOOKUP($A185,ScionOutput!$A$3:$BL$215,63,FALSE)</f>
        <v>0</v>
      </c>
      <c r="M185" t="b">
        <f t="shared" si="17"/>
        <v>0</v>
      </c>
      <c r="N185">
        <f>VLOOKUP($A185,Outcomes!$B$3:$I$209,8,FALSE)</f>
        <v>3</v>
      </c>
      <c r="O185">
        <f t="shared" si="18"/>
        <v>1</v>
      </c>
      <c r="P185">
        <f>VLOOKUP($A185,Outcomes!$B$3:$I$209,5,FALSE)</f>
        <v>2</v>
      </c>
      <c r="Q185">
        <f>VLOOKUP($A185,Outcomes!$B$3:$I$209,6,FALSE)</f>
        <v>1</v>
      </c>
      <c r="R185">
        <f>VLOOKUP($A185,Outcomes!$B$3:$I$209,7,FALSE)</f>
        <v>-1</v>
      </c>
      <c r="S185" t="str">
        <f t="shared" si="19"/>
        <v>HomDog</v>
      </c>
      <c r="T185" t="str">
        <f t="shared" si="20"/>
        <v/>
      </c>
      <c r="U185" t="str">
        <f t="shared" si="16"/>
        <v/>
      </c>
      <c r="V185" t="str">
        <f t="shared" si="21"/>
        <v/>
      </c>
      <c r="W185" t="str">
        <f t="shared" si="22"/>
        <v/>
      </c>
      <c r="X185" s="2" t="str">
        <f t="shared" si="23"/>
        <v/>
      </c>
      <c r="Y185" t="str">
        <f>VLOOKUP($A185,ScionOutput!$A$3:$BL$215,64,FALSE)</f>
        <v xml:space="preserve">824342. LineStatEns is NoPlay as bookie-line outside range. StatOnlyEns is NoPlay as bookie-line outside range. No play due to strategy constraints. </v>
      </c>
    </row>
    <row r="186" spans="1:25" x14ac:dyDescent="0.2">
      <c r="A186">
        <v>824263</v>
      </c>
      <c r="B186" s="3">
        <f>VLOOKUP($A186,ScionOutput!$A$3:$BL$215,3,FALSE)</f>
        <v>46193</v>
      </c>
      <c r="C186">
        <f>VLOOKUP($A186,ScionOutput!$A$3:$BL$215,22,FALSE)</f>
        <v>10</v>
      </c>
      <c r="D186" t="str">
        <f>VLOOKUP($A186,ScionOutput!$A$3:$BL$215,23,FALSE)</f>
        <v>DET</v>
      </c>
      <c r="E186">
        <f>VLOOKUP($A186,ScionOutput!$A$3:$BL$215,6,FALSE)</f>
        <v>9</v>
      </c>
      <c r="F186" t="str">
        <f>VLOOKUP($A186,ScionOutput!$A$3:$BL$215,7,FALSE)</f>
        <v>CWS</v>
      </c>
      <c r="G186">
        <f>VLOOKUP($A186,ScionOutput!$A$3:$BL$215,26,FALSE)</f>
        <v>-115</v>
      </c>
      <c r="H186">
        <f>VLOOKUP($A186,ScionOutput!$A$3:$BL$215,10,FALSE)</f>
        <v>106</v>
      </c>
      <c r="I186" t="str">
        <f>VLOOKUP($A186,ScionOutput!$A$3:$BL$215,58,FALSE)</f>
        <v>No Play</v>
      </c>
      <c r="J186">
        <f>VLOOKUP($A186,ScionOutput!$A$3:$BL$215,59,FALSE)</f>
        <v>0</v>
      </c>
      <c r="K186">
        <f>VLOOKUP($A186,ScionOutput!$A$3:$BL$215,62,FALSE)</f>
        <v>0</v>
      </c>
      <c r="L186">
        <f>VLOOKUP($A186,ScionOutput!$A$3:$BL$215,63,FALSE)</f>
        <v>0</v>
      </c>
      <c r="M186" t="b">
        <f t="shared" si="17"/>
        <v>0</v>
      </c>
      <c r="N186">
        <f>VLOOKUP($A186,Outcomes!$B$3:$I$209,8,FALSE)</f>
        <v>5</v>
      </c>
      <c r="O186">
        <f t="shared" si="18"/>
        <v>1</v>
      </c>
      <c r="P186">
        <f>VLOOKUP($A186,Outcomes!$B$3:$I$209,5,FALSE)</f>
        <v>4</v>
      </c>
      <c r="Q186">
        <f>VLOOKUP($A186,Outcomes!$B$3:$I$209,6,FALSE)</f>
        <v>1</v>
      </c>
      <c r="R186">
        <f>VLOOKUP($A186,Outcomes!$B$3:$I$209,7,FALSE)</f>
        <v>-3</v>
      </c>
      <c r="S186" t="str">
        <f t="shared" si="19"/>
        <v>HomFave</v>
      </c>
      <c r="T186" t="str">
        <f t="shared" si="20"/>
        <v/>
      </c>
      <c r="U186" t="str">
        <f t="shared" si="16"/>
        <v/>
      </c>
      <c r="V186" t="str">
        <f t="shared" si="21"/>
        <v/>
      </c>
      <c r="W186" t="str">
        <f t="shared" si="22"/>
        <v/>
      </c>
      <c r="X186" s="2" t="str">
        <f t="shared" si="23"/>
        <v/>
      </c>
      <c r="Y186" t="str">
        <f>VLOOKUP($A186,ScionOutput!$A$3:$BL$215,64,FALSE)</f>
        <v xml:space="preserve">824263. V_SP is Null, team-based avg used. NoPlay as V_SP is Null. </v>
      </c>
    </row>
    <row r="187" spans="1:25" x14ac:dyDescent="0.2">
      <c r="A187">
        <v>823854</v>
      </c>
      <c r="B187" s="3">
        <f>VLOOKUP($A187,ScionOutput!$A$3:$BL$215,3,FALSE)</f>
        <v>46193</v>
      </c>
      <c r="C187">
        <f>VLOOKUP($A187,ScionOutput!$A$3:$BL$215,22,FALSE)</f>
        <v>11</v>
      </c>
      <c r="D187" t="str">
        <f>VLOOKUP($A187,ScionOutput!$A$3:$BL$215,23,FALSE)</f>
        <v>FLO</v>
      </c>
      <c r="E187">
        <f>VLOOKUP($A187,ScionOutput!$A$3:$BL$215,6,FALSE)</f>
        <v>25</v>
      </c>
      <c r="F187" t="str">
        <f>VLOOKUP($A187,ScionOutput!$A$3:$BL$215,7,FALSE)</f>
        <v>SF</v>
      </c>
      <c r="G187">
        <f>VLOOKUP($A187,ScionOutput!$A$3:$BL$215,26,FALSE)</f>
        <v>-137</v>
      </c>
      <c r="H187">
        <f>VLOOKUP($A187,ScionOutput!$A$3:$BL$215,10,FALSE)</f>
        <v>126</v>
      </c>
      <c r="I187" t="str">
        <f>VLOOKUP($A187,ScionOutput!$A$3:$BL$215,58,FALSE)</f>
        <v>No Play</v>
      </c>
      <c r="J187">
        <f>VLOOKUP($A187,ScionOutput!$A$3:$BL$215,59,FALSE)</f>
        <v>0</v>
      </c>
      <c r="K187">
        <f>VLOOKUP($A187,ScionOutput!$A$3:$BL$215,62,FALSE)</f>
        <v>0</v>
      </c>
      <c r="L187">
        <f>VLOOKUP($A187,ScionOutput!$A$3:$BL$215,63,FALSE)</f>
        <v>0</v>
      </c>
      <c r="M187" t="b">
        <f t="shared" si="17"/>
        <v>0</v>
      </c>
      <c r="N187">
        <f>VLOOKUP($A187,Outcomes!$B$3:$I$209,8,FALSE)</f>
        <v>9</v>
      </c>
      <c r="O187">
        <f t="shared" si="18"/>
        <v>1</v>
      </c>
      <c r="P187">
        <f>VLOOKUP($A187,Outcomes!$B$3:$I$209,5,FALSE)</f>
        <v>6</v>
      </c>
      <c r="Q187">
        <f>VLOOKUP($A187,Outcomes!$B$3:$I$209,6,FALSE)</f>
        <v>3</v>
      </c>
      <c r="R187">
        <f>VLOOKUP($A187,Outcomes!$B$3:$I$209,7,FALSE)</f>
        <v>-3</v>
      </c>
      <c r="S187" t="str">
        <f t="shared" si="19"/>
        <v>HomFave</v>
      </c>
      <c r="T187" t="str">
        <f t="shared" si="20"/>
        <v/>
      </c>
      <c r="U187" t="str">
        <f t="shared" si="16"/>
        <v/>
      </c>
      <c r="V187" t="str">
        <f t="shared" si="21"/>
        <v/>
      </c>
      <c r="W187" t="str">
        <f t="shared" si="22"/>
        <v/>
      </c>
      <c r="X187" s="2" t="str">
        <f t="shared" si="23"/>
        <v/>
      </c>
      <c r="Y187" t="str">
        <f>VLOOKUP($A187,ScionOutput!$A$3:$BL$215,64,FALSE)</f>
        <v xml:space="preserve">823854. LineStatEns probability points gap does not exceed threshold (no edge found)! StatOnlyEns probability points gap does not exceed threshold (no edge found)! No play due to strategy constraints. </v>
      </c>
    </row>
    <row r="188" spans="1:25" x14ac:dyDescent="0.2">
      <c r="A188">
        <v>824180</v>
      </c>
      <c r="B188" s="3">
        <f>VLOOKUP($A188,ScionOutput!$A$3:$BL$215,3,FALSE)</f>
        <v>46193</v>
      </c>
      <c r="C188">
        <f>VLOOKUP($A188,ScionOutput!$A$3:$BL$215,22,FALSE)</f>
        <v>12</v>
      </c>
      <c r="D188" t="str">
        <f>VLOOKUP($A188,ScionOutput!$A$3:$BL$215,23,FALSE)</f>
        <v>HOU</v>
      </c>
      <c r="E188">
        <f>VLOOKUP($A188,ScionOutput!$A$3:$BL$215,6,FALSE)</f>
        <v>7</v>
      </c>
      <c r="F188" t="str">
        <f>VLOOKUP($A188,ScionOutput!$A$3:$BL$215,7,FALSE)</f>
        <v>CLE</v>
      </c>
      <c r="G188">
        <f>VLOOKUP($A188,ScionOutput!$A$3:$BL$215,26,FALSE)</f>
        <v>-139</v>
      </c>
      <c r="H188">
        <f>VLOOKUP($A188,ScionOutput!$A$3:$BL$215,10,FALSE)</f>
        <v>128</v>
      </c>
      <c r="I188" t="str">
        <f>VLOOKUP($A188,ScionOutput!$A$3:$BL$215,58,FALSE)</f>
        <v>No Play</v>
      </c>
      <c r="J188">
        <f>VLOOKUP($A188,ScionOutput!$A$3:$BL$215,59,FALSE)</f>
        <v>0</v>
      </c>
      <c r="K188">
        <f>VLOOKUP($A188,ScionOutput!$A$3:$BL$215,62,FALSE)</f>
        <v>0</v>
      </c>
      <c r="L188">
        <f>VLOOKUP($A188,ScionOutput!$A$3:$BL$215,63,FALSE)</f>
        <v>0</v>
      </c>
      <c r="M188" t="b">
        <f t="shared" si="17"/>
        <v>0</v>
      </c>
      <c r="N188">
        <f>VLOOKUP($A188,Outcomes!$B$3:$I$209,8,FALSE)</f>
        <v>9</v>
      </c>
      <c r="O188">
        <f t="shared" si="18"/>
        <v>-1</v>
      </c>
      <c r="P188">
        <f>VLOOKUP($A188,Outcomes!$B$3:$I$209,5,FALSE)</f>
        <v>1</v>
      </c>
      <c r="Q188">
        <f>VLOOKUP($A188,Outcomes!$B$3:$I$209,6,FALSE)</f>
        <v>8</v>
      </c>
      <c r="R188">
        <f>VLOOKUP($A188,Outcomes!$B$3:$I$209,7,FALSE)</f>
        <v>7</v>
      </c>
      <c r="S188" t="str">
        <f t="shared" si="19"/>
        <v>VisDog</v>
      </c>
      <c r="T188" t="str">
        <f t="shared" si="20"/>
        <v/>
      </c>
      <c r="U188" t="str">
        <f t="shared" si="16"/>
        <v/>
      </c>
      <c r="V188" t="str">
        <f t="shared" si="21"/>
        <v/>
      </c>
      <c r="W188" t="str">
        <f t="shared" si="22"/>
        <v/>
      </c>
      <c r="X188" s="2" t="str">
        <f t="shared" si="23"/>
        <v/>
      </c>
      <c r="Y188" t="str">
        <f>VLOOKUP($A188,ScionOutput!$A$3:$BL$215,64,FALSE)</f>
        <v xml:space="preserve">824180. LineStatEns probability points gap does not exceed threshold (no edge found)! StatOnlyEns probability points gap does not exceed threshold (no edge found)! No play due to strategy constraints. </v>
      </c>
    </row>
    <row r="189" spans="1:25" x14ac:dyDescent="0.2">
      <c r="A189">
        <v>823937</v>
      </c>
      <c r="B189" s="3">
        <f>VLOOKUP($A189,ScionOutput!$A$3:$BL$215,3,FALSE)</f>
        <v>46193</v>
      </c>
      <c r="C189">
        <f>VLOOKUP($A189,ScionOutput!$A$3:$BL$215,22,FALSE)</f>
        <v>14</v>
      </c>
      <c r="D189" t="str">
        <f>VLOOKUP($A189,ScionOutput!$A$3:$BL$215,23,FALSE)</f>
        <v>LA</v>
      </c>
      <c r="E189">
        <f>VLOOKUP($A189,ScionOutput!$A$3:$BL$215,6,FALSE)</f>
        <v>2</v>
      </c>
      <c r="F189" t="str">
        <f>VLOOKUP($A189,ScionOutput!$A$3:$BL$215,7,FALSE)</f>
        <v>BAL</v>
      </c>
      <c r="G189">
        <f>VLOOKUP($A189,ScionOutput!$A$3:$BL$215,26,FALSE)</f>
        <v>-217</v>
      </c>
      <c r="H189">
        <f>VLOOKUP($A189,ScionOutput!$A$3:$BL$215,10,FALSE)</f>
        <v>196</v>
      </c>
      <c r="I189" t="str">
        <f>VLOOKUP($A189,ScionOutput!$A$3:$BL$215,58,FALSE)</f>
        <v>No Play</v>
      </c>
      <c r="J189">
        <f>VLOOKUP($A189,ScionOutput!$A$3:$BL$215,59,FALSE)</f>
        <v>0</v>
      </c>
      <c r="K189">
        <f>VLOOKUP($A189,ScionOutput!$A$3:$BL$215,62,FALSE)</f>
        <v>0</v>
      </c>
      <c r="L189">
        <f>VLOOKUP($A189,ScionOutput!$A$3:$BL$215,63,FALSE)</f>
        <v>0</v>
      </c>
      <c r="M189" t="b">
        <f t="shared" si="17"/>
        <v>0</v>
      </c>
      <c r="N189">
        <f>VLOOKUP($A189,Outcomes!$B$3:$I$209,8,FALSE)</f>
        <v>5</v>
      </c>
      <c r="O189">
        <f t="shared" si="18"/>
        <v>-1</v>
      </c>
      <c r="P189">
        <f>VLOOKUP($A189,Outcomes!$B$3:$I$209,5,FALSE)</f>
        <v>2</v>
      </c>
      <c r="Q189">
        <f>VLOOKUP($A189,Outcomes!$B$3:$I$209,6,FALSE)</f>
        <v>3</v>
      </c>
      <c r="R189">
        <f>VLOOKUP($A189,Outcomes!$B$3:$I$209,7,FALSE)</f>
        <v>1</v>
      </c>
      <c r="S189" t="str">
        <f t="shared" si="19"/>
        <v>VisDog</v>
      </c>
      <c r="T189" t="str">
        <f t="shared" si="20"/>
        <v/>
      </c>
      <c r="U189" t="str">
        <f t="shared" si="16"/>
        <v/>
      </c>
      <c r="V189" t="str">
        <f t="shared" si="21"/>
        <v/>
      </c>
      <c r="W189" t="str">
        <f t="shared" si="22"/>
        <v/>
      </c>
      <c r="X189" s="2" t="str">
        <f t="shared" si="23"/>
        <v/>
      </c>
      <c r="Y189" t="str">
        <f>VLOOKUP($A189,ScionOutput!$A$3:$BL$215,64,FALSE)</f>
        <v xml:space="preserve">823937. LineStatEns is NoPlay as bookie-line outside range. StatOnlyEns is NoPlay as bookie-line outside range. No play due to strategy constraints. </v>
      </c>
    </row>
    <row r="190" spans="1:25" x14ac:dyDescent="0.2">
      <c r="A190">
        <v>823532</v>
      </c>
      <c r="B190" s="3">
        <f>VLOOKUP($A190,ScionOutput!$A$3:$BL$215,3,FALSE)</f>
        <v>46193</v>
      </c>
      <c r="C190">
        <f>VLOOKUP($A190,ScionOutput!$A$3:$BL$215,22,FALSE)</f>
        <v>19</v>
      </c>
      <c r="D190" t="str">
        <f>VLOOKUP($A190,ScionOutput!$A$3:$BL$215,23,FALSE)</f>
        <v>NYY</v>
      </c>
      <c r="E190">
        <f>VLOOKUP($A190,ScionOutput!$A$3:$BL$215,6,FALSE)</f>
        <v>6</v>
      </c>
      <c r="F190" t="str">
        <f>VLOOKUP($A190,ScionOutput!$A$3:$BL$215,7,FALSE)</f>
        <v>CIN</v>
      </c>
      <c r="G190">
        <f>VLOOKUP($A190,ScionOutput!$A$3:$BL$215,26,FALSE)</f>
        <v>-199</v>
      </c>
      <c r="H190">
        <f>VLOOKUP($A190,ScionOutput!$A$3:$BL$215,10,FALSE)</f>
        <v>181</v>
      </c>
      <c r="I190" t="str">
        <f>VLOOKUP($A190,ScionOutput!$A$3:$BL$215,58,FALSE)</f>
        <v>No Play</v>
      </c>
      <c r="J190">
        <f>VLOOKUP($A190,ScionOutput!$A$3:$BL$215,59,FALSE)</f>
        <v>0</v>
      </c>
      <c r="K190">
        <f>VLOOKUP($A190,ScionOutput!$A$3:$BL$215,62,FALSE)</f>
        <v>0</v>
      </c>
      <c r="L190">
        <f>VLOOKUP($A190,ScionOutput!$A$3:$BL$215,63,FALSE)</f>
        <v>0</v>
      </c>
      <c r="M190" t="b">
        <f t="shared" si="17"/>
        <v>0</v>
      </c>
      <c r="N190">
        <f>VLOOKUP($A190,Outcomes!$B$3:$I$209,8,FALSE)</f>
        <v>12</v>
      </c>
      <c r="O190">
        <f t="shared" si="18"/>
        <v>-1</v>
      </c>
      <c r="P190">
        <f>VLOOKUP($A190,Outcomes!$B$3:$I$209,5,FALSE)</f>
        <v>2</v>
      </c>
      <c r="Q190">
        <f>VLOOKUP($A190,Outcomes!$B$3:$I$209,6,FALSE)</f>
        <v>10</v>
      </c>
      <c r="R190">
        <f>VLOOKUP($A190,Outcomes!$B$3:$I$209,7,FALSE)</f>
        <v>8</v>
      </c>
      <c r="S190" t="str">
        <f t="shared" si="19"/>
        <v>VisDog</v>
      </c>
      <c r="T190" t="str">
        <f t="shared" si="20"/>
        <v/>
      </c>
      <c r="U190" t="str">
        <f t="shared" si="16"/>
        <v/>
      </c>
      <c r="V190" t="str">
        <f t="shared" si="21"/>
        <v/>
      </c>
      <c r="W190" t="str">
        <f t="shared" si="22"/>
        <v/>
      </c>
      <c r="X190" s="2" t="str">
        <f t="shared" si="23"/>
        <v/>
      </c>
      <c r="Y190" t="str">
        <f>VLOOKUP($A190,ScionOutput!$A$3:$BL$215,64,FALSE)</f>
        <v xml:space="preserve">823532. LineStatEns is NoPlay as bookie-line outside range. StatOnlyEns is NoPlay as bookie-line outside range. No play due to strategy constraints. </v>
      </c>
    </row>
    <row r="191" spans="1:25" x14ac:dyDescent="0.2">
      <c r="A191">
        <v>824988</v>
      </c>
      <c r="B191" s="3">
        <f>VLOOKUP($A191,ScionOutput!$A$3:$BL$215,3,FALSE)</f>
        <v>46193</v>
      </c>
      <c r="C191">
        <f>VLOOKUP($A191,ScionOutput!$A$3:$BL$215,22,FALSE)</f>
        <v>20</v>
      </c>
      <c r="D191" t="str">
        <f>VLOOKUP($A191,ScionOutput!$A$3:$BL$215,23,FALSE)</f>
        <v>OAK</v>
      </c>
      <c r="E191">
        <f>VLOOKUP($A191,ScionOutput!$A$3:$BL$215,6,FALSE)</f>
        <v>4</v>
      </c>
      <c r="F191" t="str">
        <f>VLOOKUP($A191,ScionOutput!$A$3:$BL$215,7,FALSE)</f>
        <v>LAA</v>
      </c>
      <c r="G191">
        <f>VLOOKUP($A191,ScionOutput!$A$3:$BL$215,26,FALSE)</f>
        <v>-163</v>
      </c>
      <c r="H191">
        <f>VLOOKUP($A191,ScionOutput!$A$3:$BL$215,10,FALSE)</f>
        <v>149</v>
      </c>
      <c r="I191" t="str">
        <f>VLOOKUP($A191,ScionOutput!$A$3:$BL$215,58,FALSE)</f>
        <v>No Play</v>
      </c>
      <c r="J191">
        <f>VLOOKUP($A191,ScionOutput!$A$3:$BL$215,59,FALSE)</f>
        <v>0</v>
      </c>
      <c r="K191">
        <f>VLOOKUP($A191,ScionOutput!$A$3:$BL$215,62,FALSE)</f>
        <v>0</v>
      </c>
      <c r="L191">
        <f>VLOOKUP($A191,ScionOutput!$A$3:$BL$215,63,FALSE)</f>
        <v>0</v>
      </c>
      <c r="M191" t="b">
        <f t="shared" si="17"/>
        <v>0</v>
      </c>
      <c r="N191">
        <f>VLOOKUP($A191,Outcomes!$B$3:$I$209,8,FALSE)</f>
        <v>7</v>
      </c>
      <c r="O191">
        <f t="shared" si="18"/>
        <v>-1</v>
      </c>
      <c r="P191">
        <f>VLOOKUP($A191,Outcomes!$B$3:$I$209,5,FALSE)</f>
        <v>0</v>
      </c>
      <c r="Q191">
        <f>VLOOKUP($A191,Outcomes!$B$3:$I$209,6,FALSE)</f>
        <v>7</v>
      </c>
      <c r="R191">
        <f>VLOOKUP($A191,Outcomes!$B$3:$I$209,7,FALSE)</f>
        <v>7</v>
      </c>
      <c r="S191" t="str">
        <f t="shared" si="19"/>
        <v>VisDog</v>
      </c>
      <c r="T191" t="str">
        <f t="shared" si="20"/>
        <v/>
      </c>
      <c r="U191" t="str">
        <f t="shared" si="16"/>
        <v/>
      </c>
      <c r="V191" t="str">
        <f t="shared" si="21"/>
        <v/>
      </c>
      <c r="W191" t="str">
        <f t="shared" si="22"/>
        <v/>
      </c>
      <c r="X191" s="2" t="str">
        <f t="shared" si="23"/>
        <v/>
      </c>
      <c r="Y191" t="str">
        <f>VLOOKUP($A191,ScionOutput!$A$3:$BL$215,64,FALSE)</f>
        <v xml:space="preserve">824988. LineStatEns is NoPlay as bookie-line outside range. StatOnlyEns is NoPlay as bookie-line outside range. No play due to strategy constraints. </v>
      </c>
    </row>
    <row r="192" spans="1:25" x14ac:dyDescent="0.2">
      <c r="A192">
        <v>823447</v>
      </c>
      <c r="B192" s="3">
        <f>VLOOKUP($A192,ScionOutput!$A$3:$BL$215,3,FALSE)</f>
        <v>46193</v>
      </c>
      <c r="C192">
        <f>VLOOKUP($A192,ScionOutput!$A$3:$BL$215,22,FALSE)</f>
        <v>21</v>
      </c>
      <c r="D192" t="str">
        <f>VLOOKUP($A192,ScionOutput!$A$3:$BL$215,23,FALSE)</f>
        <v>PHI</v>
      </c>
      <c r="E192">
        <f>VLOOKUP($A192,ScionOutput!$A$3:$BL$215,6,FALSE)</f>
        <v>18</v>
      </c>
      <c r="F192" t="str">
        <f>VLOOKUP($A192,ScionOutput!$A$3:$BL$215,7,FALSE)</f>
        <v>NYM</v>
      </c>
      <c r="G192">
        <f>VLOOKUP($A192,ScionOutput!$A$3:$BL$215,26,FALSE)</f>
        <v>-183</v>
      </c>
      <c r="H192">
        <f>VLOOKUP($A192,ScionOutput!$A$3:$BL$215,10,FALSE)</f>
        <v>167</v>
      </c>
      <c r="I192" t="str">
        <f>VLOOKUP($A192,ScionOutput!$A$3:$BL$215,58,FALSE)</f>
        <v>No Play</v>
      </c>
      <c r="J192">
        <f>VLOOKUP($A192,ScionOutput!$A$3:$BL$215,59,FALSE)</f>
        <v>0</v>
      </c>
      <c r="K192">
        <f>VLOOKUP($A192,ScionOutput!$A$3:$BL$215,62,FALSE)</f>
        <v>0</v>
      </c>
      <c r="L192">
        <f>VLOOKUP($A192,ScionOutput!$A$3:$BL$215,63,FALSE)</f>
        <v>0</v>
      </c>
      <c r="M192" t="b">
        <f t="shared" si="17"/>
        <v>0</v>
      </c>
      <c r="N192">
        <f>VLOOKUP($A192,Outcomes!$B$3:$I$209,8,FALSE)</f>
        <v>18</v>
      </c>
      <c r="O192">
        <f t="shared" si="18"/>
        <v>1</v>
      </c>
      <c r="P192">
        <f>VLOOKUP($A192,Outcomes!$B$3:$I$209,5,FALSE)</f>
        <v>15</v>
      </c>
      <c r="Q192">
        <f>VLOOKUP($A192,Outcomes!$B$3:$I$209,6,FALSE)</f>
        <v>3</v>
      </c>
      <c r="R192">
        <f>VLOOKUP($A192,Outcomes!$B$3:$I$209,7,FALSE)</f>
        <v>-12</v>
      </c>
      <c r="S192" t="str">
        <f t="shared" si="19"/>
        <v>HomFave</v>
      </c>
      <c r="T192" t="str">
        <f t="shared" si="20"/>
        <v/>
      </c>
      <c r="U192" t="str">
        <f t="shared" si="16"/>
        <v/>
      </c>
      <c r="V192" t="str">
        <f t="shared" si="21"/>
        <v/>
      </c>
      <c r="W192" t="str">
        <f t="shared" si="22"/>
        <v/>
      </c>
      <c r="X192" s="2" t="str">
        <f t="shared" si="23"/>
        <v/>
      </c>
      <c r="Y192" t="str">
        <f>VLOOKUP($A192,ScionOutput!$A$3:$BL$215,64,FALSE)</f>
        <v xml:space="preserve">823447. LineStatEns is NoPlay as bookie-line outside range. StatOnlyEns is NoPlay as bookie-line outside range. No play due to strategy constraints. </v>
      </c>
    </row>
    <row r="193" spans="1:25" x14ac:dyDescent="0.2">
      <c r="A193">
        <v>823126</v>
      </c>
      <c r="B193" s="3">
        <f>VLOOKUP($A193,ScionOutput!$A$3:$BL$215,3,FALSE)</f>
        <v>46193</v>
      </c>
      <c r="C193">
        <f>VLOOKUP($A193,ScionOutput!$A$3:$BL$215,22,FALSE)</f>
        <v>24</v>
      </c>
      <c r="D193" t="str">
        <f>VLOOKUP($A193,ScionOutput!$A$3:$BL$215,23,FALSE)</f>
        <v>SEA</v>
      </c>
      <c r="E193">
        <f>VLOOKUP($A193,ScionOutput!$A$3:$BL$215,6,FALSE)</f>
        <v>3</v>
      </c>
      <c r="F193" t="str">
        <f>VLOOKUP($A193,ScionOutput!$A$3:$BL$215,7,FALSE)</f>
        <v>BOS</v>
      </c>
      <c r="G193">
        <f>VLOOKUP($A193,ScionOutput!$A$3:$BL$215,26,FALSE)</f>
        <v>-116</v>
      </c>
      <c r="H193">
        <f>VLOOKUP($A193,ScionOutput!$A$3:$BL$215,10,FALSE)</f>
        <v>107</v>
      </c>
      <c r="I193" t="str">
        <f>VLOOKUP($A193,ScionOutput!$A$3:$BL$215,58,FALSE)</f>
        <v>No Play</v>
      </c>
      <c r="J193">
        <f>VLOOKUP($A193,ScionOutput!$A$3:$BL$215,59,FALSE)</f>
        <v>0</v>
      </c>
      <c r="K193">
        <f>VLOOKUP($A193,ScionOutput!$A$3:$BL$215,62,FALSE)</f>
        <v>0</v>
      </c>
      <c r="L193">
        <f>VLOOKUP($A193,ScionOutput!$A$3:$BL$215,63,FALSE)</f>
        <v>0</v>
      </c>
      <c r="M193" t="b">
        <f t="shared" si="17"/>
        <v>0</v>
      </c>
      <c r="N193">
        <f>VLOOKUP($A193,Outcomes!$B$3:$I$209,8,FALSE)</f>
        <v>6</v>
      </c>
      <c r="O193">
        <f t="shared" si="18"/>
        <v>-1</v>
      </c>
      <c r="P193">
        <f>VLOOKUP($A193,Outcomes!$B$3:$I$209,5,FALSE)</f>
        <v>1</v>
      </c>
      <c r="Q193">
        <f>VLOOKUP($A193,Outcomes!$B$3:$I$209,6,FALSE)</f>
        <v>5</v>
      </c>
      <c r="R193">
        <f>VLOOKUP($A193,Outcomes!$B$3:$I$209,7,FALSE)</f>
        <v>4</v>
      </c>
      <c r="S193" t="str">
        <f t="shared" si="19"/>
        <v>VisDog</v>
      </c>
      <c r="T193" t="str">
        <f t="shared" si="20"/>
        <v/>
      </c>
      <c r="U193" t="str">
        <f t="shared" si="16"/>
        <v/>
      </c>
      <c r="V193" t="str">
        <f t="shared" si="21"/>
        <v/>
      </c>
      <c r="W193" t="str">
        <f t="shared" si="22"/>
        <v/>
      </c>
      <c r="X193" s="2" t="str">
        <f t="shared" si="23"/>
        <v/>
      </c>
      <c r="Y193" t="str">
        <f>VLOOKUP($A193,ScionOutput!$A$3:$BL$215,64,FALSE)</f>
        <v xml:space="preserve">823126. LineStatEns probability points gap does not exceed threshold (no edge found)! StatOnlyEns probability points gap does not exceed threshold (no edge found)! No play due to strategy constraints. </v>
      </c>
    </row>
    <row r="194" spans="1:25" x14ac:dyDescent="0.2">
      <c r="A194">
        <v>822967</v>
      </c>
      <c r="B194" s="3">
        <f>VLOOKUP($A194,ScionOutput!$A$3:$BL$215,3,FALSE)</f>
        <v>46193</v>
      </c>
      <c r="C194">
        <f>VLOOKUP($A194,ScionOutput!$A$3:$BL$215,22,FALSE)</f>
        <v>27</v>
      </c>
      <c r="D194" t="str">
        <f>VLOOKUP($A194,ScionOutput!$A$3:$BL$215,23,FALSE)</f>
        <v>TB</v>
      </c>
      <c r="E194">
        <f>VLOOKUP($A194,ScionOutput!$A$3:$BL$215,6,FALSE)</f>
        <v>16</v>
      </c>
      <c r="F194" t="str">
        <f>VLOOKUP($A194,ScionOutput!$A$3:$BL$215,7,FALSE)</f>
        <v>WAS</v>
      </c>
      <c r="G194">
        <f>VLOOKUP($A194,ScionOutput!$A$3:$BL$215,26,FALSE)</f>
        <v>-117</v>
      </c>
      <c r="H194">
        <f>VLOOKUP($A194,ScionOutput!$A$3:$BL$215,10,FALSE)</f>
        <v>108</v>
      </c>
      <c r="I194" t="str">
        <f>VLOOKUP($A194,ScionOutput!$A$3:$BL$215,58,FALSE)</f>
        <v>No Play</v>
      </c>
      <c r="J194">
        <f>VLOOKUP($A194,ScionOutput!$A$3:$BL$215,59,FALSE)</f>
        <v>0</v>
      </c>
      <c r="K194">
        <f>VLOOKUP($A194,ScionOutput!$A$3:$BL$215,62,FALSE)</f>
        <v>0</v>
      </c>
      <c r="L194">
        <f>VLOOKUP($A194,ScionOutput!$A$3:$BL$215,63,FALSE)</f>
        <v>0</v>
      </c>
      <c r="M194" t="b">
        <f t="shared" si="17"/>
        <v>0</v>
      </c>
      <c r="N194">
        <f>VLOOKUP($A194,Outcomes!$B$3:$I$209,8,FALSE)</f>
        <v>7</v>
      </c>
      <c r="O194">
        <f t="shared" si="18"/>
        <v>-1</v>
      </c>
      <c r="P194">
        <f>VLOOKUP($A194,Outcomes!$B$3:$I$209,5,FALSE)</f>
        <v>3</v>
      </c>
      <c r="Q194">
        <f>VLOOKUP($A194,Outcomes!$B$3:$I$209,6,FALSE)</f>
        <v>4</v>
      </c>
      <c r="R194">
        <f>VLOOKUP($A194,Outcomes!$B$3:$I$209,7,FALSE)</f>
        <v>1</v>
      </c>
      <c r="S194" t="str">
        <f t="shared" si="19"/>
        <v>VisDog</v>
      </c>
      <c r="T194" t="str">
        <f t="shared" si="20"/>
        <v/>
      </c>
      <c r="U194" t="str">
        <f t="shared" ref="U194:U209" si="24">IF(T194="","",IF(G194&lt;H194,IF(I194="HomFave",ABS(G194),IF(H194&lt;0,ABS(H194),100)),IF(I194="VisFave",ABS(H194),IF(G194&lt;0,ABS(G194),100))))</f>
        <v/>
      </c>
      <c r="V194" t="str">
        <f t="shared" si="21"/>
        <v/>
      </c>
      <c r="W194" t="str">
        <f t="shared" si="22"/>
        <v/>
      </c>
      <c r="X194" s="2" t="str">
        <f t="shared" si="23"/>
        <v/>
      </c>
      <c r="Y194" t="str">
        <f>VLOOKUP($A194,ScionOutput!$A$3:$BL$215,64,FALSE)</f>
        <v xml:space="preserve">822967. LineStatEns probability points gap does not exceed threshold (no edge found)! No play due to strategy constraints. </v>
      </c>
    </row>
    <row r="195" spans="1:25" x14ac:dyDescent="0.2">
      <c r="A195">
        <v>822885</v>
      </c>
      <c r="B195" s="3">
        <f>VLOOKUP($A195,ScionOutput!$A$3:$BL$215,3,FALSE)</f>
        <v>46193</v>
      </c>
      <c r="C195">
        <f>VLOOKUP($A195,ScionOutput!$A$3:$BL$215,22,FALSE)</f>
        <v>28</v>
      </c>
      <c r="D195" t="str">
        <f>VLOOKUP($A195,ScionOutput!$A$3:$BL$215,23,FALSE)</f>
        <v>TEX</v>
      </c>
      <c r="E195">
        <f>VLOOKUP($A195,ScionOutput!$A$3:$BL$215,6,FALSE)</f>
        <v>23</v>
      </c>
      <c r="F195" t="str">
        <f>VLOOKUP($A195,ScionOutput!$A$3:$BL$215,7,FALSE)</f>
        <v>SD</v>
      </c>
      <c r="G195">
        <f>VLOOKUP($A195,ScionOutput!$A$3:$BL$215,26,FALSE)</f>
        <v>-123</v>
      </c>
      <c r="H195">
        <f>VLOOKUP($A195,ScionOutput!$A$3:$BL$215,10,FALSE)</f>
        <v>114</v>
      </c>
      <c r="I195" t="str">
        <f>VLOOKUP($A195,ScionOutput!$A$3:$BL$215,58,FALSE)</f>
        <v>No Play</v>
      </c>
      <c r="J195">
        <f>VLOOKUP($A195,ScionOutput!$A$3:$BL$215,59,FALSE)</f>
        <v>0</v>
      </c>
      <c r="K195">
        <f>VLOOKUP($A195,ScionOutput!$A$3:$BL$215,62,FALSE)</f>
        <v>0</v>
      </c>
      <c r="L195">
        <f>VLOOKUP($A195,ScionOutput!$A$3:$BL$215,63,FALSE)</f>
        <v>0</v>
      </c>
      <c r="M195" t="b">
        <f t="shared" ref="M195:M209" si="25">ISNUMBER(SEARCH("Play determined by LineStatEns and StatOnlyEns agreement", Y195))</f>
        <v>0</v>
      </c>
      <c r="N195">
        <f>VLOOKUP($A195,Outcomes!$B$3:$I$209,8,FALSE)</f>
        <v>10</v>
      </c>
      <c r="O195">
        <f t="shared" ref="O195:O209" si="26">IF(P195&gt;Q195,1,IF(P195&lt;Q195,-1,0))</f>
        <v>-1</v>
      </c>
      <c r="P195">
        <f>VLOOKUP($A195,Outcomes!$B$3:$I$209,5,FALSE)</f>
        <v>4</v>
      </c>
      <c r="Q195">
        <f>VLOOKUP($A195,Outcomes!$B$3:$I$209,6,FALSE)</f>
        <v>6</v>
      </c>
      <c r="R195">
        <f>VLOOKUP($A195,Outcomes!$B$3:$I$209,7,FALSE)</f>
        <v>2</v>
      </c>
      <c r="S195" t="str">
        <f t="shared" ref="S195:S209" si="27">IF(R195=0,"Push",IF(G195&lt;H195,IF(R195&lt;0,"HomFave","VisDog"),IF(R195&gt;0,"VisFave","HomDog")))</f>
        <v>VisDog</v>
      </c>
      <c r="T195" t="str">
        <f t="shared" ref="T195:T209" si="28">IF(OR(R195=0,I195="No Play",M195&lt;&gt;TRUE),"",IF(S195=I195,1,0))</f>
        <v/>
      </c>
      <c r="U195" t="str">
        <f t="shared" si="24"/>
        <v/>
      </c>
      <c r="V195" t="str">
        <f t="shared" ref="V195:V209" si="29">IF(T195="","",IF(T195=0,0,IF(G195&lt;H195,IF(I195="HomFave",U195+100,IF(H195&lt;0,100+U195,U195+ABS(H195))),IF(I195="VisFave",U195+100,IF(G195&lt;0,100+U195,U195+ABS(G195))))))</f>
        <v/>
      </c>
      <c r="W195" t="str">
        <f t="shared" ref="W195:W209" si="30">IF(T195="","",V195-U195)</f>
        <v/>
      </c>
      <c r="X195" s="2" t="str">
        <f t="shared" ref="X195:X210" si="31">IF(T195="","",W195/U195)</f>
        <v/>
      </c>
      <c r="Y195" t="str">
        <f>VLOOKUP($A195,ScionOutput!$A$3:$BL$215,64,FALSE)</f>
        <v xml:space="preserve">822885. LineStatEns probability points gap does not exceed threshold (no edge found)! StatOnlyEns probability points gap does not exceed threshold (no edge found)! No play due to strategy constraints. </v>
      </c>
    </row>
    <row r="196" spans="1:25" x14ac:dyDescent="0.2">
      <c r="A196">
        <v>824908</v>
      </c>
      <c r="B196" s="3">
        <f>VLOOKUP($A196,ScionOutput!$A$3:$BL$215,3,FALSE)</f>
        <v>46194</v>
      </c>
      <c r="C196">
        <f>VLOOKUP($A196,ScionOutput!$A$3:$BL$215,22,FALSE)</f>
        <v>0</v>
      </c>
      <c r="D196" t="str">
        <f>VLOOKUP($A196,ScionOutput!$A$3:$BL$215,23,FALSE)</f>
        <v>ATL</v>
      </c>
      <c r="E196">
        <f>VLOOKUP($A196,ScionOutput!$A$3:$BL$215,6,FALSE)</f>
        <v>17</v>
      </c>
      <c r="F196" t="str">
        <f>VLOOKUP($A196,ScionOutput!$A$3:$BL$215,7,FALSE)</f>
        <v>MLW</v>
      </c>
      <c r="G196">
        <f>VLOOKUP($A196,ScionOutput!$A$3:$BL$215,26,FALSE)</f>
        <v>-113</v>
      </c>
      <c r="H196">
        <f>VLOOKUP($A196,ScionOutput!$A$3:$BL$215,10,FALSE)</f>
        <v>105</v>
      </c>
      <c r="I196" t="str">
        <f>VLOOKUP($A196,ScionOutput!$A$3:$BL$215,58,FALSE)</f>
        <v>HomFave</v>
      </c>
      <c r="J196">
        <f>VLOOKUP($A196,ScionOutput!$A$3:$BL$215,59,FALSE)</f>
        <v>4.9029999999999997E-2</v>
      </c>
      <c r="K196">
        <f>VLOOKUP($A196,ScionOutput!$A$3:$BL$215,62,FALSE)</f>
        <v>3</v>
      </c>
      <c r="L196">
        <f>VLOOKUP($A196,ScionOutput!$A$3:$BL$215,63,FALSE)</f>
        <v>1</v>
      </c>
      <c r="M196" t="b">
        <f t="shared" si="25"/>
        <v>0</v>
      </c>
      <c r="N196">
        <f>VLOOKUP($A196,Outcomes!$B$3:$I$209,8,FALSE)</f>
        <v>13</v>
      </c>
      <c r="O196">
        <f t="shared" si="26"/>
        <v>-1</v>
      </c>
      <c r="P196">
        <f>VLOOKUP($A196,Outcomes!$B$3:$I$209,5,FALSE)</f>
        <v>4</v>
      </c>
      <c r="Q196">
        <f>VLOOKUP($A196,Outcomes!$B$3:$I$209,6,FALSE)</f>
        <v>9</v>
      </c>
      <c r="R196">
        <f>VLOOKUP($A196,Outcomes!$B$3:$I$209,7,FALSE)</f>
        <v>5</v>
      </c>
      <c r="S196" t="str">
        <f t="shared" si="27"/>
        <v>VisDog</v>
      </c>
      <c r="T196" t="str">
        <f t="shared" si="28"/>
        <v/>
      </c>
      <c r="U196" t="str">
        <f t="shared" si="24"/>
        <v/>
      </c>
      <c r="V196" t="str">
        <f t="shared" si="29"/>
        <v/>
      </c>
      <c r="W196" t="str">
        <f t="shared" si="30"/>
        <v/>
      </c>
      <c r="X196" s="2" t="str">
        <f t="shared" si="31"/>
        <v/>
      </c>
      <c r="Y196" t="str">
        <f>VLOOKUP($A196,ScionOutput!$A$3:$BL$215,64,FALSE)</f>
        <v xml:space="preserve">824908. StatOnlyEns probability points gap does not exceed threshold (no edge found)! Play determined by LineStatEns only. </v>
      </c>
    </row>
    <row r="197" spans="1:25" x14ac:dyDescent="0.2">
      <c r="A197">
        <v>825067</v>
      </c>
      <c r="B197" s="3">
        <f>VLOOKUP($A197,ScionOutput!$A$3:$BL$215,3,FALSE)</f>
        <v>46194</v>
      </c>
      <c r="C197">
        <f>VLOOKUP($A197,ScionOutput!$A$3:$BL$215,22,FALSE)</f>
        <v>1</v>
      </c>
      <c r="D197" t="str">
        <f>VLOOKUP($A197,ScionOutput!$A$3:$BL$215,23,FALSE)</f>
        <v>ARZ</v>
      </c>
      <c r="E197">
        <f>VLOOKUP($A197,ScionOutput!$A$3:$BL$215,6,FALSE)</f>
        <v>15</v>
      </c>
      <c r="F197" t="str">
        <f>VLOOKUP($A197,ScionOutput!$A$3:$BL$215,7,FALSE)</f>
        <v>MIN</v>
      </c>
      <c r="G197">
        <f>VLOOKUP($A197,ScionOutput!$A$3:$BL$215,26,FALSE)</f>
        <v>-126</v>
      </c>
      <c r="H197">
        <f>VLOOKUP($A197,ScionOutput!$A$3:$BL$215,10,FALSE)</f>
        <v>117</v>
      </c>
      <c r="I197" t="str">
        <f>VLOOKUP($A197,ScionOutput!$A$3:$BL$215,58,FALSE)</f>
        <v>No Play</v>
      </c>
      <c r="J197">
        <f>VLOOKUP($A197,ScionOutput!$A$3:$BL$215,59,FALSE)</f>
        <v>0</v>
      </c>
      <c r="K197">
        <f>VLOOKUP($A197,ScionOutput!$A$3:$BL$215,62,FALSE)</f>
        <v>0</v>
      </c>
      <c r="L197">
        <f>VLOOKUP($A197,ScionOutput!$A$3:$BL$215,63,FALSE)</f>
        <v>0</v>
      </c>
      <c r="M197" t="b">
        <f t="shared" si="25"/>
        <v>0</v>
      </c>
      <c r="N197">
        <f>VLOOKUP($A197,Outcomes!$B$3:$I$209,8,FALSE)</f>
        <v>6</v>
      </c>
      <c r="O197">
        <f t="shared" si="26"/>
        <v>-1</v>
      </c>
      <c r="P197">
        <f>VLOOKUP($A197,Outcomes!$B$3:$I$209,5,FALSE)</f>
        <v>2</v>
      </c>
      <c r="Q197">
        <f>VLOOKUP($A197,Outcomes!$B$3:$I$209,6,FALSE)</f>
        <v>4</v>
      </c>
      <c r="R197">
        <f>VLOOKUP($A197,Outcomes!$B$3:$I$209,7,FALSE)</f>
        <v>2</v>
      </c>
      <c r="S197" t="str">
        <f t="shared" si="27"/>
        <v>VisDog</v>
      </c>
      <c r="T197" t="str">
        <f t="shared" si="28"/>
        <v/>
      </c>
      <c r="U197" t="str">
        <f t="shared" si="24"/>
        <v/>
      </c>
      <c r="V197" t="str">
        <f t="shared" si="29"/>
        <v/>
      </c>
      <c r="W197" t="str">
        <f t="shared" si="30"/>
        <v/>
      </c>
      <c r="X197" s="2" t="str">
        <f t="shared" si="31"/>
        <v/>
      </c>
      <c r="Y197" t="str">
        <f>VLOOKUP($A197,ScionOutput!$A$3:$BL$215,64,FALSE)</f>
        <v xml:space="preserve">825067. H_SP is Null, team-based avg used. NoPlay as H_SP is Null. </v>
      </c>
    </row>
    <row r="198" spans="1:25" x14ac:dyDescent="0.2">
      <c r="A198">
        <v>824343</v>
      </c>
      <c r="B198" s="3">
        <f>VLOOKUP($A198,ScionOutput!$A$3:$BL$215,3,FALSE)</f>
        <v>46194</v>
      </c>
      <c r="C198">
        <f>VLOOKUP($A198,ScionOutput!$A$3:$BL$215,22,FALSE)</f>
        <v>8</v>
      </c>
      <c r="D198" t="str">
        <f>VLOOKUP($A198,ScionOutput!$A$3:$BL$215,23,FALSE)</f>
        <v>COL</v>
      </c>
      <c r="E198">
        <f>VLOOKUP($A198,ScionOutput!$A$3:$BL$215,6,FALSE)</f>
        <v>22</v>
      </c>
      <c r="F198" t="str">
        <f>VLOOKUP($A198,ScionOutput!$A$3:$BL$215,7,FALSE)</f>
        <v>PIT</v>
      </c>
      <c r="G198">
        <f>VLOOKUP($A198,ScionOutput!$A$3:$BL$215,26,FALSE)</f>
        <v>130</v>
      </c>
      <c r="H198">
        <f>VLOOKUP($A198,ScionOutput!$A$3:$BL$215,10,FALSE)</f>
        <v>-141</v>
      </c>
      <c r="I198" t="str">
        <f>VLOOKUP($A198,ScionOutput!$A$3:$BL$215,58,FALSE)</f>
        <v>No Play</v>
      </c>
      <c r="J198">
        <f>VLOOKUP($A198,ScionOutput!$A$3:$BL$215,59,FALSE)</f>
        <v>0</v>
      </c>
      <c r="K198">
        <f>VLOOKUP($A198,ScionOutput!$A$3:$BL$215,62,FALSE)</f>
        <v>0</v>
      </c>
      <c r="L198">
        <f>VLOOKUP($A198,ScionOutput!$A$3:$BL$215,63,FALSE)</f>
        <v>0</v>
      </c>
      <c r="M198" t="b">
        <f t="shared" si="25"/>
        <v>0</v>
      </c>
      <c r="N198">
        <f>VLOOKUP($A198,Outcomes!$B$3:$I$209,8,FALSE)</f>
        <v>14</v>
      </c>
      <c r="O198">
        <f t="shared" si="26"/>
        <v>-1</v>
      </c>
      <c r="P198">
        <f>VLOOKUP($A198,Outcomes!$B$3:$I$209,5,FALSE)</f>
        <v>6</v>
      </c>
      <c r="Q198">
        <f>VLOOKUP($A198,Outcomes!$B$3:$I$209,6,FALSE)</f>
        <v>8</v>
      </c>
      <c r="R198">
        <f>VLOOKUP($A198,Outcomes!$B$3:$I$209,7,FALSE)</f>
        <v>2</v>
      </c>
      <c r="S198" t="str">
        <f t="shared" si="27"/>
        <v>VisFave</v>
      </c>
      <c r="T198" t="str">
        <f t="shared" si="28"/>
        <v/>
      </c>
      <c r="U198" t="str">
        <f t="shared" si="24"/>
        <v/>
      </c>
      <c r="V198" t="str">
        <f t="shared" si="29"/>
        <v/>
      </c>
      <c r="W198" t="str">
        <f t="shared" si="30"/>
        <v/>
      </c>
      <c r="X198" s="2" t="str">
        <f t="shared" si="31"/>
        <v/>
      </c>
      <c r="Y198" t="str">
        <f>VLOOKUP($A198,ScionOutput!$A$3:$BL$215,64,FALSE)</f>
        <v xml:space="preserve">824343. VF plays are disallowed. No play due to strategy constraints. </v>
      </c>
    </row>
    <row r="199" spans="1:25" x14ac:dyDescent="0.2">
      <c r="A199">
        <v>824260</v>
      </c>
      <c r="B199" s="3">
        <f>VLOOKUP($A199,ScionOutput!$A$3:$BL$215,3,FALSE)</f>
        <v>46194</v>
      </c>
      <c r="C199">
        <f>VLOOKUP($A199,ScionOutput!$A$3:$BL$215,22,FALSE)</f>
        <v>10</v>
      </c>
      <c r="D199" t="str">
        <f>VLOOKUP($A199,ScionOutput!$A$3:$BL$215,23,FALSE)</f>
        <v>DET</v>
      </c>
      <c r="E199">
        <f>VLOOKUP($A199,ScionOutput!$A$3:$BL$215,6,FALSE)</f>
        <v>9</v>
      </c>
      <c r="F199" t="str">
        <f>VLOOKUP($A199,ScionOutput!$A$3:$BL$215,7,FALSE)</f>
        <v>CWS</v>
      </c>
      <c r="G199">
        <f>VLOOKUP($A199,ScionOutput!$A$3:$BL$215,26,FALSE)</f>
        <v>-114</v>
      </c>
      <c r="H199">
        <f>VLOOKUP($A199,ScionOutput!$A$3:$BL$215,10,FALSE)</f>
        <v>105</v>
      </c>
      <c r="I199" t="str">
        <f>VLOOKUP($A199,ScionOutput!$A$3:$BL$215,58,FALSE)</f>
        <v>HomFave</v>
      </c>
      <c r="J199">
        <f>VLOOKUP($A199,ScionOutput!$A$3:$BL$215,59,FALSE)</f>
        <v>1.7999999999999999E-2</v>
      </c>
      <c r="K199">
        <f>VLOOKUP($A199,ScionOutput!$A$3:$BL$215,62,FALSE)</f>
        <v>5</v>
      </c>
      <c r="L199">
        <f>VLOOKUP($A199,ScionOutput!$A$3:$BL$215,63,FALSE)</f>
        <v>0.98</v>
      </c>
      <c r="M199" t="b">
        <f t="shared" si="25"/>
        <v>0</v>
      </c>
      <c r="N199">
        <f>VLOOKUP($A199,Outcomes!$B$3:$I$209,8,FALSE)</f>
        <v>9</v>
      </c>
      <c r="O199">
        <f t="shared" si="26"/>
        <v>1</v>
      </c>
      <c r="P199">
        <f>VLOOKUP($A199,Outcomes!$B$3:$I$209,5,FALSE)</f>
        <v>5</v>
      </c>
      <c r="Q199">
        <f>VLOOKUP($A199,Outcomes!$B$3:$I$209,6,FALSE)</f>
        <v>4</v>
      </c>
      <c r="R199">
        <f>VLOOKUP($A199,Outcomes!$B$3:$I$209,7,FALSE)</f>
        <v>-1</v>
      </c>
      <c r="S199" t="str">
        <f t="shared" si="27"/>
        <v>HomFave</v>
      </c>
      <c r="T199" t="str">
        <f t="shared" si="28"/>
        <v/>
      </c>
      <c r="U199" t="str">
        <f t="shared" si="24"/>
        <v/>
      </c>
      <c r="V199" t="str">
        <f t="shared" si="29"/>
        <v/>
      </c>
      <c r="W199" t="str">
        <f t="shared" si="30"/>
        <v/>
      </c>
      <c r="X199" s="2" t="str">
        <f t="shared" si="31"/>
        <v/>
      </c>
      <c r="Y199" t="str">
        <f>VLOOKUP($A199,ScionOutput!$A$3:$BL$215,64,FALSE)</f>
        <v xml:space="preserve">824260. Play determined by StatOnlyEns when it disagrees with LineStatEns. </v>
      </c>
    </row>
    <row r="200" spans="1:25" x14ac:dyDescent="0.2">
      <c r="A200">
        <v>823852</v>
      </c>
      <c r="B200" s="3">
        <f>VLOOKUP($A200,ScionOutput!$A$3:$BL$215,3,FALSE)</f>
        <v>46194</v>
      </c>
      <c r="C200">
        <f>VLOOKUP($A200,ScionOutput!$A$3:$BL$215,22,FALSE)</f>
        <v>11</v>
      </c>
      <c r="D200" t="str">
        <f>VLOOKUP($A200,ScionOutput!$A$3:$BL$215,23,FALSE)</f>
        <v>FLO</v>
      </c>
      <c r="E200">
        <f>VLOOKUP($A200,ScionOutput!$A$3:$BL$215,6,FALSE)</f>
        <v>25</v>
      </c>
      <c r="F200" t="str">
        <f>VLOOKUP($A200,ScionOutput!$A$3:$BL$215,7,FALSE)</f>
        <v>SF</v>
      </c>
      <c r="G200">
        <f>VLOOKUP($A200,ScionOutput!$A$3:$BL$215,26,FALSE)</f>
        <v>124</v>
      </c>
      <c r="H200">
        <f>VLOOKUP($A200,ScionOutput!$A$3:$BL$215,10,FALSE)</f>
        <v>-134</v>
      </c>
      <c r="I200" t="str">
        <f>VLOOKUP($A200,ScionOutput!$A$3:$BL$215,58,FALSE)</f>
        <v>No Play</v>
      </c>
      <c r="J200">
        <f>VLOOKUP($A200,ScionOutput!$A$3:$BL$215,59,FALSE)</f>
        <v>0</v>
      </c>
      <c r="K200">
        <f>VLOOKUP($A200,ScionOutput!$A$3:$BL$215,62,FALSE)</f>
        <v>0</v>
      </c>
      <c r="L200">
        <f>VLOOKUP($A200,ScionOutput!$A$3:$BL$215,63,FALSE)</f>
        <v>0</v>
      </c>
      <c r="M200" t="b">
        <f t="shared" si="25"/>
        <v>0</v>
      </c>
      <c r="N200">
        <f>VLOOKUP($A200,Outcomes!$B$3:$I$209,8,FALSE)</f>
        <v>3</v>
      </c>
      <c r="O200">
        <f t="shared" si="26"/>
        <v>1</v>
      </c>
      <c r="P200">
        <f>VLOOKUP($A200,Outcomes!$B$3:$I$209,5,FALSE)</f>
        <v>2</v>
      </c>
      <c r="Q200">
        <f>VLOOKUP($A200,Outcomes!$B$3:$I$209,6,FALSE)</f>
        <v>1</v>
      </c>
      <c r="R200">
        <f>VLOOKUP($A200,Outcomes!$B$3:$I$209,7,FALSE)</f>
        <v>-1</v>
      </c>
      <c r="S200" t="str">
        <f t="shared" si="27"/>
        <v>HomDog</v>
      </c>
      <c r="T200" t="str">
        <f t="shared" si="28"/>
        <v/>
      </c>
      <c r="U200" t="str">
        <f t="shared" si="24"/>
        <v/>
      </c>
      <c r="V200" t="str">
        <f t="shared" si="29"/>
        <v/>
      </c>
      <c r="W200" t="str">
        <f t="shared" si="30"/>
        <v/>
      </c>
      <c r="X200" s="2" t="str">
        <f t="shared" si="31"/>
        <v/>
      </c>
      <c r="Y200" t="str">
        <f>VLOOKUP($A200,ScionOutput!$A$3:$BL$215,64,FALSE)</f>
        <v xml:space="preserve">823852. VF plays are disallowed. No play due to strategy constraints. </v>
      </c>
    </row>
    <row r="201" spans="1:25" x14ac:dyDescent="0.2">
      <c r="A201">
        <v>824177</v>
      </c>
      <c r="B201" s="3">
        <f>VLOOKUP($A201,ScionOutput!$A$3:$BL$215,3,FALSE)</f>
        <v>46194</v>
      </c>
      <c r="C201">
        <f>VLOOKUP($A201,ScionOutput!$A$3:$BL$215,22,FALSE)</f>
        <v>12</v>
      </c>
      <c r="D201" t="str">
        <f>VLOOKUP($A201,ScionOutput!$A$3:$BL$215,23,FALSE)</f>
        <v>HOU</v>
      </c>
      <c r="E201">
        <f>VLOOKUP($A201,ScionOutput!$A$3:$BL$215,6,FALSE)</f>
        <v>7</v>
      </c>
      <c r="F201" t="str">
        <f>VLOOKUP($A201,ScionOutput!$A$3:$BL$215,7,FALSE)</f>
        <v>CLE</v>
      </c>
      <c r="G201">
        <f>VLOOKUP($A201,ScionOutput!$A$3:$BL$215,26,FALSE)</f>
        <v>-129</v>
      </c>
      <c r="H201">
        <f>VLOOKUP($A201,ScionOutput!$A$3:$BL$215,10,FALSE)</f>
        <v>119</v>
      </c>
      <c r="I201" t="str">
        <f>VLOOKUP($A201,ScionOutput!$A$3:$BL$215,58,FALSE)</f>
        <v>No Play</v>
      </c>
      <c r="J201">
        <f>VLOOKUP($A201,ScionOutput!$A$3:$BL$215,59,FALSE)</f>
        <v>0</v>
      </c>
      <c r="K201">
        <f>VLOOKUP($A201,ScionOutput!$A$3:$BL$215,62,FALSE)</f>
        <v>0</v>
      </c>
      <c r="L201">
        <f>VLOOKUP($A201,ScionOutput!$A$3:$BL$215,63,FALSE)</f>
        <v>0</v>
      </c>
      <c r="M201" t="b">
        <f t="shared" si="25"/>
        <v>0</v>
      </c>
      <c r="N201">
        <f>VLOOKUP($A201,Outcomes!$B$3:$I$209,8,FALSE)</f>
        <v>3</v>
      </c>
      <c r="O201">
        <f t="shared" si="26"/>
        <v>1</v>
      </c>
      <c r="P201">
        <f>VLOOKUP($A201,Outcomes!$B$3:$I$209,5,FALSE)</f>
        <v>2</v>
      </c>
      <c r="Q201">
        <f>VLOOKUP($A201,Outcomes!$B$3:$I$209,6,FALSE)</f>
        <v>1</v>
      </c>
      <c r="R201">
        <f>VLOOKUP($A201,Outcomes!$B$3:$I$209,7,FALSE)</f>
        <v>-1</v>
      </c>
      <c r="S201" t="str">
        <f t="shared" si="27"/>
        <v>HomFave</v>
      </c>
      <c r="T201" t="str">
        <f t="shared" si="28"/>
        <v/>
      </c>
      <c r="U201" t="str">
        <f t="shared" si="24"/>
        <v/>
      </c>
      <c r="V201" t="str">
        <f t="shared" si="29"/>
        <v/>
      </c>
      <c r="W201" t="str">
        <f t="shared" si="30"/>
        <v/>
      </c>
      <c r="X201" s="2" t="str">
        <f t="shared" si="31"/>
        <v/>
      </c>
      <c r="Y201" t="str">
        <f>VLOOKUP($A201,ScionOutput!$A$3:$BL$215,64,FALSE)</f>
        <v xml:space="preserve">824177. LineStatEns probability points gap does not exceed threshold (no edge found)! StatOnlyEns probability points gap does not exceed threshold (no edge found)! No play due to strategy constraints. </v>
      </c>
    </row>
    <row r="202" spans="1:25" x14ac:dyDescent="0.2">
      <c r="A202">
        <v>824095</v>
      </c>
      <c r="B202" s="3">
        <f>VLOOKUP($A202,ScionOutput!$A$3:$BL$215,3,FALSE)</f>
        <v>46194</v>
      </c>
      <c r="C202">
        <f>VLOOKUP($A202,ScionOutput!$A$3:$BL$215,22,FALSE)</f>
        <v>13</v>
      </c>
      <c r="D202" t="str">
        <f>VLOOKUP($A202,ScionOutput!$A$3:$BL$215,23,FALSE)</f>
        <v>KC</v>
      </c>
      <c r="E202">
        <f>VLOOKUP($A202,ScionOutput!$A$3:$BL$215,6,FALSE)</f>
        <v>26</v>
      </c>
      <c r="F202" t="str">
        <f>VLOOKUP($A202,ScionOutput!$A$3:$BL$215,7,FALSE)</f>
        <v>STL</v>
      </c>
      <c r="G202">
        <f>VLOOKUP($A202,ScionOutput!$A$3:$BL$215,26,FALSE)</f>
        <v>112</v>
      </c>
      <c r="H202">
        <f>VLOOKUP($A202,ScionOutput!$A$3:$BL$215,10,FALSE)</f>
        <v>-121</v>
      </c>
      <c r="I202" t="str">
        <f>VLOOKUP($A202,ScionOutput!$A$3:$BL$215,58,FALSE)</f>
        <v>No Play</v>
      </c>
      <c r="J202">
        <f>VLOOKUP($A202,ScionOutput!$A$3:$BL$215,59,FALSE)</f>
        <v>0</v>
      </c>
      <c r="K202">
        <f>VLOOKUP($A202,ScionOutput!$A$3:$BL$215,62,FALSE)</f>
        <v>0</v>
      </c>
      <c r="L202">
        <f>VLOOKUP($A202,ScionOutput!$A$3:$BL$215,63,FALSE)</f>
        <v>0</v>
      </c>
      <c r="M202" t="b">
        <f t="shared" si="25"/>
        <v>0</v>
      </c>
      <c r="N202">
        <f>VLOOKUP($A202,Outcomes!$B$3:$I$209,8,FALSE)</f>
        <v>22</v>
      </c>
      <c r="O202">
        <f t="shared" si="26"/>
        <v>-1</v>
      </c>
      <c r="P202">
        <f>VLOOKUP($A202,Outcomes!$B$3:$I$209,5,FALSE)</f>
        <v>10</v>
      </c>
      <c r="Q202">
        <f>VLOOKUP($A202,Outcomes!$B$3:$I$209,6,FALSE)</f>
        <v>12</v>
      </c>
      <c r="R202">
        <f>VLOOKUP($A202,Outcomes!$B$3:$I$209,7,FALSE)</f>
        <v>2</v>
      </c>
      <c r="S202" t="str">
        <f t="shared" si="27"/>
        <v>VisFave</v>
      </c>
      <c r="T202" t="str">
        <f t="shared" si="28"/>
        <v/>
      </c>
      <c r="U202" t="str">
        <f t="shared" si="24"/>
        <v/>
      </c>
      <c r="V202" t="str">
        <f t="shared" si="29"/>
        <v/>
      </c>
      <c r="W202" t="str">
        <f t="shared" si="30"/>
        <v/>
      </c>
      <c r="X202" s="2" t="str">
        <f t="shared" si="31"/>
        <v/>
      </c>
      <c r="Y202" t="str">
        <f>VLOOKUP($A202,ScionOutput!$A$3:$BL$215,64,FALSE)</f>
        <v xml:space="preserve">824095. VF plays are disallowed. No play due to strategy constraints. </v>
      </c>
    </row>
    <row r="203" spans="1:25" x14ac:dyDescent="0.2">
      <c r="A203">
        <v>823934</v>
      </c>
      <c r="B203" s="3">
        <f>VLOOKUP($A203,ScionOutput!$A$3:$BL$215,3,FALSE)</f>
        <v>46194</v>
      </c>
      <c r="C203">
        <f>VLOOKUP($A203,ScionOutput!$A$3:$BL$215,22,FALSE)</f>
        <v>14</v>
      </c>
      <c r="D203" t="str">
        <f>VLOOKUP($A203,ScionOutput!$A$3:$BL$215,23,FALSE)</f>
        <v>LA</v>
      </c>
      <c r="E203">
        <f>VLOOKUP($A203,ScionOutput!$A$3:$BL$215,6,FALSE)</f>
        <v>2</v>
      </c>
      <c r="F203" t="str">
        <f>VLOOKUP($A203,ScionOutput!$A$3:$BL$215,7,FALSE)</f>
        <v>BAL</v>
      </c>
      <c r="G203">
        <f>VLOOKUP($A203,ScionOutput!$A$3:$BL$215,26,FALSE)</f>
        <v>-228</v>
      </c>
      <c r="H203">
        <f>VLOOKUP($A203,ScionOutput!$A$3:$BL$215,10,FALSE)</f>
        <v>206</v>
      </c>
      <c r="I203" t="str">
        <f>VLOOKUP($A203,ScionOutput!$A$3:$BL$215,58,FALSE)</f>
        <v>No Play</v>
      </c>
      <c r="J203">
        <f>VLOOKUP($A203,ScionOutput!$A$3:$BL$215,59,FALSE)</f>
        <v>0</v>
      </c>
      <c r="K203">
        <f>VLOOKUP($A203,ScionOutput!$A$3:$BL$215,62,FALSE)</f>
        <v>0</v>
      </c>
      <c r="L203">
        <f>VLOOKUP($A203,ScionOutput!$A$3:$BL$215,63,FALSE)</f>
        <v>0</v>
      </c>
      <c r="M203" t="b">
        <f t="shared" si="25"/>
        <v>0</v>
      </c>
      <c r="N203">
        <f>VLOOKUP($A203,Outcomes!$B$3:$I$209,8,FALSE)</f>
        <v>13</v>
      </c>
      <c r="O203">
        <f t="shared" si="26"/>
        <v>-1</v>
      </c>
      <c r="P203">
        <f>VLOOKUP($A203,Outcomes!$B$3:$I$209,5,FALSE)</f>
        <v>1</v>
      </c>
      <c r="Q203">
        <f>VLOOKUP($A203,Outcomes!$B$3:$I$209,6,FALSE)</f>
        <v>12</v>
      </c>
      <c r="R203">
        <f>VLOOKUP($A203,Outcomes!$B$3:$I$209,7,FALSE)</f>
        <v>11</v>
      </c>
      <c r="S203" t="str">
        <f t="shared" si="27"/>
        <v>VisDog</v>
      </c>
      <c r="T203" t="str">
        <f t="shared" si="28"/>
        <v/>
      </c>
      <c r="U203" t="str">
        <f t="shared" si="24"/>
        <v/>
      </c>
      <c r="V203" t="str">
        <f t="shared" si="29"/>
        <v/>
      </c>
      <c r="W203" t="str">
        <f t="shared" si="30"/>
        <v/>
      </c>
      <c r="X203" s="2" t="str">
        <f t="shared" si="31"/>
        <v/>
      </c>
      <c r="Y203" t="str">
        <f>VLOOKUP($A203,ScionOutput!$A$3:$BL$215,64,FALSE)</f>
        <v xml:space="preserve">823934. LineStatEns is NoPlay as bookie-line outside range. StatOnlyEns is NoPlay as bookie-line outside range. No play due to strategy constraints. </v>
      </c>
    </row>
    <row r="204" spans="1:25" x14ac:dyDescent="0.2">
      <c r="A204">
        <v>823531</v>
      </c>
      <c r="B204" s="3">
        <f>VLOOKUP($A204,ScionOutput!$A$3:$BL$215,3,FALSE)</f>
        <v>46194</v>
      </c>
      <c r="C204">
        <f>VLOOKUP($A204,ScionOutput!$A$3:$BL$215,22,FALSE)</f>
        <v>19</v>
      </c>
      <c r="D204" t="str">
        <f>VLOOKUP($A204,ScionOutput!$A$3:$BL$215,23,FALSE)</f>
        <v>NYY</v>
      </c>
      <c r="E204">
        <f>VLOOKUP($A204,ScionOutput!$A$3:$BL$215,6,FALSE)</f>
        <v>6</v>
      </c>
      <c r="F204" t="str">
        <f>VLOOKUP($A204,ScionOutput!$A$3:$BL$215,7,FALSE)</f>
        <v>CIN</v>
      </c>
      <c r="G204">
        <f>VLOOKUP($A204,ScionOutput!$A$3:$BL$215,26,FALSE)</f>
        <v>-110</v>
      </c>
      <c r="H204">
        <f>VLOOKUP($A204,ScionOutput!$A$3:$BL$215,10,FALSE)</f>
        <v>101</v>
      </c>
      <c r="I204" t="str">
        <f>VLOOKUP($A204,ScionOutput!$A$3:$BL$215,58,FALSE)</f>
        <v>HomFave</v>
      </c>
      <c r="J204">
        <f>VLOOKUP($A204,ScionOutput!$A$3:$BL$215,59,FALSE)</f>
        <v>7.1300000000000001E-3</v>
      </c>
      <c r="K204">
        <f>VLOOKUP($A204,ScionOutput!$A$3:$BL$215,62,FALSE)</f>
        <v>3</v>
      </c>
      <c r="L204">
        <f>VLOOKUP($A204,ScionOutput!$A$3:$BL$215,63,FALSE)</f>
        <v>0.93</v>
      </c>
      <c r="M204" t="b">
        <f t="shared" si="25"/>
        <v>0</v>
      </c>
      <c r="N204">
        <f>VLOOKUP($A204,Outcomes!$B$3:$I$209,8,FALSE)</f>
        <v>5</v>
      </c>
      <c r="O204">
        <f t="shared" si="26"/>
        <v>-1</v>
      </c>
      <c r="P204">
        <f>VLOOKUP($A204,Outcomes!$B$3:$I$209,5,FALSE)</f>
        <v>1</v>
      </c>
      <c r="Q204">
        <f>VLOOKUP($A204,Outcomes!$B$3:$I$209,6,FALSE)</f>
        <v>4</v>
      </c>
      <c r="R204">
        <f>VLOOKUP($A204,Outcomes!$B$3:$I$209,7,FALSE)</f>
        <v>3</v>
      </c>
      <c r="S204" t="str">
        <f t="shared" si="27"/>
        <v>VisDog</v>
      </c>
      <c r="T204" t="str">
        <f t="shared" si="28"/>
        <v/>
      </c>
      <c r="U204" t="str">
        <f t="shared" si="24"/>
        <v/>
      </c>
      <c r="V204" t="str">
        <f t="shared" si="29"/>
        <v/>
      </c>
      <c r="W204" t="str">
        <f t="shared" si="30"/>
        <v/>
      </c>
      <c r="X204" s="2" t="str">
        <f t="shared" si="31"/>
        <v/>
      </c>
      <c r="Y204" t="str">
        <f>VLOOKUP($A204,ScionOutput!$A$3:$BL$215,64,FALSE)</f>
        <v xml:space="preserve">823531. StatOnlyEns probability points gap does not exceed threshold (no edge found)! Play determined by LineStatEns only. </v>
      </c>
    </row>
    <row r="205" spans="1:25" x14ac:dyDescent="0.2">
      <c r="A205">
        <v>824987</v>
      </c>
      <c r="B205" s="3">
        <f>VLOOKUP($A205,ScionOutput!$A$3:$BL$215,3,FALSE)</f>
        <v>46194</v>
      </c>
      <c r="C205">
        <f>VLOOKUP($A205,ScionOutput!$A$3:$BL$215,22,FALSE)</f>
        <v>20</v>
      </c>
      <c r="D205" t="str">
        <f>VLOOKUP($A205,ScionOutput!$A$3:$BL$215,23,FALSE)</f>
        <v>OAK</v>
      </c>
      <c r="E205">
        <f>VLOOKUP($A205,ScionOutput!$A$3:$BL$215,6,FALSE)</f>
        <v>4</v>
      </c>
      <c r="F205" t="str">
        <f>VLOOKUP($A205,ScionOutput!$A$3:$BL$215,7,FALSE)</f>
        <v>LAA</v>
      </c>
      <c r="G205">
        <f>VLOOKUP($A205,ScionOutput!$A$3:$BL$215,26,FALSE)</f>
        <v>-126</v>
      </c>
      <c r="H205">
        <f>VLOOKUP($A205,ScionOutput!$A$3:$BL$215,10,FALSE)</f>
        <v>116</v>
      </c>
      <c r="I205" t="str">
        <f>VLOOKUP($A205,ScionOutput!$A$3:$BL$215,58,FALSE)</f>
        <v>No Play</v>
      </c>
      <c r="J205">
        <f>VLOOKUP($A205,ScionOutput!$A$3:$BL$215,59,FALSE)</f>
        <v>0</v>
      </c>
      <c r="K205">
        <f>VLOOKUP($A205,ScionOutput!$A$3:$BL$215,62,FALSE)</f>
        <v>0</v>
      </c>
      <c r="L205">
        <f>VLOOKUP($A205,ScionOutput!$A$3:$BL$215,63,FALSE)</f>
        <v>0</v>
      </c>
      <c r="M205" t="b">
        <f t="shared" si="25"/>
        <v>0</v>
      </c>
      <c r="N205">
        <f>VLOOKUP($A205,Outcomes!$B$3:$I$209,8,FALSE)</f>
        <v>16</v>
      </c>
      <c r="O205">
        <f t="shared" si="26"/>
        <v>-1</v>
      </c>
      <c r="P205">
        <f>VLOOKUP($A205,Outcomes!$B$3:$I$209,5,FALSE)</f>
        <v>7</v>
      </c>
      <c r="Q205">
        <f>VLOOKUP($A205,Outcomes!$B$3:$I$209,6,FALSE)</f>
        <v>9</v>
      </c>
      <c r="R205">
        <f>VLOOKUP($A205,Outcomes!$B$3:$I$209,7,FALSE)</f>
        <v>2</v>
      </c>
      <c r="S205" t="str">
        <f t="shared" si="27"/>
        <v>VisDog</v>
      </c>
      <c r="T205" t="str">
        <f t="shared" si="28"/>
        <v/>
      </c>
      <c r="U205" t="str">
        <f t="shared" si="24"/>
        <v/>
      </c>
      <c r="V205" t="str">
        <f t="shared" si="29"/>
        <v/>
      </c>
      <c r="W205" t="str">
        <f t="shared" si="30"/>
        <v/>
      </c>
      <c r="X205" s="2" t="str">
        <f t="shared" si="31"/>
        <v/>
      </c>
      <c r="Y205" t="str">
        <f>VLOOKUP($A205,ScionOutput!$A$3:$BL$215,64,FALSE)</f>
        <v xml:space="preserve">824987. LineStatEns probability points gap does not exceed threshold (no edge found)! No play due to strategy constraints. </v>
      </c>
    </row>
    <row r="206" spans="1:25" x14ac:dyDescent="0.2">
      <c r="A206">
        <v>823449</v>
      </c>
      <c r="B206" s="3">
        <f>VLOOKUP($A206,ScionOutput!$A$3:$BL$215,3,FALSE)</f>
        <v>46194</v>
      </c>
      <c r="C206">
        <f>VLOOKUP($A206,ScionOutput!$A$3:$BL$215,22,FALSE)</f>
        <v>21</v>
      </c>
      <c r="D206" t="str">
        <f>VLOOKUP($A206,ScionOutput!$A$3:$BL$215,23,FALSE)</f>
        <v>PHI</v>
      </c>
      <c r="E206">
        <f>VLOOKUP($A206,ScionOutput!$A$3:$BL$215,6,FALSE)</f>
        <v>18</v>
      </c>
      <c r="F206" t="str">
        <f>VLOOKUP($A206,ScionOutput!$A$3:$BL$215,7,FALSE)</f>
        <v>NYM</v>
      </c>
      <c r="G206">
        <f>VLOOKUP($A206,ScionOutput!$A$3:$BL$215,26,FALSE)</f>
        <v>-172</v>
      </c>
      <c r="H206">
        <f>VLOOKUP($A206,ScionOutput!$A$3:$BL$215,10,FALSE)</f>
        <v>157</v>
      </c>
      <c r="I206" t="str">
        <f>VLOOKUP($A206,ScionOutput!$A$3:$BL$215,58,FALSE)</f>
        <v>No Play</v>
      </c>
      <c r="J206">
        <f>VLOOKUP($A206,ScionOutput!$A$3:$BL$215,59,FALSE)</f>
        <v>0</v>
      </c>
      <c r="K206">
        <f>VLOOKUP($A206,ScionOutput!$A$3:$BL$215,62,FALSE)</f>
        <v>0</v>
      </c>
      <c r="L206">
        <f>VLOOKUP($A206,ScionOutput!$A$3:$BL$215,63,FALSE)</f>
        <v>0</v>
      </c>
      <c r="M206" t="b">
        <f t="shared" si="25"/>
        <v>0</v>
      </c>
      <c r="N206">
        <f>VLOOKUP($A206,Outcomes!$B$3:$I$209,8,FALSE)</f>
        <v>8</v>
      </c>
      <c r="O206">
        <f t="shared" si="26"/>
        <v>1</v>
      </c>
      <c r="P206">
        <f>VLOOKUP($A206,Outcomes!$B$3:$I$209,5,FALSE)</f>
        <v>6</v>
      </c>
      <c r="Q206">
        <f>VLOOKUP($A206,Outcomes!$B$3:$I$209,6,FALSE)</f>
        <v>2</v>
      </c>
      <c r="R206">
        <f>VLOOKUP($A206,Outcomes!$B$3:$I$209,7,FALSE)</f>
        <v>-4</v>
      </c>
      <c r="S206" t="str">
        <f t="shared" si="27"/>
        <v>HomFave</v>
      </c>
      <c r="T206" t="str">
        <f t="shared" si="28"/>
        <v/>
      </c>
      <c r="U206" t="str">
        <f t="shared" si="24"/>
        <v/>
      </c>
      <c r="V206" t="str">
        <f t="shared" si="29"/>
        <v/>
      </c>
      <c r="W206" t="str">
        <f t="shared" si="30"/>
        <v/>
      </c>
      <c r="X206" s="2" t="str">
        <f t="shared" si="31"/>
        <v/>
      </c>
      <c r="Y206" t="str">
        <f>VLOOKUP($A206,ScionOutput!$A$3:$BL$215,64,FALSE)</f>
        <v xml:space="preserve">823449. LineStatEns is NoPlay as bookie-line outside range. StatOnlyEns is NoPlay as bookie-line outside range. No play due to strategy constraints. </v>
      </c>
    </row>
    <row r="207" spans="1:25" x14ac:dyDescent="0.2">
      <c r="A207">
        <v>823123</v>
      </c>
      <c r="B207" s="3">
        <f>VLOOKUP($A207,ScionOutput!$A$3:$BL$215,3,FALSE)</f>
        <v>46194</v>
      </c>
      <c r="C207">
        <f>VLOOKUP($A207,ScionOutput!$A$3:$BL$215,22,FALSE)</f>
        <v>24</v>
      </c>
      <c r="D207" t="str">
        <f>VLOOKUP($A207,ScionOutput!$A$3:$BL$215,23,FALSE)</f>
        <v>SEA</v>
      </c>
      <c r="E207">
        <f>VLOOKUP($A207,ScionOutput!$A$3:$BL$215,6,FALSE)</f>
        <v>3</v>
      </c>
      <c r="F207" t="str">
        <f>VLOOKUP($A207,ScionOutput!$A$3:$BL$215,7,FALSE)</f>
        <v>BOS</v>
      </c>
      <c r="G207">
        <f>VLOOKUP($A207,ScionOutput!$A$3:$BL$215,26,FALSE)</f>
        <v>-118</v>
      </c>
      <c r="H207">
        <f>VLOOKUP($A207,ScionOutput!$A$3:$BL$215,10,FALSE)</f>
        <v>109</v>
      </c>
      <c r="I207" t="str">
        <f>VLOOKUP($A207,ScionOutput!$A$3:$BL$215,58,FALSE)</f>
        <v>No Play</v>
      </c>
      <c r="J207">
        <f>VLOOKUP($A207,ScionOutput!$A$3:$BL$215,59,FALSE)</f>
        <v>0</v>
      </c>
      <c r="K207">
        <f>VLOOKUP($A207,ScionOutput!$A$3:$BL$215,62,FALSE)</f>
        <v>0</v>
      </c>
      <c r="L207">
        <f>VLOOKUP($A207,ScionOutput!$A$3:$BL$215,63,FALSE)</f>
        <v>0</v>
      </c>
      <c r="M207" t="b">
        <f t="shared" si="25"/>
        <v>0</v>
      </c>
      <c r="N207">
        <f>VLOOKUP($A207,Outcomes!$B$3:$I$209,8,FALSE)</f>
        <v>4</v>
      </c>
      <c r="O207">
        <f t="shared" si="26"/>
        <v>1</v>
      </c>
      <c r="P207">
        <f>VLOOKUP($A207,Outcomes!$B$3:$I$209,5,FALSE)</f>
        <v>3</v>
      </c>
      <c r="Q207">
        <f>VLOOKUP($A207,Outcomes!$B$3:$I$209,6,FALSE)</f>
        <v>1</v>
      </c>
      <c r="R207">
        <f>VLOOKUP($A207,Outcomes!$B$3:$I$209,7,FALSE)</f>
        <v>-2</v>
      </c>
      <c r="S207" t="str">
        <f t="shared" si="27"/>
        <v>HomFave</v>
      </c>
      <c r="T207" t="str">
        <f t="shared" si="28"/>
        <v/>
      </c>
      <c r="U207" t="str">
        <f t="shared" si="24"/>
        <v/>
      </c>
      <c r="V207" t="str">
        <f t="shared" si="29"/>
        <v/>
      </c>
      <c r="W207" t="str">
        <f t="shared" si="30"/>
        <v/>
      </c>
      <c r="X207" s="2" t="str">
        <f t="shared" si="31"/>
        <v/>
      </c>
      <c r="Y207" t="str">
        <f>VLOOKUP($A207,ScionOutput!$A$3:$BL$215,64,FALSE)</f>
        <v xml:space="preserve">823123. LineStatEns probability points gap does not exceed threshold (no edge found)! StatOnlyEns probability points gap does not exceed threshold (no edge found)! No play due to strategy constraints. </v>
      </c>
    </row>
    <row r="208" spans="1:25" x14ac:dyDescent="0.2">
      <c r="A208">
        <v>822968</v>
      </c>
      <c r="B208" s="3">
        <f>VLOOKUP($A208,ScionOutput!$A$3:$BL$215,3,FALSE)</f>
        <v>46194</v>
      </c>
      <c r="C208">
        <f>VLOOKUP($A208,ScionOutput!$A$3:$BL$215,22,FALSE)</f>
        <v>27</v>
      </c>
      <c r="D208" t="str">
        <f>VLOOKUP($A208,ScionOutput!$A$3:$BL$215,23,FALSE)</f>
        <v>TB</v>
      </c>
      <c r="E208">
        <f>VLOOKUP($A208,ScionOutput!$A$3:$BL$215,6,FALSE)</f>
        <v>16</v>
      </c>
      <c r="F208" t="str">
        <f>VLOOKUP($A208,ScionOutput!$A$3:$BL$215,7,FALSE)</f>
        <v>WAS</v>
      </c>
      <c r="G208">
        <f>VLOOKUP($A208,ScionOutput!$A$3:$BL$215,26,FALSE)</f>
        <v>-127</v>
      </c>
      <c r="H208">
        <f>VLOOKUP($A208,ScionOutput!$A$3:$BL$215,10,FALSE)</f>
        <v>117</v>
      </c>
      <c r="I208" t="str">
        <f>VLOOKUP($A208,ScionOutput!$A$3:$BL$215,58,FALSE)</f>
        <v>No Play</v>
      </c>
      <c r="J208">
        <f>VLOOKUP($A208,ScionOutput!$A$3:$BL$215,59,FALSE)</f>
        <v>0</v>
      </c>
      <c r="K208">
        <f>VLOOKUP($A208,ScionOutput!$A$3:$BL$215,62,FALSE)</f>
        <v>0</v>
      </c>
      <c r="L208">
        <f>VLOOKUP($A208,ScionOutput!$A$3:$BL$215,63,FALSE)</f>
        <v>0</v>
      </c>
      <c r="M208" t="b">
        <f t="shared" si="25"/>
        <v>0</v>
      </c>
      <c r="N208">
        <f>VLOOKUP($A208,Outcomes!$B$3:$I$209,8,FALSE)</f>
        <v>7</v>
      </c>
      <c r="O208">
        <f t="shared" si="26"/>
        <v>1</v>
      </c>
      <c r="P208">
        <f>VLOOKUP($A208,Outcomes!$B$3:$I$209,5,FALSE)</f>
        <v>4</v>
      </c>
      <c r="Q208">
        <f>VLOOKUP($A208,Outcomes!$B$3:$I$209,6,FALSE)</f>
        <v>3</v>
      </c>
      <c r="R208">
        <f>VLOOKUP($A208,Outcomes!$B$3:$I$209,7,FALSE)</f>
        <v>-1</v>
      </c>
      <c r="S208" t="str">
        <f t="shared" si="27"/>
        <v>HomFave</v>
      </c>
      <c r="T208" t="str">
        <f t="shared" si="28"/>
        <v/>
      </c>
      <c r="U208" t="str">
        <f t="shared" si="24"/>
        <v/>
      </c>
      <c r="V208" t="str">
        <f t="shared" si="29"/>
        <v/>
      </c>
      <c r="W208" t="str">
        <f t="shared" si="30"/>
        <v/>
      </c>
      <c r="X208" s="2" t="str">
        <f t="shared" si="31"/>
        <v/>
      </c>
      <c r="Y208" t="str">
        <f>VLOOKUP($A208,ScionOutput!$A$3:$BL$215,64,FALSE)</f>
        <v xml:space="preserve">822968. LineStatEns probability points gap does not exceed threshold (no edge found)! StatOnlyEns probability points gap does not exceed threshold (no edge found)! No play due to strategy constraints. </v>
      </c>
    </row>
    <row r="209" spans="1:25" x14ac:dyDescent="0.2">
      <c r="A209">
        <v>822883</v>
      </c>
      <c r="B209" s="3">
        <f>VLOOKUP($A209,ScionOutput!$A$3:$BL$215,3,FALSE)</f>
        <v>46194</v>
      </c>
      <c r="C209">
        <f>VLOOKUP($A209,ScionOutput!$A$3:$BL$215,22,FALSE)</f>
        <v>28</v>
      </c>
      <c r="D209" t="str">
        <f>VLOOKUP($A209,ScionOutput!$A$3:$BL$215,23,FALSE)</f>
        <v>TEX</v>
      </c>
      <c r="E209">
        <f>VLOOKUP($A209,ScionOutput!$A$3:$BL$215,6,FALSE)</f>
        <v>23</v>
      </c>
      <c r="F209" t="str">
        <f>VLOOKUP($A209,ScionOutput!$A$3:$BL$215,7,FALSE)</f>
        <v>SD</v>
      </c>
      <c r="G209">
        <f>VLOOKUP($A209,ScionOutput!$A$3:$BL$215,26,FALSE)</f>
        <v>-160</v>
      </c>
      <c r="H209">
        <f>VLOOKUP($A209,ScionOutput!$A$3:$BL$215,10,FALSE)</f>
        <v>147</v>
      </c>
      <c r="I209" t="str">
        <f>VLOOKUP($A209,ScionOutput!$A$3:$BL$215,58,FALSE)</f>
        <v>No Play</v>
      </c>
      <c r="J209">
        <f>VLOOKUP($A209,ScionOutput!$A$3:$BL$215,59,FALSE)</f>
        <v>0</v>
      </c>
      <c r="K209">
        <f>VLOOKUP($A209,ScionOutput!$A$3:$BL$215,62,FALSE)</f>
        <v>0</v>
      </c>
      <c r="L209">
        <f>VLOOKUP($A209,ScionOutput!$A$3:$BL$215,63,FALSE)</f>
        <v>0</v>
      </c>
      <c r="M209" t="b">
        <f t="shared" si="25"/>
        <v>0</v>
      </c>
      <c r="N209">
        <f>VLOOKUP($A209,Outcomes!$B$3:$I$209,8,FALSE)</f>
        <v>7</v>
      </c>
      <c r="O209">
        <f t="shared" si="26"/>
        <v>1</v>
      </c>
      <c r="P209">
        <f>VLOOKUP($A209,Outcomes!$B$3:$I$209,5,FALSE)</f>
        <v>4</v>
      </c>
      <c r="Q209">
        <f>VLOOKUP($A209,Outcomes!$B$3:$I$209,6,FALSE)</f>
        <v>3</v>
      </c>
      <c r="R209">
        <f>VLOOKUP($A209,Outcomes!$B$3:$I$209,7,FALSE)</f>
        <v>-1</v>
      </c>
      <c r="S209" t="str">
        <f t="shared" si="27"/>
        <v>HomFave</v>
      </c>
      <c r="T209" t="str">
        <f t="shared" si="28"/>
        <v/>
      </c>
      <c r="U209" t="str">
        <f t="shared" si="24"/>
        <v/>
      </c>
      <c r="V209" t="str">
        <f t="shared" si="29"/>
        <v/>
      </c>
      <c r="W209" t="str">
        <f t="shared" si="30"/>
        <v/>
      </c>
      <c r="X209" s="2" t="str">
        <f t="shared" si="31"/>
        <v/>
      </c>
      <c r="Y209" t="str">
        <f>VLOOKUP($A209,ScionOutput!$A$3:$BL$215,64,FALSE)</f>
        <v xml:space="preserve">822883. LineStatEns is NoPlay as bookie-line outside range. StatOnlyEns is NoPlay as bookie-line outside range. No play due to strategy constraints. </v>
      </c>
    </row>
    <row r="210" spans="1:25" x14ac:dyDescent="0.2">
      <c r="D210" t="s">
        <v>667</v>
      </c>
      <c r="F210" t="s">
        <v>667</v>
      </c>
      <c r="G210" t="s">
        <v>667</v>
      </c>
      <c r="H210" t="s">
        <v>667</v>
      </c>
      <c r="I210" t="s">
        <v>667</v>
      </c>
      <c r="J210" t="s">
        <v>667</v>
      </c>
      <c r="K210" t="s">
        <v>667</v>
      </c>
      <c r="L210" t="s">
        <v>667</v>
      </c>
      <c r="M210" t="s">
        <v>667</v>
      </c>
      <c r="T210" t="s">
        <v>667</v>
      </c>
      <c r="U210">
        <f>SUM(U2:U209)</f>
        <v>1871</v>
      </c>
      <c r="V210">
        <f>SUM(V2:V209)</f>
        <v>1662</v>
      </c>
      <c r="W210">
        <f>SUM(W2:W209)</f>
        <v>-209</v>
      </c>
      <c r="X210" s="2">
        <f t="shared" si="31"/>
        <v>-0.11170497060395511</v>
      </c>
      <c r="Y210" t="s">
        <v>667</v>
      </c>
    </row>
    <row r="211" spans="1:25" x14ac:dyDescent="0.2">
      <c r="S211" t="s">
        <v>672</v>
      </c>
      <c r="T211">
        <f>COUNT(R2:R209)</f>
        <v>208</v>
      </c>
    </row>
    <row r="212" spans="1:25" x14ac:dyDescent="0.2">
      <c r="S212" t="s">
        <v>673</v>
      </c>
      <c r="T212">
        <f>COUNT(T2:T209)</f>
        <v>18</v>
      </c>
    </row>
    <row r="213" spans="1:25" x14ac:dyDescent="0.2">
      <c r="S213" s="1" t="s">
        <v>674</v>
      </c>
      <c r="T213" s="2">
        <f>T212/T211</f>
        <v>8.6538461538461536E-2</v>
      </c>
    </row>
    <row r="214" spans="1:25" x14ac:dyDescent="0.2">
      <c r="S214" t="s">
        <v>675</v>
      </c>
      <c r="T214">
        <f>SUM(T2:T209)</f>
        <v>8</v>
      </c>
    </row>
    <row r="215" spans="1:25" x14ac:dyDescent="0.2">
      <c r="S215" t="s">
        <v>676</v>
      </c>
      <c r="T215" s="2">
        <f>T214/T212</f>
        <v>0.44444444444444442</v>
      </c>
    </row>
    <row r="216" spans="1:25" x14ac:dyDescent="0.2">
      <c r="S216" t="s">
        <v>684</v>
      </c>
      <c r="T216">
        <f>U210</f>
        <v>1871</v>
      </c>
    </row>
    <row r="217" spans="1:25" x14ac:dyDescent="0.2">
      <c r="S217" t="s">
        <v>685</v>
      </c>
      <c r="T217">
        <f>V210</f>
        <v>1662</v>
      </c>
    </row>
    <row r="218" spans="1:25" x14ac:dyDescent="0.2">
      <c r="S218" t="s">
        <v>687</v>
      </c>
      <c r="T218">
        <f>W210</f>
        <v>-209</v>
      </c>
    </row>
    <row r="219" spans="1:25" x14ac:dyDescent="0.2">
      <c r="S219" t="s">
        <v>686</v>
      </c>
      <c r="T219" s="2">
        <f>IF(T216=0,0,T218/T216)</f>
        <v>-0.11170497060395511</v>
      </c>
    </row>
    <row r="221" spans="1:25" x14ac:dyDescent="0.2">
      <c r="R221" t="s">
        <v>680</v>
      </c>
      <c r="S221" t="s">
        <v>681</v>
      </c>
      <c r="T221">
        <f>COUNTIFS($I$2:$I$209,"HomFave",$T$2:$T$209,"1")+COUNTIFS($I$2:$I$209,"HomFave",$T$2:$T$209,"0")</f>
        <v>5</v>
      </c>
      <c r="V221" t="s">
        <v>688</v>
      </c>
      <c r="W221" t="s">
        <v>681</v>
      </c>
      <c r="X221">
        <f>COUNTIFS($I$2:$I$209,"VisDog",$T$2:$T$209,"1")+COUNTIFS($I$2:$I$209,"VisDog",$T$2:$T$209,"0")</f>
        <v>9</v>
      </c>
    </row>
    <row r="222" spans="1:25" x14ac:dyDescent="0.2">
      <c r="S222" t="s">
        <v>682</v>
      </c>
      <c r="T222">
        <f>COUNTIFS($I$2:$I$209,"HomFave",$T$2:$T$209,"1")</f>
        <v>4</v>
      </c>
      <c r="W222" t="s">
        <v>682</v>
      </c>
      <c r="X222">
        <f>COUNTIFS($I$2:$I$209,"VisDog",$T$2:$T$209,"1")</f>
        <v>3</v>
      </c>
    </row>
    <row r="223" spans="1:25" x14ac:dyDescent="0.2">
      <c r="S223" t="s">
        <v>683</v>
      </c>
      <c r="T223" s="2">
        <f>IF(T221=0,0,T222/T221)</f>
        <v>0.8</v>
      </c>
      <c r="W223" t="s">
        <v>683</v>
      </c>
      <c r="X223" s="2">
        <f>IF(X221=0,0,X222/X221)</f>
        <v>0.33333333333333331</v>
      </c>
    </row>
    <row r="224" spans="1:25" x14ac:dyDescent="0.2">
      <c r="S224" t="s">
        <v>684</v>
      </c>
      <c r="T224">
        <f>SUMIFS($U$2:$U$209,$I$2:$I$209,"HomFave")</f>
        <v>565</v>
      </c>
      <c r="W224" t="s">
        <v>684</v>
      </c>
      <c r="X224">
        <f>SUMIFS($U$2:$U$209,$I$2:$I$209,"VisDog")</f>
        <v>903</v>
      </c>
    </row>
    <row r="225" spans="18:24" x14ac:dyDescent="0.2">
      <c r="S225" t="s">
        <v>685</v>
      </c>
      <c r="T225">
        <f>SUMIFS($V$2:$V$209,$I$2:$I$209,"HomFave")</f>
        <v>839</v>
      </c>
      <c r="W225" t="s">
        <v>685</v>
      </c>
      <c r="X225">
        <f>SUMIFS($V$2:$V$209,$I$2:$I$209,"VisDog")</f>
        <v>621</v>
      </c>
    </row>
    <row r="226" spans="18:24" x14ac:dyDescent="0.2">
      <c r="S226" t="s">
        <v>687</v>
      </c>
      <c r="T226">
        <f>T225-T224</f>
        <v>274</v>
      </c>
      <c r="W226" t="s">
        <v>687</v>
      </c>
      <c r="X226">
        <f>X225-X224</f>
        <v>-282</v>
      </c>
    </row>
    <row r="227" spans="18:24" x14ac:dyDescent="0.2">
      <c r="S227" t="s">
        <v>686</v>
      </c>
      <c r="T227" s="2">
        <f>IF(T224=0,0,T226/T224)</f>
        <v>0.4849557522123894</v>
      </c>
      <c r="W227" t="s">
        <v>686</v>
      </c>
      <c r="X227" s="2">
        <f>IF(X224=0,0,X226/X224)</f>
        <v>-0.3122923588039867</v>
      </c>
    </row>
    <row r="229" spans="18:24" x14ac:dyDescent="0.2">
      <c r="R229" t="s">
        <v>689</v>
      </c>
      <c r="S229" t="s">
        <v>681</v>
      </c>
      <c r="T229">
        <f>COUNTIFS($I$2:$I$209,"VisFave",$T$2:$T$209,"1")+COUNTIFS($I$2:$I$209,"VisFave",$T$2:$T$209,"0")</f>
        <v>0</v>
      </c>
      <c r="V229" t="s">
        <v>690</v>
      </c>
      <c r="W229" t="s">
        <v>681</v>
      </c>
      <c r="X229">
        <f>COUNTIFS($I$2:$I$209,"HomDog",$T$2:$T$209,"1")+COUNTIFS($I$2:$I$209,"HomDog",$T$2:$T$209,"0")</f>
        <v>4</v>
      </c>
    </row>
    <row r="230" spans="18:24" x14ac:dyDescent="0.2">
      <c r="S230" t="s">
        <v>682</v>
      </c>
      <c r="T230">
        <f>COUNTIFS($I$2:$I$209,"VisFave",$T$2:$T$209,"1")</f>
        <v>0</v>
      </c>
      <c r="W230" t="s">
        <v>682</v>
      </c>
      <c r="X230">
        <f>COUNTIFS($I$2:$I$209,"HomDog",$T$2:$T$209,"1")</f>
        <v>1</v>
      </c>
    </row>
    <row r="231" spans="18:24" x14ac:dyDescent="0.2">
      <c r="S231" t="s">
        <v>683</v>
      </c>
      <c r="T231" s="2">
        <f>IF(T229=0,0,T230/T229)</f>
        <v>0</v>
      </c>
      <c r="W231" t="s">
        <v>683</v>
      </c>
      <c r="X231" s="2">
        <f>IF(X229=0,0,X230/X229)</f>
        <v>0.25</v>
      </c>
    </row>
    <row r="232" spans="18:24" x14ac:dyDescent="0.2">
      <c r="S232" t="s">
        <v>684</v>
      </c>
      <c r="T232">
        <f>SUMIFS($U$2:$U$209,$I$2:$I$209,"VisFave")</f>
        <v>0</v>
      </c>
      <c r="W232" t="s">
        <v>684</v>
      </c>
      <c r="X232">
        <f>SUMIFS($U$2:$U$209,$I$2:$I$209,"HomDog")</f>
        <v>403</v>
      </c>
    </row>
    <row r="233" spans="18:24" x14ac:dyDescent="0.2">
      <c r="S233" t="s">
        <v>685</v>
      </c>
      <c r="T233">
        <f>SUMIFS($V$2:$V$209,$I$2:$I$209,"VisFave")</f>
        <v>0</v>
      </c>
      <c r="W233" t="s">
        <v>685</v>
      </c>
      <c r="X233">
        <f>SUMIFS($V$2:$V$209,$I$2:$I$209,"HomDog")</f>
        <v>202</v>
      </c>
    </row>
    <row r="234" spans="18:24" x14ac:dyDescent="0.2">
      <c r="S234" t="s">
        <v>687</v>
      </c>
      <c r="T234">
        <f>T233-T232</f>
        <v>0</v>
      </c>
      <c r="W234" t="s">
        <v>687</v>
      </c>
      <c r="X234">
        <f>X233-X232</f>
        <v>-201</v>
      </c>
    </row>
    <row r="235" spans="18:24" x14ac:dyDescent="0.2">
      <c r="S235" t="s">
        <v>686</v>
      </c>
      <c r="T235" s="2">
        <f>IF(T232=0,0,T234/T232)</f>
        <v>0</v>
      </c>
      <c r="W235" t="s">
        <v>686</v>
      </c>
      <c r="X235" s="2">
        <f>IF(X232=0,0,X234/X232)</f>
        <v>-0.4987593052109181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191D-412E-AA4F-B2F5-BA725251B172}">
  <dimension ref="A1:Y235"/>
  <sheetViews>
    <sheetView workbookViewId="0">
      <pane ySplit="1" topLeftCell="A170" activePane="bottomLeft" state="frozen"/>
      <selection pane="bottomLeft" activeCell="S216" sqref="S216:T219"/>
    </sheetView>
  </sheetViews>
  <sheetFormatPr baseColWidth="10" defaultRowHeight="16" x14ac:dyDescent="0.2"/>
  <cols>
    <col min="7" max="7" width="17.6640625" bestFit="1" customWidth="1"/>
    <col min="8" max="8" width="17.33203125" bestFit="1" customWidth="1"/>
    <col min="9" max="9" width="21.83203125" bestFit="1" customWidth="1"/>
    <col min="10" max="10" width="21.5" bestFit="1" customWidth="1"/>
    <col min="13" max="13" width="15.1640625" bestFit="1" customWidth="1"/>
  </cols>
  <sheetData>
    <row r="1" spans="1:25" x14ac:dyDescent="0.2">
      <c r="A1" t="s">
        <v>0</v>
      </c>
      <c r="B1" t="s">
        <v>1</v>
      </c>
      <c r="C1" t="s">
        <v>3</v>
      </c>
      <c r="D1" t="s">
        <v>668</v>
      </c>
      <c r="E1" t="s">
        <v>4</v>
      </c>
      <c r="F1" t="s">
        <v>669</v>
      </c>
      <c r="G1" t="s">
        <v>33</v>
      </c>
      <c r="H1" t="s">
        <v>17</v>
      </c>
      <c r="I1" t="s">
        <v>65</v>
      </c>
      <c r="J1" t="s">
        <v>66</v>
      </c>
      <c r="K1" t="s">
        <v>69</v>
      </c>
      <c r="L1" t="s">
        <v>70</v>
      </c>
      <c r="M1" t="s">
        <v>1304</v>
      </c>
      <c r="N1" t="s">
        <v>2</v>
      </c>
      <c r="O1" t="s">
        <v>5</v>
      </c>
      <c r="P1" t="s">
        <v>6</v>
      </c>
      <c r="Q1" t="s">
        <v>7</v>
      </c>
      <c r="R1" t="s">
        <v>8</v>
      </c>
      <c r="S1" t="s">
        <v>671</v>
      </c>
      <c r="T1" t="s">
        <v>670</v>
      </c>
      <c r="U1" t="s">
        <v>677</v>
      </c>
      <c r="V1" t="s">
        <v>678</v>
      </c>
      <c r="W1" t="s">
        <v>679</v>
      </c>
      <c r="X1" t="s">
        <v>686</v>
      </c>
      <c r="Y1" t="s">
        <v>71</v>
      </c>
    </row>
    <row r="2" spans="1:25" x14ac:dyDescent="0.2">
      <c r="A2">
        <v>824915</v>
      </c>
      <c r="B2" s="3">
        <f>VLOOKUP($A2,ScionOutput!$A$3:$BL$215,3,FALSE)</f>
        <v>46179</v>
      </c>
      <c r="C2">
        <f>VLOOKUP($A2,ScionOutput!$A$3:$BL$215,22,FALSE)</f>
        <v>0</v>
      </c>
      <c r="D2" t="str">
        <f>VLOOKUP($A2,ScionOutput!$A$3:$BL$215,23,FALSE)</f>
        <v>ATL</v>
      </c>
      <c r="E2">
        <f>VLOOKUP($A2,ScionOutput!$A$3:$BL$215,6,FALSE)</f>
        <v>22</v>
      </c>
      <c r="F2" t="str">
        <f>VLOOKUP($A2,ScionOutput!$A$3:$BL$215,7,FALSE)</f>
        <v>PIT</v>
      </c>
      <c r="G2">
        <f>VLOOKUP($A2,ScionOutput!$A$3:$BL$215,26,FALSE)</f>
        <v>-110</v>
      </c>
      <c r="H2">
        <f>VLOOKUP($A2,ScionOutput!$A$3:$BL$215,10,FALSE)</f>
        <v>100</v>
      </c>
      <c r="I2" t="str">
        <f>VLOOKUP($A2,ScionOutput!$A$3:$BL$215,58,FALSE)</f>
        <v>HomFave</v>
      </c>
      <c r="J2">
        <f>VLOOKUP($A2,ScionOutput!$A$3:$BL$215,59,FALSE)</f>
        <v>1.8370000000000001E-2</v>
      </c>
      <c r="K2">
        <f>VLOOKUP($A2,ScionOutput!$A$3:$BL$215,62,FALSE)</f>
        <v>1</v>
      </c>
      <c r="L2">
        <f>VLOOKUP($A2,ScionOutput!$A$3:$BL$215,63,FALSE)</f>
        <v>0.93</v>
      </c>
      <c r="M2" t="b">
        <f>ISNUMBER(SEARCH("Play determined by LineStatEns and StatOnlyEns agreement", Y2))</f>
        <v>1</v>
      </c>
      <c r="N2">
        <f>VLOOKUP($A2,Outcomes!$B$3:$I$209,8,FALSE)</f>
        <v>9</v>
      </c>
      <c r="O2">
        <f>IF(P2&gt;Q2,1,IF(P2&lt;Q2,-1,0))</f>
        <v>1</v>
      </c>
      <c r="P2">
        <f>VLOOKUP($A2,Outcomes!$B$3:$I$209,5,FALSE)</f>
        <v>6</v>
      </c>
      <c r="Q2">
        <f>VLOOKUP($A2,Outcomes!$B$3:$I$209,6,FALSE)</f>
        <v>3</v>
      </c>
      <c r="R2">
        <f>VLOOKUP($A2,Outcomes!$B$3:$I$209,7,FALSE)</f>
        <v>-3</v>
      </c>
      <c r="S2" t="str">
        <f>IF(R2=0,"Push",IF(G2&lt;H2,IF(R2&lt;0,"HomFave","VisDog"),IF(R2&gt;0,"VisFave","HomDog")))</f>
        <v>HomFave</v>
      </c>
      <c r="T2">
        <f>IF(OR(R2=0,I2="No Play",K2&lt;&gt;1),"",IF(S2=I2,1,0))</f>
        <v>1</v>
      </c>
      <c r="U2">
        <f t="shared" ref="U2:U65" si="0">IF(T2="","",IF(G2&lt;H2,IF(I2="HomFave",ABS(G2),IF(H2&lt;0,ABS(H2),100)),IF(I2="VisFave",ABS(H2),IF(G2&lt;0,ABS(G2),100))))</f>
        <v>110</v>
      </c>
      <c r="V2">
        <f>IF(T2="","",IF(T2=0,0,IF(G2&lt;H2,IF(I2="HomFave",U2+100,IF(H2&lt;0,100+U2,U2+ABS(H2))),IF(I2="VisFave",U2+100,IF(G2&lt;0,100+U2,U2+ABS(G2))))))</f>
        <v>210</v>
      </c>
      <c r="W2">
        <f>IF(T2="","",V2-U2)</f>
        <v>100</v>
      </c>
      <c r="X2" s="2">
        <f>IF(T2="","",W2/U2)</f>
        <v>0.90909090909090906</v>
      </c>
      <c r="Y2" t="str">
        <f>VLOOKUP($A2,ScionOutput!$A$3:$BL$215,64,FALSE)</f>
        <v xml:space="preserve">824915. Play determined by LineStatEns and StatOnlyEns agreement. </v>
      </c>
    </row>
    <row r="3" spans="1:25" x14ac:dyDescent="0.2">
      <c r="A3">
        <v>825075</v>
      </c>
      <c r="B3" s="3">
        <f>VLOOKUP($A3,ScionOutput!$A$3:$BL$215,3,FALSE)</f>
        <v>46179</v>
      </c>
      <c r="C3">
        <f>VLOOKUP($A3,ScionOutput!$A$3:$BL$215,22,FALSE)</f>
        <v>1</v>
      </c>
      <c r="D3" t="str">
        <f>VLOOKUP($A3,ScionOutput!$A$3:$BL$215,23,FALSE)</f>
        <v>ARZ</v>
      </c>
      <c r="E3">
        <f>VLOOKUP($A3,ScionOutput!$A$3:$BL$215,6,FALSE)</f>
        <v>16</v>
      </c>
      <c r="F3" t="str">
        <f>VLOOKUP($A3,ScionOutput!$A$3:$BL$215,7,FALSE)</f>
        <v>WAS</v>
      </c>
      <c r="G3">
        <f>VLOOKUP($A3,ScionOutput!$A$3:$BL$215,26,FALSE)</f>
        <v>-155</v>
      </c>
      <c r="H3">
        <f>VLOOKUP($A3,ScionOutput!$A$3:$BL$215,10,FALSE)</f>
        <v>140</v>
      </c>
      <c r="I3" t="str">
        <f>VLOOKUP($A3,ScionOutput!$A$3:$BL$215,58,FALSE)</f>
        <v>No Play</v>
      </c>
      <c r="J3">
        <f>VLOOKUP($A3,ScionOutput!$A$3:$BL$215,59,FALSE)</f>
        <v>0</v>
      </c>
      <c r="K3">
        <f>VLOOKUP($A3,ScionOutput!$A$3:$BL$215,62,FALSE)</f>
        <v>0</v>
      </c>
      <c r="L3">
        <f>VLOOKUP($A3,ScionOutput!$A$3:$BL$215,63,FALSE)</f>
        <v>0</v>
      </c>
      <c r="M3" t="b">
        <f t="shared" ref="M3:M66" si="1">ISNUMBER(SEARCH("Play determined by LineStatEns and StatOnlyEns agreement", Y3))</f>
        <v>0</v>
      </c>
      <c r="N3">
        <f>VLOOKUP($A3,Outcomes!$B$3:$I$209,8,FALSE)</f>
        <v>7</v>
      </c>
      <c r="O3">
        <f t="shared" ref="O3:O66" si="2">IF(P3&gt;Q3,1,IF(P3&lt;Q3,-1,0))</f>
        <v>-1</v>
      </c>
      <c r="P3">
        <f>VLOOKUP($A3,Outcomes!$B$3:$I$209,5,FALSE)</f>
        <v>1</v>
      </c>
      <c r="Q3">
        <f>VLOOKUP($A3,Outcomes!$B$3:$I$209,6,FALSE)</f>
        <v>6</v>
      </c>
      <c r="R3">
        <f>VLOOKUP($A3,Outcomes!$B$3:$I$209,7,FALSE)</f>
        <v>5</v>
      </c>
      <c r="S3" t="str">
        <f t="shared" ref="S3:S66" si="3">IF(R3=0,"Push",IF(G3&lt;H3,IF(R3&lt;0,"HomFave","VisDog"),IF(R3&gt;0,"VisFave","HomDog")))</f>
        <v>VisDog</v>
      </c>
      <c r="T3" t="str">
        <f t="shared" ref="T3:T66" si="4">IF(OR(R3=0,I3="No Play",K3&lt;&gt;1),"",IF(S3=I3,1,0))</f>
        <v/>
      </c>
      <c r="U3" t="str">
        <f t="shared" si="0"/>
        <v/>
      </c>
      <c r="V3" t="str">
        <f t="shared" ref="V3:V66" si="5">IF(T3="","",IF(T3=0,0,IF(G3&lt;H3,IF(I3="HomFave",U3+100,IF(H3&lt;0,100+U3,U3+ABS(H3))),IF(I3="VisFave",U3+100,IF(G3&lt;0,100+U3,U3+ABS(G3))))))</f>
        <v/>
      </c>
      <c r="W3" t="str">
        <f t="shared" ref="W3:W66" si="6">IF(T3="","",V3-U3)</f>
        <v/>
      </c>
      <c r="X3" s="2" t="str">
        <f t="shared" ref="X3:X66" si="7">IF(T3="","",W3/U3)</f>
        <v/>
      </c>
      <c r="Y3" t="str">
        <f>VLOOKUP($A3,ScionOutput!$A$3:$BL$215,64,FALSE)</f>
        <v xml:space="preserve">825075. LineStatEns is NoPlay as bookie-line outside range. StatOnlyEns is NoPlay as bookie-line outside range. No play due to strategy constraints. </v>
      </c>
    </row>
    <row r="4" spans="1:25" x14ac:dyDescent="0.2">
      <c r="A4">
        <v>824669</v>
      </c>
      <c r="B4" s="3">
        <f>VLOOKUP($A4,ScionOutput!$A$3:$BL$215,3,FALSE)</f>
        <v>46179</v>
      </c>
      <c r="C4">
        <f>VLOOKUP($A4,ScionOutput!$A$3:$BL$215,22,FALSE)</f>
        <v>5</v>
      </c>
      <c r="D4" t="str">
        <f>VLOOKUP($A4,ScionOutput!$A$3:$BL$215,23,FALSE)</f>
        <v>CHC</v>
      </c>
      <c r="E4">
        <f>VLOOKUP($A4,ScionOutput!$A$3:$BL$215,6,FALSE)</f>
        <v>25</v>
      </c>
      <c r="F4" t="str">
        <f>VLOOKUP($A4,ScionOutput!$A$3:$BL$215,7,FALSE)</f>
        <v>SF</v>
      </c>
      <c r="G4">
        <f>VLOOKUP($A4,ScionOutput!$A$3:$BL$215,26,FALSE)</f>
        <v>-140</v>
      </c>
      <c r="H4">
        <f>VLOOKUP($A4,ScionOutput!$A$3:$BL$215,10,FALSE)</f>
        <v>127</v>
      </c>
      <c r="I4" t="str">
        <f>VLOOKUP($A4,ScionOutput!$A$3:$BL$215,58,FALSE)</f>
        <v>No Play</v>
      </c>
      <c r="J4">
        <f>VLOOKUP($A4,ScionOutput!$A$3:$BL$215,59,FALSE)</f>
        <v>0</v>
      </c>
      <c r="K4">
        <f>VLOOKUP($A4,ScionOutput!$A$3:$BL$215,62,FALSE)</f>
        <v>0</v>
      </c>
      <c r="L4">
        <f>VLOOKUP($A4,ScionOutput!$A$3:$BL$215,63,FALSE)</f>
        <v>0</v>
      </c>
      <c r="M4" t="b">
        <f t="shared" si="1"/>
        <v>0</v>
      </c>
      <c r="N4">
        <f>VLOOKUP($A4,Outcomes!$B$3:$I$209,8,FALSE)</f>
        <v>5</v>
      </c>
      <c r="O4">
        <f t="shared" si="2"/>
        <v>1</v>
      </c>
      <c r="P4">
        <f>VLOOKUP($A4,Outcomes!$B$3:$I$209,5,FALSE)</f>
        <v>3</v>
      </c>
      <c r="Q4">
        <f>VLOOKUP($A4,Outcomes!$B$3:$I$209,6,FALSE)</f>
        <v>2</v>
      </c>
      <c r="R4">
        <f>VLOOKUP($A4,Outcomes!$B$3:$I$209,7,FALSE)</f>
        <v>-1</v>
      </c>
      <c r="S4" t="str">
        <f t="shared" si="3"/>
        <v>HomFave</v>
      </c>
      <c r="T4" t="str">
        <f t="shared" si="4"/>
        <v/>
      </c>
      <c r="U4" t="str">
        <f t="shared" si="0"/>
        <v/>
      </c>
      <c r="V4" t="str">
        <f t="shared" si="5"/>
        <v/>
      </c>
      <c r="W4" t="str">
        <f t="shared" si="6"/>
        <v/>
      </c>
      <c r="X4" s="2" t="str">
        <f t="shared" si="7"/>
        <v/>
      </c>
      <c r="Y4" t="str">
        <f>VLOOKUP($A4,ScionOutput!$A$3:$BL$215,64,FALSE)</f>
        <v xml:space="preserve">824669. LineStatEns probability points gap does not exceed threshold (no edge found)! StatOnlyEns probability points gap does not exceed threshold (no edge found)! No play due to strategy constraints. </v>
      </c>
    </row>
    <row r="5" spans="1:25" x14ac:dyDescent="0.2">
      <c r="A5">
        <v>824351</v>
      </c>
      <c r="B5" s="3">
        <f>VLOOKUP($A5,ScionOutput!$A$3:$BL$215,3,FALSE)</f>
        <v>46179</v>
      </c>
      <c r="C5">
        <f>VLOOKUP($A5,ScionOutput!$A$3:$BL$215,22,FALSE)</f>
        <v>8</v>
      </c>
      <c r="D5" t="str">
        <f>VLOOKUP($A5,ScionOutput!$A$3:$BL$215,23,FALSE)</f>
        <v>COL</v>
      </c>
      <c r="E5">
        <f>VLOOKUP($A5,ScionOutput!$A$3:$BL$215,6,FALSE)</f>
        <v>17</v>
      </c>
      <c r="F5" t="str">
        <f>VLOOKUP($A5,ScionOutput!$A$3:$BL$215,7,FALSE)</f>
        <v>MLW</v>
      </c>
      <c r="G5">
        <f>VLOOKUP($A5,ScionOutput!$A$3:$BL$215,26,FALSE)</f>
        <v>214</v>
      </c>
      <c r="H5">
        <f>VLOOKUP($A5,ScionOutput!$A$3:$BL$215,10,FALSE)</f>
        <v>-240</v>
      </c>
      <c r="I5" t="str">
        <f>VLOOKUP($A5,ScionOutput!$A$3:$BL$215,58,FALSE)</f>
        <v>No Play</v>
      </c>
      <c r="J5">
        <f>VLOOKUP($A5,ScionOutput!$A$3:$BL$215,59,FALSE)</f>
        <v>0</v>
      </c>
      <c r="K5">
        <f>VLOOKUP($A5,ScionOutput!$A$3:$BL$215,62,FALSE)</f>
        <v>0</v>
      </c>
      <c r="L5">
        <f>VLOOKUP($A5,ScionOutput!$A$3:$BL$215,63,FALSE)</f>
        <v>0</v>
      </c>
      <c r="M5" t="b">
        <f t="shared" si="1"/>
        <v>0</v>
      </c>
      <c r="N5">
        <f>VLOOKUP($A5,Outcomes!$B$3:$I$209,8,FALSE)</f>
        <v>8</v>
      </c>
      <c r="O5">
        <f t="shared" si="2"/>
        <v>-1</v>
      </c>
      <c r="P5">
        <f>VLOOKUP($A5,Outcomes!$B$3:$I$209,5,FALSE)</f>
        <v>1</v>
      </c>
      <c r="Q5">
        <f>VLOOKUP($A5,Outcomes!$B$3:$I$209,6,FALSE)</f>
        <v>7</v>
      </c>
      <c r="R5">
        <f>VLOOKUP($A5,Outcomes!$B$3:$I$209,7,FALSE)</f>
        <v>6</v>
      </c>
      <c r="S5" t="str">
        <f t="shared" si="3"/>
        <v>VisFave</v>
      </c>
      <c r="T5" t="str">
        <f t="shared" si="4"/>
        <v/>
      </c>
      <c r="U5" t="str">
        <f t="shared" si="0"/>
        <v/>
      </c>
      <c r="V5" t="str">
        <f t="shared" si="5"/>
        <v/>
      </c>
      <c r="W5" t="str">
        <f t="shared" si="6"/>
        <v/>
      </c>
      <c r="X5" s="2" t="str">
        <f t="shared" si="7"/>
        <v/>
      </c>
      <c r="Y5" t="str">
        <f>VLOOKUP($A5,ScionOutput!$A$3:$BL$215,64,FALSE)</f>
        <v xml:space="preserve">824351. LineStatEns is NoPlay as bookie-line outside range. StatOnlyEns is NoPlay as bookie-line outside range. No play due to strategy constraints. </v>
      </c>
    </row>
    <row r="6" spans="1:25" x14ac:dyDescent="0.2">
      <c r="A6">
        <v>824269</v>
      </c>
      <c r="B6" s="3">
        <f>VLOOKUP($A6,ScionOutput!$A$3:$BL$215,3,FALSE)</f>
        <v>46179</v>
      </c>
      <c r="C6">
        <f>VLOOKUP($A6,ScionOutput!$A$3:$BL$215,22,FALSE)</f>
        <v>10</v>
      </c>
      <c r="D6" t="str">
        <f>VLOOKUP($A6,ScionOutput!$A$3:$BL$215,23,FALSE)</f>
        <v>DET</v>
      </c>
      <c r="E6">
        <f>VLOOKUP($A6,ScionOutput!$A$3:$BL$215,6,FALSE)</f>
        <v>24</v>
      </c>
      <c r="F6" t="str">
        <f>VLOOKUP($A6,ScionOutput!$A$3:$BL$215,7,FALSE)</f>
        <v>SEA</v>
      </c>
      <c r="G6">
        <f>VLOOKUP($A6,ScionOutput!$A$3:$BL$215,26,FALSE)</f>
        <v>116</v>
      </c>
      <c r="H6">
        <f>VLOOKUP($A6,ScionOutput!$A$3:$BL$215,10,FALSE)</f>
        <v>-128</v>
      </c>
      <c r="I6" t="str">
        <f>VLOOKUP($A6,ScionOutput!$A$3:$BL$215,58,FALSE)</f>
        <v>No Play</v>
      </c>
      <c r="J6">
        <f>VLOOKUP($A6,ScionOutput!$A$3:$BL$215,59,FALSE)</f>
        <v>0</v>
      </c>
      <c r="K6">
        <f>VLOOKUP($A6,ScionOutput!$A$3:$BL$215,62,FALSE)</f>
        <v>0</v>
      </c>
      <c r="L6">
        <f>VLOOKUP($A6,ScionOutput!$A$3:$BL$215,63,FALSE)</f>
        <v>0</v>
      </c>
      <c r="M6" t="b">
        <f t="shared" si="1"/>
        <v>0</v>
      </c>
      <c r="N6">
        <f>VLOOKUP($A6,Outcomes!$B$3:$I$209,8,FALSE)</f>
        <v>4</v>
      </c>
      <c r="O6">
        <f t="shared" si="2"/>
        <v>-1</v>
      </c>
      <c r="P6">
        <f>VLOOKUP($A6,Outcomes!$B$3:$I$209,5,FALSE)</f>
        <v>0</v>
      </c>
      <c r="Q6">
        <f>VLOOKUP($A6,Outcomes!$B$3:$I$209,6,FALSE)</f>
        <v>4</v>
      </c>
      <c r="R6">
        <f>VLOOKUP($A6,Outcomes!$B$3:$I$209,7,FALSE)</f>
        <v>4</v>
      </c>
      <c r="S6" t="str">
        <f t="shared" si="3"/>
        <v>VisFave</v>
      </c>
      <c r="T6" t="str">
        <f t="shared" si="4"/>
        <v/>
      </c>
      <c r="U6" t="str">
        <f t="shared" si="0"/>
        <v/>
      </c>
      <c r="V6" t="str">
        <f t="shared" si="5"/>
        <v/>
      </c>
      <c r="W6" t="str">
        <f t="shared" si="6"/>
        <v/>
      </c>
      <c r="X6" s="2" t="str">
        <f t="shared" si="7"/>
        <v/>
      </c>
      <c r="Y6" t="str">
        <f>VLOOKUP($A6,ScionOutput!$A$3:$BL$215,64,FALSE)</f>
        <v xml:space="preserve">824269. VF plays are disallowed. No play due to strategy constraints. </v>
      </c>
    </row>
    <row r="7" spans="1:25" x14ac:dyDescent="0.2">
      <c r="A7">
        <v>823859</v>
      </c>
      <c r="B7" s="3">
        <f>VLOOKUP($A7,ScionOutput!$A$3:$BL$215,3,FALSE)</f>
        <v>46179</v>
      </c>
      <c r="C7">
        <f>VLOOKUP($A7,ScionOutput!$A$3:$BL$215,22,FALSE)</f>
        <v>11</v>
      </c>
      <c r="D7" t="str">
        <f>VLOOKUP($A7,ScionOutput!$A$3:$BL$215,23,FALSE)</f>
        <v>FLO</v>
      </c>
      <c r="E7">
        <f>VLOOKUP($A7,ScionOutput!$A$3:$BL$215,6,FALSE)</f>
        <v>27</v>
      </c>
      <c r="F7" t="str">
        <f>VLOOKUP($A7,ScionOutput!$A$3:$BL$215,7,FALSE)</f>
        <v>TB</v>
      </c>
      <c r="G7">
        <f>VLOOKUP($A7,ScionOutput!$A$3:$BL$215,26,FALSE)</f>
        <v>117</v>
      </c>
      <c r="H7">
        <f>VLOOKUP($A7,ScionOutput!$A$3:$BL$215,10,FALSE)</f>
        <v>-129</v>
      </c>
      <c r="I7" t="str">
        <f>VLOOKUP($A7,ScionOutput!$A$3:$BL$215,58,FALSE)</f>
        <v>No Play</v>
      </c>
      <c r="J7">
        <f>VLOOKUP($A7,ScionOutput!$A$3:$BL$215,59,FALSE)</f>
        <v>0</v>
      </c>
      <c r="K7">
        <f>VLOOKUP($A7,ScionOutput!$A$3:$BL$215,62,FALSE)</f>
        <v>0</v>
      </c>
      <c r="L7">
        <f>VLOOKUP($A7,ScionOutput!$A$3:$BL$215,63,FALSE)</f>
        <v>0</v>
      </c>
      <c r="M7" t="b">
        <f t="shared" si="1"/>
        <v>0</v>
      </c>
      <c r="N7">
        <f>VLOOKUP($A7,Outcomes!$B$3:$I$209,8,FALSE)</f>
        <v>7</v>
      </c>
      <c r="O7">
        <f t="shared" si="2"/>
        <v>1</v>
      </c>
      <c r="P7">
        <f>VLOOKUP($A7,Outcomes!$B$3:$I$209,5,FALSE)</f>
        <v>4</v>
      </c>
      <c r="Q7">
        <f>VLOOKUP($A7,Outcomes!$B$3:$I$209,6,FALSE)</f>
        <v>3</v>
      </c>
      <c r="R7">
        <f>VLOOKUP($A7,Outcomes!$B$3:$I$209,7,FALSE)</f>
        <v>-1</v>
      </c>
      <c r="S7" t="str">
        <f t="shared" si="3"/>
        <v>HomDog</v>
      </c>
      <c r="T7" t="str">
        <f t="shared" si="4"/>
        <v/>
      </c>
      <c r="U7" t="str">
        <f t="shared" si="0"/>
        <v/>
      </c>
      <c r="V7" t="str">
        <f t="shared" si="5"/>
        <v/>
      </c>
      <c r="W7" t="str">
        <f t="shared" si="6"/>
        <v/>
      </c>
      <c r="X7" s="2" t="str">
        <f t="shared" si="7"/>
        <v/>
      </c>
      <c r="Y7" t="str">
        <f>VLOOKUP($A7,ScionOutput!$A$3:$BL$215,64,FALSE)</f>
        <v xml:space="preserve">823859. VF plays are disallowed. No play due to strategy constraints. </v>
      </c>
    </row>
    <row r="8" spans="1:25" x14ac:dyDescent="0.2">
      <c r="A8">
        <v>824184</v>
      </c>
      <c r="B8" s="3">
        <f>VLOOKUP($A8,ScionOutput!$A$3:$BL$215,3,FALSE)</f>
        <v>46179</v>
      </c>
      <c r="C8">
        <f>VLOOKUP($A8,ScionOutput!$A$3:$BL$215,22,FALSE)</f>
        <v>12</v>
      </c>
      <c r="D8" t="str">
        <f>VLOOKUP($A8,ScionOutput!$A$3:$BL$215,23,FALSE)</f>
        <v>HOU</v>
      </c>
      <c r="E8">
        <f>VLOOKUP($A8,ScionOutput!$A$3:$BL$215,6,FALSE)</f>
        <v>20</v>
      </c>
      <c r="F8" t="str">
        <f>VLOOKUP($A8,ScionOutput!$A$3:$BL$215,7,FALSE)</f>
        <v>OAK</v>
      </c>
      <c r="G8">
        <f>VLOOKUP($A8,ScionOutput!$A$3:$BL$215,26,FALSE)</f>
        <v>-107</v>
      </c>
      <c r="H8">
        <f>VLOOKUP($A8,ScionOutput!$A$3:$BL$215,10,FALSE)</f>
        <v>-103</v>
      </c>
      <c r="I8" t="str">
        <f>VLOOKUP($A8,ScionOutput!$A$3:$BL$215,58,FALSE)</f>
        <v>No Play</v>
      </c>
      <c r="J8">
        <f>VLOOKUP($A8,ScionOutput!$A$3:$BL$215,59,FALSE)</f>
        <v>0</v>
      </c>
      <c r="K8">
        <f>VLOOKUP($A8,ScionOutput!$A$3:$BL$215,62,FALSE)</f>
        <v>0</v>
      </c>
      <c r="L8">
        <f>VLOOKUP($A8,ScionOutput!$A$3:$BL$215,63,FALSE)</f>
        <v>0</v>
      </c>
      <c r="M8" t="b">
        <f t="shared" si="1"/>
        <v>0</v>
      </c>
      <c r="N8">
        <f>VLOOKUP($A8,Outcomes!$B$3:$I$209,8,FALSE)</f>
        <v>15</v>
      </c>
      <c r="O8">
        <f t="shared" si="2"/>
        <v>1</v>
      </c>
      <c r="P8">
        <f>VLOOKUP($A8,Outcomes!$B$3:$I$209,5,FALSE)</f>
        <v>13</v>
      </c>
      <c r="Q8">
        <f>VLOOKUP($A8,Outcomes!$B$3:$I$209,6,FALSE)</f>
        <v>2</v>
      </c>
      <c r="R8">
        <f>VLOOKUP($A8,Outcomes!$B$3:$I$209,7,FALSE)</f>
        <v>-11</v>
      </c>
      <c r="S8" t="str">
        <f t="shared" si="3"/>
        <v>HomFave</v>
      </c>
      <c r="T8" t="str">
        <f t="shared" si="4"/>
        <v/>
      </c>
      <c r="U8" t="str">
        <f t="shared" si="0"/>
        <v/>
      </c>
      <c r="V8" t="str">
        <f t="shared" si="5"/>
        <v/>
      </c>
      <c r="W8" t="str">
        <f t="shared" si="6"/>
        <v/>
      </c>
      <c r="X8" s="2" t="str">
        <f t="shared" si="7"/>
        <v/>
      </c>
      <c r="Y8" t="str">
        <f>VLOOKUP($A8,ScionOutput!$A$3:$BL$215,64,FALSE)</f>
        <v xml:space="preserve">824184. V_SP is Null, team-based avg used. NoPlay as V_SP is Null. </v>
      </c>
    </row>
    <row r="9" spans="1:25" x14ac:dyDescent="0.2">
      <c r="A9">
        <v>823942</v>
      </c>
      <c r="B9" s="3">
        <f>VLOOKUP($A9,ScionOutput!$A$3:$BL$215,3,FALSE)</f>
        <v>46179</v>
      </c>
      <c r="C9">
        <f>VLOOKUP($A9,ScionOutput!$A$3:$BL$215,22,FALSE)</f>
        <v>14</v>
      </c>
      <c r="D9" t="str">
        <f>VLOOKUP($A9,ScionOutput!$A$3:$BL$215,23,FALSE)</f>
        <v>LA</v>
      </c>
      <c r="E9">
        <f>VLOOKUP($A9,ScionOutput!$A$3:$BL$215,6,FALSE)</f>
        <v>4</v>
      </c>
      <c r="F9" t="str">
        <f>VLOOKUP($A9,ScionOutput!$A$3:$BL$215,7,FALSE)</f>
        <v>LAA</v>
      </c>
      <c r="G9">
        <f>VLOOKUP($A9,ScionOutput!$A$3:$BL$215,26,FALSE)</f>
        <v>-312</v>
      </c>
      <c r="H9">
        <f>VLOOKUP($A9,ScionOutput!$A$3:$BL$215,10,FALSE)</f>
        <v>275</v>
      </c>
      <c r="I9" t="str">
        <f>VLOOKUP($A9,ScionOutput!$A$3:$BL$215,58,FALSE)</f>
        <v>No Play</v>
      </c>
      <c r="J9">
        <f>VLOOKUP($A9,ScionOutput!$A$3:$BL$215,59,FALSE)</f>
        <v>0</v>
      </c>
      <c r="K9">
        <f>VLOOKUP($A9,ScionOutput!$A$3:$BL$215,62,FALSE)</f>
        <v>0</v>
      </c>
      <c r="L9">
        <f>VLOOKUP($A9,ScionOutput!$A$3:$BL$215,63,FALSE)</f>
        <v>0</v>
      </c>
      <c r="M9" t="b">
        <f t="shared" si="1"/>
        <v>0</v>
      </c>
      <c r="N9">
        <f>VLOOKUP($A9,Outcomes!$B$3:$I$209,8,FALSE)</f>
        <v>11</v>
      </c>
      <c r="O9">
        <f t="shared" si="2"/>
        <v>1</v>
      </c>
      <c r="P9">
        <f>VLOOKUP($A9,Outcomes!$B$3:$I$209,5,FALSE)</f>
        <v>9</v>
      </c>
      <c r="Q9">
        <f>VLOOKUP($A9,Outcomes!$B$3:$I$209,6,FALSE)</f>
        <v>2</v>
      </c>
      <c r="R9">
        <f>VLOOKUP($A9,Outcomes!$B$3:$I$209,7,FALSE)</f>
        <v>-7</v>
      </c>
      <c r="S9" t="str">
        <f t="shared" si="3"/>
        <v>HomFave</v>
      </c>
      <c r="T9" t="str">
        <f t="shared" si="4"/>
        <v/>
      </c>
      <c r="U9" t="str">
        <f t="shared" si="0"/>
        <v/>
      </c>
      <c r="V9" t="str">
        <f t="shared" si="5"/>
        <v/>
      </c>
      <c r="W9" t="str">
        <f t="shared" si="6"/>
        <v/>
      </c>
      <c r="X9" s="2" t="str">
        <f t="shared" si="7"/>
        <v/>
      </c>
      <c r="Y9" t="str">
        <f>VLOOKUP($A9,ScionOutput!$A$3:$BL$215,64,FALSE)</f>
        <v xml:space="preserve">823942. LineStatEns is NoPlay as bookie-line outside range. StatOnlyEns is NoPlay as bookie-line outside range. No play due to strategy constraints. </v>
      </c>
    </row>
    <row r="10" spans="1:25" x14ac:dyDescent="0.2">
      <c r="A10">
        <v>823697</v>
      </c>
      <c r="B10" s="3">
        <f>VLOOKUP($A10,ScionOutput!$A$3:$BL$215,3,FALSE)</f>
        <v>46179</v>
      </c>
      <c r="C10">
        <f>VLOOKUP($A10,ScionOutput!$A$3:$BL$215,22,FALSE)</f>
        <v>15</v>
      </c>
      <c r="D10" t="str">
        <f>VLOOKUP($A10,ScionOutput!$A$3:$BL$215,23,FALSE)</f>
        <v>MIN</v>
      </c>
      <c r="E10">
        <f>VLOOKUP($A10,ScionOutput!$A$3:$BL$215,6,FALSE)</f>
        <v>13</v>
      </c>
      <c r="F10" t="str">
        <f>VLOOKUP($A10,ScionOutput!$A$3:$BL$215,7,FALSE)</f>
        <v>KC</v>
      </c>
      <c r="G10">
        <f>VLOOKUP($A10,ScionOutput!$A$3:$BL$215,26,FALSE)</f>
        <v>-145</v>
      </c>
      <c r="H10">
        <f>VLOOKUP($A10,ScionOutput!$A$3:$BL$215,10,FALSE)</f>
        <v>131</v>
      </c>
      <c r="I10" t="str">
        <f>VLOOKUP($A10,ScionOutput!$A$3:$BL$215,58,FALSE)</f>
        <v>No Play</v>
      </c>
      <c r="J10">
        <f>VLOOKUP($A10,ScionOutput!$A$3:$BL$215,59,FALSE)</f>
        <v>0</v>
      </c>
      <c r="K10">
        <f>VLOOKUP($A10,ScionOutput!$A$3:$BL$215,62,FALSE)</f>
        <v>0</v>
      </c>
      <c r="L10">
        <f>VLOOKUP($A10,ScionOutput!$A$3:$BL$215,63,FALSE)</f>
        <v>0</v>
      </c>
      <c r="M10" t="b">
        <f t="shared" si="1"/>
        <v>0</v>
      </c>
      <c r="N10">
        <f>VLOOKUP($A10,Outcomes!$B$3:$I$209,8,FALSE)</f>
        <v>5</v>
      </c>
      <c r="O10">
        <f t="shared" si="2"/>
        <v>-1</v>
      </c>
      <c r="P10">
        <f>VLOOKUP($A10,Outcomes!$B$3:$I$209,5,FALSE)</f>
        <v>2</v>
      </c>
      <c r="Q10">
        <f>VLOOKUP($A10,Outcomes!$B$3:$I$209,6,FALSE)</f>
        <v>3</v>
      </c>
      <c r="R10">
        <f>VLOOKUP($A10,Outcomes!$B$3:$I$209,7,FALSE)</f>
        <v>1</v>
      </c>
      <c r="S10" t="str">
        <f t="shared" si="3"/>
        <v>VisDog</v>
      </c>
      <c r="T10" t="str">
        <f t="shared" si="4"/>
        <v/>
      </c>
      <c r="U10" t="str">
        <f t="shared" si="0"/>
        <v/>
      </c>
      <c r="V10" t="str">
        <f t="shared" si="5"/>
        <v/>
      </c>
      <c r="W10" t="str">
        <f t="shared" si="6"/>
        <v/>
      </c>
      <c r="X10" s="2" t="str">
        <f t="shared" si="7"/>
        <v/>
      </c>
      <c r="Y10" t="str">
        <f>VLOOKUP($A10,ScionOutput!$A$3:$BL$215,64,FALSE)</f>
        <v xml:space="preserve">823697. LineStatEns probability points gap does not exceed threshold (no edge found)! StatOnlyEns probability points gap does not exceed threshold (no edge found)! No play due to strategy constraints. </v>
      </c>
    </row>
    <row r="11" spans="1:25" x14ac:dyDescent="0.2">
      <c r="A11">
        <v>823454</v>
      </c>
      <c r="B11" s="3">
        <f>VLOOKUP($A11,ScionOutput!$A$3:$BL$215,3,FALSE)</f>
        <v>46179</v>
      </c>
      <c r="C11">
        <f>VLOOKUP($A11,ScionOutput!$A$3:$BL$215,22,FALSE)</f>
        <v>21</v>
      </c>
      <c r="D11" t="str">
        <f>VLOOKUP($A11,ScionOutput!$A$3:$BL$215,23,FALSE)</f>
        <v>PHI</v>
      </c>
      <c r="E11">
        <f>VLOOKUP($A11,ScionOutput!$A$3:$BL$215,6,FALSE)</f>
        <v>9</v>
      </c>
      <c r="F11" t="str">
        <f>VLOOKUP($A11,ScionOutput!$A$3:$BL$215,7,FALSE)</f>
        <v>CWS</v>
      </c>
      <c r="G11">
        <f>VLOOKUP($A11,ScionOutput!$A$3:$BL$215,26,FALSE)</f>
        <v>-123</v>
      </c>
      <c r="H11">
        <f>VLOOKUP($A11,ScionOutput!$A$3:$BL$215,10,FALSE)</f>
        <v>112</v>
      </c>
      <c r="I11" t="str">
        <f>VLOOKUP($A11,ScionOutput!$A$3:$BL$215,58,FALSE)</f>
        <v>No Play</v>
      </c>
      <c r="J11">
        <f>VLOOKUP($A11,ScionOutput!$A$3:$BL$215,59,FALSE)</f>
        <v>0</v>
      </c>
      <c r="K11">
        <f>VLOOKUP($A11,ScionOutput!$A$3:$BL$215,62,FALSE)</f>
        <v>0</v>
      </c>
      <c r="L11">
        <f>VLOOKUP($A11,ScionOutput!$A$3:$BL$215,63,FALSE)</f>
        <v>0</v>
      </c>
      <c r="M11" t="b">
        <f t="shared" si="1"/>
        <v>0</v>
      </c>
      <c r="N11">
        <f>VLOOKUP($A11,Outcomes!$B$3:$I$209,8,FALSE)</f>
        <v>9</v>
      </c>
      <c r="O11">
        <f t="shared" si="2"/>
        <v>-1</v>
      </c>
      <c r="P11">
        <f>VLOOKUP($A11,Outcomes!$B$3:$I$209,5,FALSE)</f>
        <v>3</v>
      </c>
      <c r="Q11">
        <f>VLOOKUP($A11,Outcomes!$B$3:$I$209,6,FALSE)</f>
        <v>6</v>
      </c>
      <c r="R11">
        <f>VLOOKUP($A11,Outcomes!$B$3:$I$209,7,FALSE)</f>
        <v>3</v>
      </c>
      <c r="S11" t="str">
        <f t="shared" si="3"/>
        <v>VisDog</v>
      </c>
      <c r="T11" t="str">
        <f t="shared" si="4"/>
        <v/>
      </c>
      <c r="U11" t="str">
        <f t="shared" si="0"/>
        <v/>
      </c>
      <c r="V11" t="str">
        <f t="shared" si="5"/>
        <v/>
      </c>
      <c r="W11" t="str">
        <f t="shared" si="6"/>
        <v/>
      </c>
      <c r="X11" s="2" t="str">
        <f t="shared" si="7"/>
        <v/>
      </c>
      <c r="Y11" t="str">
        <f>VLOOKUP($A11,ScionOutput!$A$3:$BL$215,64,FALSE)</f>
        <v xml:space="preserve">823454. LineStatEns probability points gap does not exceed threshold (no edge found)! No play due to strategy constraints. </v>
      </c>
    </row>
    <row r="12" spans="1:25" x14ac:dyDescent="0.2">
      <c r="A12">
        <v>823292</v>
      </c>
      <c r="B12" s="3">
        <f>VLOOKUP($A12,ScionOutput!$A$3:$BL$215,3,FALSE)</f>
        <v>46179</v>
      </c>
      <c r="C12">
        <f>VLOOKUP($A12,ScionOutput!$A$3:$BL$215,22,FALSE)</f>
        <v>23</v>
      </c>
      <c r="D12" t="str">
        <f>VLOOKUP($A12,ScionOutput!$A$3:$BL$215,23,FALSE)</f>
        <v>SD</v>
      </c>
      <c r="E12">
        <f>VLOOKUP($A12,ScionOutput!$A$3:$BL$215,6,FALSE)</f>
        <v>18</v>
      </c>
      <c r="F12" t="str">
        <f>VLOOKUP($A12,ScionOutput!$A$3:$BL$215,7,FALSE)</f>
        <v>NYM</v>
      </c>
      <c r="G12">
        <f>VLOOKUP($A12,ScionOutput!$A$3:$BL$215,26,FALSE)</f>
        <v>104</v>
      </c>
      <c r="H12">
        <f>VLOOKUP($A12,ScionOutput!$A$3:$BL$215,10,FALSE)</f>
        <v>-115</v>
      </c>
      <c r="I12" t="str">
        <f>VLOOKUP($A12,ScionOutput!$A$3:$BL$215,58,FALSE)</f>
        <v>No Play</v>
      </c>
      <c r="J12">
        <f>VLOOKUP($A12,ScionOutput!$A$3:$BL$215,59,FALSE)</f>
        <v>0</v>
      </c>
      <c r="K12">
        <f>VLOOKUP($A12,ScionOutput!$A$3:$BL$215,62,FALSE)</f>
        <v>0</v>
      </c>
      <c r="L12">
        <f>VLOOKUP($A12,ScionOutput!$A$3:$BL$215,63,FALSE)</f>
        <v>0</v>
      </c>
      <c r="M12" t="b">
        <f t="shared" si="1"/>
        <v>0</v>
      </c>
      <c r="N12">
        <f>VLOOKUP($A12,Outcomes!$B$3:$I$209,8,FALSE)</f>
        <v>5</v>
      </c>
      <c r="O12">
        <f t="shared" si="2"/>
        <v>1</v>
      </c>
      <c r="P12">
        <f>VLOOKUP($A12,Outcomes!$B$3:$I$209,5,FALSE)</f>
        <v>3</v>
      </c>
      <c r="Q12">
        <f>VLOOKUP($A12,Outcomes!$B$3:$I$209,6,FALSE)</f>
        <v>2</v>
      </c>
      <c r="R12">
        <f>VLOOKUP($A12,Outcomes!$B$3:$I$209,7,FALSE)</f>
        <v>-1</v>
      </c>
      <c r="S12" t="str">
        <f t="shared" si="3"/>
        <v>HomDog</v>
      </c>
      <c r="T12" t="str">
        <f t="shared" si="4"/>
        <v/>
      </c>
      <c r="U12" t="str">
        <f t="shared" si="0"/>
        <v/>
      </c>
      <c r="V12" t="str">
        <f t="shared" si="5"/>
        <v/>
      </c>
      <c r="W12" t="str">
        <f t="shared" si="6"/>
        <v/>
      </c>
      <c r="X12" s="2" t="str">
        <f t="shared" si="7"/>
        <v/>
      </c>
      <c r="Y12" t="str">
        <f>VLOOKUP($A12,ScionOutput!$A$3:$BL$215,64,FALSE)</f>
        <v xml:space="preserve">823292. VF plays are disallowed. No play due to strategy constraints. </v>
      </c>
    </row>
    <row r="13" spans="1:25" x14ac:dyDescent="0.2">
      <c r="A13">
        <v>823048</v>
      </c>
      <c r="B13" s="3">
        <f>VLOOKUP($A13,ScionOutput!$A$3:$BL$215,3,FALSE)</f>
        <v>46179</v>
      </c>
      <c r="C13">
        <f>VLOOKUP($A13,ScionOutput!$A$3:$BL$215,22,FALSE)</f>
        <v>26</v>
      </c>
      <c r="D13" t="str">
        <f>VLOOKUP($A13,ScionOutput!$A$3:$BL$215,23,FALSE)</f>
        <v>STL</v>
      </c>
      <c r="E13">
        <f>VLOOKUP($A13,ScionOutput!$A$3:$BL$215,6,FALSE)</f>
        <v>6</v>
      </c>
      <c r="F13" t="str">
        <f>VLOOKUP($A13,ScionOutput!$A$3:$BL$215,7,FALSE)</f>
        <v>CIN</v>
      </c>
      <c r="G13">
        <f>VLOOKUP($A13,ScionOutput!$A$3:$BL$215,26,FALSE)</f>
        <v>-125</v>
      </c>
      <c r="H13">
        <f>VLOOKUP($A13,ScionOutput!$A$3:$BL$215,10,FALSE)</f>
        <v>113</v>
      </c>
      <c r="I13" t="str">
        <f>VLOOKUP($A13,ScionOutput!$A$3:$BL$215,58,FALSE)</f>
        <v>No Play</v>
      </c>
      <c r="J13">
        <f>VLOOKUP($A13,ScionOutput!$A$3:$BL$215,59,FALSE)</f>
        <v>0</v>
      </c>
      <c r="K13">
        <f>VLOOKUP($A13,ScionOutput!$A$3:$BL$215,62,FALSE)</f>
        <v>0</v>
      </c>
      <c r="L13">
        <f>VLOOKUP($A13,ScionOutput!$A$3:$BL$215,63,FALSE)</f>
        <v>0</v>
      </c>
      <c r="M13" t="b">
        <f t="shared" si="1"/>
        <v>0</v>
      </c>
      <c r="N13">
        <f>VLOOKUP($A13,Outcomes!$B$3:$I$209,8,FALSE)</f>
        <v>11</v>
      </c>
      <c r="O13">
        <f t="shared" si="2"/>
        <v>1</v>
      </c>
      <c r="P13">
        <f>VLOOKUP($A13,Outcomes!$B$3:$I$209,5,FALSE)</f>
        <v>6</v>
      </c>
      <c r="Q13">
        <f>VLOOKUP($A13,Outcomes!$B$3:$I$209,6,FALSE)</f>
        <v>5</v>
      </c>
      <c r="R13">
        <f>VLOOKUP($A13,Outcomes!$B$3:$I$209,7,FALSE)</f>
        <v>-1</v>
      </c>
      <c r="S13" t="str">
        <f t="shared" si="3"/>
        <v>HomFave</v>
      </c>
      <c r="T13" t="str">
        <f t="shared" si="4"/>
        <v/>
      </c>
      <c r="U13" t="str">
        <f t="shared" si="0"/>
        <v/>
      </c>
      <c r="V13" t="str">
        <f t="shared" si="5"/>
        <v/>
      </c>
      <c r="W13" t="str">
        <f t="shared" si="6"/>
        <v/>
      </c>
      <c r="X13" s="2" t="str">
        <f t="shared" si="7"/>
        <v/>
      </c>
      <c r="Y13" t="str">
        <f>VLOOKUP($A13,ScionOutput!$A$3:$BL$215,64,FALSE)</f>
        <v xml:space="preserve">823048. LineStatEns probability points gap does not exceed threshold (no edge found)! StatOnlyEns probability points gap does not exceed threshold (no edge found)! No play due to strategy constraints. </v>
      </c>
    </row>
    <row r="14" spans="1:25" x14ac:dyDescent="0.2">
      <c r="A14">
        <v>822891</v>
      </c>
      <c r="B14" s="3">
        <f>VLOOKUP($A14,ScionOutput!$A$3:$BL$215,3,FALSE)</f>
        <v>46179</v>
      </c>
      <c r="C14">
        <f>VLOOKUP($A14,ScionOutput!$A$3:$BL$215,22,FALSE)</f>
        <v>28</v>
      </c>
      <c r="D14" t="str">
        <f>VLOOKUP($A14,ScionOutput!$A$3:$BL$215,23,FALSE)</f>
        <v>TEX</v>
      </c>
      <c r="E14">
        <f>VLOOKUP($A14,ScionOutput!$A$3:$BL$215,6,FALSE)</f>
        <v>7</v>
      </c>
      <c r="F14" t="str">
        <f>VLOOKUP($A14,ScionOutput!$A$3:$BL$215,7,FALSE)</f>
        <v>CLE</v>
      </c>
      <c r="G14">
        <f>VLOOKUP($A14,ScionOutput!$A$3:$BL$215,26,FALSE)</f>
        <v>-107</v>
      </c>
      <c r="H14">
        <f>VLOOKUP($A14,ScionOutput!$A$3:$BL$215,10,FALSE)</f>
        <v>-103</v>
      </c>
      <c r="I14" t="str">
        <f>VLOOKUP($A14,ScionOutput!$A$3:$BL$215,58,FALSE)</f>
        <v>No Play</v>
      </c>
      <c r="J14">
        <f>VLOOKUP($A14,ScionOutput!$A$3:$BL$215,59,FALSE)</f>
        <v>0</v>
      </c>
      <c r="K14">
        <f>VLOOKUP($A14,ScionOutput!$A$3:$BL$215,62,FALSE)</f>
        <v>0</v>
      </c>
      <c r="L14">
        <f>VLOOKUP($A14,ScionOutput!$A$3:$BL$215,63,FALSE)</f>
        <v>0</v>
      </c>
      <c r="M14" t="b">
        <f t="shared" si="1"/>
        <v>0</v>
      </c>
      <c r="N14">
        <f>VLOOKUP($A14,Outcomes!$B$3:$I$209,8,FALSE)</f>
        <v>6</v>
      </c>
      <c r="O14">
        <f t="shared" si="2"/>
        <v>-1</v>
      </c>
      <c r="P14">
        <f>VLOOKUP($A14,Outcomes!$B$3:$I$209,5,FALSE)</f>
        <v>0</v>
      </c>
      <c r="Q14">
        <f>VLOOKUP($A14,Outcomes!$B$3:$I$209,6,FALSE)</f>
        <v>6</v>
      </c>
      <c r="R14">
        <f>VLOOKUP($A14,Outcomes!$B$3:$I$209,7,FALSE)</f>
        <v>6</v>
      </c>
      <c r="S14" t="str">
        <f t="shared" si="3"/>
        <v>VisDog</v>
      </c>
      <c r="T14" t="str">
        <f t="shared" si="4"/>
        <v/>
      </c>
      <c r="U14" t="str">
        <f t="shared" si="0"/>
        <v/>
      </c>
      <c r="V14" t="str">
        <f t="shared" si="5"/>
        <v/>
      </c>
      <c r="W14" t="str">
        <f t="shared" si="6"/>
        <v/>
      </c>
      <c r="X14" s="2" t="str">
        <f t="shared" si="7"/>
        <v/>
      </c>
      <c r="Y14" t="str">
        <f>VLOOKUP($A14,ScionOutput!$A$3:$BL$215,64,FALSE)</f>
        <v xml:space="preserve">822891. LineStatEns probability points gap does not exceed threshold (no edge found)! No play due to strategy constraints. </v>
      </c>
    </row>
    <row r="15" spans="1:25" x14ac:dyDescent="0.2">
      <c r="A15">
        <v>822808</v>
      </c>
      <c r="B15" s="3">
        <f>VLOOKUP($A15,ScionOutput!$A$3:$BL$215,3,FALSE)</f>
        <v>46179</v>
      </c>
      <c r="C15">
        <f>VLOOKUP($A15,ScionOutput!$A$3:$BL$215,22,FALSE)</f>
        <v>29</v>
      </c>
      <c r="D15" t="str">
        <f>VLOOKUP($A15,ScionOutput!$A$3:$BL$215,23,FALSE)</f>
        <v>TOR</v>
      </c>
      <c r="E15">
        <f>VLOOKUP($A15,ScionOutput!$A$3:$BL$215,6,FALSE)</f>
        <v>2</v>
      </c>
      <c r="F15" t="str">
        <f>VLOOKUP($A15,ScionOutput!$A$3:$BL$215,7,FALSE)</f>
        <v>BAL</v>
      </c>
      <c r="G15">
        <f>VLOOKUP($A15,ScionOutput!$A$3:$BL$215,26,FALSE)</f>
        <v>-103</v>
      </c>
      <c r="H15">
        <f>VLOOKUP($A15,ScionOutput!$A$3:$BL$215,10,FALSE)</f>
        <v>-107</v>
      </c>
      <c r="I15" t="str">
        <f>VLOOKUP($A15,ScionOutput!$A$3:$BL$215,58,FALSE)</f>
        <v>No Play</v>
      </c>
      <c r="J15">
        <f>VLOOKUP($A15,ScionOutput!$A$3:$BL$215,59,FALSE)</f>
        <v>0</v>
      </c>
      <c r="K15">
        <f>VLOOKUP($A15,ScionOutput!$A$3:$BL$215,62,FALSE)</f>
        <v>0</v>
      </c>
      <c r="L15">
        <f>VLOOKUP($A15,ScionOutput!$A$3:$BL$215,63,FALSE)</f>
        <v>0</v>
      </c>
      <c r="M15" t="b">
        <f t="shared" si="1"/>
        <v>0</v>
      </c>
      <c r="N15">
        <f>VLOOKUP($A15,Outcomes!$B$3:$I$209,8,FALSE)</f>
        <v>10</v>
      </c>
      <c r="O15">
        <f t="shared" si="2"/>
        <v>1</v>
      </c>
      <c r="P15">
        <f>VLOOKUP($A15,Outcomes!$B$3:$I$209,5,FALSE)</f>
        <v>6</v>
      </c>
      <c r="Q15">
        <f>VLOOKUP($A15,Outcomes!$B$3:$I$209,6,FALSE)</f>
        <v>4</v>
      </c>
      <c r="R15">
        <f>VLOOKUP($A15,Outcomes!$B$3:$I$209,7,FALSE)</f>
        <v>-2</v>
      </c>
      <c r="S15" t="str">
        <f t="shared" si="3"/>
        <v>HomDog</v>
      </c>
      <c r="T15" t="str">
        <f t="shared" si="4"/>
        <v/>
      </c>
      <c r="U15" t="str">
        <f t="shared" si="0"/>
        <v/>
      </c>
      <c r="V15" t="str">
        <f t="shared" si="5"/>
        <v/>
      </c>
      <c r="W15" t="str">
        <f t="shared" si="6"/>
        <v/>
      </c>
      <c r="X15" s="2" t="str">
        <f t="shared" si="7"/>
        <v/>
      </c>
      <c r="Y15" t="str">
        <f>VLOOKUP($A15,ScionOutput!$A$3:$BL$215,64,FALSE)</f>
        <v xml:space="preserve">822808. VF plays are disallowed. No play due to strategy constraints. </v>
      </c>
    </row>
    <row r="16" spans="1:25" x14ac:dyDescent="0.2">
      <c r="A16">
        <v>824916</v>
      </c>
      <c r="B16" s="3">
        <f>VLOOKUP($A16,ScionOutput!$A$3:$BL$215,3,FALSE)</f>
        <v>46180</v>
      </c>
      <c r="C16">
        <f>VLOOKUP($A16,ScionOutput!$A$3:$BL$215,22,FALSE)</f>
        <v>0</v>
      </c>
      <c r="D16" t="str">
        <f>VLOOKUP($A16,ScionOutput!$A$3:$BL$215,23,FALSE)</f>
        <v>ATL</v>
      </c>
      <c r="E16">
        <f>VLOOKUP($A16,ScionOutput!$A$3:$BL$215,6,FALSE)</f>
        <v>22</v>
      </c>
      <c r="F16" t="str">
        <f>VLOOKUP($A16,ScionOutput!$A$3:$BL$215,7,FALSE)</f>
        <v>PIT</v>
      </c>
      <c r="G16">
        <f>VLOOKUP($A16,ScionOutput!$A$3:$BL$215,26,FALSE)</f>
        <v>-145</v>
      </c>
      <c r="H16">
        <f>VLOOKUP($A16,ScionOutput!$A$3:$BL$215,10,FALSE)</f>
        <v>133</v>
      </c>
      <c r="I16" t="str">
        <f>VLOOKUP($A16,ScionOutput!$A$3:$BL$215,58,FALSE)</f>
        <v>No Play</v>
      </c>
      <c r="J16">
        <f>VLOOKUP($A16,ScionOutput!$A$3:$BL$215,59,FALSE)</f>
        <v>0</v>
      </c>
      <c r="K16">
        <f>VLOOKUP($A16,ScionOutput!$A$3:$BL$215,62,FALSE)</f>
        <v>0</v>
      </c>
      <c r="L16">
        <f>VLOOKUP($A16,ScionOutput!$A$3:$BL$215,63,FALSE)</f>
        <v>0</v>
      </c>
      <c r="M16" t="b">
        <f t="shared" si="1"/>
        <v>0</v>
      </c>
      <c r="N16">
        <f>VLOOKUP($A16,Outcomes!$B$3:$I$209,8,FALSE)</f>
        <v>5</v>
      </c>
      <c r="O16">
        <f t="shared" si="2"/>
        <v>1</v>
      </c>
      <c r="P16">
        <f>VLOOKUP($A16,Outcomes!$B$3:$I$209,5,FALSE)</f>
        <v>3</v>
      </c>
      <c r="Q16">
        <f>VLOOKUP($A16,Outcomes!$B$3:$I$209,6,FALSE)</f>
        <v>2</v>
      </c>
      <c r="R16">
        <f>VLOOKUP($A16,Outcomes!$B$3:$I$209,7,FALSE)</f>
        <v>-1</v>
      </c>
      <c r="S16" t="str">
        <f t="shared" si="3"/>
        <v>HomFave</v>
      </c>
      <c r="T16" t="str">
        <f t="shared" si="4"/>
        <v/>
      </c>
      <c r="U16" t="str">
        <f t="shared" si="0"/>
        <v/>
      </c>
      <c r="V16" t="str">
        <f t="shared" si="5"/>
        <v/>
      </c>
      <c r="W16" t="str">
        <f t="shared" si="6"/>
        <v/>
      </c>
      <c r="X16" s="2" t="str">
        <f t="shared" si="7"/>
        <v/>
      </c>
      <c r="Y16" t="str">
        <f>VLOOKUP($A16,ScionOutput!$A$3:$BL$215,64,FALSE)</f>
        <v xml:space="preserve">824916. LineStatEns probability points gap does not exceed threshold (no edge found)! StatOnlyEns probability points gap does not exceed threshold (no edge found)! No play due to strategy constraints. </v>
      </c>
    </row>
    <row r="17" spans="1:25" x14ac:dyDescent="0.2">
      <c r="A17">
        <v>825074</v>
      </c>
      <c r="B17" s="3">
        <f>VLOOKUP($A17,ScionOutput!$A$3:$BL$215,3,FALSE)</f>
        <v>46180</v>
      </c>
      <c r="C17">
        <f>VLOOKUP($A17,ScionOutput!$A$3:$BL$215,22,FALSE)</f>
        <v>1</v>
      </c>
      <c r="D17" t="str">
        <f>VLOOKUP($A17,ScionOutput!$A$3:$BL$215,23,FALSE)</f>
        <v>ARZ</v>
      </c>
      <c r="E17">
        <f>VLOOKUP($A17,ScionOutput!$A$3:$BL$215,6,FALSE)</f>
        <v>16</v>
      </c>
      <c r="F17" t="str">
        <f>VLOOKUP($A17,ScionOutput!$A$3:$BL$215,7,FALSE)</f>
        <v>WAS</v>
      </c>
      <c r="G17">
        <f>VLOOKUP($A17,ScionOutput!$A$3:$BL$215,26,FALSE)</f>
        <v>-125</v>
      </c>
      <c r="H17">
        <f>VLOOKUP($A17,ScionOutput!$A$3:$BL$215,10,FALSE)</f>
        <v>115</v>
      </c>
      <c r="I17" t="str">
        <f>VLOOKUP($A17,ScionOutput!$A$3:$BL$215,58,FALSE)</f>
        <v>No Play</v>
      </c>
      <c r="J17">
        <f>VLOOKUP($A17,ScionOutput!$A$3:$BL$215,59,FALSE)</f>
        <v>0</v>
      </c>
      <c r="K17">
        <f>VLOOKUP($A17,ScionOutput!$A$3:$BL$215,62,FALSE)</f>
        <v>0</v>
      </c>
      <c r="L17">
        <f>VLOOKUP($A17,ScionOutput!$A$3:$BL$215,63,FALSE)</f>
        <v>0</v>
      </c>
      <c r="M17" t="b">
        <f t="shared" si="1"/>
        <v>0</v>
      </c>
      <c r="N17">
        <f>VLOOKUP($A17,Outcomes!$B$3:$I$209,8,FALSE)</f>
        <v>6</v>
      </c>
      <c r="O17">
        <f t="shared" si="2"/>
        <v>1</v>
      </c>
      <c r="P17">
        <f>VLOOKUP($A17,Outcomes!$B$3:$I$209,5,FALSE)</f>
        <v>5</v>
      </c>
      <c r="Q17">
        <f>VLOOKUP($A17,Outcomes!$B$3:$I$209,6,FALSE)</f>
        <v>1</v>
      </c>
      <c r="R17">
        <f>VLOOKUP($A17,Outcomes!$B$3:$I$209,7,FALSE)</f>
        <v>-4</v>
      </c>
      <c r="S17" t="str">
        <f t="shared" si="3"/>
        <v>HomFave</v>
      </c>
      <c r="T17" t="str">
        <f t="shared" si="4"/>
        <v/>
      </c>
      <c r="U17" t="str">
        <f t="shared" si="0"/>
        <v/>
      </c>
      <c r="V17" t="str">
        <f t="shared" si="5"/>
        <v/>
      </c>
      <c r="W17" t="str">
        <f t="shared" si="6"/>
        <v/>
      </c>
      <c r="X17" s="2" t="str">
        <f t="shared" si="7"/>
        <v/>
      </c>
      <c r="Y17" t="str">
        <f>VLOOKUP($A17,ScionOutput!$A$3:$BL$215,64,FALSE)</f>
        <v xml:space="preserve">825074. LineStatEns probability points gap does not exceed threshold (no edge found)! StatOnlyEns probability points gap does not exceed threshold (no edge found)! No play due to strategy constraints. </v>
      </c>
    </row>
    <row r="18" spans="1:25" x14ac:dyDescent="0.2">
      <c r="A18">
        <v>824670</v>
      </c>
      <c r="B18" s="3">
        <f>VLOOKUP($A18,ScionOutput!$A$3:$BL$215,3,FALSE)</f>
        <v>46180</v>
      </c>
      <c r="C18">
        <f>VLOOKUP($A18,ScionOutput!$A$3:$BL$215,22,FALSE)</f>
        <v>5</v>
      </c>
      <c r="D18" t="str">
        <f>VLOOKUP($A18,ScionOutput!$A$3:$BL$215,23,FALSE)</f>
        <v>CHC</v>
      </c>
      <c r="E18">
        <f>VLOOKUP($A18,ScionOutput!$A$3:$BL$215,6,FALSE)</f>
        <v>25</v>
      </c>
      <c r="F18" t="str">
        <f>VLOOKUP($A18,ScionOutput!$A$3:$BL$215,7,FALSE)</f>
        <v>SF</v>
      </c>
      <c r="G18">
        <f>VLOOKUP($A18,ScionOutput!$A$3:$BL$215,26,FALSE)</f>
        <v>-126</v>
      </c>
      <c r="H18">
        <f>VLOOKUP($A18,ScionOutput!$A$3:$BL$215,10,FALSE)</f>
        <v>116</v>
      </c>
      <c r="I18" t="str">
        <f>VLOOKUP($A18,ScionOutput!$A$3:$BL$215,58,FALSE)</f>
        <v>No Play</v>
      </c>
      <c r="J18">
        <f>VLOOKUP($A18,ScionOutput!$A$3:$BL$215,59,FALSE)</f>
        <v>0</v>
      </c>
      <c r="K18">
        <f>VLOOKUP($A18,ScionOutput!$A$3:$BL$215,62,FALSE)</f>
        <v>0</v>
      </c>
      <c r="L18">
        <f>VLOOKUP($A18,ScionOutput!$A$3:$BL$215,63,FALSE)</f>
        <v>0</v>
      </c>
      <c r="M18" t="b">
        <f t="shared" si="1"/>
        <v>0</v>
      </c>
      <c r="N18">
        <f>VLOOKUP($A18,Outcomes!$B$3:$I$209,8,FALSE)</f>
        <v>3</v>
      </c>
      <c r="O18">
        <f t="shared" si="2"/>
        <v>-1</v>
      </c>
      <c r="P18">
        <f>VLOOKUP($A18,Outcomes!$B$3:$I$209,5,FALSE)</f>
        <v>1</v>
      </c>
      <c r="Q18">
        <f>VLOOKUP($A18,Outcomes!$B$3:$I$209,6,FALSE)</f>
        <v>2</v>
      </c>
      <c r="R18">
        <f>VLOOKUP($A18,Outcomes!$B$3:$I$209,7,FALSE)</f>
        <v>1</v>
      </c>
      <c r="S18" t="str">
        <f t="shared" si="3"/>
        <v>VisDog</v>
      </c>
      <c r="T18" t="str">
        <f t="shared" si="4"/>
        <v/>
      </c>
      <c r="U18" t="str">
        <f t="shared" si="0"/>
        <v/>
      </c>
      <c r="V18" t="str">
        <f t="shared" si="5"/>
        <v/>
      </c>
      <c r="W18" t="str">
        <f t="shared" si="6"/>
        <v/>
      </c>
      <c r="X18" s="2" t="str">
        <f t="shared" si="7"/>
        <v/>
      </c>
      <c r="Y18" t="str">
        <f>VLOOKUP($A18,ScionOutput!$A$3:$BL$215,64,FALSE)</f>
        <v xml:space="preserve">824670. LineStatEns probability points gap does not exceed threshold (no edge found)! StatOnlyEns probability points gap does not exceed threshold (no edge found)! No play due to strategy constraints. </v>
      </c>
    </row>
    <row r="19" spans="1:25" x14ac:dyDescent="0.2">
      <c r="A19">
        <v>824349</v>
      </c>
      <c r="B19" s="3">
        <f>VLOOKUP($A19,ScionOutput!$A$3:$BL$215,3,FALSE)</f>
        <v>46180</v>
      </c>
      <c r="C19">
        <f>VLOOKUP($A19,ScionOutput!$A$3:$BL$215,22,FALSE)</f>
        <v>8</v>
      </c>
      <c r="D19" t="str">
        <f>VLOOKUP($A19,ScionOutput!$A$3:$BL$215,23,FALSE)</f>
        <v>COL</v>
      </c>
      <c r="E19">
        <f>VLOOKUP($A19,ScionOutput!$A$3:$BL$215,6,FALSE)</f>
        <v>17</v>
      </c>
      <c r="F19" t="str">
        <f>VLOOKUP($A19,ScionOutput!$A$3:$BL$215,7,FALSE)</f>
        <v>MLW</v>
      </c>
      <c r="G19">
        <f>VLOOKUP($A19,ScionOutput!$A$3:$BL$215,26,FALSE)</f>
        <v>160</v>
      </c>
      <c r="H19">
        <f>VLOOKUP($A19,ScionOutput!$A$3:$BL$215,10,FALSE)</f>
        <v>-174</v>
      </c>
      <c r="I19" t="str">
        <f>VLOOKUP($A19,ScionOutput!$A$3:$BL$215,58,FALSE)</f>
        <v>No Play</v>
      </c>
      <c r="J19">
        <f>VLOOKUP($A19,ScionOutput!$A$3:$BL$215,59,FALSE)</f>
        <v>0</v>
      </c>
      <c r="K19">
        <f>VLOOKUP($A19,ScionOutput!$A$3:$BL$215,62,FALSE)</f>
        <v>0</v>
      </c>
      <c r="L19">
        <f>VLOOKUP($A19,ScionOutput!$A$3:$BL$215,63,FALSE)</f>
        <v>0</v>
      </c>
      <c r="M19" t="b">
        <f t="shared" si="1"/>
        <v>0</v>
      </c>
      <c r="N19">
        <f>VLOOKUP($A19,Outcomes!$B$3:$I$209,8,FALSE)</f>
        <v>16</v>
      </c>
      <c r="O19">
        <f t="shared" si="2"/>
        <v>-1</v>
      </c>
      <c r="P19">
        <f>VLOOKUP($A19,Outcomes!$B$3:$I$209,5,FALSE)</f>
        <v>4</v>
      </c>
      <c r="Q19">
        <f>VLOOKUP($A19,Outcomes!$B$3:$I$209,6,FALSE)</f>
        <v>12</v>
      </c>
      <c r="R19">
        <f>VLOOKUP($A19,Outcomes!$B$3:$I$209,7,FALSE)</f>
        <v>8</v>
      </c>
      <c r="S19" t="str">
        <f t="shared" si="3"/>
        <v>VisFave</v>
      </c>
      <c r="T19" t="str">
        <f t="shared" si="4"/>
        <v/>
      </c>
      <c r="U19" t="str">
        <f t="shared" si="0"/>
        <v/>
      </c>
      <c r="V19" t="str">
        <f t="shared" si="5"/>
        <v/>
      </c>
      <c r="W19" t="str">
        <f t="shared" si="6"/>
        <v/>
      </c>
      <c r="X19" s="2" t="str">
        <f t="shared" si="7"/>
        <v/>
      </c>
      <c r="Y19" t="str">
        <f>VLOOKUP($A19,ScionOutput!$A$3:$BL$215,64,FALSE)</f>
        <v xml:space="preserve">824349. LineStatEns is NoPlay as bookie-line outside range. StatOnlyEns is NoPlay as bookie-line outside range. No play due to strategy constraints. </v>
      </c>
    </row>
    <row r="20" spans="1:25" x14ac:dyDescent="0.2">
      <c r="A20">
        <v>824268</v>
      </c>
      <c r="B20" s="3">
        <f>VLOOKUP($A20,ScionOutput!$A$3:$BL$215,3,FALSE)</f>
        <v>46180</v>
      </c>
      <c r="C20">
        <f>VLOOKUP($A20,ScionOutput!$A$3:$BL$215,22,FALSE)</f>
        <v>10</v>
      </c>
      <c r="D20" t="str">
        <f>VLOOKUP($A20,ScionOutput!$A$3:$BL$215,23,FALSE)</f>
        <v>DET</v>
      </c>
      <c r="E20">
        <f>VLOOKUP($A20,ScionOutput!$A$3:$BL$215,6,FALSE)</f>
        <v>24</v>
      </c>
      <c r="F20" t="str">
        <f>VLOOKUP($A20,ScionOutput!$A$3:$BL$215,7,FALSE)</f>
        <v>SEA</v>
      </c>
      <c r="G20">
        <f>VLOOKUP($A20,ScionOutput!$A$3:$BL$215,26,FALSE)</f>
        <v>-111</v>
      </c>
      <c r="H20">
        <f>VLOOKUP($A20,ScionOutput!$A$3:$BL$215,10,FALSE)</f>
        <v>102</v>
      </c>
      <c r="I20" t="str">
        <f>VLOOKUP($A20,ScionOutput!$A$3:$BL$215,58,FALSE)</f>
        <v>VisDog</v>
      </c>
      <c r="J20">
        <f>VLOOKUP($A20,ScionOutput!$A$3:$BL$215,59,FALSE)</f>
        <v>-3.5189999999999999E-2</v>
      </c>
      <c r="K20">
        <f>VLOOKUP($A20,ScionOutput!$A$3:$BL$215,62,FALSE)</f>
        <v>5</v>
      </c>
      <c r="L20">
        <f>VLOOKUP($A20,ScionOutput!$A$3:$BL$215,63,FALSE)</f>
        <v>0.6</v>
      </c>
      <c r="M20" t="b">
        <f t="shared" si="1"/>
        <v>1</v>
      </c>
      <c r="N20">
        <f>VLOOKUP($A20,Outcomes!$B$3:$I$209,8,FALSE)</f>
        <v>9</v>
      </c>
      <c r="O20">
        <f t="shared" si="2"/>
        <v>1</v>
      </c>
      <c r="P20">
        <f>VLOOKUP($A20,Outcomes!$B$3:$I$209,5,FALSE)</f>
        <v>5</v>
      </c>
      <c r="Q20">
        <f>VLOOKUP($A20,Outcomes!$B$3:$I$209,6,FALSE)</f>
        <v>4</v>
      </c>
      <c r="R20">
        <f>VLOOKUP($A20,Outcomes!$B$3:$I$209,7,FALSE)</f>
        <v>-1</v>
      </c>
      <c r="S20" t="str">
        <f t="shared" si="3"/>
        <v>HomFave</v>
      </c>
      <c r="T20" t="str">
        <f t="shared" si="4"/>
        <v/>
      </c>
      <c r="U20" t="str">
        <f t="shared" si="0"/>
        <v/>
      </c>
      <c r="V20" t="str">
        <f t="shared" si="5"/>
        <v/>
      </c>
      <c r="W20" t="str">
        <f t="shared" si="6"/>
        <v/>
      </c>
      <c r="X20" s="2" t="str">
        <f t="shared" si="7"/>
        <v/>
      </c>
      <c r="Y20" t="str">
        <f>VLOOKUP($A20,ScionOutput!$A$3:$BL$215,64,FALSE)</f>
        <v xml:space="preserve">824268. Play determined by LineStatEns and StatOnlyEns agreement. </v>
      </c>
    </row>
    <row r="21" spans="1:25" x14ac:dyDescent="0.2">
      <c r="A21">
        <v>823857</v>
      </c>
      <c r="B21" s="3">
        <f>VLOOKUP($A21,ScionOutput!$A$3:$BL$215,3,FALSE)</f>
        <v>46180</v>
      </c>
      <c r="C21">
        <f>VLOOKUP($A21,ScionOutput!$A$3:$BL$215,22,FALSE)</f>
        <v>11</v>
      </c>
      <c r="D21" t="str">
        <f>VLOOKUP($A21,ScionOutput!$A$3:$BL$215,23,FALSE)</f>
        <v>FLO</v>
      </c>
      <c r="E21">
        <f>VLOOKUP($A21,ScionOutput!$A$3:$BL$215,6,FALSE)</f>
        <v>27</v>
      </c>
      <c r="F21" t="str">
        <f>VLOOKUP($A21,ScionOutput!$A$3:$BL$215,7,FALSE)</f>
        <v>TB</v>
      </c>
      <c r="G21">
        <f>VLOOKUP($A21,ScionOutput!$A$3:$BL$215,26,FALSE)</f>
        <v>-105</v>
      </c>
      <c r="H21">
        <f>VLOOKUP($A21,ScionOutput!$A$3:$BL$215,10,FALSE)</f>
        <v>-103</v>
      </c>
      <c r="I21" t="str">
        <f>VLOOKUP($A21,ScionOutput!$A$3:$BL$215,58,FALSE)</f>
        <v>HomFave</v>
      </c>
      <c r="J21">
        <f>VLOOKUP($A21,ScionOutput!$A$3:$BL$215,59,FALSE)</f>
        <v>7.6400000000000001E-3</v>
      </c>
      <c r="K21">
        <f>VLOOKUP($A21,ScionOutput!$A$3:$BL$215,62,FALSE)</f>
        <v>1</v>
      </c>
      <c r="L21">
        <f>VLOOKUP($A21,ScionOutput!$A$3:$BL$215,63,FALSE)</f>
        <v>0.73</v>
      </c>
      <c r="M21" t="b">
        <f t="shared" si="1"/>
        <v>1</v>
      </c>
      <c r="N21">
        <f>VLOOKUP($A21,Outcomes!$B$3:$I$209,8,FALSE)</f>
        <v>5</v>
      </c>
      <c r="O21">
        <f t="shared" si="2"/>
        <v>1</v>
      </c>
      <c r="P21">
        <f>VLOOKUP($A21,Outcomes!$B$3:$I$209,5,FALSE)</f>
        <v>4</v>
      </c>
      <c r="Q21">
        <f>VLOOKUP($A21,Outcomes!$B$3:$I$209,6,FALSE)</f>
        <v>1</v>
      </c>
      <c r="R21">
        <f>VLOOKUP($A21,Outcomes!$B$3:$I$209,7,FALSE)</f>
        <v>-3</v>
      </c>
      <c r="S21" t="str">
        <f t="shared" si="3"/>
        <v>HomFave</v>
      </c>
      <c r="T21">
        <f t="shared" si="4"/>
        <v>1</v>
      </c>
      <c r="U21">
        <f t="shared" si="0"/>
        <v>105</v>
      </c>
      <c r="V21">
        <f t="shared" si="5"/>
        <v>205</v>
      </c>
      <c r="W21">
        <f t="shared" si="6"/>
        <v>100</v>
      </c>
      <c r="X21" s="2">
        <f t="shared" si="7"/>
        <v>0.95238095238095233</v>
      </c>
      <c r="Y21" t="str">
        <f>VLOOKUP($A21,ScionOutput!$A$3:$BL$215,64,FALSE)</f>
        <v xml:space="preserve">823857. Play determined by LineStatEns and StatOnlyEns agreement. </v>
      </c>
    </row>
    <row r="22" spans="1:25" x14ac:dyDescent="0.2">
      <c r="A22">
        <v>824183</v>
      </c>
      <c r="B22" s="3">
        <f>VLOOKUP($A22,ScionOutput!$A$3:$BL$215,3,FALSE)</f>
        <v>46180</v>
      </c>
      <c r="C22">
        <f>VLOOKUP($A22,ScionOutput!$A$3:$BL$215,22,FALSE)</f>
        <v>12</v>
      </c>
      <c r="D22" t="str">
        <f>VLOOKUP($A22,ScionOutput!$A$3:$BL$215,23,FALSE)</f>
        <v>HOU</v>
      </c>
      <c r="E22">
        <f>VLOOKUP($A22,ScionOutput!$A$3:$BL$215,6,FALSE)</f>
        <v>20</v>
      </c>
      <c r="F22" t="str">
        <f>VLOOKUP($A22,ScionOutput!$A$3:$BL$215,7,FALSE)</f>
        <v>OAK</v>
      </c>
      <c r="G22">
        <f>VLOOKUP($A22,ScionOutput!$A$3:$BL$215,26,FALSE)</f>
        <v>-105</v>
      </c>
      <c r="H22">
        <f>VLOOKUP($A22,ScionOutput!$A$3:$BL$215,10,FALSE)</f>
        <v>-103</v>
      </c>
      <c r="I22" t="str">
        <f>VLOOKUP($A22,ScionOutput!$A$3:$BL$215,58,FALSE)</f>
        <v>VisDog</v>
      </c>
      <c r="J22">
        <f>VLOOKUP($A22,ScionOutput!$A$3:$BL$215,59,FALSE)</f>
        <v>-3.236E-2</v>
      </c>
      <c r="K22">
        <f>VLOOKUP($A22,ScionOutput!$A$3:$BL$215,62,FALSE)</f>
        <v>5</v>
      </c>
      <c r="L22">
        <f>VLOOKUP($A22,ScionOutput!$A$3:$BL$215,63,FALSE)</f>
        <v>0.87</v>
      </c>
      <c r="M22" t="b">
        <f t="shared" si="1"/>
        <v>1</v>
      </c>
      <c r="N22">
        <f>VLOOKUP($A22,Outcomes!$B$3:$I$209,8,FALSE)</f>
        <v>5</v>
      </c>
      <c r="O22">
        <f t="shared" si="2"/>
        <v>-1</v>
      </c>
      <c r="P22">
        <f>VLOOKUP($A22,Outcomes!$B$3:$I$209,5,FALSE)</f>
        <v>0</v>
      </c>
      <c r="Q22">
        <f>VLOOKUP($A22,Outcomes!$B$3:$I$209,6,FALSE)</f>
        <v>5</v>
      </c>
      <c r="R22">
        <f>VLOOKUP($A22,Outcomes!$B$3:$I$209,7,FALSE)</f>
        <v>5</v>
      </c>
      <c r="S22" t="str">
        <f t="shared" si="3"/>
        <v>VisDog</v>
      </c>
      <c r="T22" t="str">
        <f t="shared" si="4"/>
        <v/>
      </c>
      <c r="U22" t="str">
        <f t="shared" si="0"/>
        <v/>
      </c>
      <c r="V22" t="str">
        <f t="shared" si="5"/>
        <v/>
      </c>
      <c r="W22" t="str">
        <f t="shared" si="6"/>
        <v/>
      </c>
      <c r="X22" s="2" t="str">
        <f t="shared" si="7"/>
        <v/>
      </c>
      <c r="Y22" t="str">
        <f>VLOOKUP($A22,ScionOutput!$A$3:$BL$215,64,FALSE)</f>
        <v xml:space="preserve">824183. Play determined by LineStatEns and StatOnlyEns agreement. </v>
      </c>
    </row>
    <row r="23" spans="1:25" x14ac:dyDescent="0.2">
      <c r="A23">
        <v>823941</v>
      </c>
      <c r="B23" s="3">
        <f>VLOOKUP($A23,ScionOutput!$A$3:$BL$215,3,FALSE)</f>
        <v>46180</v>
      </c>
      <c r="C23">
        <f>VLOOKUP($A23,ScionOutput!$A$3:$BL$215,22,FALSE)</f>
        <v>14</v>
      </c>
      <c r="D23" t="str">
        <f>VLOOKUP($A23,ScionOutput!$A$3:$BL$215,23,FALSE)</f>
        <v>LA</v>
      </c>
      <c r="E23">
        <f>VLOOKUP($A23,ScionOutput!$A$3:$BL$215,6,FALSE)</f>
        <v>4</v>
      </c>
      <c r="F23" t="str">
        <f>VLOOKUP($A23,ScionOutput!$A$3:$BL$215,7,FALSE)</f>
        <v>LAA</v>
      </c>
      <c r="G23">
        <f>VLOOKUP($A23,ScionOutput!$A$3:$BL$215,26,FALSE)</f>
        <v>-206</v>
      </c>
      <c r="H23">
        <f>VLOOKUP($A23,ScionOutput!$A$3:$BL$215,10,FALSE)</f>
        <v>187</v>
      </c>
      <c r="I23" t="str">
        <f>VLOOKUP($A23,ScionOutput!$A$3:$BL$215,58,FALSE)</f>
        <v>No Play</v>
      </c>
      <c r="J23">
        <f>VLOOKUP($A23,ScionOutput!$A$3:$BL$215,59,FALSE)</f>
        <v>0</v>
      </c>
      <c r="K23">
        <f>VLOOKUP($A23,ScionOutput!$A$3:$BL$215,62,FALSE)</f>
        <v>0</v>
      </c>
      <c r="L23">
        <f>VLOOKUP($A23,ScionOutput!$A$3:$BL$215,63,FALSE)</f>
        <v>0</v>
      </c>
      <c r="M23" t="b">
        <f t="shared" si="1"/>
        <v>0</v>
      </c>
      <c r="N23">
        <f>VLOOKUP($A23,Outcomes!$B$3:$I$209,8,FALSE)</f>
        <v>18</v>
      </c>
      <c r="O23">
        <f t="shared" si="2"/>
        <v>-1</v>
      </c>
      <c r="P23">
        <f>VLOOKUP($A23,Outcomes!$B$3:$I$209,5,FALSE)</f>
        <v>5</v>
      </c>
      <c r="Q23">
        <f>VLOOKUP($A23,Outcomes!$B$3:$I$209,6,FALSE)</f>
        <v>13</v>
      </c>
      <c r="R23">
        <f>VLOOKUP($A23,Outcomes!$B$3:$I$209,7,FALSE)</f>
        <v>8</v>
      </c>
      <c r="S23" t="str">
        <f t="shared" si="3"/>
        <v>VisDog</v>
      </c>
      <c r="T23" t="str">
        <f t="shared" si="4"/>
        <v/>
      </c>
      <c r="U23" t="str">
        <f t="shared" si="0"/>
        <v/>
      </c>
      <c r="V23" t="str">
        <f t="shared" si="5"/>
        <v/>
      </c>
      <c r="W23" t="str">
        <f t="shared" si="6"/>
        <v/>
      </c>
      <c r="X23" s="2" t="str">
        <f t="shared" si="7"/>
        <v/>
      </c>
      <c r="Y23" t="str">
        <f>VLOOKUP($A23,ScionOutput!$A$3:$BL$215,64,FALSE)</f>
        <v xml:space="preserve">823941. LineStatEns is NoPlay as bookie-line outside range. StatOnlyEns is NoPlay as bookie-line outside range. No play due to strategy constraints. </v>
      </c>
    </row>
    <row r="24" spans="1:25" x14ac:dyDescent="0.2">
      <c r="A24">
        <v>823696</v>
      </c>
      <c r="B24" s="3">
        <f>VLOOKUP($A24,ScionOutput!$A$3:$BL$215,3,FALSE)</f>
        <v>46180</v>
      </c>
      <c r="C24">
        <f>VLOOKUP($A24,ScionOutput!$A$3:$BL$215,22,FALSE)</f>
        <v>15</v>
      </c>
      <c r="D24" t="str">
        <f>VLOOKUP($A24,ScionOutput!$A$3:$BL$215,23,FALSE)</f>
        <v>MIN</v>
      </c>
      <c r="E24">
        <f>VLOOKUP($A24,ScionOutput!$A$3:$BL$215,6,FALSE)</f>
        <v>13</v>
      </c>
      <c r="F24" t="str">
        <f>VLOOKUP($A24,ScionOutput!$A$3:$BL$215,7,FALSE)</f>
        <v>KC</v>
      </c>
      <c r="G24">
        <f>VLOOKUP($A24,ScionOutput!$A$3:$BL$215,26,FALSE)</f>
        <v>107</v>
      </c>
      <c r="H24">
        <f>VLOOKUP($A24,ScionOutput!$A$3:$BL$215,10,FALSE)</f>
        <v>-116</v>
      </c>
      <c r="I24" t="str">
        <f>VLOOKUP($A24,ScionOutput!$A$3:$BL$215,58,FALSE)</f>
        <v>No Play</v>
      </c>
      <c r="J24">
        <f>VLOOKUP($A24,ScionOutput!$A$3:$BL$215,59,FALSE)</f>
        <v>0</v>
      </c>
      <c r="K24">
        <f>VLOOKUP($A24,ScionOutput!$A$3:$BL$215,62,FALSE)</f>
        <v>0</v>
      </c>
      <c r="L24">
        <f>VLOOKUP($A24,ScionOutput!$A$3:$BL$215,63,FALSE)</f>
        <v>0</v>
      </c>
      <c r="M24" t="b">
        <f t="shared" si="1"/>
        <v>0</v>
      </c>
      <c r="N24">
        <f>VLOOKUP($A24,Outcomes!$B$3:$I$209,8,FALSE)</f>
        <v>11</v>
      </c>
      <c r="O24">
        <f t="shared" si="2"/>
        <v>-1</v>
      </c>
      <c r="P24">
        <f>VLOOKUP($A24,Outcomes!$B$3:$I$209,5,FALSE)</f>
        <v>5</v>
      </c>
      <c r="Q24">
        <f>VLOOKUP($A24,Outcomes!$B$3:$I$209,6,FALSE)</f>
        <v>6</v>
      </c>
      <c r="R24">
        <f>VLOOKUP($A24,Outcomes!$B$3:$I$209,7,FALSE)</f>
        <v>1</v>
      </c>
      <c r="S24" t="str">
        <f t="shared" si="3"/>
        <v>VisFave</v>
      </c>
      <c r="T24" t="str">
        <f t="shared" si="4"/>
        <v/>
      </c>
      <c r="U24" t="str">
        <f t="shared" si="0"/>
        <v/>
      </c>
      <c r="V24" t="str">
        <f t="shared" si="5"/>
        <v/>
      </c>
      <c r="W24" t="str">
        <f t="shared" si="6"/>
        <v/>
      </c>
      <c r="X24" s="2" t="str">
        <f t="shared" si="7"/>
        <v/>
      </c>
      <c r="Y24" t="str">
        <f>VLOOKUP($A24,ScionOutput!$A$3:$BL$215,64,FALSE)</f>
        <v xml:space="preserve">823696. VF plays are disallowed. No play due to strategy constraints. </v>
      </c>
    </row>
    <row r="25" spans="1:25" x14ac:dyDescent="0.2">
      <c r="A25">
        <v>823537</v>
      </c>
      <c r="B25" s="3">
        <f>VLOOKUP($A25,ScionOutput!$A$3:$BL$215,3,FALSE)</f>
        <v>46180</v>
      </c>
      <c r="C25">
        <f>VLOOKUP($A25,ScionOutput!$A$3:$BL$215,22,FALSE)</f>
        <v>19</v>
      </c>
      <c r="D25" t="str">
        <f>VLOOKUP($A25,ScionOutput!$A$3:$BL$215,23,FALSE)</f>
        <v>NYY</v>
      </c>
      <c r="E25">
        <f>VLOOKUP($A25,ScionOutput!$A$3:$BL$215,6,FALSE)</f>
        <v>3</v>
      </c>
      <c r="F25" t="str">
        <f>VLOOKUP($A25,ScionOutput!$A$3:$BL$215,7,FALSE)</f>
        <v>BOS</v>
      </c>
      <c r="G25">
        <f>VLOOKUP($A25,ScionOutput!$A$3:$BL$215,26,FALSE)</f>
        <v>-139</v>
      </c>
      <c r="H25">
        <f>VLOOKUP($A25,ScionOutput!$A$3:$BL$215,10,FALSE)</f>
        <v>128</v>
      </c>
      <c r="I25" t="str">
        <f>VLOOKUP($A25,ScionOutput!$A$3:$BL$215,58,FALSE)</f>
        <v>No Play</v>
      </c>
      <c r="J25">
        <f>VLOOKUP($A25,ScionOutput!$A$3:$BL$215,59,FALSE)</f>
        <v>0</v>
      </c>
      <c r="K25">
        <f>VLOOKUP($A25,ScionOutput!$A$3:$BL$215,62,FALSE)</f>
        <v>0</v>
      </c>
      <c r="L25">
        <f>VLOOKUP($A25,ScionOutput!$A$3:$BL$215,63,FALSE)</f>
        <v>0</v>
      </c>
      <c r="M25" t="b">
        <f t="shared" si="1"/>
        <v>0</v>
      </c>
      <c r="N25">
        <f>VLOOKUP($A25,Outcomes!$B$3:$I$209,8,FALSE)</f>
        <v>7</v>
      </c>
      <c r="O25">
        <f t="shared" si="2"/>
        <v>1</v>
      </c>
      <c r="P25">
        <f>VLOOKUP($A25,Outcomes!$B$3:$I$209,5,FALSE)</f>
        <v>6</v>
      </c>
      <c r="Q25">
        <f>VLOOKUP($A25,Outcomes!$B$3:$I$209,6,FALSE)</f>
        <v>1</v>
      </c>
      <c r="R25">
        <f>VLOOKUP($A25,Outcomes!$B$3:$I$209,7,FALSE)</f>
        <v>-5</v>
      </c>
      <c r="S25" t="str">
        <f t="shared" si="3"/>
        <v>HomFave</v>
      </c>
      <c r="T25" t="str">
        <f t="shared" si="4"/>
        <v/>
      </c>
      <c r="U25" t="str">
        <f t="shared" si="0"/>
        <v/>
      </c>
      <c r="V25" t="str">
        <f t="shared" si="5"/>
        <v/>
      </c>
      <c r="W25" t="str">
        <f t="shared" si="6"/>
        <v/>
      </c>
      <c r="X25" s="2" t="str">
        <f t="shared" si="7"/>
        <v/>
      </c>
      <c r="Y25" t="str">
        <f>VLOOKUP($A25,ScionOutput!$A$3:$BL$215,64,FALSE)</f>
        <v xml:space="preserve">823537. LineStatEns probability points gap does not exceed threshold (no edge found)! StatOnlyEns probability points gap does not exceed threshold (no edge found)! No play due to strategy constraints. </v>
      </c>
    </row>
    <row r="26" spans="1:25" x14ac:dyDescent="0.2">
      <c r="A26">
        <v>823453</v>
      </c>
      <c r="B26" s="3">
        <f>VLOOKUP($A26,ScionOutput!$A$3:$BL$215,3,FALSE)</f>
        <v>46180</v>
      </c>
      <c r="C26">
        <f>VLOOKUP($A26,ScionOutput!$A$3:$BL$215,22,FALSE)</f>
        <v>21</v>
      </c>
      <c r="D26" t="str">
        <f>VLOOKUP($A26,ScionOutput!$A$3:$BL$215,23,FALSE)</f>
        <v>PHI</v>
      </c>
      <c r="E26">
        <f>VLOOKUP($A26,ScionOutput!$A$3:$BL$215,6,FALSE)</f>
        <v>9</v>
      </c>
      <c r="F26" t="str">
        <f>VLOOKUP($A26,ScionOutput!$A$3:$BL$215,7,FALSE)</f>
        <v>CWS</v>
      </c>
      <c r="G26">
        <f>VLOOKUP($A26,ScionOutput!$A$3:$BL$215,26,FALSE)</f>
        <v>-163</v>
      </c>
      <c r="H26">
        <f>VLOOKUP($A26,ScionOutput!$A$3:$BL$215,10,FALSE)</f>
        <v>149</v>
      </c>
      <c r="I26" t="str">
        <f>VLOOKUP($A26,ScionOutput!$A$3:$BL$215,58,FALSE)</f>
        <v>No Play</v>
      </c>
      <c r="J26">
        <f>VLOOKUP($A26,ScionOutput!$A$3:$BL$215,59,FALSE)</f>
        <v>0</v>
      </c>
      <c r="K26">
        <f>VLOOKUP($A26,ScionOutput!$A$3:$BL$215,62,FALSE)</f>
        <v>0</v>
      </c>
      <c r="L26">
        <f>VLOOKUP($A26,ScionOutput!$A$3:$BL$215,63,FALSE)</f>
        <v>0</v>
      </c>
      <c r="M26" t="b">
        <f t="shared" si="1"/>
        <v>0</v>
      </c>
      <c r="N26">
        <f>VLOOKUP($A26,Outcomes!$B$3:$I$209,8,FALSE)</f>
        <v>14</v>
      </c>
      <c r="O26">
        <f t="shared" si="2"/>
        <v>1</v>
      </c>
      <c r="P26">
        <f>VLOOKUP($A26,Outcomes!$B$3:$I$209,5,FALSE)</f>
        <v>9</v>
      </c>
      <c r="Q26">
        <f>VLOOKUP($A26,Outcomes!$B$3:$I$209,6,FALSE)</f>
        <v>5</v>
      </c>
      <c r="R26">
        <f>VLOOKUP($A26,Outcomes!$B$3:$I$209,7,FALSE)</f>
        <v>-4</v>
      </c>
      <c r="S26" t="str">
        <f t="shared" si="3"/>
        <v>HomFave</v>
      </c>
      <c r="T26" t="str">
        <f t="shared" si="4"/>
        <v/>
      </c>
      <c r="U26" t="str">
        <f t="shared" si="0"/>
        <v/>
      </c>
      <c r="V26" t="str">
        <f t="shared" si="5"/>
        <v/>
      </c>
      <c r="W26" t="str">
        <f t="shared" si="6"/>
        <v/>
      </c>
      <c r="X26" s="2" t="str">
        <f t="shared" si="7"/>
        <v/>
      </c>
      <c r="Y26" t="str">
        <f>VLOOKUP($A26,ScionOutput!$A$3:$BL$215,64,FALSE)</f>
        <v xml:space="preserve">823453. LineStatEns is NoPlay as bookie-line outside range. StatOnlyEns is NoPlay as bookie-line outside range. No play due to strategy constraints. </v>
      </c>
    </row>
    <row r="27" spans="1:25" x14ac:dyDescent="0.2">
      <c r="A27">
        <v>823291</v>
      </c>
      <c r="B27" s="3">
        <f>VLOOKUP($A27,ScionOutput!$A$3:$BL$215,3,FALSE)</f>
        <v>46180</v>
      </c>
      <c r="C27">
        <f>VLOOKUP($A27,ScionOutput!$A$3:$BL$215,22,FALSE)</f>
        <v>23</v>
      </c>
      <c r="D27" t="str">
        <f>VLOOKUP($A27,ScionOutput!$A$3:$BL$215,23,FALSE)</f>
        <v>SD</v>
      </c>
      <c r="E27">
        <f>VLOOKUP($A27,ScionOutput!$A$3:$BL$215,6,FALSE)</f>
        <v>18</v>
      </c>
      <c r="F27" t="str">
        <f>VLOOKUP($A27,ScionOutput!$A$3:$BL$215,7,FALSE)</f>
        <v>NYM</v>
      </c>
      <c r="G27">
        <f>VLOOKUP($A27,ScionOutput!$A$3:$BL$215,26,FALSE)</f>
        <v>-103</v>
      </c>
      <c r="H27">
        <f>VLOOKUP($A27,ScionOutput!$A$3:$BL$215,10,FALSE)</f>
        <v>-105</v>
      </c>
      <c r="I27" t="str">
        <f>VLOOKUP($A27,ScionOutput!$A$3:$BL$215,58,FALSE)</f>
        <v>HomDog</v>
      </c>
      <c r="J27">
        <f>VLOOKUP($A27,ScionOutput!$A$3:$BL$215,59,FALSE)</f>
        <v>1.2359999999999999E-2</v>
      </c>
      <c r="K27">
        <f>VLOOKUP($A27,ScionOutput!$A$3:$BL$215,62,FALSE)</f>
        <v>5</v>
      </c>
      <c r="L27">
        <f>VLOOKUP($A27,ScionOutput!$A$3:$BL$215,63,FALSE)</f>
        <v>0.6</v>
      </c>
      <c r="M27" t="b">
        <f t="shared" si="1"/>
        <v>1</v>
      </c>
      <c r="N27">
        <f>VLOOKUP($A27,Outcomes!$B$3:$I$209,8,FALSE)</f>
        <v>10</v>
      </c>
      <c r="O27">
        <f t="shared" si="2"/>
        <v>-1</v>
      </c>
      <c r="P27">
        <f>VLOOKUP($A27,Outcomes!$B$3:$I$209,5,FALSE)</f>
        <v>3</v>
      </c>
      <c r="Q27">
        <f>VLOOKUP($A27,Outcomes!$B$3:$I$209,6,FALSE)</f>
        <v>7</v>
      </c>
      <c r="R27">
        <f>VLOOKUP($A27,Outcomes!$B$3:$I$209,7,FALSE)</f>
        <v>4</v>
      </c>
      <c r="S27" t="str">
        <f t="shared" si="3"/>
        <v>VisFave</v>
      </c>
      <c r="T27" t="str">
        <f t="shared" si="4"/>
        <v/>
      </c>
      <c r="U27" t="str">
        <f t="shared" si="0"/>
        <v/>
      </c>
      <c r="V27" t="str">
        <f t="shared" si="5"/>
        <v/>
      </c>
      <c r="W27" t="str">
        <f t="shared" si="6"/>
        <v/>
      </c>
      <c r="X27" s="2" t="str">
        <f t="shared" si="7"/>
        <v/>
      </c>
      <c r="Y27" t="str">
        <f>VLOOKUP($A27,ScionOutput!$A$3:$BL$215,64,FALSE)</f>
        <v xml:space="preserve">823291. Play determined by LineStatEns and StatOnlyEns agreement. </v>
      </c>
    </row>
    <row r="28" spans="1:25" x14ac:dyDescent="0.2">
      <c r="A28">
        <v>823047</v>
      </c>
      <c r="B28" s="3">
        <f>VLOOKUP($A28,ScionOutput!$A$3:$BL$215,3,FALSE)</f>
        <v>46180</v>
      </c>
      <c r="C28">
        <f>VLOOKUP($A28,ScionOutput!$A$3:$BL$215,22,FALSE)</f>
        <v>26</v>
      </c>
      <c r="D28" t="str">
        <f>VLOOKUP($A28,ScionOutput!$A$3:$BL$215,23,FALSE)</f>
        <v>STL</v>
      </c>
      <c r="E28">
        <f>VLOOKUP($A28,ScionOutput!$A$3:$BL$215,6,FALSE)</f>
        <v>6</v>
      </c>
      <c r="F28" t="str">
        <f>VLOOKUP($A28,ScionOutput!$A$3:$BL$215,7,FALSE)</f>
        <v>CIN</v>
      </c>
      <c r="G28">
        <f>VLOOKUP($A28,ScionOutput!$A$3:$BL$215,26,FALSE)</f>
        <v>-141</v>
      </c>
      <c r="H28">
        <f>VLOOKUP($A28,ScionOutput!$A$3:$BL$215,10,FALSE)</f>
        <v>130</v>
      </c>
      <c r="I28" t="str">
        <f>VLOOKUP($A28,ScionOutput!$A$3:$BL$215,58,FALSE)</f>
        <v>No Play</v>
      </c>
      <c r="J28">
        <f>VLOOKUP($A28,ScionOutput!$A$3:$BL$215,59,FALSE)</f>
        <v>0</v>
      </c>
      <c r="K28">
        <f>VLOOKUP($A28,ScionOutput!$A$3:$BL$215,62,FALSE)</f>
        <v>0</v>
      </c>
      <c r="L28">
        <f>VLOOKUP($A28,ScionOutput!$A$3:$BL$215,63,FALSE)</f>
        <v>0</v>
      </c>
      <c r="M28" t="b">
        <f t="shared" si="1"/>
        <v>0</v>
      </c>
      <c r="N28">
        <f>VLOOKUP($A28,Outcomes!$B$3:$I$209,8,FALSE)</f>
        <v>8</v>
      </c>
      <c r="O28">
        <f t="shared" si="2"/>
        <v>1</v>
      </c>
      <c r="P28">
        <f>VLOOKUP($A28,Outcomes!$B$3:$I$209,5,FALSE)</f>
        <v>5</v>
      </c>
      <c r="Q28">
        <f>VLOOKUP($A28,Outcomes!$B$3:$I$209,6,FALSE)</f>
        <v>3</v>
      </c>
      <c r="R28">
        <f>VLOOKUP($A28,Outcomes!$B$3:$I$209,7,FALSE)</f>
        <v>-2</v>
      </c>
      <c r="S28" t="str">
        <f t="shared" si="3"/>
        <v>HomFave</v>
      </c>
      <c r="T28" t="str">
        <f t="shared" si="4"/>
        <v/>
      </c>
      <c r="U28" t="str">
        <f t="shared" si="0"/>
        <v/>
      </c>
      <c r="V28" t="str">
        <f t="shared" si="5"/>
        <v/>
      </c>
      <c r="W28" t="str">
        <f t="shared" si="6"/>
        <v/>
      </c>
      <c r="X28" s="2" t="str">
        <f t="shared" si="7"/>
        <v/>
      </c>
      <c r="Y28" t="str">
        <f>VLOOKUP($A28,ScionOutput!$A$3:$BL$215,64,FALSE)</f>
        <v xml:space="preserve">823047. LineStatEns probability points gap does not exceed threshold (no edge found)! StatOnlyEns probability points gap does not exceed threshold (no edge found)! No play due to strategy constraints. </v>
      </c>
    </row>
    <row r="29" spans="1:25" x14ac:dyDescent="0.2">
      <c r="A29">
        <v>822890</v>
      </c>
      <c r="B29" s="3">
        <f>VLOOKUP($A29,ScionOutput!$A$3:$BL$215,3,FALSE)</f>
        <v>46180</v>
      </c>
      <c r="C29">
        <f>VLOOKUP($A29,ScionOutput!$A$3:$BL$215,22,FALSE)</f>
        <v>28</v>
      </c>
      <c r="D29" t="str">
        <f>VLOOKUP($A29,ScionOutput!$A$3:$BL$215,23,FALSE)</f>
        <v>TEX</v>
      </c>
      <c r="E29">
        <f>VLOOKUP($A29,ScionOutput!$A$3:$BL$215,6,FALSE)</f>
        <v>7</v>
      </c>
      <c r="F29" t="str">
        <f>VLOOKUP($A29,ScionOutput!$A$3:$BL$215,7,FALSE)</f>
        <v>CLE</v>
      </c>
      <c r="G29">
        <f>VLOOKUP($A29,ScionOutput!$A$3:$BL$215,26,FALSE)</f>
        <v>-137</v>
      </c>
      <c r="H29">
        <f>VLOOKUP($A29,ScionOutput!$A$3:$BL$215,10,FALSE)</f>
        <v>126</v>
      </c>
      <c r="I29" t="str">
        <f>VLOOKUP($A29,ScionOutput!$A$3:$BL$215,58,FALSE)</f>
        <v>No Play</v>
      </c>
      <c r="J29">
        <f>VLOOKUP($A29,ScionOutput!$A$3:$BL$215,59,FALSE)</f>
        <v>0</v>
      </c>
      <c r="K29">
        <f>VLOOKUP($A29,ScionOutput!$A$3:$BL$215,62,FALSE)</f>
        <v>0</v>
      </c>
      <c r="L29">
        <f>VLOOKUP($A29,ScionOutput!$A$3:$BL$215,63,FALSE)</f>
        <v>0</v>
      </c>
      <c r="M29" t="b">
        <f t="shared" si="1"/>
        <v>0</v>
      </c>
      <c r="N29">
        <f>VLOOKUP($A29,Outcomes!$B$3:$I$209,8,FALSE)</f>
        <v>10</v>
      </c>
      <c r="O29">
        <f t="shared" si="2"/>
        <v>1</v>
      </c>
      <c r="P29">
        <f>VLOOKUP($A29,Outcomes!$B$3:$I$209,5,FALSE)</f>
        <v>10</v>
      </c>
      <c r="Q29">
        <f>VLOOKUP($A29,Outcomes!$B$3:$I$209,6,FALSE)</f>
        <v>0</v>
      </c>
      <c r="R29">
        <f>VLOOKUP($A29,Outcomes!$B$3:$I$209,7,FALSE)</f>
        <v>-10</v>
      </c>
      <c r="S29" t="str">
        <f t="shared" si="3"/>
        <v>HomFave</v>
      </c>
      <c r="T29" t="str">
        <f t="shared" si="4"/>
        <v/>
      </c>
      <c r="U29" t="str">
        <f t="shared" si="0"/>
        <v/>
      </c>
      <c r="V29" t="str">
        <f t="shared" si="5"/>
        <v/>
      </c>
      <c r="W29" t="str">
        <f t="shared" si="6"/>
        <v/>
      </c>
      <c r="X29" s="2" t="str">
        <f t="shared" si="7"/>
        <v/>
      </c>
      <c r="Y29" t="str">
        <f>VLOOKUP($A29,ScionOutput!$A$3:$BL$215,64,FALSE)</f>
        <v xml:space="preserve">822890. LineStatEns probability points gap does not exceed threshold (no edge found)! StatOnlyEns probability points gap does not exceed threshold (no edge found)! No play due to strategy constraints. </v>
      </c>
    </row>
    <row r="30" spans="1:25" x14ac:dyDescent="0.2">
      <c r="A30">
        <v>822807</v>
      </c>
      <c r="B30" s="3">
        <f>VLOOKUP($A30,ScionOutput!$A$3:$BL$215,3,FALSE)</f>
        <v>46180</v>
      </c>
      <c r="C30">
        <f>VLOOKUP($A30,ScionOutput!$A$3:$BL$215,22,FALSE)</f>
        <v>29</v>
      </c>
      <c r="D30" t="str">
        <f>VLOOKUP($A30,ScionOutput!$A$3:$BL$215,23,FALSE)</f>
        <v>TOR</v>
      </c>
      <c r="E30">
        <f>VLOOKUP($A30,ScionOutput!$A$3:$BL$215,6,FALSE)</f>
        <v>2</v>
      </c>
      <c r="F30" t="str">
        <f>VLOOKUP($A30,ScionOutput!$A$3:$BL$215,7,FALSE)</f>
        <v>BAL</v>
      </c>
      <c r="G30">
        <f>VLOOKUP($A30,ScionOutput!$A$3:$BL$215,26,FALSE)</f>
        <v>-130</v>
      </c>
      <c r="H30">
        <f>VLOOKUP($A30,ScionOutput!$A$3:$BL$215,10,FALSE)</f>
        <v>120</v>
      </c>
      <c r="I30" t="str">
        <f>VLOOKUP($A30,ScionOutput!$A$3:$BL$215,58,FALSE)</f>
        <v>No Play</v>
      </c>
      <c r="J30">
        <f>VLOOKUP($A30,ScionOutput!$A$3:$BL$215,59,FALSE)</f>
        <v>0</v>
      </c>
      <c r="K30">
        <f>VLOOKUP($A30,ScionOutput!$A$3:$BL$215,62,FALSE)</f>
        <v>0</v>
      </c>
      <c r="L30">
        <f>VLOOKUP($A30,ScionOutput!$A$3:$BL$215,63,FALSE)</f>
        <v>0</v>
      </c>
      <c r="M30" t="b">
        <f t="shared" si="1"/>
        <v>0</v>
      </c>
      <c r="N30">
        <f>VLOOKUP($A30,Outcomes!$B$3:$I$209,8,FALSE)</f>
        <v>10</v>
      </c>
      <c r="O30">
        <f t="shared" si="2"/>
        <v>1</v>
      </c>
      <c r="P30">
        <f>VLOOKUP($A30,Outcomes!$B$3:$I$209,5,FALSE)</f>
        <v>6</v>
      </c>
      <c r="Q30">
        <f>VLOOKUP($A30,Outcomes!$B$3:$I$209,6,FALSE)</f>
        <v>4</v>
      </c>
      <c r="R30">
        <f>VLOOKUP($A30,Outcomes!$B$3:$I$209,7,FALSE)</f>
        <v>-2</v>
      </c>
      <c r="S30" t="str">
        <f t="shared" si="3"/>
        <v>HomFave</v>
      </c>
      <c r="T30" t="str">
        <f t="shared" si="4"/>
        <v/>
      </c>
      <c r="U30" t="str">
        <f t="shared" si="0"/>
        <v/>
      </c>
      <c r="V30" t="str">
        <f t="shared" si="5"/>
        <v/>
      </c>
      <c r="W30" t="str">
        <f t="shared" si="6"/>
        <v/>
      </c>
      <c r="X30" s="2" t="str">
        <f t="shared" si="7"/>
        <v/>
      </c>
      <c r="Y30" t="str">
        <f>VLOOKUP($A30,ScionOutput!$A$3:$BL$215,64,FALSE)</f>
        <v xml:space="preserve">822807. LineStatEns probability points gap does not exceed threshold (no edge found)! StatOnlyEns probability points gap does not exceed threshold (no edge found)! No play due to strategy constraints. </v>
      </c>
    </row>
    <row r="31" spans="1:25" x14ac:dyDescent="0.2">
      <c r="A31">
        <v>824829</v>
      </c>
      <c r="B31" s="3">
        <f>VLOOKUP($A31,ScionOutput!$A$3:$BL$215,3,FALSE)</f>
        <v>46181</v>
      </c>
      <c r="C31">
        <f>VLOOKUP($A31,ScionOutput!$A$3:$BL$215,22,FALSE)</f>
        <v>2</v>
      </c>
      <c r="D31" t="str">
        <f>VLOOKUP($A31,ScionOutput!$A$3:$BL$215,23,FALSE)</f>
        <v>BAL</v>
      </c>
      <c r="E31">
        <f>VLOOKUP($A31,ScionOutput!$A$3:$BL$215,6,FALSE)</f>
        <v>24</v>
      </c>
      <c r="F31" t="str">
        <f>VLOOKUP($A31,ScionOutput!$A$3:$BL$215,7,FALSE)</f>
        <v>SEA</v>
      </c>
      <c r="G31">
        <f>VLOOKUP($A31,ScionOutput!$A$3:$BL$215,26,FALSE)</f>
        <v>111</v>
      </c>
      <c r="H31">
        <f>VLOOKUP($A31,ScionOutput!$A$3:$BL$215,10,FALSE)</f>
        <v>-120</v>
      </c>
      <c r="I31" t="str">
        <f>VLOOKUP($A31,ScionOutput!$A$3:$BL$215,58,FALSE)</f>
        <v>No Play</v>
      </c>
      <c r="J31">
        <f>VLOOKUP($A31,ScionOutput!$A$3:$BL$215,59,FALSE)</f>
        <v>0</v>
      </c>
      <c r="K31">
        <f>VLOOKUP($A31,ScionOutput!$A$3:$BL$215,62,FALSE)</f>
        <v>0</v>
      </c>
      <c r="L31">
        <f>VLOOKUP($A31,ScionOutput!$A$3:$BL$215,63,FALSE)</f>
        <v>0</v>
      </c>
      <c r="M31" t="b">
        <f t="shared" si="1"/>
        <v>0</v>
      </c>
      <c r="N31">
        <f>VLOOKUP($A31,Outcomes!$B$3:$I$209,8,FALSE)</f>
        <v>9</v>
      </c>
      <c r="O31">
        <f t="shared" si="2"/>
        <v>-1</v>
      </c>
      <c r="P31">
        <f>VLOOKUP($A31,Outcomes!$B$3:$I$209,5,FALSE)</f>
        <v>3</v>
      </c>
      <c r="Q31">
        <f>VLOOKUP($A31,Outcomes!$B$3:$I$209,6,FALSE)</f>
        <v>6</v>
      </c>
      <c r="R31">
        <f>VLOOKUP($A31,Outcomes!$B$3:$I$209,7,FALSE)</f>
        <v>3</v>
      </c>
      <c r="S31" t="str">
        <f t="shared" si="3"/>
        <v>VisFave</v>
      </c>
      <c r="T31" t="str">
        <f t="shared" si="4"/>
        <v/>
      </c>
      <c r="U31" t="str">
        <f t="shared" si="0"/>
        <v/>
      </c>
      <c r="V31" t="str">
        <f t="shared" si="5"/>
        <v/>
      </c>
      <c r="W31" t="str">
        <f t="shared" si="6"/>
        <v/>
      </c>
      <c r="X31" s="2" t="str">
        <f t="shared" si="7"/>
        <v/>
      </c>
      <c r="Y31" t="str">
        <f>VLOOKUP($A31,ScionOutput!$A$3:$BL$215,64,FALSE)</f>
        <v xml:space="preserve">824829. VF plays are disallowed. No play due to strategy constraints. </v>
      </c>
    </row>
    <row r="32" spans="1:25" x14ac:dyDescent="0.2">
      <c r="A32">
        <v>824025</v>
      </c>
      <c r="B32" s="3">
        <f>VLOOKUP($A32,ScionOutput!$A$3:$BL$215,3,FALSE)</f>
        <v>46181</v>
      </c>
      <c r="C32">
        <f>VLOOKUP($A32,ScionOutput!$A$3:$BL$215,22,FALSE)</f>
        <v>4</v>
      </c>
      <c r="D32" t="str">
        <f>VLOOKUP($A32,ScionOutput!$A$3:$BL$215,23,FALSE)</f>
        <v>LAA</v>
      </c>
      <c r="E32">
        <f>VLOOKUP($A32,ScionOutput!$A$3:$BL$215,6,FALSE)</f>
        <v>12</v>
      </c>
      <c r="F32" t="str">
        <f>VLOOKUP($A32,ScionOutput!$A$3:$BL$215,7,FALSE)</f>
        <v>HOU</v>
      </c>
      <c r="G32">
        <f>VLOOKUP($A32,ScionOutput!$A$3:$BL$215,26,FALSE)</f>
        <v>112</v>
      </c>
      <c r="H32">
        <f>VLOOKUP($A32,ScionOutput!$A$3:$BL$215,10,FALSE)</f>
        <v>-121</v>
      </c>
      <c r="I32" t="str">
        <f>VLOOKUP($A32,ScionOutput!$A$3:$BL$215,58,FALSE)</f>
        <v>No Play</v>
      </c>
      <c r="J32">
        <f>VLOOKUP($A32,ScionOutput!$A$3:$BL$215,59,FALSE)</f>
        <v>0</v>
      </c>
      <c r="K32">
        <f>VLOOKUP($A32,ScionOutput!$A$3:$BL$215,62,FALSE)</f>
        <v>0</v>
      </c>
      <c r="L32">
        <f>VLOOKUP($A32,ScionOutput!$A$3:$BL$215,63,FALSE)</f>
        <v>0</v>
      </c>
      <c r="M32" t="b">
        <f t="shared" si="1"/>
        <v>0</v>
      </c>
      <c r="N32">
        <f>VLOOKUP($A32,Outcomes!$B$3:$I$209,8,FALSE)</f>
        <v>9</v>
      </c>
      <c r="O32">
        <f t="shared" si="2"/>
        <v>-1</v>
      </c>
      <c r="P32">
        <f>VLOOKUP($A32,Outcomes!$B$3:$I$209,5,FALSE)</f>
        <v>4</v>
      </c>
      <c r="Q32">
        <f>VLOOKUP($A32,Outcomes!$B$3:$I$209,6,FALSE)</f>
        <v>5</v>
      </c>
      <c r="R32">
        <f>VLOOKUP($A32,Outcomes!$B$3:$I$209,7,FALSE)</f>
        <v>1</v>
      </c>
      <c r="S32" t="str">
        <f t="shared" si="3"/>
        <v>VisFave</v>
      </c>
      <c r="T32" t="str">
        <f t="shared" si="4"/>
        <v/>
      </c>
      <c r="U32" t="str">
        <f t="shared" si="0"/>
        <v/>
      </c>
      <c r="V32" t="str">
        <f t="shared" si="5"/>
        <v/>
      </c>
      <c r="W32" t="str">
        <f t="shared" si="6"/>
        <v/>
      </c>
      <c r="X32" s="2" t="str">
        <f t="shared" si="7"/>
        <v/>
      </c>
      <c r="Y32" t="str">
        <f>VLOOKUP($A32,ScionOutput!$A$3:$BL$215,64,FALSE)</f>
        <v xml:space="preserve">824025. VF plays are disallowed. No play due to strategy constraints. </v>
      </c>
    </row>
    <row r="33" spans="1:25" x14ac:dyDescent="0.2">
      <c r="A33">
        <v>824427</v>
      </c>
      <c r="B33" s="3">
        <f>VLOOKUP($A33,ScionOutput!$A$3:$BL$215,3,FALSE)</f>
        <v>46181</v>
      </c>
      <c r="C33">
        <f>VLOOKUP($A33,ScionOutput!$A$3:$BL$215,22,FALSE)</f>
        <v>7</v>
      </c>
      <c r="D33" t="str">
        <f>VLOOKUP($A33,ScionOutput!$A$3:$BL$215,23,FALSE)</f>
        <v>CLE</v>
      </c>
      <c r="E33">
        <f>VLOOKUP($A33,ScionOutput!$A$3:$BL$215,6,FALSE)</f>
        <v>19</v>
      </c>
      <c r="F33" t="str">
        <f>VLOOKUP($A33,ScionOutput!$A$3:$BL$215,7,FALSE)</f>
        <v>NYY</v>
      </c>
      <c r="G33">
        <f>VLOOKUP($A33,ScionOutput!$A$3:$BL$215,26,FALSE)</f>
        <v>-122</v>
      </c>
      <c r="H33">
        <f>VLOOKUP($A33,ScionOutput!$A$3:$BL$215,10,FALSE)</f>
        <v>113</v>
      </c>
      <c r="I33" t="str">
        <f>VLOOKUP($A33,ScionOutput!$A$3:$BL$215,58,FALSE)</f>
        <v>No Play</v>
      </c>
      <c r="J33">
        <f>VLOOKUP($A33,ScionOutput!$A$3:$BL$215,59,FALSE)</f>
        <v>0</v>
      </c>
      <c r="K33">
        <f>VLOOKUP($A33,ScionOutput!$A$3:$BL$215,62,FALSE)</f>
        <v>0</v>
      </c>
      <c r="L33">
        <f>VLOOKUP($A33,ScionOutput!$A$3:$BL$215,63,FALSE)</f>
        <v>0</v>
      </c>
      <c r="M33" t="b">
        <f t="shared" si="1"/>
        <v>0</v>
      </c>
      <c r="N33">
        <f>VLOOKUP($A33,Outcomes!$B$3:$I$209,8,FALSE)</f>
        <v>12</v>
      </c>
      <c r="O33">
        <f t="shared" si="2"/>
        <v>-1</v>
      </c>
      <c r="P33">
        <f>VLOOKUP($A33,Outcomes!$B$3:$I$209,5,FALSE)</f>
        <v>5</v>
      </c>
      <c r="Q33">
        <f>VLOOKUP($A33,Outcomes!$B$3:$I$209,6,FALSE)</f>
        <v>7</v>
      </c>
      <c r="R33">
        <f>VLOOKUP($A33,Outcomes!$B$3:$I$209,7,FALSE)</f>
        <v>2</v>
      </c>
      <c r="S33" t="str">
        <f t="shared" si="3"/>
        <v>VisDog</v>
      </c>
      <c r="T33" t="str">
        <f t="shared" si="4"/>
        <v/>
      </c>
      <c r="U33" t="str">
        <f t="shared" si="0"/>
        <v/>
      </c>
      <c r="V33" t="str">
        <f t="shared" si="5"/>
        <v/>
      </c>
      <c r="W33" t="str">
        <f t="shared" si="6"/>
        <v/>
      </c>
      <c r="X33" s="2" t="str">
        <f t="shared" si="7"/>
        <v/>
      </c>
      <c r="Y33" t="str">
        <f>VLOOKUP($A33,ScionOutput!$A$3:$BL$215,64,FALSE)</f>
        <v xml:space="preserve">824427. LineStatEns probability points gap does not exceed threshold (no edge found)! StatOnlyEns probability points gap does not exceed threshold (no edge found)! No play due to strategy constraints. </v>
      </c>
    </row>
    <row r="34" spans="1:25" x14ac:dyDescent="0.2">
      <c r="A34">
        <v>824998</v>
      </c>
      <c r="B34" s="3">
        <f>VLOOKUP($A34,ScionOutput!$A$3:$BL$215,3,FALSE)</f>
        <v>46181</v>
      </c>
      <c r="C34">
        <f>VLOOKUP($A34,ScionOutput!$A$3:$BL$215,22,FALSE)</f>
        <v>20</v>
      </c>
      <c r="D34" t="str">
        <f>VLOOKUP($A34,ScionOutput!$A$3:$BL$215,23,FALSE)</f>
        <v>OAK</v>
      </c>
      <c r="E34">
        <f>VLOOKUP($A34,ScionOutput!$A$3:$BL$215,6,FALSE)</f>
        <v>17</v>
      </c>
      <c r="F34" t="str">
        <f>VLOOKUP($A34,ScionOutput!$A$3:$BL$215,7,FALSE)</f>
        <v>MLW</v>
      </c>
      <c r="G34">
        <f>VLOOKUP($A34,ScionOutput!$A$3:$BL$215,26,FALSE)</f>
        <v>130</v>
      </c>
      <c r="H34">
        <f>VLOOKUP($A34,ScionOutput!$A$3:$BL$215,10,FALSE)</f>
        <v>-142</v>
      </c>
      <c r="I34" t="str">
        <f>VLOOKUP($A34,ScionOutput!$A$3:$BL$215,58,FALSE)</f>
        <v>No Play</v>
      </c>
      <c r="J34">
        <f>VLOOKUP($A34,ScionOutput!$A$3:$BL$215,59,FALSE)</f>
        <v>0</v>
      </c>
      <c r="K34">
        <f>VLOOKUP($A34,ScionOutput!$A$3:$BL$215,62,FALSE)</f>
        <v>0</v>
      </c>
      <c r="L34">
        <f>VLOOKUP($A34,ScionOutput!$A$3:$BL$215,63,FALSE)</f>
        <v>0</v>
      </c>
      <c r="M34" t="b">
        <f t="shared" si="1"/>
        <v>0</v>
      </c>
      <c r="N34">
        <f>VLOOKUP($A34,Outcomes!$B$3:$I$209,8,FALSE)</f>
        <v>29</v>
      </c>
      <c r="O34">
        <f t="shared" si="2"/>
        <v>-1</v>
      </c>
      <c r="P34">
        <f>VLOOKUP($A34,Outcomes!$B$3:$I$209,5,FALSE)</f>
        <v>14</v>
      </c>
      <c r="Q34">
        <f>VLOOKUP($A34,Outcomes!$B$3:$I$209,6,FALSE)</f>
        <v>15</v>
      </c>
      <c r="R34">
        <f>VLOOKUP($A34,Outcomes!$B$3:$I$209,7,FALSE)</f>
        <v>1</v>
      </c>
      <c r="S34" t="str">
        <f t="shared" si="3"/>
        <v>VisFave</v>
      </c>
      <c r="T34" t="str">
        <f t="shared" si="4"/>
        <v/>
      </c>
      <c r="U34" t="str">
        <f t="shared" si="0"/>
        <v/>
      </c>
      <c r="V34" t="str">
        <f t="shared" si="5"/>
        <v/>
      </c>
      <c r="W34" t="str">
        <f t="shared" si="6"/>
        <v/>
      </c>
      <c r="X34" s="2" t="str">
        <f t="shared" si="7"/>
        <v/>
      </c>
      <c r="Y34" t="str">
        <f>VLOOKUP($A34,ScionOutput!$A$3:$BL$215,64,FALSE)</f>
        <v xml:space="preserve">824998. VF plays are disallowed. No play due to strategy constraints. </v>
      </c>
    </row>
    <row r="35" spans="1:25" x14ac:dyDescent="0.2">
      <c r="A35">
        <v>823289</v>
      </c>
      <c r="B35" s="3">
        <f>VLOOKUP($A35,ScionOutput!$A$3:$BL$215,3,FALSE)</f>
        <v>46181</v>
      </c>
      <c r="C35">
        <f>VLOOKUP($A35,ScionOutput!$A$3:$BL$215,22,FALSE)</f>
        <v>23</v>
      </c>
      <c r="D35" t="str">
        <f>VLOOKUP($A35,ScionOutput!$A$3:$BL$215,23,FALSE)</f>
        <v>SD</v>
      </c>
      <c r="E35">
        <f>VLOOKUP($A35,ScionOutput!$A$3:$BL$215,6,FALSE)</f>
        <v>6</v>
      </c>
      <c r="F35" t="str">
        <f>VLOOKUP($A35,ScionOutput!$A$3:$BL$215,7,FALSE)</f>
        <v>CIN</v>
      </c>
      <c r="G35">
        <f>VLOOKUP($A35,ScionOutput!$A$3:$BL$215,26,FALSE)</f>
        <v>-128</v>
      </c>
      <c r="H35">
        <f>VLOOKUP($A35,ScionOutput!$A$3:$BL$215,10,FALSE)</f>
        <v>118</v>
      </c>
      <c r="I35" t="str">
        <f>VLOOKUP($A35,ScionOutput!$A$3:$BL$215,58,FALSE)</f>
        <v>No Play</v>
      </c>
      <c r="J35">
        <f>VLOOKUP($A35,ScionOutput!$A$3:$BL$215,59,FALSE)</f>
        <v>0</v>
      </c>
      <c r="K35">
        <f>VLOOKUP($A35,ScionOutput!$A$3:$BL$215,62,FALSE)</f>
        <v>0</v>
      </c>
      <c r="L35">
        <f>VLOOKUP($A35,ScionOutput!$A$3:$BL$215,63,FALSE)</f>
        <v>0</v>
      </c>
      <c r="M35" t="b">
        <f t="shared" si="1"/>
        <v>0</v>
      </c>
      <c r="N35">
        <f>VLOOKUP($A35,Outcomes!$B$3:$I$209,8,FALSE)</f>
        <v>8</v>
      </c>
      <c r="O35">
        <f t="shared" si="2"/>
        <v>1</v>
      </c>
      <c r="P35">
        <f>VLOOKUP($A35,Outcomes!$B$3:$I$209,5,FALSE)</f>
        <v>6</v>
      </c>
      <c r="Q35">
        <f>VLOOKUP($A35,Outcomes!$B$3:$I$209,6,FALSE)</f>
        <v>2</v>
      </c>
      <c r="R35">
        <f>VLOOKUP($A35,Outcomes!$B$3:$I$209,7,FALSE)</f>
        <v>-4</v>
      </c>
      <c r="S35" t="str">
        <f t="shared" si="3"/>
        <v>HomFave</v>
      </c>
      <c r="T35" t="str">
        <f t="shared" si="4"/>
        <v/>
      </c>
      <c r="U35" t="str">
        <f t="shared" si="0"/>
        <v/>
      </c>
      <c r="V35" t="str">
        <f t="shared" si="5"/>
        <v/>
      </c>
      <c r="W35" t="str">
        <f t="shared" si="6"/>
        <v/>
      </c>
      <c r="X35" s="2" t="str">
        <f t="shared" si="7"/>
        <v/>
      </c>
      <c r="Y35" t="str">
        <f>VLOOKUP($A35,ScionOutput!$A$3:$BL$215,64,FALSE)</f>
        <v xml:space="preserve">823289. LineStatEns probability points gap does not exceed threshold (no edge found)! StatOnlyEns probability points gap does not exceed threshold (no edge found)! No play due to strategy constraints. </v>
      </c>
    </row>
    <row r="36" spans="1:25" x14ac:dyDescent="0.2">
      <c r="A36">
        <v>823218</v>
      </c>
      <c r="B36" s="3">
        <f>VLOOKUP($A36,ScionOutput!$A$3:$BL$215,3,FALSE)</f>
        <v>46181</v>
      </c>
      <c r="C36">
        <f>VLOOKUP($A36,ScionOutput!$A$3:$BL$215,22,FALSE)</f>
        <v>25</v>
      </c>
      <c r="D36" t="str">
        <f>VLOOKUP($A36,ScionOutput!$A$3:$BL$215,23,FALSE)</f>
        <v>SF</v>
      </c>
      <c r="E36">
        <f>VLOOKUP($A36,ScionOutput!$A$3:$BL$215,6,FALSE)</f>
        <v>16</v>
      </c>
      <c r="F36" t="str">
        <f>VLOOKUP($A36,ScionOutput!$A$3:$BL$215,7,FALSE)</f>
        <v>WAS</v>
      </c>
      <c r="G36">
        <f>VLOOKUP($A36,ScionOutput!$A$3:$BL$215,26,FALSE)</f>
        <v>-145</v>
      </c>
      <c r="H36">
        <f>VLOOKUP($A36,ScionOutput!$A$3:$BL$215,10,FALSE)</f>
        <v>133</v>
      </c>
      <c r="I36" t="str">
        <f>VLOOKUP($A36,ScionOutput!$A$3:$BL$215,58,FALSE)</f>
        <v>No Play</v>
      </c>
      <c r="J36">
        <f>VLOOKUP($A36,ScionOutput!$A$3:$BL$215,59,FALSE)</f>
        <v>0</v>
      </c>
      <c r="K36">
        <f>VLOOKUP($A36,ScionOutput!$A$3:$BL$215,62,FALSE)</f>
        <v>0</v>
      </c>
      <c r="L36">
        <f>VLOOKUP($A36,ScionOutput!$A$3:$BL$215,63,FALSE)</f>
        <v>0</v>
      </c>
      <c r="M36" t="b">
        <f t="shared" si="1"/>
        <v>0</v>
      </c>
      <c r="N36">
        <f>VLOOKUP($A36,Outcomes!$B$3:$I$209,8,FALSE)</f>
        <v>7</v>
      </c>
      <c r="O36">
        <f t="shared" si="2"/>
        <v>-1</v>
      </c>
      <c r="P36">
        <f>VLOOKUP($A36,Outcomes!$B$3:$I$209,5,FALSE)</f>
        <v>3</v>
      </c>
      <c r="Q36">
        <f>VLOOKUP($A36,Outcomes!$B$3:$I$209,6,FALSE)</f>
        <v>4</v>
      </c>
      <c r="R36">
        <f>VLOOKUP($A36,Outcomes!$B$3:$I$209,7,FALSE)</f>
        <v>1</v>
      </c>
      <c r="S36" t="str">
        <f t="shared" si="3"/>
        <v>VisDog</v>
      </c>
      <c r="T36" t="str">
        <f t="shared" si="4"/>
        <v/>
      </c>
      <c r="U36" t="str">
        <f t="shared" si="0"/>
        <v/>
      </c>
      <c r="V36" t="str">
        <f t="shared" si="5"/>
        <v/>
      </c>
      <c r="W36" t="str">
        <f t="shared" si="6"/>
        <v/>
      </c>
      <c r="X36" s="2" t="str">
        <f t="shared" si="7"/>
        <v/>
      </c>
      <c r="Y36" t="str">
        <f>VLOOKUP($A36,ScionOutput!$A$3:$BL$215,64,FALSE)</f>
        <v xml:space="preserve">823218. LineStatEns probability points gap does not exceed threshold (no edge found)! StatOnlyEns probability points gap does not exceed threshold (no edge found)! No play due to strategy constraints. </v>
      </c>
    </row>
    <row r="37" spans="1:25" x14ac:dyDescent="0.2">
      <c r="A37">
        <v>822972</v>
      </c>
      <c r="B37" s="3">
        <f>VLOOKUP($A37,ScionOutput!$A$3:$BL$215,3,FALSE)</f>
        <v>46181</v>
      </c>
      <c r="C37">
        <f>VLOOKUP($A37,ScionOutput!$A$3:$BL$215,22,FALSE)</f>
        <v>27</v>
      </c>
      <c r="D37" t="str">
        <f>VLOOKUP($A37,ScionOutput!$A$3:$BL$215,23,FALSE)</f>
        <v>TB</v>
      </c>
      <c r="E37">
        <f>VLOOKUP($A37,ScionOutput!$A$3:$BL$215,6,FALSE)</f>
        <v>3</v>
      </c>
      <c r="F37" t="str">
        <f>VLOOKUP($A37,ScionOutput!$A$3:$BL$215,7,FALSE)</f>
        <v>BOS</v>
      </c>
      <c r="G37">
        <f>VLOOKUP($A37,ScionOutput!$A$3:$BL$215,26,FALSE)</f>
        <v>-102</v>
      </c>
      <c r="H37">
        <f>VLOOKUP($A37,ScionOutput!$A$3:$BL$215,10,FALSE)</f>
        <v>-106</v>
      </c>
      <c r="I37" t="str">
        <f>VLOOKUP($A37,ScionOutput!$A$3:$BL$215,58,FALSE)</f>
        <v>No Play</v>
      </c>
      <c r="J37">
        <f>VLOOKUP($A37,ScionOutput!$A$3:$BL$215,59,FALSE)</f>
        <v>0</v>
      </c>
      <c r="K37">
        <f>VLOOKUP($A37,ScionOutput!$A$3:$BL$215,62,FALSE)</f>
        <v>0</v>
      </c>
      <c r="L37">
        <f>VLOOKUP($A37,ScionOutput!$A$3:$BL$215,63,FALSE)</f>
        <v>0</v>
      </c>
      <c r="M37" t="b">
        <f t="shared" si="1"/>
        <v>0</v>
      </c>
      <c r="N37">
        <f>VLOOKUP($A37,Outcomes!$B$3:$I$209,8,FALSE)</f>
        <v>4</v>
      </c>
      <c r="O37">
        <f t="shared" si="2"/>
        <v>1</v>
      </c>
      <c r="P37">
        <f>VLOOKUP($A37,Outcomes!$B$3:$I$209,5,FALSE)</f>
        <v>3</v>
      </c>
      <c r="Q37">
        <f>VLOOKUP($A37,Outcomes!$B$3:$I$209,6,FALSE)</f>
        <v>1</v>
      </c>
      <c r="R37">
        <f>VLOOKUP($A37,Outcomes!$B$3:$I$209,7,FALSE)</f>
        <v>-2</v>
      </c>
      <c r="S37" t="str">
        <f t="shared" si="3"/>
        <v>HomDog</v>
      </c>
      <c r="T37" t="str">
        <f t="shared" si="4"/>
        <v/>
      </c>
      <c r="U37" t="str">
        <f t="shared" si="0"/>
        <v/>
      </c>
      <c r="V37" t="str">
        <f t="shared" si="5"/>
        <v/>
      </c>
      <c r="W37" t="str">
        <f t="shared" si="6"/>
        <v/>
      </c>
      <c r="X37" s="2" t="str">
        <f t="shared" si="7"/>
        <v/>
      </c>
      <c r="Y37" t="str">
        <f>VLOOKUP($A37,ScionOutput!$A$3:$BL$215,64,FALSE)</f>
        <v xml:space="preserve">822972. VF plays are disallowed. No play due to strategy constraints. </v>
      </c>
    </row>
    <row r="38" spans="1:25" x14ac:dyDescent="0.2">
      <c r="A38">
        <v>822806</v>
      </c>
      <c r="B38" s="3">
        <f>VLOOKUP($A38,ScionOutput!$A$3:$BL$215,3,FALSE)</f>
        <v>46181</v>
      </c>
      <c r="C38">
        <f>VLOOKUP($A38,ScionOutput!$A$3:$BL$215,22,FALSE)</f>
        <v>29</v>
      </c>
      <c r="D38" t="str">
        <f>VLOOKUP($A38,ScionOutput!$A$3:$BL$215,23,FALSE)</f>
        <v>TOR</v>
      </c>
      <c r="E38">
        <f>VLOOKUP($A38,ScionOutput!$A$3:$BL$215,6,FALSE)</f>
        <v>21</v>
      </c>
      <c r="F38" t="str">
        <f>VLOOKUP($A38,ScionOutput!$A$3:$BL$215,7,FALSE)</f>
        <v>PHI</v>
      </c>
      <c r="G38">
        <f>VLOOKUP($A38,ScionOutput!$A$3:$BL$215,26,FALSE)</f>
        <v>154</v>
      </c>
      <c r="H38">
        <f>VLOOKUP($A38,ScionOutput!$A$3:$BL$215,10,FALSE)</f>
        <v>-168</v>
      </c>
      <c r="I38" t="str">
        <f>VLOOKUP($A38,ScionOutput!$A$3:$BL$215,58,FALSE)</f>
        <v>No Play</v>
      </c>
      <c r="J38">
        <f>VLOOKUP($A38,ScionOutput!$A$3:$BL$215,59,FALSE)</f>
        <v>0</v>
      </c>
      <c r="K38">
        <f>VLOOKUP($A38,ScionOutput!$A$3:$BL$215,62,FALSE)</f>
        <v>0</v>
      </c>
      <c r="L38">
        <f>VLOOKUP($A38,ScionOutput!$A$3:$BL$215,63,FALSE)</f>
        <v>0</v>
      </c>
      <c r="M38" t="b">
        <f t="shared" si="1"/>
        <v>0</v>
      </c>
      <c r="N38">
        <f>VLOOKUP($A38,Outcomes!$B$3:$I$209,8,FALSE)</f>
        <v>7</v>
      </c>
      <c r="O38">
        <f t="shared" si="2"/>
        <v>-1</v>
      </c>
      <c r="P38">
        <f>VLOOKUP($A38,Outcomes!$B$3:$I$209,5,FALSE)</f>
        <v>2</v>
      </c>
      <c r="Q38">
        <f>VLOOKUP($A38,Outcomes!$B$3:$I$209,6,FALSE)</f>
        <v>5</v>
      </c>
      <c r="R38">
        <f>VLOOKUP($A38,Outcomes!$B$3:$I$209,7,FALSE)</f>
        <v>3</v>
      </c>
      <c r="S38" t="str">
        <f t="shared" si="3"/>
        <v>VisFave</v>
      </c>
      <c r="T38" t="str">
        <f t="shared" si="4"/>
        <v/>
      </c>
      <c r="U38" t="str">
        <f t="shared" si="0"/>
        <v/>
      </c>
      <c r="V38" t="str">
        <f t="shared" si="5"/>
        <v/>
      </c>
      <c r="W38" t="str">
        <f t="shared" si="6"/>
        <v/>
      </c>
      <c r="X38" s="2" t="str">
        <f t="shared" si="7"/>
        <v/>
      </c>
      <c r="Y38" t="str">
        <f>VLOOKUP($A38,ScionOutput!$A$3:$BL$215,64,FALSE)</f>
        <v xml:space="preserve">822806. LineStatEns is NoPlay as bookie-line outside range. StatOnlyEns is NoPlay as bookie-line outside range. No play due to strategy constraints. </v>
      </c>
    </row>
    <row r="39" spans="1:25" x14ac:dyDescent="0.2">
      <c r="A39">
        <v>824830</v>
      </c>
      <c r="B39" s="3">
        <f>VLOOKUP($A39,ScionOutput!$A$3:$BL$215,3,FALSE)</f>
        <v>46182</v>
      </c>
      <c r="C39">
        <f>VLOOKUP($A39,ScionOutput!$A$3:$BL$215,22,FALSE)</f>
        <v>2</v>
      </c>
      <c r="D39" t="str">
        <f>VLOOKUP($A39,ScionOutput!$A$3:$BL$215,23,FALSE)</f>
        <v>BAL</v>
      </c>
      <c r="E39">
        <f>VLOOKUP($A39,ScionOutput!$A$3:$BL$215,6,FALSE)</f>
        <v>24</v>
      </c>
      <c r="F39" t="str">
        <f>VLOOKUP($A39,ScionOutput!$A$3:$BL$215,7,FALSE)</f>
        <v>SEA</v>
      </c>
      <c r="G39">
        <f>VLOOKUP($A39,ScionOutput!$A$3:$BL$215,26,FALSE)</f>
        <v>103</v>
      </c>
      <c r="H39">
        <f>VLOOKUP($A39,ScionOutput!$A$3:$BL$215,10,FALSE)</f>
        <v>-112</v>
      </c>
      <c r="I39" t="str">
        <f>VLOOKUP($A39,ScionOutput!$A$3:$BL$215,58,FALSE)</f>
        <v>No Play</v>
      </c>
      <c r="J39">
        <f>VLOOKUP($A39,ScionOutput!$A$3:$BL$215,59,FALSE)</f>
        <v>0</v>
      </c>
      <c r="K39">
        <f>VLOOKUP($A39,ScionOutput!$A$3:$BL$215,62,FALSE)</f>
        <v>0</v>
      </c>
      <c r="L39">
        <f>VLOOKUP($A39,ScionOutput!$A$3:$BL$215,63,FALSE)</f>
        <v>0</v>
      </c>
      <c r="M39" t="b">
        <f t="shared" si="1"/>
        <v>0</v>
      </c>
      <c r="N39">
        <f>VLOOKUP($A39,Outcomes!$B$3:$I$209,8,FALSE)</f>
        <v>11</v>
      </c>
      <c r="O39">
        <f t="shared" si="2"/>
        <v>-1</v>
      </c>
      <c r="P39">
        <f>VLOOKUP($A39,Outcomes!$B$3:$I$209,5,FALSE)</f>
        <v>5</v>
      </c>
      <c r="Q39">
        <f>VLOOKUP($A39,Outcomes!$B$3:$I$209,6,FALSE)</f>
        <v>6</v>
      </c>
      <c r="R39">
        <f>VLOOKUP($A39,Outcomes!$B$3:$I$209,7,FALSE)</f>
        <v>1</v>
      </c>
      <c r="S39" t="str">
        <f t="shared" si="3"/>
        <v>VisFave</v>
      </c>
      <c r="T39" t="str">
        <f t="shared" si="4"/>
        <v/>
      </c>
      <c r="U39" t="str">
        <f t="shared" si="0"/>
        <v/>
      </c>
      <c r="V39" t="str">
        <f t="shared" si="5"/>
        <v/>
      </c>
      <c r="W39" t="str">
        <f t="shared" si="6"/>
        <v/>
      </c>
      <c r="X39" s="2" t="str">
        <f t="shared" si="7"/>
        <v/>
      </c>
      <c r="Y39" t="str">
        <f>VLOOKUP($A39,ScionOutput!$A$3:$BL$215,64,FALSE)</f>
        <v xml:space="preserve">824830. VF plays are disallowed. No play due to strategy constraints. </v>
      </c>
    </row>
    <row r="40" spans="1:25" x14ac:dyDescent="0.2">
      <c r="A40">
        <v>824023</v>
      </c>
      <c r="B40" s="3">
        <f>VLOOKUP($A40,ScionOutput!$A$3:$BL$215,3,FALSE)</f>
        <v>46182</v>
      </c>
      <c r="C40">
        <f>VLOOKUP($A40,ScionOutput!$A$3:$BL$215,22,FALSE)</f>
        <v>4</v>
      </c>
      <c r="D40" t="str">
        <f>VLOOKUP($A40,ScionOutput!$A$3:$BL$215,23,FALSE)</f>
        <v>LAA</v>
      </c>
      <c r="E40">
        <f>VLOOKUP($A40,ScionOutput!$A$3:$BL$215,6,FALSE)</f>
        <v>12</v>
      </c>
      <c r="F40" t="str">
        <f>VLOOKUP($A40,ScionOutput!$A$3:$BL$215,7,FALSE)</f>
        <v>HOU</v>
      </c>
      <c r="G40">
        <f>VLOOKUP($A40,ScionOutput!$A$3:$BL$215,26,FALSE)</f>
        <v>111</v>
      </c>
      <c r="H40">
        <f>VLOOKUP($A40,ScionOutput!$A$3:$BL$215,10,FALSE)</f>
        <v>-120</v>
      </c>
      <c r="I40" t="str">
        <f>VLOOKUP($A40,ScionOutput!$A$3:$BL$215,58,FALSE)</f>
        <v>No Play</v>
      </c>
      <c r="J40">
        <f>VLOOKUP($A40,ScionOutput!$A$3:$BL$215,59,FALSE)</f>
        <v>0</v>
      </c>
      <c r="K40">
        <f>VLOOKUP($A40,ScionOutput!$A$3:$BL$215,62,FALSE)</f>
        <v>0</v>
      </c>
      <c r="L40">
        <f>VLOOKUP($A40,ScionOutput!$A$3:$BL$215,63,FALSE)</f>
        <v>0</v>
      </c>
      <c r="M40" t="b">
        <f t="shared" si="1"/>
        <v>0</v>
      </c>
      <c r="N40">
        <f>VLOOKUP($A40,Outcomes!$B$3:$I$209,8,FALSE)</f>
        <v>11</v>
      </c>
      <c r="O40">
        <f t="shared" si="2"/>
        <v>1</v>
      </c>
      <c r="P40">
        <f>VLOOKUP($A40,Outcomes!$B$3:$I$209,5,FALSE)</f>
        <v>10</v>
      </c>
      <c r="Q40">
        <f>VLOOKUP($A40,Outcomes!$B$3:$I$209,6,FALSE)</f>
        <v>1</v>
      </c>
      <c r="R40">
        <f>VLOOKUP($A40,Outcomes!$B$3:$I$209,7,FALSE)</f>
        <v>-9</v>
      </c>
      <c r="S40" t="str">
        <f t="shared" si="3"/>
        <v>HomDog</v>
      </c>
      <c r="T40" t="str">
        <f t="shared" si="4"/>
        <v/>
      </c>
      <c r="U40" t="str">
        <f t="shared" si="0"/>
        <v/>
      </c>
      <c r="V40" t="str">
        <f t="shared" si="5"/>
        <v/>
      </c>
      <c r="W40" t="str">
        <f t="shared" si="6"/>
        <v/>
      </c>
      <c r="X40" s="2" t="str">
        <f t="shared" si="7"/>
        <v/>
      </c>
      <c r="Y40" t="str">
        <f>VLOOKUP($A40,ScionOutput!$A$3:$BL$215,64,FALSE)</f>
        <v xml:space="preserve">824023. VF plays are disallowed. No play due to strategy constraints. </v>
      </c>
    </row>
    <row r="41" spans="1:25" x14ac:dyDescent="0.2">
      <c r="A41">
        <v>824429</v>
      </c>
      <c r="B41" s="3">
        <f>VLOOKUP($A41,ScionOutput!$A$3:$BL$215,3,FALSE)</f>
        <v>46182</v>
      </c>
      <c r="C41">
        <f>VLOOKUP($A41,ScionOutput!$A$3:$BL$215,22,FALSE)</f>
        <v>7</v>
      </c>
      <c r="D41" t="str">
        <f>VLOOKUP($A41,ScionOutput!$A$3:$BL$215,23,FALSE)</f>
        <v>CLE</v>
      </c>
      <c r="E41">
        <f>VLOOKUP($A41,ScionOutput!$A$3:$BL$215,6,FALSE)</f>
        <v>19</v>
      </c>
      <c r="F41" t="str">
        <f>VLOOKUP($A41,ScionOutput!$A$3:$BL$215,7,FALSE)</f>
        <v>NYY</v>
      </c>
      <c r="G41">
        <f>VLOOKUP($A41,ScionOutput!$A$3:$BL$215,26,FALSE)</f>
        <v>107</v>
      </c>
      <c r="H41">
        <f>VLOOKUP($A41,ScionOutput!$A$3:$BL$215,10,FALSE)</f>
        <v>-116</v>
      </c>
      <c r="I41" t="str">
        <f>VLOOKUP($A41,ScionOutput!$A$3:$BL$215,58,FALSE)</f>
        <v>No Play</v>
      </c>
      <c r="J41">
        <f>VLOOKUP($A41,ScionOutput!$A$3:$BL$215,59,FALSE)</f>
        <v>0</v>
      </c>
      <c r="K41">
        <f>VLOOKUP($A41,ScionOutput!$A$3:$BL$215,62,FALSE)</f>
        <v>0</v>
      </c>
      <c r="L41">
        <f>VLOOKUP($A41,ScionOutput!$A$3:$BL$215,63,FALSE)</f>
        <v>0</v>
      </c>
      <c r="M41" t="b">
        <f t="shared" si="1"/>
        <v>0</v>
      </c>
      <c r="N41">
        <f>VLOOKUP($A41,Outcomes!$B$3:$I$209,8,FALSE)</f>
        <v>5</v>
      </c>
      <c r="O41">
        <f t="shared" si="2"/>
        <v>-1</v>
      </c>
      <c r="P41">
        <f>VLOOKUP($A41,Outcomes!$B$3:$I$209,5,FALSE)</f>
        <v>2</v>
      </c>
      <c r="Q41">
        <f>VLOOKUP($A41,Outcomes!$B$3:$I$209,6,FALSE)</f>
        <v>3</v>
      </c>
      <c r="R41">
        <f>VLOOKUP($A41,Outcomes!$B$3:$I$209,7,FALSE)</f>
        <v>1</v>
      </c>
      <c r="S41" t="str">
        <f t="shared" si="3"/>
        <v>VisFave</v>
      </c>
      <c r="T41" t="str">
        <f t="shared" si="4"/>
        <v/>
      </c>
      <c r="U41" t="str">
        <f t="shared" si="0"/>
        <v/>
      </c>
      <c r="V41" t="str">
        <f t="shared" si="5"/>
        <v/>
      </c>
      <c r="W41" t="str">
        <f t="shared" si="6"/>
        <v/>
      </c>
      <c r="X41" s="2" t="str">
        <f t="shared" si="7"/>
        <v/>
      </c>
      <c r="Y41" t="str">
        <f>VLOOKUP($A41,ScionOutput!$A$3:$BL$215,64,FALSE)</f>
        <v xml:space="preserve">824429. VF plays are disallowed. No play due to strategy constraints. </v>
      </c>
    </row>
    <row r="42" spans="1:25" x14ac:dyDescent="0.2">
      <c r="A42">
        <v>824347</v>
      </c>
      <c r="B42" s="3">
        <f>VLOOKUP($A42,ScionOutput!$A$3:$BL$215,3,FALSE)</f>
        <v>46182</v>
      </c>
      <c r="C42">
        <f>VLOOKUP($A42,ScionOutput!$A$3:$BL$215,22,FALSE)</f>
        <v>8</v>
      </c>
      <c r="D42" t="str">
        <f>VLOOKUP($A42,ScionOutput!$A$3:$BL$215,23,FALSE)</f>
        <v>COL</v>
      </c>
      <c r="E42">
        <f>VLOOKUP($A42,ScionOutput!$A$3:$BL$215,6,FALSE)</f>
        <v>5</v>
      </c>
      <c r="F42" t="str">
        <f>VLOOKUP($A42,ScionOutput!$A$3:$BL$215,7,FALSE)</f>
        <v>CHC</v>
      </c>
      <c r="G42">
        <f>VLOOKUP($A42,ScionOutput!$A$3:$BL$215,26,FALSE)</f>
        <v>141</v>
      </c>
      <c r="H42">
        <f>VLOOKUP($A42,ScionOutput!$A$3:$BL$215,10,FALSE)</f>
        <v>-153</v>
      </c>
      <c r="I42" t="str">
        <f>VLOOKUP($A42,ScionOutput!$A$3:$BL$215,58,FALSE)</f>
        <v>No Play</v>
      </c>
      <c r="J42">
        <f>VLOOKUP($A42,ScionOutput!$A$3:$BL$215,59,FALSE)</f>
        <v>0</v>
      </c>
      <c r="K42">
        <f>VLOOKUP($A42,ScionOutput!$A$3:$BL$215,62,FALSE)</f>
        <v>0</v>
      </c>
      <c r="L42">
        <f>VLOOKUP($A42,ScionOutput!$A$3:$BL$215,63,FALSE)</f>
        <v>0</v>
      </c>
      <c r="M42" t="b">
        <f t="shared" si="1"/>
        <v>0</v>
      </c>
      <c r="N42">
        <f>VLOOKUP($A42,Outcomes!$B$3:$I$209,8,FALSE)</f>
        <v>10</v>
      </c>
      <c r="O42">
        <f t="shared" si="2"/>
        <v>1</v>
      </c>
      <c r="P42">
        <f>VLOOKUP($A42,Outcomes!$B$3:$I$209,5,FALSE)</f>
        <v>7</v>
      </c>
      <c r="Q42">
        <f>VLOOKUP($A42,Outcomes!$B$3:$I$209,6,FALSE)</f>
        <v>3</v>
      </c>
      <c r="R42">
        <f>VLOOKUP($A42,Outcomes!$B$3:$I$209,7,FALSE)</f>
        <v>-4</v>
      </c>
      <c r="S42" t="str">
        <f t="shared" si="3"/>
        <v>HomDog</v>
      </c>
      <c r="T42" t="str">
        <f t="shared" si="4"/>
        <v/>
      </c>
      <c r="U42" t="str">
        <f t="shared" si="0"/>
        <v/>
      </c>
      <c r="V42" t="str">
        <f t="shared" si="5"/>
        <v/>
      </c>
      <c r="W42" t="str">
        <f t="shared" si="6"/>
        <v/>
      </c>
      <c r="X42" s="2" t="str">
        <f t="shared" si="7"/>
        <v/>
      </c>
      <c r="Y42" t="str">
        <f>VLOOKUP($A42,ScionOutput!$A$3:$BL$215,64,FALSE)</f>
        <v xml:space="preserve">824347. VF plays are disallowed. No play due to strategy constraints. </v>
      </c>
    </row>
    <row r="43" spans="1:25" x14ac:dyDescent="0.2">
      <c r="A43">
        <v>824591</v>
      </c>
      <c r="B43" s="3">
        <f>VLOOKUP($A43,ScionOutput!$A$3:$BL$215,3,FALSE)</f>
        <v>46182</v>
      </c>
      <c r="C43">
        <f>VLOOKUP($A43,ScionOutput!$A$3:$BL$215,22,FALSE)</f>
        <v>9</v>
      </c>
      <c r="D43" t="str">
        <f>VLOOKUP($A43,ScionOutput!$A$3:$BL$215,23,FALSE)</f>
        <v>CWS</v>
      </c>
      <c r="E43">
        <f>VLOOKUP($A43,ScionOutput!$A$3:$BL$215,6,FALSE)</f>
        <v>0</v>
      </c>
      <c r="F43" t="str">
        <f>VLOOKUP($A43,ScionOutput!$A$3:$BL$215,7,FALSE)</f>
        <v>ATL</v>
      </c>
      <c r="G43">
        <f>VLOOKUP($A43,ScionOutput!$A$3:$BL$215,26,FALSE)</f>
        <v>139</v>
      </c>
      <c r="H43">
        <f>VLOOKUP($A43,ScionOutput!$A$3:$BL$215,10,FALSE)</f>
        <v>-152</v>
      </c>
      <c r="I43" t="str">
        <f>VLOOKUP($A43,ScionOutput!$A$3:$BL$215,58,FALSE)</f>
        <v>No Play</v>
      </c>
      <c r="J43">
        <f>VLOOKUP($A43,ScionOutput!$A$3:$BL$215,59,FALSE)</f>
        <v>0</v>
      </c>
      <c r="K43">
        <f>VLOOKUP($A43,ScionOutput!$A$3:$BL$215,62,FALSE)</f>
        <v>0</v>
      </c>
      <c r="L43">
        <f>VLOOKUP($A43,ScionOutput!$A$3:$BL$215,63,FALSE)</f>
        <v>0</v>
      </c>
      <c r="M43" t="b">
        <f t="shared" si="1"/>
        <v>0</v>
      </c>
      <c r="N43">
        <f>VLOOKUP($A43,Outcomes!$B$3:$I$209,8,FALSE)</f>
        <v>11</v>
      </c>
      <c r="O43">
        <f t="shared" si="2"/>
        <v>1</v>
      </c>
      <c r="P43">
        <f>VLOOKUP($A43,Outcomes!$B$3:$I$209,5,FALSE)</f>
        <v>6</v>
      </c>
      <c r="Q43">
        <f>VLOOKUP($A43,Outcomes!$B$3:$I$209,6,FALSE)</f>
        <v>5</v>
      </c>
      <c r="R43">
        <f>VLOOKUP($A43,Outcomes!$B$3:$I$209,7,FALSE)</f>
        <v>-1</v>
      </c>
      <c r="S43" t="str">
        <f t="shared" si="3"/>
        <v>HomDog</v>
      </c>
      <c r="T43" t="str">
        <f t="shared" si="4"/>
        <v/>
      </c>
      <c r="U43" t="str">
        <f t="shared" si="0"/>
        <v/>
      </c>
      <c r="V43" t="str">
        <f t="shared" si="5"/>
        <v/>
      </c>
      <c r="W43" t="str">
        <f t="shared" si="6"/>
        <v/>
      </c>
      <c r="X43" s="2" t="str">
        <f t="shared" si="7"/>
        <v/>
      </c>
      <c r="Y43" t="str">
        <f>VLOOKUP($A43,ScionOutput!$A$3:$BL$215,64,FALSE)</f>
        <v xml:space="preserve">824591. LineStatEns price is outside allowable range! VF plays are disallowed. No play due to strategy constraints. </v>
      </c>
    </row>
    <row r="44" spans="1:25" x14ac:dyDescent="0.2">
      <c r="A44">
        <v>824267</v>
      </c>
      <c r="B44" s="3">
        <f>VLOOKUP($A44,ScionOutput!$A$3:$BL$215,3,FALSE)</f>
        <v>46182</v>
      </c>
      <c r="C44">
        <f>VLOOKUP($A44,ScionOutput!$A$3:$BL$215,22,FALSE)</f>
        <v>10</v>
      </c>
      <c r="D44" t="str">
        <f>VLOOKUP($A44,ScionOutput!$A$3:$BL$215,23,FALSE)</f>
        <v>DET</v>
      </c>
      <c r="E44">
        <f>VLOOKUP($A44,ScionOutput!$A$3:$BL$215,6,FALSE)</f>
        <v>15</v>
      </c>
      <c r="F44" t="str">
        <f>VLOOKUP($A44,ScionOutput!$A$3:$BL$215,7,FALSE)</f>
        <v>MIN</v>
      </c>
      <c r="G44">
        <f>VLOOKUP($A44,ScionOutput!$A$3:$BL$215,26,FALSE)</f>
        <v>-122</v>
      </c>
      <c r="H44">
        <f>VLOOKUP($A44,ScionOutput!$A$3:$BL$215,10,FALSE)</f>
        <v>112</v>
      </c>
      <c r="I44" t="str">
        <f>VLOOKUP($A44,ScionOutput!$A$3:$BL$215,58,FALSE)</f>
        <v>No Play</v>
      </c>
      <c r="J44">
        <f>VLOOKUP($A44,ScionOutput!$A$3:$BL$215,59,FALSE)</f>
        <v>0</v>
      </c>
      <c r="K44">
        <f>VLOOKUP($A44,ScionOutput!$A$3:$BL$215,62,FALSE)</f>
        <v>0</v>
      </c>
      <c r="L44">
        <f>VLOOKUP($A44,ScionOutput!$A$3:$BL$215,63,FALSE)</f>
        <v>0</v>
      </c>
      <c r="M44" t="b">
        <f t="shared" si="1"/>
        <v>0</v>
      </c>
      <c r="N44">
        <f>VLOOKUP($A44,Outcomes!$B$3:$I$209,8,FALSE)</f>
        <v>14</v>
      </c>
      <c r="O44">
        <f t="shared" si="2"/>
        <v>1</v>
      </c>
      <c r="P44">
        <f>VLOOKUP($A44,Outcomes!$B$3:$I$209,5,FALSE)</f>
        <v>10</v>
      </c>
      <c r="Q44">
        <f>VLOOKUP($A44,Outcomes!$B$3:$I$209,6,FALSE)</f>
        <v>4</v>
      </c>
      <c r="R44">
        <f>VLOOKUP($A44,Outcomes!$B$3:$I$209,7,FALSE)</f>
        <v>-6</v>
      </c>
      <c r="S44" t="str">
        <f t="shared" si="3"/>
        <v>HomFave</v>
      </c>
      <c r="T44" t="str">
        <f t="shared" si="4"/>
        <v/>
      </c>
      <c r="U44" t="str">
        <f t="shared" si="0"/>
        <v/>
      </c>
      <c r="V44" t="str">
        <f t="shared" si="5"/>
        <v/>
      </c>
      <c r="W44" t="str">
        <f t="shared" si="6"/>
        <v/>
      </c>
      <c r="X44" s="2" t="str">
        <f t="shared" si="7"/>
        <v/>
      </c>
      <c r="Y44" t="str">
        <f>VLOOKUP($A44,ScionOutput!$A$3:$BL$215,64,FALSE)</f>
        <v xml:space="preserve">824267. LineStatEns probability points gap does not exceed threshold (no edge found)! StatOnlyEns probability points gap does not exceed threshold (no edge found)! No play due to strategy constraints. </v>
      </c>
    </row>
    <row r="45" spans="1:25" x14ac:dyDescent="0.2">
      <c r="A45">
        <v>823858</v>
      </c>
      <c r="B45" s="3">
        <f>VLOOKUP($A45,ScionOutput!$A$3:$BL$215,3,FALSE)</f>
        <v>46182</v>
      </c>
      <c r="C45">
        <f>VLOOKUP($A45,ScionOutput!$A$3:$BL$215,22,FALSE)</f>
        <v>11</v>
      </c>
      <c r="D45" t="str">
        <f>VLOOKUP($A45,ScionOutput!$A$3:$BL$215,23,FALSE)</f>
        <v>FLO</v>
      </c>
      <c r="E45">
        <f>VLOOKUP($A45,ScionOutput!$A$3:$BL$215,6,FALSE)</f>
        <v>1</v>
      </c>
      <c r="F45" t="str">
        <f>VLOOKUP($A45,ScionOutput!$A$3:$BL$215,7,FALSE)</f>
        <v>ARZ</v>
      </c>
      <c r="G45">
        <f>VLOOKUP($A45,ScionOutput!$A$3:$BL$215,26,FALSE)</f>
        <v>-135</v>
      </c>
      <c r="H45">
        <f>VLOOKUP($A45,ScionOutput!$A$3:$BL$215,10,FALSE)</f>
        <v>124</v>
      </c>
      <c r="I45" t="str">
        <f>VLOOKUP($A45,ScionOutput!$A$3:$BL$215,58,FALSE)</f>
        <v>No Play</v>
      </c>
      <c r="J45">
        <f>VLOOKUP($A45,ScionOutput!$A$3:$BL$215,59,FALSE)</f>
        <v>0</v>
      </c>
      <c r="K45">
        <f>VLOOKUP($A45,ScionOutput!$A$3:$BL$215,62,FALSE)</f>
        <v>0</v>
      </c>
      <c r="L45">
        <f>VLOOKUP($A45,ScionOutput!$A$3:$BL$215,63,FALSE)</f>
        <v>0</v>
      </c>
      <c r="M45" t="b">
        <f t="shared" si="1"/>
        <v>0</v>
      </c>
      <c r="N45">
        <f>VLOOKUP($A45,Outcomes!$B$3:$I$209,8,FALSE)</f>
        <v>16</v>
      </c>
      <c r="O45">
        <f t="shared" si="2"/>
        <v>1</v>
      </c>
      <c r="P45">
        <f>VLOOKUP($A45,Outcomes!$B$3:$I$209,5,FALSE)</f>
        <v>10</v>
      </c>
      <c r="Q45">
        <f>VLOOKUP($A45,Outcomes!$B$3:$I$209,6,FALSE)</f>
        <v>6</v>
      </c>
      <c r="R45">
        <f>VLOOKUP($A45,Outcomes!$B$3:$I$209,7,FALSE)</f>
        <v>-4</v>
      </c>
      <c r="S45" t="str">
        <f t="shared" si="3"/>
        <v>HomFave</v>
      </c>
      <c r="T45" t="str">
        <f t="shared" si="4"/>
        <v/>
      </c>
      <c r="U45" t="str">
        <f t="shared" si="0"/>
        <v/>
      </c>
      <c r="V45" t="str">
        <f t="shared" si="5"/>
        <v/>
      </c>
      <c r="W45" t="str">
        <f t="shared" si="6"/>
        <v/>
      </c>
      <c r="X45" s="2" t="str">
        <f t="shared" si="7"/>
        <v/>
      </c>
      <c r="Y45" t="str">
        <f>VLOOKUP($A45,ScionOutput!$A$3:$BL$215,64,FALSE)</f>
        <v xml:space="preserve">823858. LineStatEns probability points gap does not exceed threshold (no edge found)! StatOnlyEns probability points gap does not exceed threshold (no edge found)! No play due to strategy constraints. </v>
      </c>
    </row>
    <row r="46" spans="1:25" x14ac:dyDescent="0.2">
      <c r="A46">
        <v>824105</v>
      </c>
      <c r="B46" s="3">
        <f>VLOOKUP($A46,ScionOutput!$A$3:$BL$215,3,FALSE)</f>
        <v>46182</v>
      </c>
      <c r="C46">
        <f>VLOOKUP($A46,ScionOutput!$A$3:$BL$215,22,FALSE)</f>
        <v>13</v>
      </c>
      <c r="D46" t="str">
        <f>VLOOKUP($A46,ScionOutput!$A$3:$BL$215,23,FALSE)</f>
        <v>KC</v>
      </c>
      <c r="E46">
        <f>VLOOKUP($A46,ScionOutput!$A$3:$BL$215,6,FALSE)</f>
        <v>28</v>
      </c>
      <c r="F46" t="str">
        <f>VLOOKUP($A46,ScionOutput!$A$3:$BL$215,7,FALSE)</f>
        <v>TEX</v>
      </c>
      <c r="G46">
        <f>VLOOKUP($A46,ScionOutput!$A$3:$BL$215,26,FALSE)</f>
        <v>110</v>
      </c>
      <c r="H46">
        <f>VLOOKUP($A46,ScionOutput!$A$3:$BL$215,10,FALSE)</f>
        <v>-120</v>
      </c>
      <c r="I46" t="str">
        <f>VLOOKUP($A46,ScionOutput!$A$3:$BL$215,58,FALSE)</f>
        <v>No Play</v>
      </c>
      <c r="J46">
        <f>VLOOKUP($A46,ScionOutput!$A$3:$BL$215,59,FALSE)</f>
        <v>0</v>
      </c>
      <c r="K46">
        <f>VLOOKUP($A46,ScionOutput!$A$3:$BL$215,62,FALSE)</f>
        <v>0</v>
      </c>
      <c r="L46">
        <f>VLOOKUP($A46,ScionOutput!$A$3:$BL$215,63,FALSE)</f>
        <v>0</v>
      </c>
      <c r="M46" t="b">
        <f t="shared" si="1"/>
        <v>0</v>
      </c>
      <c r="N46">
        <f>VLOOKUP($A46,Outcomes!$B$3:$I$209,8,FALSE)</f>
        <v>8</v>
      </c>
      <c r="O46">
        <f t="shared" si="2"/>
        <v>1</v>
      </c>
      <c r="P46">
        <f>VLOOKUP($A46,Outcomes!$B$3:$I$209,5,FALSE)</f>
        <v>5</v>
      </c>
      <c r="Q46">
        <f>VLOOKUP($A46,Outcomes!$B$3:$I$209,6,FALSE)</f>
        <v>3</v>
      </c>
      <c r="R46">
        <f>VLOOKUP($A46,Outcomes!$B$3:$I$209,7,FALSE)</f>
        <v>-2</v>
      </c>
      <c r="S46" t="str">
        <f t="shared" si="3"/>
        <v>HomDog</v>
      </c>
      <c r="T46" t="str">
        <f t="shared" si="4"/>
        <v/>
      </c>
      <c r="U46" t="str">
        <f t="shared" si="0"/>
        <v/>
      </c>
      <c r="V46" t="str">
        <f t="shared" si="5"/>
        <v/>
      </c>
      <c r="W46" t="str">
        <f t="shared" si="6"/>
        <v/>
      </c>
      <c r="X46" s="2" t="str">
        <f t="shared" si="7"/>
        <v/>
      </c>
      <c r="Y46" t="str">
        <f>VLOOKUP($A46,ScionOutput!$A$3:$BL$215,64,FALSE)</f>
        <v xml:space="preserve">824105. VF plays are disallowed. No play due to strategy constraints. </v>
      </c>
    </row>
    <row r="47" spans="1:25" x14ac:dyDescent="0.2">
      <c r="A47">
        <v>823620</v>
      </c>
      <c r="B47" s="3">
        <f>VLOOKUP($A47,ScionOutput!$A$3:$BL$215,3,FALSE)</f>
        <v>46182</v>
      </c>
      <c r="C47">
        <f>VLOOKUP($A47,ScionOutput!$A$3:$BL$215,22,FALSE)</f>
        <v>18</v>
      </c>
      <c r="D47" t="str">
        <f>VLOOKUP($A47,ScionOutput!$A$3:$BL$215,23,FALSE)</f>
        <v>NYM</v>
      </c>
      <c r="E47">
        <f>VLOOKUP($A47,ScionOutput!$A$3:$BL$215,6,FALSE)</f>
        <v>26</v>
      </c>
      <c r="F47" t="str">
        <f>VLOOKUP($A47,ScionOutput!$A$3:$BL$215,7,FALSE)</f>
        <v>STL</v>
      </c>
      <c r="G47">
        <f>VLOOKUP($A47,ScionOutput!$A$3:$BL$215,26,FALSE)</f>
        <v>-125</v>
      </c>
      <c r="H47">
        <f>VLOOKUP($A47,ScionOutput!$A$3:$BL$215,10,FALSE)</f>
        <v>115</v>
      </c>
      <c r="I47" t="str">
        <f>VLOOKUP($A47,ScionOutput!$A$3:$BL$215,58,FALSE)</f>
        <v>No Play</v>
      </c>
      <c r="J47">
        <f>VLOOKUP($A47,ScionOutput!$A$3:$BL$215,59,FALSE)</f>
        <v>0</v>
      </c>
      <c r="K47">
        <f>VLOOKUP($A47,ScionOutput!$A$3:$BL$215,62,FALSE)</f>
        <v>0</v>
      </c>
      <c r="L47">
        <f>VLOOKUP($A47,ScionOutput!$A$3:$BL$215,63,FALSE)</f>
        <v>0</v>
      </c>
      <c r="M47" t="b">
        <f t="shared" si="1"/>
        <v>0</v>
      </c>
      <c r="N47">
        <f>VLOOKUP($A47,Outcomes!$B$3:$I$209,8,FALSE)</f>
        <v>7</v>
      </c>
      <c r="O47">
        <f t="shared" si="2"/>
        <v>-1</v>
      </c>
      <c r="P47">
        <f>VLOOKUP($A47,Outcomes!$B$3:$I$209,5,FALSE)</f>
        <v>0</v>
      </c>
      <c r="Q47">
        <f>VLOOKUP($A47,Outcomes!$B$3:$I$209,6,FALSE)</f>
        <v>7</v>
      </c>
      <c r="R47">
        <f>VLOOKUP($A47,Outcomes!$B$3:$I$209,7,FALSE)</f>
        <v>7</v>
      </c>
      <c r="S47" t="str">
        <f t="shared" si="3"/>
        <v>VisDog</v>
      </c>
      <c r="T47" t="str">
        <f t="shared" si="4"/>
        <v/>
      </c>
      <c r="U47" t="str">
        <f t="shared" si="0"/>
        <v/>
      </c>
      <c r="V47" t="str">
        <f t="shared" si="5"/>
        <v/>
      </c>
      <c r="W47" t="str">
        <f t="shared" si="6"/>
        <v/>
      </c>
      <c r="X47" s="2" t="str">
        <f t="shared" si="7"/>
        <v/>
      </c>
      <c r="Y47" t="str">
        <f>VLOOKUP($A47,ScionOutput!$A$3:$BL$215,64,FALSE)</f>
        <v xml:space="preserve">823620. LineStatEns probability points gap does not exceed threshold (no edge found)! StatOnlyEns probability points gap does not exceed threshold (no edge found)! No play due to strategy constraints. </v>
      </c>
    </row>
    <row r="48" spans="1:25" x14ac:dyDescent="0.2">
      <c r="A48">
        <v>824999</v>
      </c>
      <c r="B48" s="3">
        <f>VLOOKUP($A48,ScionOutput!$A$3:$BL$215,3,FALSE)</f>
        <v>46182</v>
      </c>
      <c r="C48">
        <f>VLOOKUP($A48,ScionOutput!$A$3:$BL$215,22,FALSE)</f>
        <v>20</v>
      </c>
      <c r="D48" t="str">
        <f>VLOOKUP($A48,ScionOutput!$A$3:$BL$215,23,FALSE)</f>
        <v>OAK</v>
      </c>
      <c r="E48">
        <f>VLOOKUP($A48,ScionOutput!$A$3:$BL$215,6,FALSE)</f>
        <v>17</v>
      </c>
      <c r="F48" t="str">
        <f>VLOOKUP($A48,ScionOutput!$A$3:$BL$215,7,FALSE)</f>
        <v>MLW</v>
      </c>
      <c r="G48">
        <f>VLOOKUP($A48,ScionOutput!$A$3:$BL$215,26,FALSE)</f>
        <v>-106</v>
      </c>
      <c r="H48">
        <f>VLOOKUP($A48,ScionOutput!$A$3:$BL$215,10,FALSE)</f>
        <v>-102</v>
      </c>
      <c r="I48" t="str">
        <f>VLOOKUP($A48,ScionOutput!$A$3:$BL$215,58,FALSE)</f>
        <v>No Play</v>
      </c>
      <c r="J48">
        <f>VLOOKUP($A48,ScionOutput!$A$3:$BL$215,59,FALSE)</f>
        <v>0</v>
      </c>
      <c r="K48">
        <f>VLOOKUP($A48,ScionOutput!$A$3:$BL$215,62,FALSE)</f>
        <v>0</v>
      </c>
      <c r="L48">
        <f>VLOOKUP($A48,ScionOutput!$A$3:$BL$215,63,FALSE)</f>
        <v>0</v>
      </c>
      <c r="M48" t="b">
        <f t="shared" si="1"/>
        <v>0</v>
      </c>
      <c r="N48">
        <f>VLOOKUP($A48,Outcomes!$B$3:$I$209,8,FALSE)</f>
        <v>12</v>
      </c>
      <c r="O48">
        <f t="shared" si="2"/>
        <v>1</v>
      </c>
      <c r="P48">
        <f>VLOOKUP($A48,Outcomes!$B$3:$I$209,5,FALSE)</f>
        <v>7</v>
      </c>
      <c r="Q48">
        <f>VLOOKUP($A48,Outcomes!$B$3:$I$209,6,FALSE)</f>
        <v>5</v>
      </c>
      <c r="R48">
        <f>VLOOKUP($A48,Outcomes!$B$3:$I$209,7,FALSE)</f>
        <v>-2</v>
      </c>
      <c r="S48" t="str">
        <f t="shared" si="3"/>
        <v>HomFave</v>
      </c>
      <c r="T48" t="str">
        <f t="shared" si="4"/>
        <v/>
      </c>
      <c r="U48" t="str">
        <f t="shared" si="0"/>
        <v/>
      </c>
      <c r="V48" t="str">
        <f t="shared" si="5"/>
        <v/>
      </c>
      <c r="W48" t="str">
        <f t="shared" si="6"/>
        <v/>
      </c>
      <c r="X48" s="2" t="str">
        <f t="shared" si="7"/>
        <v/>
      </c>
      <c r="Y48" t="str">
        <f>VLOOKUP($A48,ScionOutput!$A$3:$BL$215,64,FALSE)</f>
        <v xml:space="preserve">824999. LineStatEns probability points gap does not exceed threshold (no edge found)! No play due to strategy constraints. </v>
      </c>
    </row>
    <row r="49" spans="1:25" x14ac:dyDescent="0.2">
      <c r="A49">
        <v>823374</v>
      </c>
      <c r="B49" s="3">
        <f>VLOOKUP($A49,ScionOutput!$A$3:$BL$215,3,FALSE)</f>
        <v>46182</v>
      </c>
      <c r="C49">
        <f>VLOOKUP($A49,ScionOutput!$A$3:$BL$215,22,FALSE)</f>
        <v>22</v>
      </c>
      <c r="D49" t="str">
        <f>VLOOKUP($A49,ScionOutput!$A$3:$BL$215,23,FALSE)</f>
        <v>PIT</v>
      </c>
      <c r="E49">
        <f>VLOOKUP($A49,ScionOutput!$A$3:$BL$215,6,FALSE)</f>
        <v>14</v>
      </c>
      <c r="F49" t="str">
        <f>VLOOKUP($A49,ScionOutput!$A$3:$BL$215,7,FALSE)</f>
        <v>LA</v>
      </c>
      <c r="G49">
        <f>VLOOKUP($A49,ScionOutput!$A$3:$BL$215,26,FALSE)</f>
        <v>-112</v>
      </c>
      <c r="H49">
        <f>VLOOKUP($A49,ScionOutput!$A$3:$BL$215,10,FALSE)</f>
        <v>104</v>
      </c>
      <c r="I49" t="str">
        <f>VLOOKUP($A49,ScionOutput!$A$3:$BL$215,58,FALSE)</f>
        <v>No Play</v>
      </c>
      <c r="J49">
        <f>VLOOKUP($A49,ScionOutput!$A$3:$BL$215,59,FALSE)</f>
        <v>0</v>
      </c>
      <c r="K49">
        <f>VLOOKUP($A49,ScionOutput!$A$3:$BL$215,62,FALSE)</f>
        <v>0</v>
      </c>
      <c r="L49">
        <f>VLOOKUP($A49,ScionOutput!$A$3:$BL$215,63,FALSE)</f>
        <v>0</v>
      </c>
      <c r="M49" t="b">
        <f t="shared" si="1"/>
        <v>0</v>
      </c>
      <c r="N49">
        <f>VLOOKUP($A49,Outcomes!$B$3:$I$209,8,FALSE)</f>
        <v>15</v>
      </c>
      <c r="O49">
        <f t="shared" si="2"/>
        <v>-1</v>
      </c>
      <c r="P49">
        <f>VLOOKUP($A49,Outcomes!$B$3:$I$209,5,FALSE)</f>
        <v>3</v>
      </c>
      <c r="Q49">
        <f>VLOOKUP($A49,Outcomes!$B$3:$I$209,6,FALSE)</f>
        <v>12</v>
      </c>
      <c r="R49">
        <f>VLOOKUP($A49,Outcomes!$B$3:$I$209,7,FALSE)</f>
        <v>9</v>
      </c>
      <c r="S49" t="str">
        <f t="shared" si="3"/>
        <v>VisDog</v>
      </c>
      <c r="T49" t="str">
        <f t="shared" si="4"/>
        <v/>
      </c>
      <c r="U49" t="str">
        <f t="shared" si="0"/>
        <v/>
      </c>
      <c r="V49" t="str">
        <f t="shared" si="5"/>
        <v/>
      </c>
      <c r="W49" t="str">
        <f t="shared" si="6"/>
        <v/>
      </c>
      <c r="X49" s="2" t="str">
        <f t="shared" si="7"/>
        <v/>
      </c>
      <c r="Y49" t="str">
        <f>VLOOKUP($A49,ScionOutput!$A$3:$BL$215,64,FALSE)</f>
        <v xml:space="preserve">823374. LineStatEns probability points gap does not exceed threshold (no edge found)! No play due to strategy constraints. </v>
      </c>
    </row>
    <row r="50" spans="1:25" x14ac:dyDescent="0.2">
      <c r="A50">
        <v>823290</v>
      </c>
      <c r="B50" s="3">
        <f>VLOOKUP($A50,ScionOutput!$A$3:$BL$215,3,FALSE)</f>
        <v>46182</v>
      </c>
      <c r="C50">
        <f>VLOOKUP($A50,ScionOutput!$A$3:$BL$215,22,FALSE)</f>
        <v>23</v>
      </c>
      <c r="D50" t="str">
        <f>VLOOKUP($A50,ScionOutput!$A$3:$BL$215,23,FALSE)</f>
        <v>SD</v>
      </c>
      <c r="E50">
        <f>VLOOKUP($A50,ScionOutput!$A$3:$BL$215,6,FALSE)</f>
        <v>6</v>
      </c>
      <c r="F50" t="str">
        <f>VLOOKUP($A50,ScionOutput!$A$3:$BL$215,7,FALSE)</f>
        <v>CIN</v>
      </c>
      <c r="G50">
        <f>VLOOKUP($A50,ScionOutput!$A$3:$BL$215,26,FALSE)</f>
        <v>114</v>
      </c>
      <c r="H50">
        <f>VLOOKUP($A50,ScionOutput!$A$3:$BL$215,10,FALSE)</f>
        <v>-123</v>
      </c>
      <c r="I50" t="str">
        <f>VLOOKUP($A50,ScionOutput!$A$3:$BL$215,58,FALSE)</f>
        <v>No Play</v>
      </c>
      <c r="J50">
        <f>VLOOKUP($A50,ScionOutput!$A$3:$BL$215,59,FALSE)</f>
        <v>0</v>
      </c>
      <c r="K50">
        <f>VLOOKUP($A50,ScionOutput!$A$3:$BL$215,62,FALSE)</f>
        <v>0</v>
      </c>
      <c r="L50">
        <f>VLOOKUP($A50,ScionOutput!$A$3:$BL$215,63,FALSE)</f>
        <v>0</v>
      </c>
      <c r="M50" t="b">
        <f t="shared" si="1"/>
        <v>0</v>
      </c>
      <c r="N50">
        <f>VLOOKUP($A50,Outcomes!$B$3:$I$209,8,FALSE)</f>
        <v>8</v>
      </c>
      <c r="O50">
        <f t="shared" si="2"/>
        <v>-1</v>
      </c>
      <c r="P50">
        <f>VLOOKUP($A50,Outcomes!$B$3:$I$209,5,FALSE)</f>
        <v>3</v>
      </c>
      <c r="Q50">
        <f>VLOOKUP($A50,Outcomes!$B$3:$I$209,6,FALSE)</f>
        <v>5</v>
      </c>
      <c r="R50">
        <f>VLOOKUP($A50,Outcomes!$B$3:$I$209,7,FALSE)</f>
        <v>2</v>
      </c>
      <c r="S50" t="str">
        <f t="shared" si="3"/>
        <v>VisFave</v>
      </c>
      <c r="T50" t="str">
        <f t="shared" si="4"/>
        <v/>
      </c>
      <c r="U50" t="str">
        <f t="shared" si="0"/>
        <v/>
      </c>
      <c r="V50" t="str">
        <f t="shared" si="5"/>
        <v/>
      </c>
      <c r="W50" t="str">
        <f t="shared" si="6"/>
        <v/>
      </c>
      <c r="X50" s="2" t="str">
        <f t="shared" si="7"/>
        <v/>
      </c>
      <c r="Y50" t="str">
        <f>VLOOKUP($A50,ScionOutput!$A$3:$BL$215,64,FALSE)</f>
        <v xml:space="preserve">823290. VF plays are disallowed. No play due to strategy constraints. </v>
      </c>
    </row>
    <row r="51" spans="1:25" x14ac:dyDescent="0.2">
      <c r="A51">
        <v>823214</v>
      </c>
      <c r="B51" s="3">
        <f>VLOOKUP($A51,ScionOutput!$A$3:$BL$215,3,FALSE)</f>
        <v>46182</v>
      </c>
      <c r="C51">
        <f>VLOOKUP($A51,ScionOutput!$A$3:$BL$215,22,FALSE)</f>
        <v>25</v>
      </c>
      <c r="D51" t="str">
        <f>VLOOKUP($A51,ScionOutput!$A$3:$BL$215,23,FALSE)</f>
        <v>SF</v>
      </c>
      <c r="E51">
        <f>VLOOKUP($A51,ScionOutput!$A$3:$BL$215,6,FALSE)</f>
        <v>16</v>
      </c>
      <c r="F51" t="str">
        <f>VLOOKUP($A51,ScionOutput!$A$3:$BL$215,7,FALSE)</f>
        <v>WAS</v>
      </c>
      <c r="G51">
        <f>VLOOKUP($A51,ScionOutput!$A$3:$BL$215,26,FALSE)</f>
        <v>-104</v>
      </c>
      <c r="H51">
        <f>VLOOKUP($A51,ScionOutput!$A$3:$BL$215,10,FALSE)</f>
        <v>-105</v>
      </c>
      <c r="I51" t="str">
        <f>VLOOKUP($A51,ScionOutput!$A$3:$BL$215,58,FALSE)</f>
        <v>No Play</v>
      </c>
      <c r="J51">
        <f>VLOOKUP($A51,ScionOutput!$A$3:$BL$215,59,FALSE)</f>
        <v>0</v>
      </c>
      <c r="K51">
        <f>VLOOKUP($A51,ScionOutput!$A$3:$BL$215,62,FALSE)</f>
        <v>0</v>
      </c>
      <c r="L51">
        <f>VLOOKUP($A51,ScionOutput!$A$3:$BL$215,63,FALSE)</f>
        <v>0</v>
      </c>
      <c r="M51" t="b">
        <f t="shared" si="1"/>
        <v>0</v>
      </c>
      <c r="N51">
        <f>VLOOKUP($A51,Outcomes!$B$3:$I$209,8,FALSE)</f>
        <v>9</v>
      </c>
      <c r="O51">
        <f t="shared" si="2"/>
        <v>-1</v>
      </c>
      <c r="P51">
        <f>VLOOKUP($A51,Outcomes!$B$3:$I$209,5,FALSE)</f>
        <v>3</v>
      </c>
      <c r="Q51">
        <f>VLOOKUP($A51,Outcomes!$B$3:$I$209,6,FALSE)</f>
        <v>6</v>
      </c>
      <c r="R51">
        <f>VLOOKUP($A51,Outcomes!$B$3:$I$209,7,FALSE)</f>
        <v>3</v>
      </c>
      <c r="S51" t="str">
        <f t="shared" si="3"/>
        <v>VisFave</v>
      </c>
      <c r="T51" t="str">
        <f t="shared" si="4"/>
        <v/>
      </c>
      <c r="U51" t="str">
        <f t="shared" si="0"/>
        <v/>
      </c>
      <c r="V51" t="str">
        <f t="shared" si="5"/>
        <v/>
      </c>
      <c r="W51" t="str">
        <f t="shared" si="6"/>
        <v/>
      </c>
      <c r="X51" s="2" t="str">
        <f t="shared" si="7"/>
        <v/>
      </c>
      <c r="Y51" t="str">
        <f>VLOOKUP($A51,ScionOutput!$A$3:$BL$215,64,FALSE)</f>
        <v xml:space="preserve">823214. VF plays are disallowed. No play due to strategy constraints. </v>
      </c>
    </row>
    <row r="52" spans="1:25" x14ac:dyDescent="0.2">
      <c r="A52">
        <v>822969</v>
      </c>
      <c r="B52" s="3">
        <f>VLOOKUP($A52,ScionOutput!$A$3:$BL$215,3,FALSE)</f>
        <v>46182</v>
      </c>
      <c r="C52">
        <f>VLOOKUP($A52,ScionOutput!$A$3:$BL$215,22,FALSE)</f>
        <v>27</v>
      </c>
      <c r="D52" t="str">
        <f>VLOOKUP($A52,ScionOutput!$A$3:$BL$215,23,FALSE)</f>
        <v>TB</v>
      </c>
      <c r="E52">
        <f>VLOOKUP($A52,ScionOutput!$A$3:$BL$215,6,FALSE)</f>
        <v>3</v>
      </c>
      <c r="F52" t="str">
        <f>VLOOKUP($A52,ScionOutput!$A$3:$BL$215,7,FALSE)</f>
        <v>BOS</v>
      </c>
      <c r="G52">
        <f>VLOOKUP($A52,ScionOutput!$A$3:$BL$215,26,FALSE)</f>
        <v>107</v>
      </c>
      <c r="H52">
        <f>VLOOKUP($A52,ScionOutput!$A$3:$BL$215,10,FALSE)</f>
        <v>-115</v>
      </c>
      <c r="I52" t="str">
        <f>VLOOKUP($A52,ScionOutput!$A$3:$BL$215,58,FALSE)</f>
        <v>No Play</v>
      </c>
      <c r="J52">
        <f>VLOOKUP($A52,ScionOutput!$A$3:$BL$215,59,FALSE)</f>
        <v>0</v>
      </c>
      <c r="K52">
        <f>VLOOKUP($A52,ScionOutput!$A$3:$BL$215,62,FALSE)</f>
        <v>0</v>
      </c>
      <c r="L52">
        <f>VLOOKUP($A52,ScionOutput!$A$3:$BL$215,63,FALSE)</f>
        <v>0</v>
      </c>
      <c r="M52" t="b">
        <f t="shared" si="1"/>
        <v>0</v>
      </c>
      <c r="N52">
        <f>VLOOKUP($A52,Outcomes!$B$3:$I$209,8,FALSE)</f>
        <v>7</v>
      </c>
      <c r="O52">
        <f t="shared" si="2"/>
        <v>1</v>
      </c>
      <c r="P52">
        <f>VLOOKUP($A52,Outcomes!$B$3:$I$209,5,FALSE)</f>
        <v>4</v>
      </c>
      <c r="Q52">
        <f>VLOOKUP($A52,Outcomes!$B$3:$I$209,6,FALSE)</f>
        <v>3</v>
      </c>
      <c r="R52">
        <f>VLOOKUP($A52,Outcomes!$B$3:$I$209,7,FALSE)</f>
        <v>-1</v>
      </c>
      <c r="S52" t="str">
        <f t="shared" si="3"/>
        <v>HomDog</v>
      </c>
      <c r="T52" t="str">
        <f t="shared" si="4"/>
        <v/>
      </c>
      <c r="U52" t="str">
        <f t="shared" si="0"/>
        <v/>
      </c>
      <c r="V52" t="str">
        <f t="shared" si="5"/>
        <v/>
      </c>
      <c r="W52" t="str">
        <f t="shared" si="6"/>
        <v/>
      </c>
      <c r="X52" s="2" t="str">
        <f t="shared" si="7"/>
        <v/>
      </c>
      <c r="Y52" t="str">
        <f>VLOOKUP($A52,ScionOutput!$A$3:$BL$215,64,FALSE)</f>
        <v xml:space="preserve">822969. VF plays are disallowed. No play due to strategy constraints. </v>
      </c>
    </row>
    <row r="53" spans="1:25" x14ac:dyDescent="0.2">
      <c r="A53">
        <v>822805</v>
      </c>
      <c r="B53" s="3">
        <f>VLOOKUP($A53,ScionOutput!$A$3:$BL$215,3,FALSE)</f>
        <v>46182</v>
      </c>
      <c r="C53">
        <f>VLOOKUP($A53,ScionOutput!$A$3:$BL$215,22,FALSE)</f>
        <v>29</v>
      </c>
      <c r="D53" t="str">
        <f>VLOOKUP($A53,ScionOutput!$A$3:$BL$215,23,FALSE)</f>
        <v>TOR</v>
      </c>
      <c r="E53">
        <f>VLOOKUP($A53,ScionOutput!$A$3:$BL$215,6,FALSE)</f>
        <v>21</v>
      </c>
      <c r="F53" t="str">
        <f>VLOOKUP($A53,ScionOutput!$A$3:$BL$215,7,FALSE)</f>
        <v>PHI</v>
      </c>
      <c r="G53">
        <f>VLOOKUP($A53,ScionOutput!$A$3:$BL$215,26,FALSE)</f>
        <v>-107</v>
      </c>
      <c r="H53">
        <f>VLOOKUP($A53,ScionOutput!$A$3:$BL$215,10,FALSE)</f>
        <v>-101</v>
      </c>
      <c r="I53" t="str">
        <f>VLOOKUP($A53,ScionOutput!$A$3:$BL$215,58,FALSE)</f>
        <v>HomFave</v>
      </c>
      <c r="J53">
        <f>VLOOKUP($A53,ScionOutput!$A$3:$BL$215,59,FALSE)</f>
        <v>2.2929999999999999E-2</v>
      </c>
      <c r="K53">
        <f>VLOOKUP($A53,ScionOutput!$A$3:$BL$215,62,FALSE)</f>
        <v>3</v>
      </c>
      <c r="L53">
        <f>VLOOKUP($A53,ScionOutput!$A$3:$BL$215,63,FALSE)</f>
        <v>0.8</v>
      </c>
      <c r="M53" t="b">
        <f t="shared" si="1"/>
        <v>0</v>
      </c>
      <c r="N53">
        <f>VLOOKUP($A53,Outcomes!$B$3:$I$209,8,FALSE)</f>
        <v>5</v>
      </c>
      <c r="O53">
        <f t="shared" si="2"/>
        <v>1</v>
      </c>
      <c r="P53">
        <f>VLOOKUP($A53,Outcomes!$B$3:$I$209,5,FALSE)</f>
        <v>3</v>
      </c>
      <c r="Q53">
        <f>VLOOKUP($A53,Outcomes!$B$3:$I$209,6,FALSE)</f>
        <v>2</v>
      </c>
      <c r="R53">
        <f>VLOOKUP($A53,Outcomes!$B$3:$I$209,7,FALSE)</f>
        <v>-1</v>
      </c>
      <c r="S53" t="str">
        <f t="shared" si="3"/>
        <v>HomFave</v>
      </c>
      <c r="T53" t="str">
        <f t="shared" si="4"/>
        <v/>
      </c>
      <c r="U53" t="str">
        <f t="shared" si="0"/>
        <v/>
      </c>
      <c r="V53" t="str">
        <f t="shared" si="5"/>
        <v/>
      </c>
      <c r="W53" t="str">
        <f t="shared" si="6"/>
        <v/>
      </c>
      <c r="X53" s="2" t="str">
        <f t="shared" si="7"/>
        <v/>
      </c>
      <c r="Y53" t="str">
        <f>VLOOKUP($A53,ScionOutput!$A$3:$BL$215,64,FALSE)</f>
        <v xml:space="preserve">822805. StatOnlyEns probability points gap does not exceed threshold (no edge found)! Play determined by LineStatEns only. </v>
      </c>
    </row>
    <row r="54" spans="1:25" x14ac:dyDescent="0.2">
      <c r="A54">
        <v>824831</v>
      </c>
      <c r="B54" s="3">
        <f>VLOOKUP($A54,ScionOutput!$A$3:$BL$215,3,FALSE)</f>
        <v>46183</v>
      </c>
      <c r="C54">
        <f>VLOOKUP($A54,ScionOutput!$A$3:$BL$215,22,FALSE)</f>
        <v>2</v>
      </c>
      <c r="D54" t="str">
        <f>VLOOKUP($A54,ScionOutput!$A$3:$BL$215,23,FALSE)</f>
        <v>BAL</v>
      </c>
      <c r="E54">
        <f>VLOOKUP($A54,ScionOutput!$A$3:$BL$215,6,FALSE)</f>
        <v>24</v>
      </c>
      <c r="F54" t="str">
        <f>VLOOKUP($A54,ScionOutput!$A$3:$BL$215,7,FALSE)</f>
        <v>SEA</v>
      </c>
      <c r="G54">
        <f>VLOOKUP($A54,ScionOutput!$A$3:$BL$215,26,FALSE)</f>
        <v>-104</v>
      </c>
      <c r="H54">
        <f>VLOOKUP($A54,ScionOutput!$A$3:$BL$215,10,FALSE)</f>
        <v>-104</v>
      </c>
      <c r="I54" t="str">
        <f>VLOOKUP($A54,ScionOutput!$A$3:$BL$215,58,FALSE)</f>
        <v>No Play</v>
      </c>
      <c r="J54">
        <f>VLOOKUP($A54,ScionOutput!$A$3:$BL$215,59,FALSE)</f>
        <v>0</v>
      </c>
      <c r="K54">
        <f>VLOOKUP($A54,ScionOutput!$A$3:$BL$215,62,FALSE)</f>
        <v>0</v>
      </c>
      <c r="L54">
        <f>VLOOKUP($A54,ScionOutput!$A$3:$BL$215,63,FALSE)</f>
        <v>0</v>
      </c>
      <c r="M54" t="b">
        <f t="shared" si="1"/>
        <v>0</v>
      </c>
      <c r="N54">
        <f>VLOOKUP($A54,Outcomes!$B$3:$I$209,8,FALSE)</f>
        <v>9</v>
      </c>
      <c r="O54">
        <f t="shared" si="2"/>
        <v>1</v>
      </c>
      <c r="P54">
        <f>VLOOKUP($A54,Outcomes!$B$3:$I$209,5,FALSE)</f>
        <v>7</v>
      </c>
      <c r="Q54">
        <f>VLOOKUP($A54,Outcomes!$B$3:$I$209,6,FALSE)</f>
        <v>2</v>
      </c>
      <c r="R54">
        <f>VLOOKUP($A54,Outcomes!$B$3:$I$209,7,FALSE)</f>
        <v>-5</v>
      </c>
      <c r="S54" t="str">
        <f t="shared" si="3"/>
        <v>HomDog</v>
      </c>
      <c r="T54" t="str">
        <f t="shared" si="4"/>
        <v/>
      </c>
      <c r="U54" t="str">
        <f t="shared" si="0"/>
        <v/>
      </c>
      <c r="V54" t="str">
        <f t="shared" si="5"/>
        <v/>
      </c>
      <c r="W54" t="str">
        <f t="shared" si="6"/>
        <v/>
      </c>
      <c r="X54" s="2" t="str">
        <f t="shared" si="7"/>
        <v/>
      </c>
      <c r="Y54" t="str">
        <f>VLOOKUP($A54,ScionOutput!$A$3:$BL$215,64,FALSE)</f>
        <v xml:space="preserve">824831. VF plays are disallowed. No play due to strategy constraints. </v>
      </c>
    </row>
    <row r="55" spans="1:25" x14ac:dyDescent="0.2">
      <c r="A55">
        <v>824022</v>
      </c>
      <c r="B55" s="3">
        <f>VLOOKUP($A55,ScionOutput!$A$3:$BL$215,3,FALSE)</f>
        <v>46183</v>
      </c>
      <c r="C55">
        <f>VLOOKUP($A55,ScionOutput!$A$3:$BL$215,22,FALSE)</f>
        <v>4</v>
      </c>
      <c r="D55" t="str">
        <f>VLOOKUP($A55,ScionOutput!$A$3:$BL$215,23,FALSE)</f>
        <v>LAA</v>
      </c>
      <c r="E55">
        <f>VLOOKUP($A55,ScionOutput!$A$3:$BL$215,6,FALSE)</f>
        <v>12</v>
      </c>
      <c r="F55" t="str">
        <f>VLOOKUP($A55,ScionOutput!$A$3:$BL$215,7,FALSE)</f>
        <v>HOU</v>
      </c>
      <c r="G55">
        <f>VLOOKUP($A55,ScionOutput!$A$3:$BL$215,26,FALSE)</f>
        <v>-111</v>
      </c>
      <c r="H55">
        <f>VLOOKUP($A55,ScionOutput!$A$3:$BL$215,10,FALSE)</f>
        <v>102</v>
      </c>
      <c r="I55" t="str">
        <f>VLOOKUP($A55,ScionOutput!$A$3:$BL$215,58,FALSE)</f>
        <v>No Play</v>
      </c>
      <c r="J55">
        <f>VLOOKUP($A55,ScionOutput!$A$3:$BL$215,59,FALSE)</f>
        <v>0</v>
      </c>
      <c r="K55">
        <f>VLOOKUP($A55,ScionOutput!$A$3:$BL$215,62,FALSE)</f>
        <v>0</v>
      </c>
      <c r="L55">
        <f>VLOOKUP($A55,ScionOutput!$A$3:$BL$215,63,FALSE)</f>
        <v>0</v>
      </c>
      <c r="M55" t="b">
        <f t="shared" si="1"/>
        <v>0</v>
      </c>
      <c r="N55">
        <f>VLOOKUP($A55,Outcomes!$B$3:$I$209,8,FALSE)</f>
        <v>5</v>
      </c>
      <c r="O55">
        <f t="shared" si="2"/>
        <v>1</v>
      </c>
      <c r="P55">
        <f>VLOOKUP($A55,Outcomes!$B$3:$I$209,5,FALSE)</f>
        <v>3</v>
      </c>
      <c r="Q55">
        <f>VLOOKUP($A55,Outcomes!$B$3:$I$209,6,FALSE)</f>
        <v>2</v>
      </c>
      <c r="R55">
        <f>VLOOKUP($A55,Outcomes!$B$3:$I$209,7,FALSE)</f>
        <v>-1</v>
      </c>
      <c r="S55" t="str">
        <f t="shared" si="3"/>
        <v>HomFave</v>
      </c>
      <c r="T55" t="str">
        <f t="shared" si="4"/>
        <v/>
      </c>
      <c r="U55" t="str">
        <f t="shared" si="0"/>
        <v/>
      </c>
      <c r="V55" t="str">
        <f t="shared" si="5"/>
        <v/>
      </c>
      <c r="W55" t="str">
        <f t="shared" si="6"/>
        <v/>
      </c>
      <c r="X55" s="2" t="str">
        <f t="shared" si="7"/>
        <v/>
      </c>
      <c r="Y55" t="str">
        <f>VLOOKUP($A55,ScionOutput!$A$3:$BL$215,64,FALSE)</f>
        <v xml:space="preserve">824022. LineStatEns probability points gap does not exceed threshold (no edge found)! StatOnlyEns probability points gap does not exceed threshold (no edge found)! No play due to strategy constraints. </v>
      </c>
    </row>
    <row r="56" spans="1:25" x14ac:dyDescent="0.2">
      <c r="A56">
        <v>824428</v>
      </c>
      <c r="B56" s="3">
        <f>VLOOKUP($A56,ScionOutput!$A$3:$BL$215,3,FALSE)</f>
        <v>46183</v>
      </c>
      <c r="C56">
        <f>VLOOKUP($A56,ScionOutput!$A$3:$BL$215,22,FALSE)</f>
        <v>7</v>
      </c>
      <c r="D56" t="str">
        <f>VLOOKUP($A56,ScionOutput!$A$3:$BL$215,23,FALSE)</f>
        <v>CLE</v>
      </c>
      <c r="E56">
        <f>VLOOKUP($A56,ScionOutput!$A$3:$BL$215,6,FALSE)</f>
        <v>19</v>
      </c>
      <c r="F56" t="str">
        <f>VLOOKUP($A56,ScionOutput!$A$3:$BL$215,7,FALSE)</f>
        <v>NYY</v>
      </c>
      <c r="G56">
        <f>VLOOKUP($A56,ScionOutput!$A$3:$BL$215,26,FALSE)</f>
        <v>-115</v>
      </c>
      <c r="H56">
        <f>VLOOKUP($A56,ScionOutput!$A$3:$BL$215,10,FALSE)</f>
        <v>106</v>
      </c>
      <c r="I56" t="str">
        <f>VLOOKUP($A56,ScionOutput!$A$3:$BL$215,58,FALSE)</f>
        <v>No Play</v>
      </c>
      <c r="J56">
        <f>VLOOKUP($A56,ScionOutput!$A$3:$BL$215,59,FALSE)</f>
        <v>0</v>
      </c>
      <c r="K56">
        <f>VLOOKUP($A56,ScionOutput!$A$3:$BL$215,62,FALSE)</f>
        <v>0</v>
      </c>
      <c r="L56">
        <f>VLOOKUP($A56,ScionOutput!$A$3:$BL$215,63,FALSE)</f>
        <v>0</v>
      </c>
      <c r="M56" t="b">
        <f t="shared" si="1"/>
        <v>0</v>
      </c>
      <c r="N56">
        <f>VLOOKUP($A56,Outcomes!$B$3:$I$209,8,FALSE)</f>
        <v>12</v>
      </c>
      <c r="O56">
        <f t="shared" si="2"/>
        <v>-1</v>
      </c>
      <c r="P56">
        <f>VLOOKUP($A56,Outcomes!$B$3:$I$209,5,FALSE)</f>
        <v>4</v>
      </c>
      <c r="Q56">
        <f>VLOOKUP($A56,Outcomes!$B$3:$I$209,6,FALSE)</f>
        <v>8</v>
      </c>
      <c r="R56">
        <f>VLOOKUP($A56,Outcomes!$B$3:$I$209,7,FALSE)</f>
        <v>4</v>
      </c>
      <c r="S56" t="str">
        <f t="shared" si="3"/>
        <v>VisDog</v>
      </c>
      <c r="T56" t="str">
        <f t="shared" si="4"/>
        <v/>
      </c>
      <c r="U56" t="str">
        <f t="shared" si="0"/>
        <v/>
      </c>
      <c r="V56" t="str">
        <f t="shared" si="5"/>
        <v/>
      </c>
      <c r="W56" t="str">
        <f t="shared" si="6"/>
        <v/>
      </c>
      <c r="X56" s="2" t="str">
        <f t="shared" si="7"/>
        <v/>
      </c>
      <c r="Y56" t="str">
        <f>VLOOKUP($A56,ScionOutput!$A$3:$BL$215,64,FALSE)</f>
        <v xml:space="preserve">824428. LineStatEns probability points gap does not exceed threshold (no edge found)! StatOnlyEns probability points gap does not exceed threshold (no edge found)! No play due to strategy constraints. </v>
      </c>
    </row>
    <row r="57" spans="1:25" x14ac:dyDescent="0.2">
      <c r="A57">
        <v>824348</v>
      </c>
      <c r="B57" s="3">
        <f>VLOOKUP($A57,ScionOutput!$A$3:$BL$215,3,FALSE)</f>
        <v>46183</v>
      </c>
      <c r="C57">
        <f>VLOOKUP($A57,ScionOutput!$A$3:$BL$215,22,FALSE)</f>
        <v>8</v>
      </c>
      <c r="D57" t="str">
        <f>VLOOKUP($A57,ScionOutput!$A$3:$BL$215,23,FALSE)</f>
        <v>COL</v>
      </c>
      <c r="E57">
        <f>VLOOKUP($A57,ScionOutput!$A$3:$BL$215,6,FALSE)</f>
        <v>5</v>
      </c>
      <c r="F57" t="str">
        <f>VLOOKUP($A57,ScionOutput!$A$3:$BL$215,7,FALSE)</f>
        <v>CHC</v>
      </c>
      <c r="G57">
        <f>VLOOKUP($A57,ScionOutput!$A$3:$BL$215,26,FALSE)</f>
        <v>149</v>
      </c>
      <c r="H57">
        <f>VLOOKUP($A57,ScionOutput!$A$3:$BL$215,10,FALSE)</f>
        <v>-162</v>
      </c>
      <c r="I57" t="str">
        <f>VLOOKUP($A57,ScionOutput!$A$3:$BL$215,58,FALSE)</f>
        <v>No Play</v>
      </c>
      <c r="J57">
        <f>VLOOKUP($A57,ScionOutput!$A$3:$BL$215,59,FALSE)</f>
        <v>0</v>
      </c>
      <c r="K57">
        <f>VLOOKUP($A57,ScionOutput!$A$3:$BL$215,62,FALSE)</f>
        <v>0</v>
      </c>
      <c r="L57">
        <f>VLOOKUP($A57,ScionOutput!$A$3:$BL$215,63,FALSE)</f>
        <v>0</v>
      </c>
      <c r="M57" t="b">
        <f t="shared" si="1"/>
        <v>0</v>
      </c>
      <c r="N57">
        <f>VLOOKUP($A57,Outcomes!$B$3:$I$209,8,FALSE)</f>
        <v>5</v>
      </c>
      <c r="O57">
        <f t="shared" si="2"/>
        <v>1</v>
      </c>
      <c r="P57">
        <f>VLOOKUP($A57,Outcomes!$B$3:$I$209,5,FALSE)</f>
        <v>3</v>
      </c>
      <c r="Q57">
        <f>VLOOKUP($A57,Outcomes!$B$3:$I$209,6,FALSE)</f>
        <v>2</v>
      </c>
      <c r="R57">
        <f>VLOOKUP($A57,Outcomes!$B$3:$I$209,7,FALSE)</f>
        <v>-1</v>
      </c>
      <c r="S57" t="str">
        <f t="shared" si="3"/>
        <v>HomDog</v>
      </c>
      <c r="T57" t="str">
        <f t="shared" si="4"/>
        <v/>
      </c>
      <c r="U57" t="str">
        <f t="shared" si="0"/>
        <v/>
      </c>
      <c r="V57" t="str">
        <f t="shared" si="5"/>
        <v/>
      </c>
      <c r="W57" t="str">
        <f t="shared" si="6"/>
        <v/>
      </c>
      <c r="X57" s="2" t="str">
        <f t="shared" si="7"/>
        <v/>
      </c>
      <c r="Y57" t="str">
        <f>VLOOKUP($A57,ScionOutput!$A$3:$BL$215,64,FALSE)</f>
        <v xml:space="preserve">824348. VF plays are disallowed. No play due to strategy constraints. </v>
      </c>
    </row>
    <row r="58" spans="1:25" x14ac:dyDescent="0.2">
      <c r="A58">
        <v>824590</v>
      </c>
      <c r="B58" s="3">
        <f>VLOOKUP($A58,ScionOutput!$A$3:$BL$215,3,FALSE)</f>
        <v>46183</v>
      </c>
      <c r="C58">
        <f>VLOOKUP($A58,ScionOutput!$A$3:$BL$215,22,FALSE)</f>
        <v>9</v>
      </c>
      <c r="D58" t="str">
        <f>VLOOKUP($A58,ScionOutput!$A$3:$BL$215,23,FALSE)</f>
        <v>CWS</v>
      </c>
      <c r="E58">
        <f>VLOOKUP($A58,ScionOutput!$A$3:$BL$215,6,FALSE)</f>
        <v>0</v>
      </c>
      <c r="F58" t="str">
        <f>VLOOKUP($A58,ScionOutput!$A$3:$BL$215,7,FALSE)</f>
        <v>ATL</v>
      </c>
      <c r="G58">
        <f>VLOOKUP($A58,ScionOutput!$A$3:$BL$215,26,FALSE)</f>
        <v>132</v>
      </c>
      <c r="H58">
        <f>VLOOKUP($A58,ScionOutput!$A$3:$BL$215,10,FALSE)</f>
        <v>-143</v>
      </c>
      <c r="I58" t="str">
        <f>VLOOKUP($A58,ScionOutput!$A$3:$BL$215,58,FALSE)</f>
        <v>No Play</v>
      </c>
      <c r="J58">
        <f>VLOOKUP($A58,ScionOutput!$A$3:$BL$215,59,FALSE)</f>
        <v>0</v>
      </c>
      <c r="K58">
        <f>VLOOKUP($A58,ScionOutput!$A$3:$BL$215,62,FALSE)</f>
        <v>0</v>
      </c>
      <c r="L58">
        <f>VLOOKUP($A58,ScionOutput!$A$3:$BL$215,63,FALSE)</f>
        <v>0</v>
      </c>
      <c r="M58" t="b">
        <f t="shared" si="1"/>
        <v>0</v>
      </c>
      <c r="N58">
        <f>VLOOKUP($A58,Outcomes!$B$3:$I$209,8,FALSE)</f>
        <v>3</v>
      </c>
      <c r="O58">
        <f t="shared" si="2"/>
        <v>1</v>
      </c>
      <c r="P58">
        <f>VLOOKUP($A58,Outcomes!$B$3:$I$209,5,FALSE)</f>
        <v>2</v>
      </c>
      <c r="Q58">
        <f>VLOOKUP($A58,Outcomes!$B$3:$I$209,6,FALSE)</f>
        <v>1</v>
      </c>
      <c r="R58">
        <f>VLOOKUP($A58,Outcomes!$B$3:$I$209,7,FALSE)</f>
        <v>-1</v>
      </c>
      <c r="S58" t="str">
        <f t="shared" si="3"/>
        <v>HomDog</v>
      </c>
      <c r="T58" t="str">
        <f t="shared" si="4"/>
        <v/>
      </c>
      <c r="U58" t="str">
        <f t="shared" si="0"/>
        <v/>
      </c>
      <c r="V58" t="str">
        <f t="shared" si="5"/>
        <v/>
      </c>
      <c r="W58" t="str">
        <f t="shared" si="6"/>
        <v/>
      </c>
      <c r="X58" s="2" t="str">
        <f t="shared" si="7"/>
        <v/>
      </c>
      <c r="Y58" t="str">
        <f>VLOOKUP($A58,ScionOutput!$A$3:$BL$215,64,FALSE)</f>
        <v xml:space="preserve">824590. LineStatEns price is outside allowable range! StatOnlyEns price is outside allowable range! No play due to strategy constraints. </v>
      </c>
    </row>
    <row r="59" spans="1:25" x14ac:dyDescent="0.2">
      <c r="A59">
        <v>824266</v>
      </c>
      <c r="B59" s="3">
        <f>VLOOKUP($A59,ScionOutput!$A$3:$BL$215,3,FALSE)</f>
        <v>46183</v>
      </c>
      <c r="C59">
        <f>VLOOKUP($A59,ScionOutput!$A$3:$BL$215,22,FALSE)</f>
        <v>10</v>
      </c>
      <c r="D59" t="str">
        <f>VLOOKUP($A59,ScionOutput!$A$3:$BL$215,23,FALSE)</f>
        <v>DET</v>
      </c>
      <c r="E59">
        <f>VLOOKUP($A59,ScionOutput!$A$3:$BL$215,6,FALSE)</f>
        <v>15</v>
      </c>
      <c r="F59" t="str">
        <f>VLOOKUP($A59,ScionOutput!$A$3:$BL$215,7,FALSE)</f>
        <v>MIN</v>
      </c>
      <c r="G59">
        <f>VLOOKUP($A59,ScionOutput!$A$3:$BL$215,26,FALSE)</f>
        <v>-164</v>
      </c>
      <c r="H59">
        <f>VLOOKUP($A59,ScionOutput!$A$3:$BL$215,10,FALSE)</f>
        <v>150</v>
      </c>
      <c r="I59" t="str">
        <f>VLOOKUP($A59,ScionOutput!$A$3:$BL$215,58,FALSE)</f>
        <v>No Play</v>
      </c>
      <c r="J59">
        <f>VLOOKUP($A59,ScionOutput!$A$3:$BL$215,59,FALSE)</f>
        <v>0</v>
      </c>
      <c r="K59">
        <f>VLOOKUP($A59,ScionOutput!$A$3:$BL$215,62,FALSE)</f>
        <v>0</v>
      </c>
      <c r="L59">
        <f>VLOOKUP($A59,ScionOutput!$A$3:$BL$215,63,FALSE)</f>
        <v>0</v>
      </c>
      <c r="M59" t="b">
        <f t="shared" si="1"/>
        <v>0</v>
      </c>
      <c r="N59">
        <f>VLOOKUP($A59,Outcomes!$B$3:$I$209,8,FALSE)</f>
        <v>10</v>
      </c>
      <c r="O59">
        <f t="shared" si="2"/>
        <v>-1</v>
      </c>
      <c r="P59">
        <f>VLOOKUP($A59,Outcomes!$B$3:$I$209,5,FALSE)</f>
        <v>4</v>
      </c>
      <c r="Q59">
        <f>VLOOKUP($A59,Outcomes!$B$3:$I$209,6,FALSE)</f>
        <v>6</v>
      </c>
      <c r="R59">
        <f>VLOOKUP($A59,Outcomes!$B$3:$I$209,7,FALSE)</f>
        <v>2</v>
      </c>
      <c r="S59" t="str">
        <f t="shared" si="3"/>
        <v>VisDog</v>
      </c>
      <c r="T59" t="str">
        <f t="shared" si="4"/>
        <v/>
      </c>
      <c r="U59" t="str">
        <f t="shared" si="0"/>
        <v/>
      </c>
      <c r="V59" t="str">
        <f t="shared" si="5"/>
        <v/>
      </c>
      <c r="W59" t="str">
        <f t="shared" si="6"/>
        <v/>
      </c>
      <c r="X59" s="2" t="str">
        <f t="shared" si="7"/>
        <v/>
      </c>
      <c r="Y59" t="str">
        <f>VLOOKUP($A59,ScionOutput!$A$3:$BL$215,64,FALSE)</f>
        <v xml:space="preserve">824266. V_SP is Null, team-based avg used. NoPlay as V_SP is Null. </v>
      </c>
    </row>
    <row r="60" spans="1:25" x14ac:dyDescent="0.2">
      <c r="A60">
        <v>823856</v>
      </c>
      <c r="B60" s="3">
        <f>VLOOKUP($A60,ScionOutput!$A$3:$BL$215,3,FALSE)</f>
        <v>46183</v>
      </c>
      <c r="C60">
        <f>VLOOKUP($A60,ScionOutput!$A$3:$BL$215,22,FALSE)</f>
        <v>11</v>
      </c>
      <c r="D60" t="str">
        <f>VLOOKUP($A60,ScionOutput!$A$3:$BL$215,23,FALSE)</f>
        <v>FLO</v>
      </c>
      <c r="E60">
        <f>VLOOKUP($A60,ScionOutput!$A$3:$BL$215,6,FALSE)</f>
        <v>1</v>
      </c>
      <c r="F60" t="str">
        <f>VLOOKUP($A60,ScionOutput!$A$3:$BL$215,7,FALSE)</f>
        <v>ARZ</v>
      </c>
      <c r="G60">
        <f>VLOOKUP($A60,ScionOutput!$A$3:$BL$215,26,FALSE)</f>
        <v>102</v>
      </c>
      <c r="H60">
        <f>VLOOKUP($A60,ScionOutput!$A$3:$BL$215,10,FALSE)</f>
        <v>-111</v>
      </c>
      <c r="I60" t="str">
        <f>VLOOKUP($A60,ScionOutput!$A$3:$BL$215,58,FALSE)</f>
        <v>HomDog</v>
      </c>
      <c r="J60">
        <f>VLOOKUP($A60,ScionOutput!$A$3:$BL$215,59,FALSE)</f>
        <v>1.519E-2</v>
      </c>
      <c r="K60">
        <f>VLOOKUP($A60,ScionOutput!$A$3:$BL$215,62,FALSE)</f>
        <v>5</v>
      </c>
      <c r="L60">
        <f>VLOOKUP($A60,ScionOutput!$A$3:$BL$215,63,FALSE)</f>
        <v>0.6</v>
      </c>
      <c r="M60" t="b">
        <f t="shared" si="1"/>
        <v>1</v>
      </c>
      <c r="N60">
        <f>VLOOKUP($A60,Outcomes!$B$3:$I$209,8,FALSE)</f>
        <v>8</v>
      </c>
      <c r="O60">
        <f t="shared" si="2"/>
        <v>1</v>
      </c>
      <c r="P60">
        <f>VLOOKUP($A60,Outcomes!$B$3:$I$209,5,FALSE)</f>
        <v>8</v>
      </c>
      <c r="Q60">
        <f>VLOOKUP($A60,Outcomes!$B$3:$I$209,6,FALSE)</f>
        <v>0</v>
      </c>
      <c r="R60">
        <f>VLOOKUP($A60,Outcomes!$B$3:$I$209,7,FALSE)</f>
        <v>-8</v>
      </c>
      <c r="S60" t="str">
        <f t="shared" si="3"/>
        <v>HomDog</v>
      </c>
      <c r="T60" t="str">
        <f t="shared" si="4"/>
        <v/>
      </c>
      <c r="U60" t="str">
        <f t="shared" si="0"/>
        <v/>
      </c>
      <c r="V60" t="str">
        <f t="shared" si="5"/>
        <v/>
      </c>
      <c r="W60" t="str">
        <f t="shared" si="6"/>
        <v/>
      </c>
      <c r="X60" s="2" t="str">
        <f t="shared" si="7"/>
        <v/>
      </c>
      <c r="Y60" t="str">
        <f>VLOOKUP($A60,ScionOutput!$A$3:$BL$215,64,FALSE)</f>
        <v xml:space="preserve">823856. Play determined by LineStatEns and StatOnlyEns agreement. </v>
      </c>
    </row>
    <row r="61" spans="1:25" x14ac:dyDescent="0.2">
      <c r="A61">
        <v>824103</v>
      </c>
      <c r="B61" s="3">
        <f>VLOOKUP($A61,ScionOutput!$A$3:$BL$215,3,FALSE)</f>
        <v>46183</v>
      </c>
      <c r="C61">
        <f>VLOOKUP($A61,ScionOutput!$A$3:$BL$215,22,FALSE)</f>
        <v>13</v>
      </c>
      <c r="D61" t="str">
        <f>VLOOKUP($A61,ScionOutput!$A$3:$BL$215,23,FALSE)</f>
        <v>KC</v>
      </c>
      <c r="E61">
        <f>VLOOKUP($A61,ScionOutput!$A$3:$BL$215,6,FALSE)</f>
        <v>28</v>
      </c>
      <c r="F61" t="str">
        <f>VLOOKUP($A61,ScionOutput!$A$3:$BL$215,7,FALSE)</f>
        <v>TEX</v>
      </c>
      <c r="G61">
        <f>VLOOKUP($A61,ScionOutput!$A$3:$BL$215,26,FALSE)</f>
        <v>108</v>
      </c>
      <c r="H61">
        <f>VLOOKUP($A61,ScionOutput!$A$3:$BL$215,10,FALSE)</f>
        <v>-117</v>
      </c>
      <c r="I61" t="str">
        <f>VLOOKUP($A61,ScionOutput!$A$3:$BL$215,58,FALSE)</f>
        <v>No Play</v>
      </c>
      <c r="J61">
        <f>VLOOKUP($A61,ScionOutput!$A$3:$BL$215,59,FALSE)</f>
        <v>0</v>
      </c>
      <c r="K61">
        <f>VLOOKUP($A61,ScionOutput!$A$3:$BL$215,62,FALSE)</f>
        <v>0</v>
      </c>
      <c r="L61">
        <f>VLOOKUP($A61,ScionOutput!$A$3:$BL$215,63,FALSE)</f>
        <v>0</v>
      </c>
      <c r="M61" t="b">
        <f t="shared" si="1"/>
        <v>0</v>
      </c>
      <c r="N61">
        <f>VLOOKUP($A61,Outcomes!$B$3:$I$209,8,FALSE)</f>
        <v>10</v>
      </c>
      <c r="O61">
        <f t="shared" si="2"/>
        <v>-1</v>
      </c>
      <c r="P61">
        <f>VLOOKUP($A61,Outcomes!$B$3:$I$209,5,FALSE)</f>
        <v>4</v>
      </c>
      <c r="Q61">
        <f>VLOOKUP($A61,Outcomes!$B$3:$I$209,6,FALSE)</f>
        <v>6</v>
      </c>
      <c r="R61">
        <f>VLOOKUP($A61,Outcomes!$B$3:$I$209,7,FALSE)</f>
        <v>2</v>
      </c>
      <c r="S61" t="str">
        <f t="shared" si="3"/>
        <v>VisFave</v>
      </c>
      <c r="T61" t="str">
        <f t="shared" si="4"/>
        <v/>
      </c>
      <c r="U61" t="str">
        <f t="shared" si="0"/>
        <v/>
      </c>
      <c r="V61" t="str">
        <f t="shared" si="5"/>
        <v/>
      </c>
      <c r="W61" t="str">
        <f t="shared" si="6"/>
        <v/>
      </c>
      <c r="X61" s="2" t="str">
        <f t="shared" si="7"/>
        <v/>
      </c>
      <c r="Y61" t="str">
        <f>VLOOKUP($A61,ScionOutput!$A$3:$BL$215,64,FALSE)</f>
        <v xml:space="preserve">824103. VF plays are disallowed. No play due to strategy constraints. </v>
      </c>
    </row>
    <row r="62" spans="1:25" x14ac:dyDescent="0.2">
      <c r="A62">
        <v>823618</v>
      </c>
      <c r="B62" s="3">
        <f>VLOOKUP($A62,ScionOutput!$A$3:$BL$215,3,FALSE)</f>
        <v>46183</v>
      </c>
      <c r="C62">
        <f>VLOOKUP($A62,ScionOutput!$A$3:$BL$215,22,FALSE)</f>
        <v>18</v>
      </c>
      <c r="D62" t="str">
        <f>VLOOKUP($A62,ScionOutput!$A$3:$BL$215,23,FALSE)</f>
        <v>NYM</v>
      </c>
      <c r="E62">
        <f>VLOOKUP($A62,ScionOutput!$A$3:$BL$215,6,FALSE)</f>
        <v>26</v>
      </c>
      <c r="F62" t="str">
        <f>VLOOKUP($A62,ScionOutput!$A$3:$BL$215,7,FALSE)</f>
        <v>STL</v>
      </c>
      <c r="G62">
        <f>VLOOKUP($A62,ScionOutput!$A$3:$BL$215,26,FALSE)</f>
        <v>-128</v>
      </c>
      <c r="H62">
        <f>VLOOKUP($A62,ScionOutput!$A$3:$BL$215,10,FALSE)</f>
        <v>118</v>
      </c>
      <c r="I62" t="str">
        <f>VLOOKUP($A62,ScionOutput!$A$3:$BL$215,58,FALSE)</f>
        <v>No Play</v>
      </c>
      <c r="J62">
        <f>VLOOKUP($A62,ScionOutput!$A$3:$BL$215,59,FALSE)</f>
        <v>0</v>
      </c>
      <c r="K62">
        <f>VLOOKUP($A62,ScionOutput!$A$3:$BL$215,62,FALSE)</f>
        <v>0</v>
      </c>
      <c r="L62">
        <f>VLOOKUP($A62,ScionOutput!$A$3:$BL$215,63,FALSE)</f>
        <v>0</v>
      </c>
      <c r="M62" t="b">
        <f t="shared" si="1"/>
        <v>0</v>
      </c>
      <c r="N62">
        <f>VLOOKUP($A62,Outcomes!$B$3:$I$209,8,FALSE)</f>
        <v>11</v>
      </c>
      <c r="O62">
        <f t="shared" si="2"/>
        <v>-1</v>
      </c>
      <c r="P62">
        <f>VLOOKUP($A62,Outcomes!$B$3:$I$209,5,FALSE)</f>
        <v>2</v>
      </c>
      <c r="Q62">
        <f>VLOOKUP($A62,Outcomes!$B$3:$I$209,6,FALSE)</f>
        <v>9</v>
      </c>
      <c r="R62">
        <f>VLOOKUP($A62,Outcomes!$B$3:$I$209,7,FALSE)</f>
        <v>7</v>
      </c>
      <c r="S62" t="str">
        <f t="shared" si="3"/>
        <v>VisDog</v>
      </c>
      <c r="T62" t="str">
        <f t="shared" si="4"/>
        <v/>
      </c>
      <c r="U62" t="str">
        <f t="shared" si="0"/>
        <v/>
      </c>
      <c r="V62" t="str">
        <f t="shared" si="5"/>
        <v/>
      </c>
      <c r="W62" t="str">
        <f t="shared" si="6"/>
        <v/>
      </c>
      <c r="X62" s="2" t="str">
        <f t="shared" si="7"/>
        <v/>
      </c>
      <c r="Y62" t="str">
        <f>VLOOKUP($A62,ScionOutput!$A$3:$BL$215,64,FALSE)</f>
        <v xml:space="preserve">823618. LineStatEns probability points gap does not exceed threshold (no edge found)! StatOnlyEns probability points gap does not exceed threshold (no edge found)! No play due to strategy constraints. </v>
      </c>
    </row>
    <row r="63" spans="1:25" x14ac:dyDescent="0.2">
      <c r="A63">
        <v>824996</v>
      </c>
      <c r="B63" s="3">
        <f>VLOOKUP($A63,ScionOutput!$A$3:$BL$215,3,FALSE)</f>
        <v>46183</v>
      </c>
      <c r="C63">
        <f>VLOOKUP($A63,ScionOutput!$A$3:$BL$215,22,FALSE)</f>
        <v>20</v>
      </c>
      <c r="D63" t="str">
        <f>VLOOKUP($A63,ScionOutput!$A$3:$BL$215,23,FALSE)</f>
        <v>OAK</v>
      </c>
      <c r="E63">
        <f>VLOOKUP($A63,ScionOutput!$A$3:$BL$215,6,FALSE)</f>
        <v>17</v>
      </c>
      <c r="F63" t="str">
        <f>VLOOKUP($A63,ScionOutput!$A$3:$BL$215,7,FALSE)</f>
        <v>MLW</v>
      </c>
      <c r="G63">
        <f>VLOOKUP($A63,ScionOutput!$A$3:$BL$215,26,FALSE)</f>
        <v>-105</v>
      </c>
      <c r="H63">
        <f>VLOOKUP($A63,ScionOutput!$A$3:$BL$215,10,FALSE)</f>
        <v>-103</v>
      </c>
      <c r="I63" t="str">
        <f>VLOOKUP($A63,ScionOutput!$A$3:$BL$215,58,FALSE)</f>
        <v>VisDog</v>
      </c>
      <c r="J63">
        <f>VLOOKUP($A63,ScionOutput!$A$3:$BL$215,59,FALSE)</f>
        <v>-6.2359999999999999E-2</v>
      </c>
      <c r="K63">
        <f>VLOOKUP($A63,ScionOutput!$A$3:$BL$215,62,FALSE)</f>
        <v>5</v>
      </c>
      <c r="L63">
        <f>VLOOKUP($A63,ScionOutput!$A$3:$BL$215,63,FALSE)</f>
        <v>0.98</v>
      </c>
      <c r="M63" t="b">
        <f t="shared" si="1"/>
        <v>0</v>
      </c>
      <c r="N63">
        <f>VLOOKUP($A63,Outcomes!$B$3:$I$209,8,FALSE)</f>
        <v>7</v>
      </c>
      <c r="O63">
        <f t="shared" si="2"/>
        <v>1</v>
      </c>
      <c r="P63">
        <f>VLOOKUP($A63,Outcomes!$B$3:$I$209,5,FALSE)</f>
        <v>4</v>
      </c>
      <c r="Q63">
        <f>VLOOKUP($A63,Outcomes!$B$3:$I$209,6,FALSE)</f>
        <v>3</v>
      </c>
      <c r="R63">
        <f>VLOOKUP($A63,Outcomes!$B$3:$I$209,7,FALSE)</f>
        <v>-1</v>
      </c>
      <c r="S63" t="str">
        <f t="shared" si="3"/>
        <v>HomFave</v>
      </c>
      <c r="T63" t="str">
        <f t="shared" si="4"/>
        <v/>
      </c>
      <c r="U63" t="str">
        <f t="shared" si="0"/>
        <v/>
      </c>
      <c r="V63" t="str">
        <f t="shared" si="5"/>
        <v/>
      </c>
      <c r="W63" t="str">
        <f t="shared" si="6"/>
        <v/>
      </c>
      <c r="X63" s="2" t="str">
        <f t="shared" si="7"/>
        <v/>
      </c>
      <c r="Y63" t="str">
        <f>VLOOKUP($A63,ScionOutput!$A$3:$BL$215,64,FALSE)</f>
        <v xml:space="preserve">824996. Play determined by StatOnlyEns when it disagrees with LineStatEns. </v>
      </c>
    </row>
    <row r="64" spans="1:25" x14ac:dyDescent="0.2">
      <c r="A64">
        <v>823372</v>
      </c>
      <c r="B64" s="3">
        <f>VLOOKUP($A64,ScionOutput!$A$3:$BL$215,3,FALSE)</f>
        <v>46183</v>
      </c>
      <c r="C64">
        <f>VLOOKUP($A64,ScionOutput!$A$3:$BL$215,22,FALSE)</f>
        <v>22</v>
      </c>
      <c r="D64" t="str">
        <f>VLOOKUP($A64,ScionOutput!$A$3:$BL$215,23,FALSE)</f>
        <v>PIT</v>
      </c>
      <c r="E64">
        <f>VLOOKUP($A64,ScionOutput!$A$3:$BL$215,6,FALSE)</f>
        <v>14</v>
      </c>
      <c r="F64" t="str">
        <f>VLOOKUP($A64,ScionOutput!$A$3:$BL$215,7,FALSE)</f>
        <v>LA</v>
      </c>
      <c r="G64">
        <f>VLOOKUP($A64,ScionOutput!$A$3:$BL$215,26,FALSE)</f>
        <v>175</v>
      </c>
      <c r="H64">
        <f>VLOOKUP($A64,ScionOutput!$A$3:$BL$215,10,FALSE)</f>
        <v>-193</v>
      </c>
      <c r="I64" t="str">
        <f>VLOOKUP($A64,ScionOutput!$A$3:$BL$215,58,FALSE)</f>
        <v>No Play</v>
      </c>
      <c r="J64">
        <f>VLOOKUP($A64,ScionOutput!$A$3:$BL$215,59,FALSE)</f>
        <v>0</v>
      </c>
      <c r="K64">
        <f>VLOOKUP($A64,ScionOutput!$A$3:$BL$215,62,FALSE)</f>
        <v>0</v>
      </c>
      <c r="L64">
        <f>VLOOKUP($A64,ScionOutput!$A$3:$BL$215,63,FALSE)</f>
        <v>0</v>
      </c>
      <c r="M64" t="b">
        <f t="shared" si="1"/>
        <v>0</v>
      </c>
      <c r="N64">
        <f>VLOOKUP($A64,Outcomes!$B$3:$I$209,8,FALSE)</f>
        <v>17</v>
      </c>
      <c r="O64">
        <f t="shared" si="2"/>
        <v>1</v>
      </c>
      <c r="P64">
        <f>VLOOKUP($A64,Outcomes!$B$3:$I$209,5,FALSE)</f>
        <v>9</v>
      </c>
      <c r="Q64">
        <f>VLOOKUP($A64,Outcomes!$B$3:$I$209,6,FALSE)</f>
        <v>8</v>
      </c>
      <c r="R64">
        <f>VLOOKUP($A64,Outcomes!$B$3:$I$209,7,FALSE)</f>
        <v>-1</v>
      </c>
      <c r="S64" t="str">
        <f t="shared" si="3"/>
        <v>HomDog</v>
      </c>
      <c r="T64" t="str">
        <f t="shared" si="4"/>
        <v/>
      </c>
      <c r="U64" t="str">
        <f t="shared" si="0"/>
        <v/>
      </c>
      <c r="V64" t="str">
        <f t="shared" si="5"/>
        <v/>
      </c>
      <c r="W64" t="str">
        <f t="shared" si="6"/>
        <v/>
      </c>
      <c r="X64" s="2" t="str">
        <f t="shared" si="7"/>
        <v/>
      </c>
      <c r="Y64" t="str">
        <f>VLOOKUP($A64,ScionOutput!$A$3:$BL$215,64,FALSE)</f>
        <v xml:space="preserve">823372. LineStatEns is NoPlay as bookie-line outside range. StatOnlyEns is NoPlay as bookie-line outside range. No play due to strategy constraints. </v>
      </c>
    </row>
    <row r="65" spans="1:25" x14ac:dyDescent="0.2">
      <c r="A65">
        <v>823287</v>
      </c>
      <c r="B65" s="3">
        <f>VLOOKUP($A65,ScionOutput!$A$3:$BL$215,3,FALSE)</f>
        <v>46183</v>
      </c>
      <c r="C65">
        <f>VLOOKUP($A65,ScionOutput!$A$3:$BL$215,22,FALSE)</f>
        <v>23</v>
      </c>
      <c r="D65" t="str">
        <f>VLOOKUP($A65,ScionOutput!$A$3:$BL$215,23,FALSE)</f>
        <v>SD</v>
      </c>
      <c r="E65">
        <f>VLOOKUP($A65,ScionOutput!$A$3:$BL$215,6,FALSE)</f>
        <v>6</v>
      </c>
      <c r="F65" t="str">
        <f>VLOOKUP($A65,ScionOutput!$A$3:$BL$215,7,FALSE)</f>
        <v>CIN</v>
      </c>
      <c r="G65">
        <f>VLOOKUP($A65,ScionOutput!$A$3:$BL$215,26,FALSE)</f>
        <v>-158</v>
      </c>
      <c r="H65">
        <f>VLOOKUP($A65,ScionOutput!$A$3:$BL$215,10,FALSE)</f>
        <v>145</v>
      </c>
      <c r="I65" t="str">
        <f>VLOOKUP($A65,ScionOutput!$A$3:$BL$215,58,FALSE)</f>
        <v>No Play</v>
      </c>
      <c r="J65">
        <f>VLOOKUP($A65,ScionOutput!$A$3:$BL$215,59,FALSE)</f>
        <v>0</v>
      </c>
      <c r="K65">
        <f>VLOOKUP($A65,ScionOutput!$A$3:$BL$215,62,FALSE)</f>
        <v>0</v>
      </c>
      <c r="L65">
        <f>VLOOKUP($A65,ScionOutput!$A$3:$BL$215,63,FALSE)</f>
        <v>0</v>
      </c>
      <c r="M65" t="b">
        <f t="shared" si="1"/>
        <v>0</v>
      </c>
      <c r="N65">
        <f>VLOOKUP($A65,Outcomes!$B$3:$I$209,8,FALSE)</f>
        <v>9</v>
      </c>
      <c r="O65">
        <f t="shared" si="2"/>
        <v>1</v>
      </c>
      <c r="P65">
        <f>VLOOKUP($A65,Outcomes!$B$3:$I$209,5,FALSE)</f>
        <v>5</v>
      </c>
      <c r="Q65">
        <f>VLOOKUP($A65,Outcomes!$B$3:$I$209,6,FALSE)</f>
        <v>4</v>
      </c>
      <c r="R65">
        <f>VLOOKUP($A65,Outcomes!$B$3:$I$209,7,FALSE)</f>
        <v>-1</v>
      </c>
      <c r="S65" t="str">
        <f t="shared" si="3"/>
        <v>HomFave</v>
      </c>
      <c r="T65" t="str">
        <f t="shared" si="4"/>
        <v/>
      </c>
      <c r="U65" t="str">
        <f t="shared" si="0"/>
        <v/>
      </c>
      <c r="V65" t="str">
        <f t="shared" si="5"/>
        <v/>
      </c>
      <c r="W65" t="str">
        <f t="shared" si="6"/>
        <v/>
      </c>
      <c r="X65" s="2" t="str">
        <f t="shared" si="7"/>
        <v/>
      </c>
      <c r="Y65" t="str">
        <f>VLOOKUP($A65,ScionOutput!$A$3:$BL$215,64,FALSE)</f>
        <v xml:space="preserve">823287. LineStatEns is NoPlay as bookie-line outside range. StatOnlyEns is NoPlay as bookie-line outside range. No play due to strategy constraints. </v>
      </c>
    </row>
    <row r="66" spans="1:25" x14ac:dyDescent="0.2">
      <c r="A66">
        <v>823215</v>
      </c>
      <c r="B66" s="3">
        <f>VLOOKUP($A66,ScionOutput!$A$3:$BL$215,3,FALSE)</f>
        <v>46183</v>
      </c>
      <c r="C66">
        <f>VLOOKUP($A66,ScionOutput!$A$3:$BL$215,22,FALSE)</f>
        <v>25</v>
      </c>
      <c r="D66" t="str">
        <f>VLOOKUP($A66,ScionOutput!$A$3:$BL$215,23,FALSE)</f>
        <v>SF</v>
      </c>
      <c r="E66">
        <f>VLOOKUP($A66,ScionOutput!$A$3:$BL$215,6,FALSE)</f>
        <v>16</v>
      </c>
      <c r="F66" t="str">
        <f>VLOOKUP($A66,ScionOutput!$A$3:$BL$215,7,FALSE)</f>
        <v>WAS</v>
      </c>
      <c r="G66">
        <f>VLOOKUP($A66,ScionOutput!$A$3:$BL$215,26,FALSE)</f>
        <v>-105</v>
      </c>
      <c r="H66">
        <f>VLOOKUP($A66,ScionOutput!$A$3:$BL$215,10,FALSE)</f>
        <v>-103</v>
      </c>
      <c r="I66" t="str">
        <f>VLOOKUP($A66,ScionOutput!$A$3:$BL$215,58,FALSE)</f>
        <v>VisDog</v>
      </c>
      <c r="J66">
        <f>VLOOKUP($A66,ScionOutput!$A$3:$BL$215,59,FALSE)</f>
        <v>-3.236E-2</v>
      </c>
      <c r="K66">
        <f>VLOOKUP($A66,ScionOutput!$A$3:$BL$215,62,FALSE)</f>
        <v>3</v>
      </c>
      <c r="L66">
        <f>VLOOKUP($A66,ScionOutput!$A$3:$BL$215,63,FALSE)</f>
        <v>0.93</v>
      </c>
      <c r="M66" t="b">
        <f t="shared" si="1"/>
        <v>0</v>
      </c>
      <c r="N66">
        <f>VLOOKUP($A66,Outcomes!$B$3:$I$209,8,FALSE)</f>
        <v>21</v>
      </c>
      <c r="O66">
        <f t="shared" si="2"/>
        <v>1</v>
      </c>
      <c r="P66">
        <f>VLOOKUP($A66,Outcomes!$B$3:$I$209,5,FALSE)</f>
        <v>11</v>
      </c>
      <c r="Q66">
        <f>VLOOKUP($A66,Outcomes!$B$3:$I$209,6,FALSE)</f>
        <v>10</v>
      </c>
      <c r="R66">
        <f>VLOOKUP($A66,Outcomes!$B$3:$I$209,7,FALSE)</f>
        <v>-1</v>
      </c>
      <c r="S66" t="str">
        <f t="shared" si="3"/>
        <v>HomFave</v>
      </c>
      <c r="T66" t="str">
        <f t="shared" si="4"/>
        <v/>
      </c>
      <c r="U66" t="str">
        <f t="shared" ref="U66:U129" si="8">IF(T66="","",IF(G66&lt;H66,IF(I66="HomFave",ABS(G66),IF(H66&lt;0,ABS(H66),100)),IF(I66="VisFave",ABS(H66),IF(G66&lt;0,ABS(G66),100))))</f>
        <v/>
      </c>
      <c r="V66" t="str">
        <f t="shared" si="5"/>
        <v/>
      </c>
      <c r="W66" t="str">
        <f t="shared" si="6"/>
        <v/>
      </c>
      <c r="X66" s="2" t="str">
        <f t="shared" si="7"/>
        <v/>
      </c>
      <c r="Y66" t="str">
        <f>VLOOKUP($A66,ScionOutput!$A$3:$BL$215,64,FALSE)</f>
        <v xml:space="preserve">823215. StatOnlyEns probability points gap does not exceed threshold (no edge found)! Play determined by LineStatEns only. </v>
      </c>
    </row>
    <row r="67" spans="1:25" x14ac:dyDescent="0.2">
      <c r="A67">
        <v>822970</v>
      </c>
      <c r="B67" s="3">
        <f>VLOOKUP($A67,ScionOutput!$A$3:$BL$215,3,FALSE)</f>
        <v>46183</v>
      </c>
      <c r="C67">
        <f>VLOOKUP($A67,ScionOutput!$A$3:$BL$215,22,FALSE)</f>
        <v>27</v>
      </c>
      <c r="D67" t="str">
        <f>VLOOKUP($A67,ScionOutput!$A$3:$BL$215,23,FALSE)</f>
        <v>TB</v>
      </c>
      <c r="E67">
        <f>VLOOKUP($A67,ScionOutput!$A$3:$BL$215,6,FALSE)</f>
        <v>3</v>
      </c>
      <c r="F67" t="str">
        <f>VLOOKUP($A67,ScionOutput!$A$3:$BL$215,7,FALSE)</f>
        <v>BOS</v>
      </c>
      <c r="G67">
        <f>VLOOKUP($A67,ScionOutput!$A$3:$BL$215,26,FALSE)</f>
        <v>-154</v>
      </c>
      <c r="H67">
        <f>VLOOKUP($A67,ScionOutput!$A$3:$BL$215,10,FALSE)</f>
        <v>142</v>
      </c>
      <c r="I67" t="str">
        <f>VLOOKUP($A67,ScionOutput!$A$3:$BL$215,58,FALSE)</f>
        <v>No Play</v>
      </c>
      <c r="J67">
        <f>VLOOKUP($A67,ScionOutput!$A$3:$BL$215,59,FALSE)</f>
        <v>0</v>
      </c>
      <c r="K67">
        <f>VLOOKUP($A67,ScionOutput!$A$3:$BL$215,62,FALSE)</f>
        <v>0</v>
      </c>
      <c r="L67">
        <f>VLOOKUP($A67,ScionOutput!$A$3:$BL$215,63,FALSE)</f>
        <v>0</v>
      </c>
      <c r="M67" t="b">
        <f t="shared" ref="M67:M130" si="9">ISNUMBER(SEARCH("Play determined by LineStatEns and StatOnlyEns agreement", Y67))</f>
        <v>0</v>
      </c>
      <c r="N67">
        <f>VLOOKUP($A67,Outcomes!$B$3:$I$209,8,FALSE)</f>
        <v>12</v>
      </c>
      <c r="O67">
        <f t="shared" ref="O67:O130" si="10">IF(P67&gt;Q67,1,IF(P67&lt;Q67,-1,0))</f>
        <v>1</v>
      </c>
      <c r="P67">
        <f>VLOOKUP($A67,Outcomes!$B$3:$I$209,5,FALSE)</f>
        <v>7</v>
      </c>
      <c r="Q67">
        <f>VLOOKUP($A67,Outcomes!$B$3:$I$209,6,FALSE)</f>
        <v>5</v>
      </c>
      <c r="R67">
        <f>VLOOKUP($A67,Outcomes!$B$3:$I$209,7,FALSE)</f>
        <v>-2</v>
      </c>
      <c r="S67" t="str">
        <f t="shared" ref="S67:S130" si="11">IF(R67=0,"Push",IF(G67&lt;H67,IF(R67&lt;0,"HomFave","VisDog"),IF(R67&gt;0,"VisFave","HomDog")))</f>
        <v>HomFave</v>
      </c>
      <c r="T67" t="str">
        <f t="shared" ref="T67:T130" si="12">IF(OR(R67=0,I67="No Play",K67&lt;&gt;1),"",IF(S67=I67,1,0))</f>
        <v/>
      </c>
      <c r="U67" t="str">
        <f t="shared" si="8"/>
        <v/>
      </c>
      <c r="V67" t="str">
        <f t="shared" ref="V67:V130" si="13">IF(T67="","",IF(T67=0,0,IF(G67&lt;H67,IF(I67="HomFave",U67+100,IF(H67&lt;0,100+U67,U67+ABS(H67))),IF(I67="VisFave",U67+100,IF(G67&lt;0,100+U67,U67+ABS(G67))))))</f>
        <v/>
      </c>
      <c r="W67" t="str">
        <f t="shared" ref="W67:W130" si="14">IF(T67="","",V67-U67)</f>
        <v/>
      </c>
      <c r="X67" s="2" t="str">
        <f t="shared" ref="X67:X130" si="15">IF(T67="","",W67/U67)</f>
        <v/>
      </c>
      <c r="Y67" t="str">
        <f>VLOOKUP($A67,ScionOutput!$A$3:$BL$215,64,FALSE)</f>
        <v xml:space="preserve">822970. LineStatEns is NoPlay as bookie-line outside range. StatOnlyEns is NoPlay as bookie-line outside range. No play due to strategy constraints. </v>
      </c>
    </row>
    <row r="68" spans="1:25" x14ac:dyDescent="0.2">
      <c r="A68">
        <v>822804</v>
      </c>
      <c r="B68" s="3">
        <f>VLOOKUP($A68,ScionOutput!$A$3:$BL$215,3,FALSE)</f>
        <v>46183</v>
      </c>
      <c r="C68">
        <f>VLOOKUP($A68,ScionOutput!$A$3:$BL$215,22,FALSE)</f>
        <v>29</v>
      </c>
      <c r="D68" t="str">
        <f>VLOOKUP($A68,ScionOutput!$A$3:$BL$215,23,FALSE)</f>
        <v>TOR</v>
      </c>
      <c r="E68">
        <f>VLOOKUP($A68,ScionOutput!$A$3:$BL$215,6,FALSE)</f>
        <v>21</v>
      </c>
      <c r="F68" t="str">
        <f>VLOOKUP($A68,ScionOutput!$A$3:$BL$215,7,FALSE)</f>
        <v>PHI</v>
      </c>
      <c r="G68">
        <f>VLOOKUP($A68,ScionOutput!$A$3:$BL$215,26,FALSE)</f>
        <v>114</v>
      </c>
      <c r="H68">
        <f>VLOOKUP($A68,ScionOutput!$A$3:$BL$215,10,FALSE)</f>
        <v>-124</v>
      </c>
      <c r="I68" t="str">
        <f>VLOOKUP($A68,ScionOutput!$A$3:$BL$215,58,FALSE)</f>
        <v>No Play</v>
      </c>
      <c r="J68">
        <f>VLOOKUP($A68,ScionOutput!$A$3:$BL$215,59,FALSE)</f>
        <v>0</v>
      </c>
      <c r="K68">
        <f>VLOOKUP($A68,ScionOutput!$A$3:$BL$215,62,FALSE)</f>
        <v>0</v>
      </c>
      <c r="L68">
        <f>VLOOKUP($A68,ScionOutput!$A$3:$BL$215,63,FALSE)</f>
        <v>0</v>
      </c>
      <c r="M68" t="b">
        <f t="shared" si="9"/>
        <v>0</v>
      </c>
      <c r="N68">
        <f>VLOOKUP($A68,Outcomes!$B$3:$I$209,8,FALSE)</f>
        <v>11</v>
      </c>
      <c r="O68">
        <f t="shared" si="10"/>
        <v>-1</v>
      </c>
      <c r="P68">
        <f>VLOOKUP($A68,Outcomes!$B$3:$I$209,5,FALSE)</f>
        <v>4</v>
      </c>
      <c r="Q68">
        <f>VLOOKUP($A68,Outcomes!$B$3:$I$209,6,FALSE)</f>
        <v>7</v>
      </c>
      <c r="R68">
        <f>VLOOKUP($A68,Outcomes!$B$3:$I$209,7,FALSE)</f>
        <v>3</v>
      </c>
      <c r="S68" t="str">
        <f t="shared" si="11"/>
        <v>VisFave</v>
      </c>
      <c r="T68" t="str">
        <f t="shared" si="12"/>
        <v/>
      </c>
      <c r="U68" t="str">
        <f t="shared" si="8"/>
        <v/>
      </c>
      <c r="V68" t="str">
        <f t="shared" si="13"/>
        <v/>
      </c>
      <c r="W68" t="str">
        <f t="shared" si="14"/>
        <v/>
      </c>
      <c r="X68" s="2" t="str">
        <f t="shared" si="15"/>
        <v/>
      </c>
      <c r="Y68" t="str">
        <f>VLOOKUP($A68,ScionOutput!$A$3:$BL$215,64,FALSE)</f>
        <v xml:space="preserve">822804. VF plays are disallowed. No play due to strategy constraints. </v>
      </c>
    </row>
    <row r="69" spans="1:25" x14ac:dyDescent="0.2">
      <c r="A69">
        <v>824827</v>
      </c>
      <c r="B69" s="3">
        <f>VLOOKUP($A69,ScionOutput!$A$3:$BL$215,3,FALSE)</f>
        <v>46184</v>
      </c>
      <c r="C69">
        <f>VLOOKUP($A69,ScionOutput!$A$3:$BL$215,22,FALSE)</f>
        <v>2</v>
      </c>
      <c r="D69" t="str">
        <f>VLOOKUP($A69,ScionOutput!$A$3:$BL$215,23,FALSE)</f>
        <v>BAL</v>
      </c>
      <c r="E69">
        <f>VLOOKUP($A69,ScionOutput!$A$3:$BL$215,6,FALSE)</f>
        <v>24</v>
      </c>
      <c r="F69" t="str">
        <f>VLOOKUP($A69,ScionOutput!$A$3:$BL$215,7,FALSE)</f>
        <v>SEA</v>
      </c>
      <c r="G69">
        <f>VLOOKUP($A69,ScionOutput!$A$3:$BL$215,26,FALSE)</f>
        <v>100</v>
      </c>
      <c r="H69">
        <f>VLOOKUP($A69,ScionOutput!$A$3:$BL$215,10,FALSE)</f>
        <v>-110</v>
      </c>
      <c r="I69" t="str">
        <f>VLOOKUP($A69,ScionOutput!$A$3:$BL$215,58,FALSE)</f>
        <v>No Play</v>
      </c>
      <c r="J69">
        <f>VLOOKUP($A69,ScionOutput!$A$3:$BL$215,59,FALSE)</f>
        <v>0</v>
      </c>
      <c r="K69">
        <f>VLOOKUP($A69,ScionOutput!$A$3:$BL$215,62,FALSE)</f>
        <v>0</v>
      </c>
      <c r="L69">
        <f>VLOOKUP($A69,ScionOutput!$A$3:$BL$215,63,FALSE)</f>
        <v>0</v>
      </c>
      <c r="M69" t="b">
        <f t="shared" si="9"/>
        <v>0</v>
      </c>
      <c r="N69">
        <f>VLOOKUP($A69,Outcomes!$B$3:$I$209,8,FALSE)</f>
        <v>12</v>
      </c>
      <c r="O69">
        <f t="shared" si="10"/>
        <v>1</v>
      </c>
      <c r="P69">
        <f>VLOOKUP($A69,Outcomes!$B$3:$I$209,5,FALSE)</f>
        <v>7</v>
      </c>
      <c r="Q69">
        <f>VLOOKUP($A69,Outcomes!$B$3:$I$209,6,FALSE)</f>
        <v>5</v>
      </c>
      <c r="R69">
        <f>VLOOKUP($A69,Outcomes!$B$3:$I$209,7,FALSE)</f>
        <v>-2</v>
      </c>
      <c r="S69" t="str">
        <f t="shared" si="11"/>
        <v>HomDog</v>
      </c>
      <c r="T69" t="str">
        <f t="shared" si="12"/>
        <v/>
      </c>
      <c r="U69" t="str">
        <f t="shared" si="8"/>
        <v/>
      </c>
      <c r="V69" t="str">
        <f t="shared" si="13"/>
        <v/>
      </c>
      <c r="W69" t="str">
        <f t="shared" si="14"/>
        <v/>
      </c>
      <c r="X69" s="2" t="str">
        <f t="shared" si="15"/>
        <v/>
      </c>
      <c r="Y69" t="str">
        <f>VLOOKUP($A69,ScionOutput!$A$3:$BL$215,64,FALSE)</f>
        <v xml:space="preserve">824827. VF plays are disallowed. No play due to strategy constraints. </v>
      </c>
    </row>
    <row r="70" spans="1:25" x14ac:dyDescent="0.2">
      <c r="A70">
        <v>824346</v>
      </c>
      <c r="B70" s="3">
        <f>VLOOKUP($A70,ScionOutput!$A$3:$BL$215,3,FALSE)</f>
        <v>46184</v>
      </c>
      <c r="C70">
        <f>VLOOKUP($A70,ScionOutput!$A$3:$BL$215,22,FALSE)</f>
        <v>8</v>
      </c>
      <c r="D70" t="str">
        <f>VLOOKUP($A70,ScionOutput!$A$3:$BL$215,23,FALSE)</f>
        <v>COL</v>
      </c>
      <c r="E70">
        <f>VLOOKUP($A70,ScionOutput!$A$3:$BL$215,6,FALSE)</f>
        <v>5</v>
      </c>
      <c r="F70" t="str">
        <f>VLOOKUP($A70,ScionOutput!$A$3:$BL$215,7,FALSE)</f>
        <v>CHC</v>
      </c>
      <c r="G70">
        <f>VLOOKUP($A70,ScionOutput!$A$3:$BL$215,26,FALSE)</f>
        <v>132</v>
      </c>
      <c r="H70">
        <f>VLOOKUP($A70,ScionOutput!$A$3:$BL$215,10,FALSE)</f>
        <v>-146</v>
      </c>
      <c r="I70" t="str">
        <f>VLOOKUP($A70,ScionOutput!$A$3:$BL$215,58,FALSE)</f>
        <v>No Play</v>
      </c>
      <c r="J70">
        <f>VLOOKUP($A70,ScionOutput!$A$3:$BL$215,59,FALSE)</f>
        <v>0</v>
      </c>
      <c r="K70">
        <f>VLOOKUP($A70,ScionOutput!$A$3:$BL$215,62,FALSE)</f>
        <v>0</v>
      </c>
      <c r="L70">
        <f>VLOOKUP($A70,ScionOutput!$A$3:$BL$215,63,FALSE)</f>
        <v>0</v>
      </c>
      <c r="M70" t="b">
        <f t="shared" si="9"/>
        <v>0</v>
      </c>
      <c r="N70">
        <f>VLOOKUP($A70,Outcomes!$B$3:$I$209,8,FALSE)</f>
        <v>12</v>
      </c>
      <c r="O70">
        <f t="shared" si="10"/>
        <v>-1</v>
      </c>
      <c r="P70">
        <f>VLOOKUP($A70,Outcomes!$B$3:$I$209,5,FALSE)</f>
        <v>3</v>
      </c>
      <c r="Q70">
        <f>VLOOKUP($A70,Outcomes!$B$3:$I$209,6,FALSE)</f>
        <v>9</v>
      </c>
      <c r="R70">
        <f>VLOOKUP($A70,Outcomes!$B$3:$I$209,7,FALSE)</f>
        <v>6</v>
      </c>
      <c r="S70" t="str">
        <f t="shared" si="11"/>
        <v>VisFave</v>
      </c>
      <c r="T70" t="str">
        <f t="shared" si="12"/>
        <v/>
      </c>
      <c r="U70" t="str">
        <f t="shared" si="8"/>
        <v/>
      </c>
      <c r="V70" t="str">
        <f t="shared" si="13"/>
        <v/>
      </c>
      <c r="W70" t="str">
        <f t="shared" si="14"/>
        <v/>
      </c>
      <c r="X70" s="2" t="str">
        <f t="shared" si="15"/>
        <v/>
      </c>
      <c r="Y70" t="str">
        <f>VLOOKUP($A70,ScionOutput!$A$3:$BL$215,64,FALSE)</f>
        <v xml:space="preserve">824346. LineStatEns price is outside allowable range! VF plays are disallowed. No play due to strategy constraints. </v>
      </c>
    </row>
    <row r="71" spans="1:25" x14ac:dyDescent="0.2">
      <c r="A71">
        <v>824265</v>
      </c>
      <c r="B71" s="3">
        <f>VLOOKUP($A71,ScionOutput!$A$3:$BL$215,3,FALSE)</f>
        <v>46184</v>
      </c>
      <c r="C71">
        <f>VLOOKUP($A71,ScionOutput!$A$3:$BL$215,22,FALSE)</f>
        <v>10</v>
      </c>
      <c r="D71" t="str">
        <f>VLOOKUP($A71,ScionOutput!$A$3:$BL$215,23,FALSE)</f>
        <v>DET</v>
      </c>
      <c r="E71">
        <f>VLOOKUP($A71,ScionOutput!$A$3:$BL$215,6,FALSE)</f>
        <v>15</v>
      </c>
      <c r="F71" t="str">
        <f>VLOOKUP($A71,ScionOutput!$A$3:$BL$215,7,FALSE)</f>
        <v>MIN</v>
      </c>
      <c r="G71">
        <f>VLOOKUP($A71,ScionOutput!$A$3:$BL$215,26,FALSE)</f>
        <v>-120</v>
      </c>
      <c r="H71">
        <f>VLOOKUP($A71,ScionOutput!$A$3:$BL$215,10,FALSE)</f>
        <v>109</v>
      </c>
      <c r="I71" t="str">
        <f>VLOOKUP($A71,ScionOutput!$A$3:$BL$215,58,FALSE)</f>
        <v>No Play</v>
      </c>
      <c r="J71">
        <f>VLOOKUP($A71,ScionOutput!$A$3:$BL$215,59,FALSE)</f>
        <v>0</v>
      </c>
      <c r="K71">
        <f>VLOOKUP($A71,ScionOutput!$A$3:$BL$215,62,FALSE)</f>
        <v>0</v>
      </c>
      <c r="L71">
        <f>VLOOKUP($A71,ScionOutput!$A$3:$BL$215,63,FALSE)</f>
        <v>0</v>
      </c>
      <c r="M71" t="b">
        <f t="shared" si="9"/>
        <v>0</v>
      </c>
      <c r="N71">
        <f>VLOOKUP($A71,Outcomes!$B$3:$I$209,8,FALSE)</f>
        <v>11</v>
      </c>
      <c r="O71">
        <f t="shared" si="10"/>
        <v>1</v>
      </c>
      <c r="P71">
        <f>VLOOKUP($A71,Outcomes!$B$3:$I$209,5,FALSE)</f>
        <v>11</v>
      </c>
      <c r="Q71">
        <f>VLOOKUP($A71,Outcomes!$B$3:$I$209,6,FALSE)</f>
        <v>0</v>
      </c>
      <c r="R71">
        <f>VLOOKUP($A71,Outcomes!$B$3:$I$209,7,FALSE)</f>
        <v>-11</v>
      </c>
      <c r="S71" t="str">
        <f t="shared" si="11"/>
        <v>HomFave</v>
      </c>
      <c r="T71" t="str">
        <f t="shared" si="12"/>
        <v/>
      </c>
      <c r="U71" t="str">
        <f t="shared" si="8"/>
        <v/>
      </c>
      <c r="V71" t="str">
        <f t="shared" si="13"/>
        <v/>
      </c>
      <c r="W71" t="str">
        <f t="shared" si="14"/>
        <v/>
      </c>
      <c r="X71" s="2" t="str">
        <f t="shared" si="15"/>
        <v/>
      </c>
      <c r="Y71" t="str">
        <f>VLOOKUP($A71,ScionOutput!$A$3:$BL$215,64,FALSE)</f>
        <v xml:space="preserve">824265. LineStatEns probability points gap does not exceed threshold (no edge found)! StatOnlyEns probability points gap does not exceed threshold (no edge found)! No play due to strategy constraints. </v>
      </c>
    </row>
    <row r="72" spans="1:25" x14ac:dyDescent="0.2">
      <c r="A72">
        <v>823855</v>
      </c>
      <c r="B72" s="3">
        <f>VLOOKUP($A72,ScionOutput!$A$3:$BL$215,3,FALSE)</f>
        <v>46184</v>
      </c>
      <c r="C72">
        <f>VLOOKUP($A72,ScionOutput!$A$3:$BL$215,22,FALSE)</f>
        <v>11</v>
      </c>
      <c r="D72" t="str">
        <f>VLOOKUP($A72,ScionOutput!$A$3:$BL$215,23,FALSE)</f>
        <v>FLO</v>
      </c>
      <c r="E72">
        <f>VLOOKUP($A72,ScionOutput!$A$3:$BL$215,6,FALSE)</f>
        <v>1</v>
      </c>
      <c r="F72" t="str">
        <f>VLOOKUP($A72,ScionOutput!$A$3:$BL$215,7,FALSE)</f>
        <v>ARZ</v>
      </c>
      <c r="G72">
        <f>VLOOKUP($A72,ScionOutput!$A$3:$BL$215,26,FALSE)</f>
        <v>-108</v>
      </c>
      <c r="H72">
        <f>VLOOKUP($A72,ScionOutput!$A$3:$BL$215,10,FALSE)</f>
        <v>-102</v>
      </c>
      <c r="I72" t="str">
        <f>VLOOKUP($A72,ScionOutput!$A$3:$BL$215,58,FALSE)</f>
        <v>HomFave</v>
      </c>
      <c r="J72">
        <f>VLOOKUP($A72,ScionOutput!$A$3:$BL$215,59,FALSE)</f>
        <v>2.3029999999999998E-2</v>
      </c>
      <c r="K72">
        <f>VLOOKUP($A72,ScionOutput!$A$3:$BL$215,62,FALSE)</f>
        <v>1</v>
      </c>
      <c r="L72">
        <f>VLOOKUP($A72,ScionOutput!$A$3:$BL$215,63,FALSE)</f>
        <v>0.93</v>
      </c>
      <c r="M72" t="b">
        <f t="shared" si="9"/>
        <v>1</v>
      </c>
      <c r="N72">
        <f>VLOOKUP($A72,Outcomes!$B$3:$I$209,8,FALSE)</f>
        <v>2</v>
      </c>
      <c r="O72">
        <f t="shared" si="10"/>
        <v>1</v>
      </c>
      <c r="P72">
        <f>VLOOKUP($A72,Outcomes!$B$3:$I$209,5,FALSE)</f>
        <v>2</v>
      </c>
      <c r="Q72">
        <f>VLOOKUP($A72,Outcomes!$B$3:$I$209,6,FALSE)</f>
        <v>0</v>
      </c>
      <c r="R72">
        <f>VLOOKUP($A72,Outcomes!$B$3:$I$209,7,FALSE)</f>
        <v>-2</v>
      </c>
      <c r="S72" t="str">
        <f t="shared" si="11"/>
        <v>HomFave</v>
      </c>
      <c r="T72">
        <f t="shared" si="12"/>
        <v>1</v>
      </c>
      <c r="U72">
        <f t="shared" si="8"/>
        <v>108</v>
      </c>
      <c r="V72">
        <f t="shared" si="13"/>
        <v>208</v>
      </c>
      <c r="W72">
        <f t="shared" si="14"/>
        <v>100</v>
      </c>
      <c r="X72" s="2">
        <f t="shared" si="15"/>
        <v>0.92592592592592593</v>
      </c>
      <c r="Y72" t="str">
        <f>VLOOKUP($A72,ScionOutput!$A$3:$BL$215,64,FALSE)</f>
        <v xml:space="preserve">823855. Play determined by LineStatEns and StatOnlyEns agreement. </v>
      </c>
    </row>
    <row r="73" spans="1:25" x14ac:dyDescent="0.2">
      <c r="A73">
        <v>824101</v>
      </c>
      <c r="B73" s="3">
        <f>VLOOKUP($A73,ScionOutput!$A$3:$BL$215,3,FALSE)</f>
        <v>46184</v>
      </c>
      <c r="C73">
        <f>VLOOKUP($A73,ScionOutput!$A$3:$BL$215,22,FALSE)</f>
        <v>13</v>
      </c>
      <c r="D73" t="str">
        <f>VLOOKUP($A73,ScionOutput!$A$3:$BL$215,23,FALSE)</f>
        <v>KC</v>
      </c>
      <c r="E73">
        <f>VLOOKUP($A73,ScionOutput!$A$3:$BL$215,6,FALSE)</f>
        <v>28</v>
      </c>
      <c r="F73" t="str">
        <f>VLOOKUP($A73,ScionOutput!$A$3:$BL$215,7,FALSE)</f>
        <v>TEX</v>
      </c>
      <c r="G73">
        <f>VLOOKUP($A73,ScionOutput!$A$3:$BL$215,26,FALSE)</f>
        <v>-115</v>
      </c>
      <c r="H73">
        <f>VLOOKUP($A73,ScionOutput!$A$3:$BL$215,10,FALSE)</f>
        <v>104</v>
      </c>
      <c r="I73" t="str">
        <f>VLOOKUP($A73,ScionOutput!$A$3:$BL$215,58,FALSE)</f>
        <v>HomFave</v>
      </c>
      <c r="J73">
        <f>VLOOKUP($A73,ScionOutput!$A$3:$BL$215,59,FALSE)</f>
        <v>8.2000000000000007E-3</v>
      </c>
      <c r="K73">
        <f>VLOOKUP($A73,ScionOutput!$A$3:$BL$215,62,FALSE)</f>
        <v>3</v>
      </c>
      <c r="L73">
        <f>VLOOKUP($A73,ScionOutput!$A$3:$BL$215,63,FALSE)</f>
        <v>0.87</v>
      </c>
      <c r="M73" t="b">
        <f t="shared" si="9"/>
        <v>0</v>
      </c>
      <c r="N73">
        <f>VLOOKUP($A73,Outcomes!$B$3:$I$209,8,FALSE)</f>
        <v>6</v>
      </c>
      <c r="O73">
        <f t="shared" si="10"/>
        <v>-1</v>
      </c>
      <c r="P73">
        <f>VLOOKUP($A73,Outcomes!$B$3:$I$209,5,FALSE)</f>
        <v>2</v>
      </c>
      <c r="Q73">
        <f>VLOOKUP($A73,Outcomes!$B$3:$I$209,6,FALSE)</f>
        <v>4</v>
      </c>
      <c r="R73">
        <f>VLOOKUP($A73,Outcomes!$B$3:$I$209,7,FALSE)</f>
        <v>2</v>
      </c>
      <c r="S73" t="str">
        <f t="shared" si="11"/>
        <v>VisDog</v>
      </c>
      <c r="T73" t="str">
        <f t="shared" si="12"/>
        <v/>
      </c>
      <c r="U73" t="str">
        <f t="shared" si="8"/>
        <v/>
      </c>
      <c r="V73" t="str">
        <f t="shared" si="13"/>
        <v/>
      </c>
      <c r="W73" t="str">
        <f t="shared" si="14"/>
        <v/>
      </c>
      <c r="X73" s="2" t="str">
        <f t="shared" si="15"/>
        <v/>
      </c>
      <c r="Y73" t="str">
        <f>VLOOKUP($A73,ScionOutput!$A$3:$BL$215,64,FALSE)</f>
        <v xml:space="preserve">824101. StatOnlyEns probability points gap does not exceed threshold (no edge found)! Play determined by LineStatEns only. </v>
      </c>
    </row>
    <row r="74" spans="1:25" x14ac:dyDescent="0.2">
      <c r="A74">
        <v>823619</v>
      </c>
      <c r="B74" s="3">
        <f>VLOOKUP($A74,ScionOutput!$A$3:$BL$215,3,FALSE)</f>
        <v>46184</v>
      </c>
      <c r="C74">
        <f>VLOOKUP($A74,ScionOutput!$A$3:$BL$215,22,FALSE)</f>
        <v>18</v>
      </c>
      <c r="D74" t="str">
        <f>VLOOKUP($A74,ScionOutput!$A$3:$BL$215,23,FALSE)</f>
        <v>NYM</v>
      </c>
      <c r="E74">
        <f>VLOOKUP($A74,ScionOutput!$A$3:$BL$215,6,FALSE)</f>
        <v>26</v>
      </c>
      <c r="F74" t="str">
        <f>VLOOKUP($A74,ScionOutput!$A$3:$BL$215,7,FALSE)</f>
        <v>STL</v>
      </c>
      <c r="G74">
        <f>VLOOKUP($A74,ScionOutput!$A$3:$BL$215,26,FALSE)</f>
        <v>-135</v>
      </c>
      <c r="H74">
        <f>VLOOKUP($A74,ScionOutput!$A$3:$BL$215,10,FALSE)</f>
        <v>122</v>
      </c>
      <c r="I74" t="str">
        <f>VLOOKUP($A74,ScionOutput!$A$3:$BL$215,58,FALSE)</f>
        <v>No Play</v>
      </c>
      <c r="J74">
        <f>VLOOKUP($A74,ScionOutput!$A$3:$BL$215,59,FALSE)</f>
        <v>0</v>
      </c>
      <c r="K74">
        <f>VLOOKUP($A74,ScionOutput!$A$3:$BL$215,62,FALSE)</f>
        <v>0</v>
      </c>
      <c r="L74">
        <f>VLOOKUP($A74,ScionOutput!$A$3:$BL$215,63,FALSE)</f>
        <v>0</v>
      </c>
      <c r="M74" t="b">
        <f t="shared" si="9"/>
        <v>0</v>
      </c>
      <c r="N74">
        <f>VLOOKUP($A74,Outcomes!$B$3:$I$209,8,FALSE)</f>
        <v>9</v>
      </c>
      <c r="O74">
        <f t="shared" si="10"/>
        <v>1</v>
      </c>
      <c r="P74">
        <f>VLOOKUP($A74,Outcomes!$B$3:$I$209,5,FALSE)</f>
        <v>5</v>
      </c>
      <c r="Q74">
        <f>VLOOKUP($A74,Outcomes!$B$3:$I$209,6,FALSE)</f>
        <v>4</v>
      </c>
      <c r="R74">
        <f>VLOOKUP($A74,Outcomes!$B$3:$I$209,7,FALSE)</f>
        <v>-1</v>
      </c>
      <c r="S74" t="str">
        <f t="shared" si="11"/>
        <v>HomFave</v>
      </c>
      <c r="T74" t="str">
        <f t="shared" si="12"/>
        <v/>
      </c>
      <c r="U74" t="str">
        <f t="shared" si="8"/>
        <v/>
      </c>
      <c r="V74" t="str">
        <f t="shared" si="13"/>
        <v/>
      </c>
      <c r="W74" t="str">
        <f t="shared" si="14"/>
        <v/>
      </c>
      <c r="X74" s="2" t="str">
        <f t="shared" si="15"/>
        <v/>
      </c>
      <c r="Y74" t="str">
        <f>VLOOKUP($A74,ScionOutput!$A$3:$BL$215,64,FALSE)</f>
        <v xml:space="preserve">823619. LineStatEns probability points gap does not exceed threshold (no edge found)! StatOnlyEns probability points gap does not exceed threshold (no edge found)! No play due to strategy constraints. </v>
      </c>
    </row>
    <row r="75" spans="1:25" x14ac:dyDescent="0.2">
      <c r="A75">
        <v>823371</v>
      </c>
      <c r="B75" s="3">
        <f>VLOOKUP($A75,ScionOutput!$A$3:$BL$215,3,FALSE)</f>
        <v>46184</v>
      </c>
      <c r="C75">
        <f>VLOOKUP($A75,ScionOutput!$A$3:$BL$215,22,FALSE)</f>
        <v>22</v>
      </c>
      <c r="D75" t="str">
        <f>VLOOKUP($A75,ScionOutput!$A$3:$BL$215,23,FALSE)</f>
        <v>PIT</v>
      </c>
      <c r="E75">
        <f>VLOOKUP($A75,ScionOutput!$A$3:$BL$215,6,FALSE)</f>
        <v>14</v>
      </c>
      <c r="F75" t="str">
        <f>VLOOKUP($A75,ScionOutput!$A$3:$BL$215,7,FALSE)</f>
        <v>LA</v>
      </c>
      <c r="G75">
        <f>VLOOKUP($A75,ScionOutput!$A$3:$BL$215,26,FALSE)</f>
        <v>137</v>
      </c>
      <c r="H75">
        <f>VLOOKUP($A75,ScionOutput!$A$3:$BL$215,10,FALSE)</f>
        <v>-152</v>
      </c>
      <c r="I75" t="str">
        <f>VLOOKUP($A75,ScionOutput!$A$3:$BL$215,58,FALSE)</f>
        <v>No Play</v>
      </c>
      <c r="J75">
        <f>VLOOKUP($A75,ScionOutput!$A$3:$BL$215,59,FALSE)</f>
        <v>0</v>
      </c>
      <c r="K75">
        <f>VLOOKUP($A75,ScionOutput!$A$3:$BL$215,62,FALSE)</f>
        <v>0</v>
      </c>
      <c r="L75">
        <f>VLOOKUP($A75,ScionOutput!$A$3:$BL$215,63,FALSE)</f>
        <v>0</v>
      </c>
      <c r="M75" t="b">
        <f t="shared" si="9"/>
        <v>0</v>
      </c>
      <c r="N75">
        <f>VLOOKUP($A75,Outcomes!$B$3:$I$209,8,FALSE)</f>
        <v>14</v>
      </c>
      <c r="O75">
        <f t="shared" si="10"/>
        <v>-1</v>
      </c>
      <c r="P75">
        <f>VLOOKUP($A75,Outcomes!$B$3:$I$209,5,FALSE)</f>
        <v>6</v>
      </c>
      <c r="Q75">
        <f>VLOOKUP($A75,Outcomes!$B$3:$I$209,6,FALSE)</f>
        <v>8</v>
      </c>
      <c r="R75">
        <f>VLOOKUP($A75,Outcomes!$B$3:$I$209,7,FALSE)</f>
        <v>2</v>
      </c>
      <c r="S75" t="str">
        <f t="shared" si="11"/>
        <v>VisFave</v>
      </c>
      <c r="T75" t="str">
        <f t="shared" si="12"/>
        <v/>
      </c>
      <c r="U75" t="str">
        <f t="shared" si="8"/>
        <v/>
      </c>
      <c r="V75" t="str">
        <f t="shared" si="13"/>
        <v/>
      </c>
      <c r="W75" t="str">
        <f t="shared" si="14"/>
        <v/>
      </c>
      <c r="X75" s="2" t="str">
        <f t="shared" si="15"/>
        <v/>
      </c>
      <c r="Y75" t="str">
        <f>VLOOKUP($A75,ScionOutput!$A$3:$BL$215,64,FALSE)</f>
        <v xml:space="preserve">823371. VF plays are disallowed. No play due to strategy constraints. </v>
      </c>
    </row>
    <row r="76" spans="1:25" x14ac:dyDescent="0.2">
      <c r="A76">
        <v>824826</v>
      </c>
      <c r="B76" s="3">
        <f>VLOOKUP($A76,ScionOutput!$A$3:$BL$215,3,FALSE)</f>
        <v>46185</v>
      </c>
      <c r="C76">
        <f>VLOOKUP($A76,ScionOutput!$A$3:$BL$215,22,FALSE)</f>
        <v>2</v>
      </c>
      <c r="D76" t="str">
        <f>VLOOKUP($A76,ScionOutput!$A$3:$BL$215,23,FALSE)</f>
        <v>BAL</v>
      </c>
      <c r="E76">
        <f>VLOOKUP($A76,ScionOutput!$A$3:$BL$215,6,FALSE)</f>
        <v>23</v>
      </c>
      <c r="F76" t="str">
        <f>VLOOKUP($A76,ScionOutput!$A$3:$BL$215,7,FALSE)</f>
        <v>SD</v>
      </c>
      <c r="G76">
        <f>VLOOKUP($A76,ScionOutput!$A$3:$BL$215,26,FALSE)</f>
        <v>-122</v>
      </c>
      <c r="H76">
        <f>VLOOKUP($A76,ScionOutput!$A$3:$BL$215,10,FALSE)</f>
        <v>113</v>
      </c>
      <c r="I76" t="str">
        <f>VLOOKUP($A76,ScionOutput!$A$3:$BL$215,58,FALSE)</f>
        <v>No Play</v>
      </c>
      <c r="J76">
        <f>VLOOKUP($A76,ScionOutput!$A$3:$BL$215,59,FALSE)</f>
        <v>0</v>
      </c>
      <c r="K76">
        <f>VLOOKUP($A76,ScionOutput!$A$3:$BL$215,62,FALSE)</f>
        <v>0</v>
      </c>
      <c r="L76">
        <f>VLOOKUP($A76,ScionOutput!$A$3:$BL$215,63,FALSE)</f>
        <v>0</v>
      </c>
      <c r="M76" t="b">
        <f t="shared" si="9"/>
        <v>0</v>
      </c>
      <c r="N76">
        <f>VLOOKUP($A76,Outcomes!$B$3:$I$209,8,FALSE)</f>
        <v>10</v>
      </c>
      <c r="O76">
        <f t="shared" si="10"/>
        <v>1</v>
      </c>
      <c r="P76">
        <f>VLOOKUP($A76,Outcomes!$B$3:$I$209,5,FALSE)</f>
        <v>7</v>
      </c>
      <c r="Q76">
        <f>VLOOKUP($A76,Outcomes!$B$3:$I$209,6,FALSE)</f>
        <v>3</v>
      </c>
      <c r="R76">
        <f>VLOOKUP($A76,Outcomes!$B$3:$I$209,7,FALSE)</f>
        <v>-4</v>
      </c>
      <c r="S76" t="str">
        <f t="shared" si="11"/>
        <v>HomFave</v>
      </c>
      <c r="T76" t="str">
        <f t="shared" si="12"/>
        <v/>
      </c>
      <c r="U76" t="str">
        <f t="shared" si="8"/>
        <v/>
      </c>
      <c r="V76" t="str">
        <f t="shared" si="13"/>
        <v/>
      </c>
      <c r="W76" t="str">
        <f t="shared" si="14"/>
        <v/>
      </c>
      <c r="X76" s="2" t="str">
        <f t="shared" si="15"/>
        <v/>
      </c>
      <c r="Y76" t="str">
        <f>VLOOKUP($A76,ScionOutput!$A$3:$BL$215,64,FALSE)</f>
        <v xml:space="preserve">824826. LineStatEns probability points gap does not exceed threshold (no edge found)! StatOnlyEns probability points gap does not exceed threshold (no edge found)! No play due to strategy constraints. </v>
      </c>
    </row>
    <row r="77" spans="1:25" x14ac:dyDescent="0.2">
      <c r="A77">
        <v>824752</v>
      </c>
      <c r="B77" s="3">
        <f>VLOOKUP($A77,ScionOutput!$A$3:$BL$215,3,FALSE)</f>
        <v>46185</v>
      </c>
      <c r="C77">
        <f>VLOOKUP($A77,ScionOutput!$A$3:$BL$215,22,FALSE)</f>
        <v>3</v>
      </c>
      <c r="D77" t="str">
        <f>VLOOKUP($A77,ScionOutput!$A$3:$BL$215,23,FALSE)</f>
        <v>BOS</v>
      </c>
      <c r="E77">
        <f>VLOOKUP($A77,ScionOutput!$A$3:$BL$215,6,FALSE)</f>
        <v>28</v>
      </c>
      <c r="F77" t="str">
        <f>VLOOKUP($A77,ScionOutput!$A$3:$BL$215,7,FALSE)</f>
        <v>TEX</v>
      </c>
      <c r="G77">
        <f>VLOOKUP($A77,ScionOutput!$A$3:$BL$215,26,FALSE)</f>
        <v>-126</v>
      </c>
      <c r="H77">
        <f>VLOOKUP($A77,ScionOutput!$A$3:$BL$215,10,FALSE)</f>
        <v>117</v>
      </c>
      <c r="I77" t="str">
        <f>VLOOKUP($A77,ScionOutput!$A$3:$BL$215,58,FALSE)</f>
        <v>No Play</v>
      </c>
      <c r="J77">
        <f>VLOOKUP($A77,ScionOutput!$A$3:$BL$215,59,FALSE)</f>
        <v>0</v>
      </c>
      <c r="K77">
        <f>VLOOKUP($A77,ScionOutput!$A$3:$BL$215,62,FALSE)</f>
        <v>0</v>
      </c>
      <c r="L77">
        <f>VLOOKUP($A77,ScionOutput!$A$3:$BL$215,63,FALSE)</f>
        <v>0</v>
      </c>
      <c r="M77" t="b">
        <f t="shared" si="9"/>
        <v>0</v>
      </c>
      <c r="N77">
        <f>VLOOKUP($A77,Outcomes!$B$3:$I$209,8,FALSE)</f>
        <v>11</v>
      </c>
      <c r="O77">
        <f t="shared" si="10"/>
        <v>1</v>
      </c>
      <c r="P77">
        <f>VLOOKUP($A77,Outcomes!$B$3:$I$209,5,FALSE)</f>
        <v>10</v>
      </c>
      <c r="Q77">
        <f>VLOOKUP($A77,Outcomes!$B$3:$I$209,6,FALSE)</f>
        <v>1</v>
      </c>
      <c r="R77">
        <f>VLOOKUP($A77,Outcomes!$B$3:$I$209,7,FALSE)</f>
        <v>-9</v>
      </c>
      <c r="S77" t="str">
        <f t="shared" si="11"/>
        <v>HomFave</v>
      </c>
      <c r="T77" t="str">
        <f t="shared" si="12"/>
        <v/>
      </c>
      <c r="U77" t="str">
        <f t="shared" si="8"/>
        <v/>
      </c>
      <c r="V77" t="str">
        <f t="shared" si="13"/>
        <v/>
      </c>
      <c r="W77" t="str">
        <f t="shared" si="14"/>
        <v/>
      </c>
      <c r="X77" s="2" t="str">
        <f t="shared" si="15"/>
        <v/>
      </c>
      <c r="Y77" t="str">
        <f>VLOOKUP($A77,ScionOutput!$A$3:$BL$215,64,FALSE)</f>
        <v xml:space="preserve">824752. LineStatEns probability points gap does not exceed threshold (no edge found)! StatOnlyEns probability points gap does not exceed threshold (no edge found)! No play due to strategy constraints. </v>
      </c>
    </row>
    <row r="78" spans="1:25" x14ac:dyDescent="0.2">
      <c r="A78">
        <v>824020</v>
      </c>
      <c r="B78" s="3">
        <f>VLOOKUP($A78,ScionOutput!$A$3:$BL$215,3,FALSE)</f>
        <v>46185</v>
      </c>
      <c r="C78">
        <f>VLOOKUP($A78,ScionOutput!$A$3:$BL$215,22,FALSE)</f>
        <v>4</v>
      </c>
      <c r="D78" t="str">
        <f>VLOOKUP($A78,ScionOutput!$A$3:$BL$215,23,FALSE)</f>
        <v>LAA</v>
      </c>
      <c r="E78">
        <f>VLOOKUP($A78,ScionOutput!$A$3:$BL$215,6,FALSE)</f>
        <v>27</v>
      </c>
      <c r="F78" t="str">
        <f>VLOOKUP($A78,ScionOutput!$A$3:$BL$215,7,FALSE)</f>
        <v>TB</v>
      </c>
      <c r="G78">
        <f>VLOOKUP($A78,ScionOutput!$A$3:$BL$215,26,FALSE)</f>
        <v>148</v>
      </c>
      <c r="H78">
        <f>VLOOKUP($A78,ScionOutput!$A$3:$BL$215,10,FALSE)</f>
        <v>-162</v>
      </c>
      <c r="I78" t="str">
        <f>VLOOKUP($A78,ScionOutput!$A$3:$BL$215,58,FALSE)</f>
        <v>No Play</v>
      </c>
      <c r="J78">
        <f>VLOOKUP($A78,ScionOutput!$A$3:$BL$215,59,FALSE)</f>
        <v>0</v>
      </c>
      <c r="K78">
        <f>VLOOKUP($A78,ScionOutput!$A$3:$BL$215,62,FALSE)</f>
        <v>0</v>
      </c>
      <c r="L78">
        <f>VLOOKUP($A78,ScionOutput!$A$3:$BL$215,63,FALSE)</f>
        <v>0</v>
      </c>
      <c r="M78" t="b">
        <f t="shared" si="9"/>
        <v>0</v>
      </c>
      <c r="N78">
        <f>VLOOKUP($A78,Outcomes!$B$3:$I$209,8,FALSE)</f>
        <v>7</v>
      </c>
      <c r="O78">
        <f t="shared" si="10"/>
        <v>1</v>
      </c>
      <c r="P78">
        <f>VLOOKUP($A78,Outcomes!$B$3:$I$209,5,FALSE)</f>
        <v>4</v>
      </c>
      <c r="Q78">
        <f>VLOOKUP($A78,Outcomes!$B$3:$I$209,6,FALSE)</f>
        <v>3</v>
      </c>
      <c r="R78">
        <f>VLOOKUP($A78,Outcomes!$B$3:$I$209,7,FALSE)</f>
        <v>-1</v>
      </c>
      <c r="S78" t="str">
        <f t="shared" si="11"/>
        <v>HomDog</v>
      </c>
      <c r="T78" t="str">
        <f t="shared" si="12"/>
        <v/>
      </c>
      <c r="U78" t="str">
        <f t="shared" si="8"/>
        <v/>
      </c>
      <c r="V78" t="str">
        <f t="shared" si="13"/>
        <v/>
      </c>
      <c r="W78" t="str">
        <f t="shared" si="14"/>
        <v/>
      </c>
      <c r="X78" s="2" t="str">
        <f t="shared" si="15"/>
        <v/>
      </c>
      <c r="Y78" t="str">
        <f>VLOOKUP($A78,ScionOutput!$A$3:$BL$215,64,FALSE)</f>
        <v xml:space="preserve">824020. VF plays are disallowed. No play due to strategy constraints. </v>
      </c>
    </row>
    <row r="79" spans="1:25" x14ac:dyDescent="0.2">
      <c r="A79">
        <v>824507</v>
      </c>
      <c r="B79" s="3">
        <f>VLOOKUP($A79,ScionOutput!$A$3:$BL$215,3,FALSE)</f>
        <v>46185</v>
      </c>
      <c r="C79">
        <f>VLOOKUP($A79,ScionOutput!$A$3:$BL$215,22,FALSE)</f>
        <v>6</v>
      </c>
      <c r="D79" t="str">
        <f>VLOOKUP($A79,ScionOutput!$A$3:$BL$215,23,FALSE)</f>
        <v>CIN</v>
      </c>
      <c r="E79">
        <f>VLOOKUP($A79,ScionOutput!$A$3:$BL$215,6,FALSE)</f>
        <v>1</v>
      </c>
      <c r="F79" t="str">
        <f>VLOOKUP($A79,ScionOutput!$A$3:$BL$215,7,FALSE)</f>
        <v>ARZ</v>
      </c>
      <c r="G79">
        <f>VLOOKUP($A79,ScionOutput!$A$3:$BL$215,26,FALSE)</f>
        <v>-110</v>
      </c>
      <c r="H79">
        <f>VLOOKUP($A79,ScionOutput!$A$3:$BL$215,10,FALSE)</f>
        <v>101</v>
      </c>
      <c r="I79" t="str">
        <f>VLOOKUP($A79,ScionOutput!$A$3:$BL$215,58,FALSE)</f>
        <v>VisDog</v>
      </c>
      <c r="J79">
        <f>VLOOKUP($A79,ScionOutput!$A$3:$BL$215,59,FALSE)</f>
        <v>-3.2870000000000003E-2</v>
      </c>
      <c r="K79">
        <f>VLOOKUP($A79,ScionOutput!$A$3:$BL$215,62,FALSE)</f>
        <v>3</v>
      </c>
      <c r="L79">
        <f>VLOOKUP($A79,ScionOutput!$A$3:$BL$215,63,FALSE)</f>
        <v>0.73</v>
      </c>
      <c r="M79" t="b">
        <f t="shared" si="9"/>
        <v>0</v>
      </c>
      <c r="N79">
        <f>VLOOKUP($A79,Outcomes!$B$3:$I$209,8,FALSE)</f>
        <v>7</v>
      </c>
      <c r="O79">
        <f t="shared" si="10"/>
        <v>-1</v>
      </c>
      <c r="P79">
        <f>VLOOKUP($A79,Outcomes!$B$3:$I$209,5,FALSE)</f>
        <v>2</v>
      </c>
      <c r="Q79">
        <f>VLOOKUP($A79,Outcomes!$B$3:$I$209,6,FALSE)</f>
        <v>5</v>
      </c>
      <c r="R79">
        <f>VLOOKUP($A79,Outcomes!$B$3:$I$209,7,FALSE)</f>
        <v>3</v>
      </c>
      <c r="S79" t="str">
        <f t="shared" si="11"/>
        <v>VisDog</v>
      </c>
      <c r="T79" t="str">
        <f t="shared" si="12"/>
        <v/>
      </c>
      <c r="U79" t="str">
        <f t="shared" si="8"/>
        <v/>
      </c>
      <c r="V79" t="str">
        <f t="shared" si="13"/>
        <v/>
      </c>
      <c r="W79" t="str">
        <f t="shared" si="14"/>
        <v/>
      </c>
      <c r="X79" s="2" t="str">
        <f t="shared" si="15"/>
        <v/>
      </c>
      <c r="Y79" t="str">
        <f>VLOOKUP($A79,ScionOutput!$A$3:$BL$215,64,FALSE)</f>
        <v xml:space="preserve">824507. StatOnlyEns probability points gap does not exceed threshold (no edge found)! Play determined by LineStatEns only. </v>
      </c>
    </row>
    <row r="80" spans="1:25" x14ac:dyDescent="0.2">
      <c r="A80">
        <v>824425</v>
      </c>
      <c r="B80" s="3">
        <f>VLOOKUP($A80,ScionOutput!$A$3:$BL$215,3,FALSE)</f>
        <v>46185</v>
      </c>
      <c r="C80">
        <f>VLOOKUP($A80,ScionOutput!$A$3:$BL$215,22,FALSE)</f>
        <v>7</v>
      </c>
      <c r="D80" t="str">
        <f>VLOOKUP($A80,ScionOutput!$A$3:$BL$215,23,FALSE)</f>
        <v>CLE</v>
      </c>
      <c r="E80">
        <f>VLOOKUP($A80,ScionOutput!$A$3:$BL$215,6,FALSE)</f>
        <v>10</v>
      </c>
      <c r="F80" t="str">
        <f>VLOOKUP($A80,ScionOutput!$A$3:$BL$215,7,FALSE)</f>
        <v>DET</v>
      </c>
      <c r="G80">
        <f>VLOOKUP($A80,ScionOutput!$A$3:$BL$215,26,FALSE)</f>
        <v>-116</v>
      </c>
      <c r="H80">
        <f>VLOOKUP($A80,ScionOutput!$A$3:$BL$215,10,FALSE)</f>
        <v>107</v>
      </c>
      <c r="I80" t="str">
        <f>VLOOKUP($A80,ScionOutput!$A$3:$BL$215,58,FALSE)</f>
        <v>VisDog</v>
      </c>
      <c r="J80">
        <f>VLOOKUP($A80,ScionOutput!$A$3:$BL$215,59,FALSE)</f>
        <v>-3.644E-2</v>
      </c>
      <c r="K80">
        <f>VLOOKUP($A80,ScionOutput!$A$3:$BL$215,62,FALSE)</f>
        <v>3</v>
      </c>
      <c r="L80">
        <f>VLOOKUP($A80,ScionOutput!$A$3:$BL$215,63,FALSE)</f>
        <v>0.73</v>
      </c>
      <c r="M80" t="b">
        <f t="shared" si="9"/>
        <v>0</v>
      </c>
      <c r="N80">
        <f>VLOOKUP($A80,Outcomes!$B$3:$I$209,8,FALSE)</f>
        <v>5</v>
      </c>
      <c r="O80">
        <f t="shared" si="10"/>
        <v>1</v>
      </c>
      <c r="P80">
        <f>VLOOKUP($A80,Outcomes!$B$3:$I$209,5,FALSE)</f>
        <v>3</v>
      </c>
      <c r="Q80">
        <f>VLOOKUP($A80,Outcomes!$B$3:$I$209,6,FALSE)</f>
        <v>2</v>
      </c>
      <c r="R80">
        <f>VLOOKUP($A80,Outcomes!$B$3:$I$209,7,FALSE)</f>
        <v>-1</v>
      </c>
      <c r="S80" t="str">
        <f t="shared" si="11"/>
        <v>HomFave</v>
      </c>
      <c r="T80" t="str">
        <f t="shared" si="12"/>
        <v/>
      </c>
      <c r="U80" t="str">
        <f t="shared" si="8"/>
        <v/>
      </c>
      <c r="V80" t="str">
        <f t="shared" si="13"/>
        <v/>
      </c>
      <c r="W80" t="str">
        <f t="shared" si="14"/>
        <v/>
      </c>
      <c r="X80" s="2" t="str">
        <f t="shared" si="15"/>
        <v/>
      </c>
      <c r="Y80" t="str">
        <f>VLOOKUP($A80,ScionOutput!$A$3:$BL$215,64,FALSE)</f>
        <v xml:space="preserve">824425. StatOnlyEns probability points gap does not exceed threshold (no edge found)! Play determined by LineStatEns only. </v>
      </c>
    </row>
    <row r="81" spans="1:25" x14ac:dyDescent="0.2">
      <c r="A81">
        <v>824588</v>
      </c>
      <c r="B81" s="3">
        <f>VLOOKUP($A81,ScionOutput!$A$3:$BL$215,3,FALSE)</f>
        <v>46185</v>
      </c>
      <c r="C81">
        <f>VLOOKUP($A81,ScionOutput!$A$3:$BL$215,22,FALSE)</f>
        <v>9</v>
      </c>
      <c r="D81" t="str">
        <f>VLOOKUP($A81,ScionOutput!$A$3:$BL$215,23,FALSE)</f>
        <v>CWS</v>
      </c>
      <c r="E81">
        <f>VLOOKUP($A81,ScionOutput!$A$3:$BL$215,6,FALSE)</f>
        <v>14</v>
      </c>
      <c r="F81" t="str">
        <f>VLOOKUP($A81,ScionOutput!$A$3:$BL$215,7,FALSE)</f>
        <v>LA</v>
      </c>
      <c r="G81">
        <f>VLOOKUP($A81,ScionOutput!$A$3:$BL$215,26,FALSE)</f>
        <v>134</v>
      </c>
      <c r="H81">
        <f>VLOOKUP($A81,ScionOutput!$A$3:$BL$215,10,FALSE)</f>
        <v>-146</v>
      </c>
      <c r="I81" t="str">
        <f>VLOOKUP($A81,ScionOutput!$A$3:$BL$215,58,FALSE)</f>
        <v>No Play</v>
      </c>
      <c r="J81">
        <f>VLOOKUP($A81,ScionOutput!$A$3:$BL$215,59,FALSE)</f>
        <v>0</v>
      </c>
      <c r="K81">
        <f>VLOOKUP($A81,ScionOutput!$A$3:$BL$215,62,FALSE)</f>
        <v>0</v>
      </c>
      <c r="L81">
        <f>VLOOKUP($A81,ScionOutput!$A$3:$BL$215,63,FALSE)</f>
        <v>0</v>
      </c>
      <c r="M81" t="b">
        <f t="shared" si="9"/>
        <v>0</v>
      </c>
      <c r="N81">
        <f>VLOOKUP($A81,Outcomes!$B$3:$I$209,8,FALSE)</f>
        <v>10</v>
      </c>
      <c r="O81">
        <f t="shared" si="10"/>
        <v>1</v>
      </c>
      <c r="P81">
        <f>VLOOKUP($A81,Outcomes!$B$3:$I$209,5,FALSE)</f>
        <v>8</v>
      </c>
      <c r="Q81">
        <f>VLOOKUP($A81,Outcomes!$B$3:$I$209,6,FALSE)</f>
        <v>2</v>
      </c>
      <c r="R81">
        <f>VLOOKUP($A81,Outcomes!$B$3:$I$209,7,FALSE)</f>
        <v>-6</v>
      </c>
      <c r="S81" t="str">
        <f t="shared" si="11"/>
        <v>HomDog</v>
      </c>
      <c r="T81" t="str">
        <f t="shared" si="12"/>
        <v/>
      </c>
      <c r="U81" t="str">
        <f t="shared" si="8"/>
        <v/>
      </c>
      <c r="V81" t="str">
        <f t="shared" si="13"/>
        <v/>
      </c>
      <c r="W81" t="str">
        <f t="shared" si="14"/>
        <v/>
      </c>
      <c r="X81" s="2" t="str">
        <f t="shared" si="15"/>
        <v/>
      </c>
      <c r="Y81" t="str">
        <f>VLOOKUP($A81,ScionOutput!$A$3:$BL$215,64,FALSE)</f>
        <v xml:space="preserve">824588. LineStatEns price is outside allowable range! VF plays are disallowed. No play due to strategy constraints. </v>
      </c>
    </row>
    <row r="82" spans="1:25" x14ac:dyDescent="0.2">
      <c r="A82">
        <v>824102</v>
      </c>
      <c r="B82" s="3">
        <f>VLOOKUP($A82,ScionOutput!$A$3:$BL$215,3,FALSE)</f>
        <v>46185</v>
      </c>
      <c r="C82">
        <f>VLOOKUP($A82,ScionOutput!$A$3:$BL$215,22,FALSE)</f>
        <v>13</v>
      </c>
      <c r="D82" t="str">
        <f>VLOOKUP($A82,ScionOutput!$A$3:$BL$215,23,FALSE)</f>
        <v>KC</v>
      </c>
      <c r="E82">
        <f>VLOOKUP($A82,ScionOutput!$A$3:$BL$215,6,FALSE)</f>
        <v>12</v>
      </c>
      <c r="F82" t="str">
        <f>VLOOKUP($A82,ScionOutput!$A$3:$BL$215,7,FALSE)</f>
        <v>HOU</v>
      </c>
      <c r="G82">
        <f>VLOOKUP($A82,ScionOutput!$A$3:$BL$215,26,FALSE)</f>
        <v>100</v>
      </c>
      <c r="H82">
        <f>VLOOKUP($A82,ScionOutput!$A$3:$BL$215,10,FALSE)</f>
        <v>-109</v>
      </c>
      <c r="I82" t="str">
        <f>VLOOKUP($A82,ScionOutput!$A$3:$BL$215,58,FALSE)</f>
        <v>No Play</v>
      </c>
      <c r="J82">
        <f>VLOOKUP($A82,ScionOutput!$A$3:$BL$215,59,FALSE)</f>
        <v>0</v>
      </c>
      <c r="K82">
        <f>VLOOKUP($A82,ScionOutput!$A$3:$BL$215,62,FALSE)</f>
        <v>0</v>
      </c>
      <c r="L82">
        <f>VLOOKUP($A82,ScionOutput!$A$3:$BL$215,63,FALSE)</f>
        <v>0</v>
      </c>
      <c r="M82" t="b">
        <f t="shared" si="9"/>
        <v>0</v>
      </c>
      <c r="N82">
        <f>VLOOKUP($A82,Outcomes!$B$3:$I$209,8,FALSE)</f>
        <v>18</v>
      </c>
      <c r="O82">
        <f t="shared" si="10"/>
        <v>-1</v>
      </c>
      <c r="P82">
        <f>VLOOKUP($A82,Outcomes!$B$3:$I$209,5,FALSE)</f>
        <v>8</v>
      </c>
      <c r="Q82">
        <f>VLOOKUP($A82,Outcomes!$B$3:$I$209,6,FALSE)</f>
        <v>10</v>
      </c>
      <c r="R82">
        <f>VLOOKUP($A82,Outcomes!$B$3:$I$209,7,FALSE)</f>
        <v>2</v>
      </c>
      <c r="S82" t="str">
        <f t="shared" si="11"/>
        <v>VisFave</v>
      </c>
      <c r="T82" t="str">
        <f t="shared" si="12"/>
        <v/>
      </c>
      <c r="U82" t="str">
        <f t="shared" si="8"/>
        <v/>
      </c>
      <c r="V82" t="str">
        <f t="shared" si="13"/>
        <v/>
      </c>
      <c r="W82" t="str">
        <f t="shared" si="14"/>
        <v/>
      </c>
      <c r="X82" s="2" t="str">
        <f t="shared" si="15"/>
        <v/>
      </c>
      <c r="Y82" t="str">
        <f>VLOOKUP($A82,ScionOutput!$A$3:$BL$215,64,FALSE)</f>
        <v xml:space="preserve">824102. VF plays are disallowed. No play due to strategy constraints. </v>
      </c>
    </row>
    <row r="83" spans="1:25" x14ac:dyDescent="0.2">
      <c r="A83">
        <v>823695</v>
      </c>
      <c r="B83" s="3">
        <f>VLOOKUP($A83,ScionOutput!$A$3:$BL$215,3,FALSE)</f>
        <v>46185</v>
      </c>
      <c r="C83">
        <f>VLOOKUP($A83,ScionOutput!$A$3:$BL$215,22,FALSE)</f>
        <v>15</v>
      </c>
      <c r="D83" t="str">
        <f>VLOOKUP($A83,ScionOutput!$A$3:$BL$215,23,FALSE)</f>
        <v>MIN</v>
      </c>
      <c r="E83">
        <f>VLOOKUP($A83,ScionOutput!$A$3:$BL$215,6,FALSE)</f>
        <v>26</v>
      </c>
      <c r="F83" t="str">
        <f>VLOOKUP($A83,ScionOutput!$A$3:$BL$215,7,FALSE)</f>
        <v>STL</v>
      </c>
      <c r="G83">
        <f>VLOOKUP($A83,ScionOutput!$A$3:$BL$215,26,FALSE)</f>
        <v>-130</v>
      </c>
      <c r="H83">
        <f>VLOOKUP($A83,ScionOutput!$A$3:$BL$215,10,FALSE)</f>
        <v>120</v>
      </c>
      <c r="I83" t="str">
        <f>VLOOKUP($A83,ScionOutput!$A$3:$BL$215,58,FALSE)</f>
        <v>No Play</v>
      </c>
      <c r="J83">
        <f>VLOOKUP($A83,ScionOutput!$A$3:$BL$215,59,FALSE)</f>
        <v>0</v>
      </c>
      <c r="K83">
        <f>VLOOKUP($A83,ScionOutput!$A$3:$BL$215,62,FALSE)</f>
        <v>0</v>
      </c>
      <c r="L83">
        <f>VLOOKUP($A83,ScionOutput!$A$3:$BL$215,63,FALSE)</f>
        <v>0</v>
      </c>
      <c r="M83" t="b">
        <f t="shared" si="9"/>
        <v>0</v>
      </c>
      <c r="N83">
        <f>VLOOKUP($A83,Outcomes!$B$3:$I$209,8,FALSE)</f>
        <v>17</v>
      </c>
      <c r="O83">
        <f t="shared" si="10"/>
        <v>1</v>
      </c>
      <c r="P83">
        <f>VLOOKUP($A83,Outcomes!$B$3:$I$209,5,FALSE)</f>
        <v>9</v>
      </c>
      <c r="Q83">
        <f>VLOOKUP($A83,Outcomes!$B$3:$I$209,6,FALSE)</f>
        <v>8</v>
      </c>
      <c r="R83">
        <f>VLOOKUP($A83,Outcomes!$B$3:$I$209,7,FALSE)</f>
        <v>-1</v>
      </c>
      <c r="S83" t="str">
        <f t="shared" si="11"/>
        <v>HomFave</v>
      </c>
      <c r="T83" t="str">
        <f t="shared" si="12"/>
        <v/>
      </c>
      <c r="U83" t="str">
        <f t="shared" si="8"/>
        <v/>
      </c>
      <c r="V83" t="str">
        <f t="shared" si="13"/>
        <v/>
      </c>
      <c r="W83" t="str">
        <f t="shared" si="14"/>
        <v/>
      </c>
      <c r="X83" s="2" t="str">
        <f t="shared" si="15"/>
        <v/>
      </c>
      <c r="Y83" t="str">
        <f>VLOOKUP($A83,ScionOutput!$A$3:$BL$215,64,FALSE)</f>
        <v xml:space="preserve">823695. LineStatEns probability points gap does not exceed threshold (no edge found)! StatOnlyEns probability points gap does not exceed threshold (no edge found)! No play due to strategy constraints. </v>
      </c>
    </row>
    <row r="84" spans="1:25" x14ac:dyDescent="0.2">
      <c r="A84">
        <v>822726</v>
      </c>
      <c r="B84" s="3">
        <f>VLOOKUP($A84,ScionOutput!$A$3:$BL$215,3,FALSE)</f>
        <v>46185</v>
      </c>
      <c r="C84">
        <f>VLOOKUP($A84,ScionOutput!$A$3:$BL$215,22,FALSE)</f>
        <v>16</v>
      </c>
      <c r="D84" t="str">
        <f>VLOOKUP($A84,ScionOutput!$A$3:$BL$215,23,FALSE)</f>
        <v>WAS</v>
      </c>
      <c r="E84">
        <f>VLOOKUP($A84,ScionOutput!$A$3:$BL$215,6,FALSE)</f>
        <v>24</v>
      </c>
      <c r="F84" t="str">
        <f>VLOOKUP($A84,ScionOutput!$A$3:$BL$215,7,FALSE)</f>
        <v>SEA</v>
      </c>
      <c r="G84">
        <f>VLOOKUP($A84,ScionOutput!$A$3:$BL$215,26,FALSE)</f>
        <v>126</v>
      </c>
      <c r="H84">
        <f>VLOOKUP($A84,ScionOutput!$A$3:$BL$215,10,FALSE)</f>
        <v>-137</v>
      </c>
      <c r="I84" t="str">
        <f>VLOOKUP($A84,ScionOutput!$A$3:$BL$215,58,FALSE)</f>
        <v>No Play</v>
      </c>
      <c r="J84">
        <f>VLOOKUP($A84,ScionOutput!$A$3:$BL$215,59,FALSE)</f>
        <v>0</v>
      </c>
      <c r="K84">
        <f>VLOOKUP($A84,ScionOutput!$A$3:$BL$215,62,FALSE)</f>
        <v>0</v>
      </c>
      <c r="L84">
        <f>VLOOKUP($A84,ScionOutput!$A$3:$BL$215,63,FALSE)</f>
        <v>0</v>
      </c>
      <c r="M84" t="b">
        <f t="shared" si="9"/>
        <v>0</v>
      </c>
      <c r="N84">
        <f>VLOOKUP($A84,Outcomes!$B$3:$I$209,8,FALSE)</f>
        <v>12</v>
      </c>
      <c r="O84">
        <f t="shared" si="10"/>
        <v>-1</v>
      </c>
      <c r="P84">
        <f>VLOOKUP($A84,Outcomes!$B$3:$I$209,5,FALSE)</f>
        <v>2</v>
      </c>
      <c r="Q84">
        <f>VLOOKUP($A84,Outcomes!$B$3:$I$209,6,FALSE)</f>
        <v>10</v>
      </c>
      <c r="R84">
        <f>VLOOKUP($A84,Outcomes!$B$3:$I$209,7,FALSE)</f>
        <v>8</v>
      </c>
      <c r="S84" t="str">
        <f t="shared" si="11"/>
        <v>VisFave</v>
      </c>
      <c r="T84" t="str">
        <f t="shared" si="12"/>
        <v/>
      </c>
      <c r="U84" t="str">
        <f t="shared" si="8"/>
        <v/>
      </c>
      <c r="V84" t="str">
        <f t="shared" si="13"/>
        <v/>
      </c>
      <c r="W84" t="str">
        <f t="shared" si="14"/>
        <v/>
      </c>
      <c r="X84" s="2" t="str">
        <f t="shared" si="15"/>
        <v/>
      </c>
      <c r="Y84" t="str">
        <f>VLOOKUP($A84,ScionOutput!$A$3:$BL$215,64,FALSE)</f>
        <v xml:space="preserve">822726. VF plays are disallowed. No play due to strategy constraints. </v>
      </c>
    </row>
    <row r="85" spans="1:25" x14ac:dyDescent="0.2">
      <c r="A85">
        <v>823778</v>
      </c>
      <c r="B85" s="3">
        <f>VLOOKUP($A85,ScionOutput!$A$3:$BL$215,3,FALSE)</f>
        <v>46185</v>
      </c>
      <c r="C85">
        <f>VLOOKUP($A85,ScionOutput!$A$3:$BL$215,22,FALSE)</f>
        <v>17</v>
      </c>
      <c r="D85" t="str">
        <f>VLOOKUP($A85,ScionOutput!$A$3:$BL$215,23,FALSE)</f>
        <v>MLW</v>
      </c>
      <c r="E85">
        <f>VLOOKUP($A85,ScionOutput!$A$3:$BL$215,6,FALSE)</f>
        <v>21</v>
      </c>
      <c r="F85" t="str">
        <f>VLOOKUP($A85,ScionOutput!$A$3:$BL$215,7,FALSE)</f>
        <v>PHI</v>
      </c>
      <c r="G85">
        <f>VLOOKUP($A85,ScionOutput!$A$3:$BL$215,26,FALSE)</f>
        <v>-236</v>
      </c>
      <c r="H85">
        <f>VLOOKUP($A85,ScionOutput!$A$3:$BL$215,10,FALSE)</f>
        <v>213</v>
      </c>
      <c r="I85" t="str">
        <f>VLOOKUP($A85,ScionOutput!$A$3:$BL$215,58,FALSE)</f>
        <v>No Play</v>
      </c>
      <c r="J85">
        <f>VLOOKUP($A85,ScionOutput!$A$3:$BL$215,59,FALSE)</f>
        <v>0</v>
      </c>
      <c r="K85">
        <f>VLOOKUP($A85,ScionOutput!$A$3:$BL$215,62,FALSE)</f>
        <v>0</v>
      </c>
      <c r="L85">
        <f>VLOOKUP($A85,ScionOutput!$A$3:$BL$215,63,FALSE)</f>
        <v>0</v>
      </c>
      <c r="M85" t="b">
        <f t="shared" si="9"/>
        <v>0</v>
      </c>
      <c r="N85">
        <f>VLOOKUP($A85,Outcomes!$B$3:$I$209,8,FALSE)</f>
        <v>6</v>
      </c>
      <c r="O85">
        <f t="shared" si="10"/>
        <v>1</v>
      </c>
      <c r="P85">
        <f>VLOOKUP($A85,Outcomes!$B$3:$I$209,5,FALSE)</f>
        <v>6</v>
      </c>
      <c r="Q85">
        <f>VLOOKUP($A85,Outcomes!$B$3:$I$209,6,FALSE)</f>
        <v>0</v>
      </c>
      <c r="R85">
        <f>VLOOKUP($A85,Outcomes!$B$3:$I$209,7,FALSE)</f>
        <v>-6</v>
      </c>
      <c r="S85" t="str">
        <f t="shared" si="11"/>
        <v>HomFave</v>
      </c>
      <c r="T85" t="str">
        <f t="shared" si="12"/>
        <v/>
      </c>
      <c r="U85" t="str">
        <f t="shared" si="8"/>
        <v/>
      </c>
      <c r="V85" t="str">
        <f t="shared" si="13"/>
        <v/>
      </c>
      <c r="W85" t="str">
        <f t="shared" si="14"/>
        <v/>
      </c>
      <c r="X85" s="2" t="str">
        <f t="shared" si="15"/>
        <v/>
      </c>
      <c r="Y85" t="str">
        <f>VLOOKUP($A85,ScionOutput!$A$3:$BL$215,64,FALSE)</f>
        <v xml:space="preserve">823778. V_SP is Null, team-based avg used. NoPlay as V_SP is Null. </v>
      </c>
    </row>
    <row r="86" spans="1:25" x14ac:dyDescent="0.2">
      <c r="A86">
        <v>823617</v>
      </c>
      <c r="B86" s="3">
        <f>VLOOKUP($A86,ScionOutput!$A$3:$BL$215,3,FALSE)</f>
        <v>46185</v>
      </c>
      <c r="C86">
        <f>VLOOKUP($A86,ScionOutput!$A$3:$BL$215,22,FALSE)</f>
        <v>18</v>
      </c>
      <c r="D86" t="str">
        <f>VLOOKUP($A86,ScionOutput!$A$3:$BL$215,23,FALSE)</f>
        <v>NYM</v>
      </c>
      <c r="E86">
        <f>VLOOKUP($A86,ScionOutput!$A$3:$BL$215,6,FALSE)</f>
        <v>0</v>
      </c>
      <c r="F86" t="str">
        <f>VLOOKUP($A86,ScionOutput!$A$3:$BL$215,7,FALSE)</f>
        <v>ATL</v>
      </c>
      <c r="G86">
        <f>VLOOKUP($A86,ScionOutput!$A$3:$BL$215,26,FALSE)</f>
        <v>-123</v>
      </c>
      <c r="H86">
        <f>VLOOKUP($A86,ScionOutput!$A$3:$BL$215,10,FALSE)</f>
        <v>113</v>
      </c>
      <c r="I86" t="str">
        <f>VLOOKUP($A86,ScionOutput!$A$3:$BL$215,58,FALSE)</f>
        <v>VisDog</v>
      </c>
      <c r="J86">
        <f>VLOOKUP($A86,ScionOutput!$A$3:$BL$215,59,FALSE)</f>
        <v>-6.0199999999999997E-2</v>
      </c>
      <c r="K86">
        <f>VLOOKUP($A86,ScionOutput!$A$3:$BL$215,62,FALSE)</f>
        <v>5</v>
      </c>
      <c r="L86">
        <f>VLOOKUP($A86,ScionOutput!$A$3:$BL$215,63,FALSE)</f>
        <v>0.73</v>
      </c>
      <c r="M86" t="b">
        <f t="shared" si="9"/>
        <v>1</v>
      </c>
      <c r="N86">
        <f>VLOOKUP($A86,Outcomes!$B$3:$I$209,8,FALSE)</f>
        <v>12</v>
      </c>
      <c r="O86">
        <f t="shared" si="10"/>
        <v>1</v>
      </c>
      <c r="P86">
        <f>VLOOKUP($A86,Outcomes!$B$3:$I$209,5,FALSE)</f>
        <v>7</v>
      </c>
      <c r="Q86">
        <f>VLOOKUP($A86,Outcomes!$B$3:$I$209,6,FALSE)</f>
        <v>5</v>
      </c>
      <c r="R86">
        <f>VLOOKUP($A86,Outcomes!$B$3:$I$209,7,FALSE)</f>
        <v>-2</v>
      </c>
      <c r="S86" t="str">
        <f t="shared" si="11"/>
        <v>HomFave</v>
      </c>
      <c r="T86" t="str">
        <f t="shared" si="12"/>
        <v/>
      </c>
      <c r="U86" t="str">
        <f t="shared" si="8"/>
        <v/>
      </c>
      <c r="V86" t="str">
        <f t="shared" si="13"/>
        <v/>
      </c>
      <c r="W86" t="str">
        <f t="shared" si="14"/>
        <v/>
      </c>
      <c r="X86" s="2" t="str">
        <f t="shared" si="15"/>
        <v/>
      </c>
      <c r="Y86" t="str">
        <f>VLOOKUP($A86,ScionOutput!$A$3:$BL$215,64,FALSE)</f>
        <v xml:space="preserve">823617. Play determined by LineStatEns and StatOnlyEns agreement. </v>
      </c>
    </row>
    <row r="87" spans="1:25" x14ac:dyDescent="0.2">
      <c r="A87">
        <v>824997</v>
      </c>
      <c r="B87" s="3">
        <f>VLOOKUP($A87,ScionOutput!$A$3:$BL$215,3,FALSE)</f>
        <v>46185</v>
      </c>
      <c r="C87">
        <f>VLOOKUP($A87,ScionOutput!$A$3:$BL$215,22,FALSE)</f>
        <v>20</v>
      </c>
      <c r="D87" t="str">
        <f>VLOOKUP($A87,ScionOutput!$A$3:$BL$215,23,FALSE)</f>
        <v>OAK</v>
      </c>
      <c r="E87">
        <f>VLOOKUP($A87,ScionOutput!$A$3:$BL$215,6,FALSE)</f>
        <v>8</v>
      </c>
      <c r="F87" t="str">
        <f>VLOOKUP($A87,ScionOutput!$A$3:$BL$215,7,FALSE)</f>
        <v>COL</v>
      </c>
      <c r="G87">
        <f>VLOOKUP($A87,ScionOutput!$A$3:$BL$215,26,FALSE)</f>
        <v>-207</v>
      </c>
      <c r="H87">
        <f>VLOOKUP($A87,ScionOutput!$A$3:$BL$215,10,FALSE)</f>
        <v>188</v>
      </c>
      <c r="I87" t="str">
        <f>VLOOKUP($A87,ScionOutput!$A$3:$BL$215,58,FALSE)</f>
        <v>No Play</v>
      </c>
      <c r="J87">
        <f>VLOOKUP($A87,ScionOutput!$A$3:$BL$215,59,FALSE)</f>
        <v>0</v>
      </c>
      <c r="K87">
        <f>VLOOKUP($A87,ScionOutput!$A$3:$BL$215,62,FALSE)</f>
        <v>0</v>
      </c>
      <c r="L87">
        <f>VLOOKUP($A87,ScionOutput!$A$3:$BL$215,63,FALSE)</f>
        <v>0</v>
      </c>
      <c r="M87" t="b">
        <f t="shared" si="9"/>
        <v>0</v>
      </c>
      <c r="N87">
        <f>VLOOKUP($A87,Outcomes!$B$3:$I$209,8,FALSE)</f>
        <v>10</v>
      </c>
      <c r="O87">
        <f t="shared" si="10"/>
        <v>1</v>
      </c>
      <c r="P87">
        <f>VLOOKUP($A87,Outcomes!$B$3:$I$209,5,FALSE)</f>
        <v>6</v>
      </c>
      <c r="Q87">
        <f>VLOOKUP($A87,Outcomes!$B$3:$I$209,6,FALSE)</f>
        <v>4</v>
      </c>
      <c r="R87">
        <f>VLOOKUP($A87,Outcomes!$B$3:$I$209,7,FALSE)</f>
        <v>-2</v>
      </c>
      <c r="S87" t="str">
        <f t="shared" si="11"/>
        <v>HomFave</v>
      </c>
      <c r="T87" t="str">
        <f t="shared" si="12"/>
        <v/>
      </c>
      <c r="U87" t="str">
        <f t="shared" si="8"/>
        <v/>
      </c>
      <c r="V87" t="str">
        <f t="shared" si="13"/>
        <v/>
      </c>
      <c r="W87" t="str">
        <f t="shared" si="14"/>
        <v/>
      </c>
      <c r="X87" s="2" t="str">
        <f t="shared" si="15"/>
        <v/>
      </c>
      <c r="Y87" t="str">
        <f>VLOOKUP($A87,ScionOutput!$A$3:$BL$215,64,FALSE)</f>
        <v xml:space="preserve">824997. V_SP is Null, team-based avg used. NoPlay as V_SP is Null. </v>
      </c>
    </row>
    <row r="88" spans="1:25" x14ac:dyDescent="0.2">
      <c r="A88">
        <v>823370</v>
      </c>
      <c r="B88" s="3">
        <f>VLOOKUP($A88,ScionOutput!$A$3:$BL$215,3,FALSE)</f>
        <v>46185</v>
      </c>
      <c r="C88">
        <f>VLOOKUP($A88,ScionOutput!$A$3:$BL$215,22,FALSE)</f>
        <v>22</v>
      </c>
      <c r="D88" t="str">
        <f>VLOOKUP($A88,ScionOutput!$A$3:$BL$215,23,FALSE)</f>
        <v>PIT</v>
      </c>
      <c r="E88">
        <f>VLOOKUP($A88,ScionOutput!$A$3:$BL$215,6,FALSE)</f>
        <v>11</v>
      </c>
      <c r="F88" t="str">
        <f>VLOOKUP($A88,ScionOutput!$A$3:$BL$215,7,FALSE)</f>
        <v>FLO</v>
      </c>
      <c r="G88">
        <f>VLOOKUP($A88,ScionOutput!$A$3:$BL$215,26,FALSE)</f>
        <v>-137</v>
      </c>
      <c r="H88">
        <f>VLOOKUP($A88,ScionOutput!$A$3:$BL$215,10,FALSE)</f>
        <v>127</v>
      </c>
      <c r="I88" t="str">
        <f>VLOOKUP($A88,ScionOutput!$A$3:$BL$215,58,FALSE)</f>
        <v>No Play</v>
      </c>
      <c r="J88">
        <f>VLOOKUP($A88,ScionOutput!$A$3:$BL$215,59,FALSE)</f>
        <v>0</v>
      </c>
      <c r="K88">
        <f>VLOOKUP($A88,ScionOutput!$A$3:$BL$215,62,FALSE)</f>
        <v>0</v>
      </c>
      <c r="L88">
        <f>VLOOKUP($A88,ScionOutput!$A$3:$BL$215,63,FALSE)</f>
        <v>0</v>
      </c>
      <c r="M88" t="b">
        <f t="shared" si="9"/>
        <v>0</v>
      </c>
      <c r="N88">
        <f>VLOOKUP($A88,Outcomes!$B$3:$I$209,8,FALSE)</f>
        <v>11</v>
      </c>
      <c r="O88">
        <f t="shared" si="10"/>
        <v>-1</v>
      </c>
      <c r="P88">
        <f>VLOOKUP($A88,Outcomes!$B$3:$I$209,5,FALSE)</f>
        <v>3</v>
      </c>
      <c r="Q88">
        <f>VLOOKUP($A88,Outcomes!$B$3:$I$209,6,FALSE)</f>
        <v>8</v>
      </c>
      <c r="R88">
        <f>VLOOKUP($A88,Outcomes!$B$3:$I$209,7,FALSE)</f>
        <v>5</v>
      </c>
      <c r="S88" t="str">
        <f t="shared" si="11"/>
        <v>VisDog</v>
      </c>
      <c r="T88" t="str">
        <f t="shared" si="12"/>
        <v/>
      </c>
      <c r="U88" t="str">
        <f t="shared" si="8"/>
        <v/>
      </c>
      <c r="V88" t="str">
        <f t="shared" si="13"/>
        <v/>
      </c>
      <c r="W88" t="str">
        <f t="shared" si="14"/>
        <v/>
      </c>
      <c r="X88" s="2" t="str">
        <f t="shared" si="15"/>
        <v/>
      </c>
      <c r="Y88" t="str">
        <f>VLOOKUP($A88,ScionOutput!$A$3:$BL$215,64,FALSE)</f>
        <v xml:space="preserve">823370. LineStatEns probability points gap does not exceed threshold (no edge found)! StatOnlyEns probability points gap does not exceed threshold (no edge found)! No play due to strategy constraints. </v>
      </c>
    </row>
    <row r="89" spans="1:25" x14ac:dyDescent="0.2">
      <c r="A89">
        <v>823211</v>
      </c>
      <c r="B89" s="3">
        <f>VLOOKUP($A89,ScionOutput!$A$3:$BL$215,3,FALSE)</f>
        <v>46185</v>
      </c>
      <c r="C89">
        <f>VLOOKUP($A89,ScionOutput!$A$3:$BL$215,22,FALSE)</f>
        <v>25</v>
      </c>
      <c r="D89" t="str">
        <f>VLOOKUP($A89,ScionOutput!$A$3:$BL$215,23,FALSE)</f>
        <v>SF</v>
      </c>
      <c r="E89">
        <f>VLOOKUP($A89,ScionOutput!$A$3:$BL$215,6,FALSE)</f>
        <v>5</v>
      </c>
      <c r="F89" t="str">
        <f>VLOOKUP($A89,ScionOutput!$A$3:$BL$215,7,FALSE)</f>
        <v>CHC</v>
      </c>
      <c r="G89">
        <f>VLOOKUP($A89,ScionOutput!$A$3:$BL$215,26,FALSE)</f>
        <v>-120</v>
      </c>
      <c r="H89">
        <f>VLOOKUP($A89,ScionOutput!$A$3:$BL$215,10,FALSE)</f>
        <v>111</v>
      </c>
      <c r="I89" t="str">
        <f>VLOOKUP($A89,ScionOutput!$A$3:$BL$215,58,FALSE)</f>
        <v>No Play</v>
      </c>
      <c r="J89">
        <f>VLOOKUP($A89,ScionOutput!$A$3:$BL$215,59,FALSE)</f>
        <v>0</v>
      </c>
      <c r="K89">
        <f>VLOOKUP($A89,ScionOutput!$A$3:$BL$215,62,FALSE)</f>
        <v>0</v>
      </c>
      <c r="L89">
        <f>VLOOKUP($A89,ScionOutput!$A$3:$BL$215,63,FALSE)</f>
        <v>0</v>
      </c>
      <c r="M89" t="b">
        <f t="shared" si="9"/>
        <v>0</v>
      </c>
      <c r="N89">
        <f>VLOOKUP($A89,Outcomes!$B$3:$I$209,8,FALSE)</f>
        <v>6</v>
      </c>
      <c r="O89">
        <f t="shared" si="10"/>
        <v>-1</v>
      </c>
      <c r="P89">
        <f>VLOOKUP($A89,Outcomes!$B$3:$I$209,5,FALSE)</f>
        <v>1</v>
      </c>
      <c r="Q89">
        <f>VLOOKUP($A89,Outcomes!$B$3:$I$209,6,FALSE)</f>
        <v>5</v>
      </c>
      <c r="R89">
        <f>VLOOKUP($A89,Outcomes!$B$3:$I$209,7,FALSE)</f>
        <v>4</v>
      </c>
      <c r="S89" t="str">
        <f t="shared" si="11"/>
        <v>VisDog</v>
      </c>
      <c r="T89" t="str">
        <f t="shared" si="12"/>
        <v/>
      </c>
      <c r="U89" t="str">
        <f t="shared" si="8"/>
        <v/>
      </c>
      <c r="V89" t="str">
        <f t="shared" si="13"/>
        <v/>
      </c>
      <c r="W89" t="str">
        <f t="shared" si="14"/>
        <v/>
      </c>
      <c r="X89" s="2" t="str">
        <f t="shared" si="15"/>
        <v/>
      </c>
      <c r="Y89" t="str">
        <f>VLOOKUP($A89,ScionOutput!$A$3:$BL$215,64,FALSE)</f>
        <v xml:space="preserve">823211. LineStatEns probability points gap does not exceed threshold (no edge found)! No play due to strategy constraints. </v>
      </c>
    </row>
    <row r="90" spans="1:25" x14ac:dyDescent="0.2">
      <c r="A90">
        <v>822803</v>
      </c>
      <c r="B90" s="3">
        <f>VLOOKUP($A90,ScionOutput!$A$3:$BL$215,3,FALSE)</f>
        <v>46185</v>
      </c>
      <c r="C90">
        <f>VLOOKUP($A90,ScionOutput!$A$3:$BL$215,22,FALSE)</f>
        <v>29</v>
      </c>
      <c r="D90" t="str">
        <f>VLOOKUP($A90,ScionOutput!$A$3:$BL$215,23,FALSE)</f>
        <v>TOR</v>
      </c>
      <c r="E90">
        <f>VLOOKUP($A90,ScionOutput!$A$3:$BL$215,6,FALSE)</f>
        <v>19</v>
      </c>
      <c r="F90" t="str">
        <f>VLOOKUP($A90,ScionOutput!$A$3:$BL$215,7,FALSE)</f>
        <v>NYY</v>
      </c>
      <c r="G90">
        <f>VLOOKUP($A90,ScionOutput!$A$3:$BL$215,26,FALSE)</f>
        <v>-108</v>
      </c>
      <c r="H90">
        <f>VLOOKUP($A90,ScionOutput!$A$3:$BL$215,10,FALSE)</f>
        <v>100</v>
      </c>
      <c r="I90" t="str">
        <f>VLOOKUP($A90,ScionOutput!$A$3:$BL$215,58,FALSE)</f>
        <v>VisDog</v>
      </c>
      <c r="J90">
        <f>VLOOKUP($A90,ScionOutput!$A$3:$BL$215,59,FALSE)</f>
        <v>-2.9430000000000001E-2</v>
      </c>
      <c r="K90">
        <f>VLOOKUP($A90,ScionOutput!$A$3:$BL$215,62,FALSE)</f>
        <v>5</v>
      </c>
      <c r="L90">
        <f>VLOOKUP($A90,ScionOutput!$A$3:$BL$215,63,FALSE)</f>
        <v>0.8</v>
      </c>
      <c r="M90" t="b">
        <f t="shared" si="9"/>
        <v>1</v>
      </c>
      <c r="N90">
        <f>VLOOKUP($A90,Outcomes!$B$3:$I$209,8,FALSE)</f>
        <v>13</v>
      </c>
      <c r="O90">
        <f t="shared" si="10"/>
        <v>1</v>
      </c>
      <c r="P90">
        <f>VLOOKUP($A90,Outcomes!$B$3:$I$209,5,FALSE)</f>
        <v>8</v>
      </c>
      <c r="Q90">
        <f>VLOOKUP($A90,Outcomes!$B$3:$I$209,6,FALSE)</f>
        <v>5</v>
      </c>
      <c r="R90">
        <f>VLOOKUP($A90,Outcomes!$B$3:$I$209,7,FALSE)</f>
        <v>-3</v>
      </c>
      <c r="S90" t="str">
        <f t="shared" si="11"/>
        <v>HomFave</v>
      </c>
      <c r="T90" t="str">
        <f t="shared" si="12"/>
        <v/>
      </c>
      <c r="U90" t="str">
        <f t="shared" si="8"/>
        <v/>
      </c>
      <c r="V90" t="str">
        <f t="shared" si="13"/>
        <v/>
      </c>
      <c r="W90" t="str">
        <f t="shared" si="14"/>
        <v/>
      </c>
      <c r="X90" s="2" t="str">
        <f t="shared" si="15"/>
        <v/>
      </c>
      <c r="Y90" t="str">
        <f>VLOOKUP($A90,ScionOutput!$A$3:$BL$215,64,FALSE)</f>
        <v xml:space="preserve">822803. Play determined by LineStatEns and StatOnlyEns agreement. </v>
      </c>
    </row>
    <row r="91" spans="1:25" x14ac:dyDescent="0.2">
      <c r="A91">
        <v>824828</v>
      </c>
      <c r="B91" s="3">
        <f>VLOOKUP($A91,ScionOutput!$A$3:$BL$215,3,FALSE)</f>
        <v>46186</v>
      </c>
      <c r="C91">
        <f>VLOOKUP($A91,ScionOutput!$A$3:$BL$215,22,FALSE)</f>
        <v>2</v>
      </c>
      <c r="D91" t="str">
        <f>VLOOKUP($A91,ScionOutput!$A$3:$BL$215,23,FALSE)</f>
        <v>BAL</v>
      </c>
      <c r="E91">
        <f>VLOOKUP($A91,ScionOutput!$A$3:$BL$215,6,FALSE)</f>
        <v>23</v>
      </c>
      <c r="F91" t="str">
        <f>VLOOKUP($A91,ScionOutput!$A$3:$BL$215,7,FALSE)</f>
        <v>SD</v>
      </c>
      <c r="G91">
        <f>VLOOKUP($A91,ScionOutput!$A$3:$BL$215,26,FALSE)</f>
        <v>-116</v>
      </c>
      <c r="H91">
        <f>VLOOKUP($A91,ScionOutput!$A$3:$BL$215,10,FALSE)</f>
        <v>107</v>
      </c>
      <c r="I91" t="str">
        <f>VLOOKUP($A91,ScionOutput!$A$3:$BL$215,58,FALSE)</f>
        <v>No Play</v>
      </c>
      <c r="J91">
        <f>VLOOKUP($A91,ScionOutput!$A$3:$BL$215,59,FALSE)</f>
        <v>0</v>
      </c>
      <c r="K91">
        <f>VLOOKUP($A91,ScionOutput!$A$3:$BL$215,62,FALSE)</f>
        <v>0</v>
      </c>
      <c r="L91">
        <f>VLOOKUP($A91,ScionOutput!$A$3:$BL$215,63,FALSE)</f>
        <v>0</v>
      </c>
      <c r="M91" t="b">
        <f t="shared" si="9"/>
        <v>0</v>
      </c>
      <c r="N91">
        <f>VLOOKUP($A91,Outcomes!$B$3:$I$209,8,FALSE)</f>
        <v>12</v>
      </c>
      <c r="O91">
        <f t="shared" si="10"/>
        <v>-1</v>
      </c>
      <c r="P91">
        <f>VLOOKUP($A91,Outcomes!$B$3:$I$209,5,FALSE)</f>
        <v>3</v>
      </c>
      <c r="Q91">
        <f>VLOOKUP($A91,Outcomes!$B$3:$I$209,6,FALSE)</f>
        <v>9</v>
      </c>
      <c r="R91">
        <f>VLOOKUP($A91,Outcomes!$B$3:$I$209,7,FALSE)</f>
        <v>6</v>
      </c>
      <c r="S91" t="str">
        <f t="shared" si="11"/>
        <v>VisDog</v>
      </c>
      <c r="T91" t="str">
        <f t="shared" si="12"/>
        <v/>
      </c>
      <c r="U91" t="str">
        <f t="shared" si="8"/>
        <v/>
      </c>
      <c r="V91" t="str">
        <f t="shared" si="13"/>
        <v/>
      </c>
      <c r="W91" t="str">
        <f t="shared" si="14"/>
        <v/>
      </c>
      <c r="X91" s="2" t="str">
        <f t="shared" si="15"/>
        <v/>
      </c>
      <c r="Y91" t="str">
        <f>VLOOKUP($A91,ScionOutput!$A$3:$BL$215,64,FALSE)</f>
        <v xml:space="preserve">824828. LineStatEns probability points gap does not exceed threshold (no edge found)! StatOnlyEns probability points gap does not exceed threshold (no edge found)! No play due to strategy constraints. </v>
      </c>
    </row>
    <row r="92" spans="1:25" x14ac:dyDescent="0.2">
      <c r="A92">
        <v>824749</v>
      </c>
      <c r="B92" s="3">
        <f>VLOOKUP($A92,ScionOutput!$A$3:$BL$215,3,FALSE)</f>
        <v>46186</v>
      </c>
      <c r="C92">
        <f>VLOOKUP($A92,ScionOutput!$A$3:$BL$215,22,FALSE)</f>
        <v>3</v>
      </c>
      <c r="D92" t="str">
        <f>VLOOKUP($A92,ScionOutput!$A$3:$BL$215,23,FALSE)</f>
        <v>BOS</v>
      </c>
      <c r="E92">
        <f>VLOOKUP($A92,ScionOutput!$A$3:$BL$215,6,FALSE)</f>
        <v>28</v>
      </c>
      <c r="F92" t="str">
        <f>VLOOKUP($A92,ScionOutput!$A$3:$BL$215,7,FALSE)</f>
        <v>TEX</v>
      </c>
      <c r="G92">
        <f>VLOOKUP($A92,ScionOutput!$A$3:$BL$215,26,FALSE)</f>
        <v>-111</v>
      </c>
      <c r="H92">
        <f>VLOOKUP($A92,ScionOutput!$A$3:$BL$215,10,FALSE)</f>
        <v>102</v>
      </c>
      <c r="I92" t="str">
        <f>VLOOKUP($A92,ScionOutput!$A$3:$BL$215,58,FALSE)</f>
        <v>No Play</v>
      </c>
      <c r="J92">
        <f>VLOOKUP($A92,ScionOutput!$A$3:$BL$215,59,FALSE)</f>
        <v>0</v>
      </c>
      <c r="K92">
        <f>VLOOKUP($A92,ScionOutput!$A$3:$BL$215,62,FALSE)</f>
        <v>0</v>
      </c>
      <c r="L92">
        <f>VLOOKUP($A92,ScionOutput!$A$3:$BL$215,63,FALSE)</f>
        <v>0</v>
      </c>
      <c r="M92" t="b">
        <f t="shared" si="9"/>
        <v>0</v>
      </c>
      <c r="N92">
        <f>VLOOKUP($A92,Outcomes!$B$3:$I$209,8,FALSE)</f>
        <v>9</v>
      </c>
      <c r="O92">
        <f t="shared" si="10"/>
        <v>1</v>
      </c>
      <c r="P92">
        <f>VLOOKUP($A92,Outcomes!$B$3:$I$209,5,FALSE)</f>
        <v>6</v>
      </c>
      <c r="Q92">
        <f>VLOOKUP($A92,Outcomes!$B$3:$I$209,6,FALSE)</f>
        <v>3</v>
      </c>
      <c r="R92">
        <f>VLOOKUP($A92,Outcomes!$B$3:$I$209,7,FALSE)</f>
        <v>-3</v>
      </c>
      <c r="S92" t="str">
        <f t="shared" si="11"/>
        <v>HomFave</v>
      </c>
      <c r="T92" t="str">
        <f t="shared" si="12"/>
        <v/>
      </c>
      <c r="U92" t="str">
        <f t="shared" si="8"/>
        <v/>
      </c>
      <c r="V92" t="str">
        <f t="shared" si="13"/>
        <v/>
      </c>
      <c r="W92" t="str">
        <f t="shared" si="14"/>
        <v/>
      </c>
      <c r="X92" s="2" t="str">
        <f t="shared" si="15"/>
        <v/>
      </c>
      <c r="Y92" t="str">
        <f>VLOOKUP($A92,ScionOutput!$A$3:$BL$215,64,FALSE)</f>
        <v xml:space="preserve">824749. LineStatEns probability points gap does not exceed threshold (no edge found)! StatOnlyEns probability points gap does not exceed threshold (no edge found)! No play due to strategy constraints. </v>
      </c>
    </row>
    <row r="93" spans="1:25" x14ac:dyDescent="0.2">
      <c r="A93">
        <v>824019</v>
      </c>
      <c r="B93" s="3">
        <f>VLOOKUP($A93,ScionOutput!$A$3:$BL$215,3,FALSE)</f>
        <v>46186</v>
      </c>
      <c r="C93">
        <f>VLOOKUP($A93,ScionOutput!$A$3:$BL$215,22,FALSE)</f>
        <v>4</v>
      </c>
      <c r="D93" t="str">
        <f>VLOOKUP($A93,ScionOutput!$A$3:$BL$215,23,FALSE)</f>
        <v>LAA</v>
      </c>
      <c r="E93">
        <f>VLOOKUP($A93,ScionOutput!$A$3:$BL$215,6,FALSE)</f>
        <v>27</v>
      </c>
      <c r="F93" t="str">
        <f>VLOOKUP($A93,ScionOutput!$A$3:$BL$215,7,FALSE)</f>
        <v>TB</v>
      </c>
      <c r="G93">
        <f>VLOOKUP($A93,ScionOutput!$A$3:$BL$215,26,FALSE)</f>
        <v>102</v>
      </c>
      <c r="H93">
        <f>VLOOKUP($A93,ScionOutput!$A$3:$BL$215,10,FALSE)</f>
        <v>-110</v>
      </c>
      <c r="I93" t="str">
        <f>VLOOKUP($A93,ScionOutput!$A$3:$BL$215,58,FALSE)</f>
        <v>No Play</v>
      </c>
      <c r="J93">
        <f>VLOOKUP($A93,ScionOutput!$A$3:$BL$215,59,FALSE)</f>
        <v>0</v>
      </c>
      <c r="K93">
        <f>VLOOKUP($A93,ScionOutput!$A$3:$BL$215,62,FALSE)</f>
        <v>0</v>
      </c>
      <c r="L93">
        <f>VLOOKUP($A93,ScionOutput!$A$3:$BL$215,63,FALSE)</f>
        <v>0</v>
      </c>
      <c r="M93" t="b">
        <f t="shared" si="9"/>
        <v>0</v>
      </c>
      <c r="N93">
        <f>VLOOKUP($A93,Outcomes!$B$3:$I$209,8,FALSE)</f>
        <v>8</v>
      </c>
      <c r="O93">
        <f t="shared" si="10"/>
        <v>1</v>
      </c>
      <c r="P93">
        <f>VLOOKUP($A93,Outcomes!$B$3:$I$209,5,FALSE)</f>
        <v>8</v>
      </c>
      <c r="Q93">
        <f>VLOOKUP($A93,Outcomes!$B$3:$I$209,6,FALSE)</f>
        <v>0</v>
      </c>
      <c r="R93">
        <f>VLOOKUP($A93,Outcomes!$B$3:$I$209,7,FALSE)</f>
        <v>-8</v>
      </c>
      <c r="S93" t="str">
        <f t="shared" si="11"/>
        <v>HomDog</v>
      </c>
      <c r="T93" t="str">
        <f t="shared" si="12"/>
        <v/>
      </c>
      <c r="U93" t="str">
        <f t="shared" si="8"/>
        <v/>
      </c>
      <c r="V93" t="str">
        <f t="shared" si="13"/>
        <v/>
      </c>
      <c r="W93" t="str">
        <f t="shared" si="14"/>
        <v/>
      </c>
      <c r="X93" s="2" t="str">
        <f t="shared" si="15"/>
        <v/>
      </c>
      <c r="Y93" t="str">
        <f>VLOOKUP($A93,ScionOutput!$A$3:$BL$215,64,FALSE)</f>
        <v xml:space="preserve">824019. VF plays are disallowed. No play due to strategy constraints. </v>
      </c>
    </row>
    <row r="94" spans="1:25" x14ac:dyDescent="0.2">
      <c r="A94">
        <v>824508</v>
      </c>
      <c r="B94" s="3">
        <f>VLOOKUP($A94,ScionOutput!$A$3:$BL$215,3,FALSE)</f>
        <v>46186</v>
      </c>
      <c r="C94">
        <f>VLOOKUP($A94,ScionOutput!$A$3:$BL$215,22,FALSE)</f>
        <v>6</v>
      </c>
      <c r="D94" t="str">
        <f>VLOOKUP($A94,ScionOutput!$A$3:$BL$215,23,FALSE)</f>
        <v>CIN</v>
      </c>
      <c r="E94">
        <f>VLOOKUP($A94,ScionOutput!$A$3:$BL$215,6,FALSE)</f>
        <v>1</v>
      </c>
      <c r="F94" t="str">
        <f>VLOOKUP($A94,ScionOutput!$A$3:$BL$215,7,FALSE)</f>
        <v>ARZ</v>
      </c>
      <c r="G94">
        <f>VLOOKUP($A94,ScionOutput!$A$3:$BL$215,26,FALSE)</f>
        <v>136</v>
      </c>
      <c r="H94">
        <f>VLOOKUP($A94,ScionOutput!$A$3:$BL$215,10,FALSE)</f>
        <v>-148</v>
      </c>
      <c r="I94" t="str">
        <f>VLOOKUP($A94,ScionOutput!$A$3:$BL$215,58,FALSE)</f>
        <v>No Play</v>
      </c>
      <c r="J94">
        <f>VLOOKUP($A94,ScionOutput!$A$3:$BL$215,59,FALSE)</f>
        <v>0</v>
      </c>
      <c r="K94">
        <f>VLOOKUP($A94,ScionOutput!$A$3:$BL$215,62,FALSE)</f>
        <v>0</v>
      </c>
      <c r="L94">
        <f>VLOOKUP($A94,ScionOutput!$A$3:$BL$215,63,FALSE)</f>
        <v>0</v>
      </c>
      <c r="M94" t="b">
        <f t="shared" si="9"/>
        <v>0</v>
      </c>
      <c r="N94">
        <f>VLOOKUP($A94,Outcomes!$B$3:$I$209,8,FALSE)</f>
        <v>3</v>
      </c>
      <c r="O94">
        <f t="shared" si="10"/>
        <v>1</v>
      </c>
      <c r="P94">
        <f>VLOOKUP($A94,Outcomes!$B$3:$I$209,5,FALSE)</f>
        <v>2</v>
      </c>
      <c r="Q94">
        <f>VLOOKUP($A94,Outcomes!$B$3:$I$209,6,FALSE)</f>
        <v>1</v>
      </c>
      <c r="R94">
        <f>VLOOKUP($A94,Outcomes!$B$3:$I$209,7,FALSE)</f>
        <v>-1</v>
      </c>
      <c r="S94" t="str">
        <f t="shared" si="11"/>
        <v>HomDog</v>
      </c>
      <c r="T94" t="str">
        <f t="shared" si="12"/>
        <v/>
      </c>
      <c r="U94" t="str">
        <f t="shared" si="8"/>
        <v/>
      </c>
      <c r="V94" t="str">
        <f t="shared" si="13"/>
        <v/>
      </c>
      <c r="W94" t="str">
        <f t="shared" si="14"/>
        <v/>
      </c>
      <c r="X94" s="2" t="str">
        <f t="shared" si="15"/>
        <v/>
      </c>
      <c r="Y94" t="str">
        <f>VLOOKUP($A94,ScionOutput!$A$3:$BL$215,64,FALSE)</f>
        <v xml:space="preserve">824508. VF plays are disallowed. No play due to strategy constraints. </v>
      </c>
    </row>
    <row r="95" spans="1:25" x14ac:dyDescent="0.2">
      <c r="A95">
        <v>824426</v>
      </c>
      <c r="B95" s="3">
        <f>VLOOKUP($A95,ScionOutput!$A$3:$BL$215,3,FALSE)</f>
        <v>46186</v>
      </c>
      <c r="C95">
        <f>VLOOKUP($A95,ScionOutput!$A$3:$BL$215,22,FALSE)</f>
        <v>7</v>
      </c>
      <c r="D95" t="str">
        <f>VLOOKUP($A95,ScionOutput!$A$3:$BL$215,23,FALSE)</f>
        <v>CLE</v>
      </c>
      <c r="E95">
        <f>VLOOKUP($A95,ScionOutput!$A$3:$BL$215,6,FALSE)</f>
        <v>10</v>
      </c>
      <c r="F95" t="str">
        <f>VLOOKUP($A95,ScionOutput!$A$3:$BL$215,7,FALSE)</f>
        <v>DET</v>
      </c>
      <c r="G95">
        <f>VLOOKUP($A95,ScionOutput!$A$3:$BL$215,26,FALSE)</f>
        <v>121</v>
      </c>
      <c r="H95">
        <f>VLOOKUP($A95,ScionOutput!$A$3:$BL$215,10,FALSE)</f>
        <v>-131</v>
      </c>
      <c r="I95" t="str">
        <f>VLOOKUP($A95,ScionOutput!$A$3:$BL$215,58,FALSE)</f>
        <v>No Play</v>
      </c>
      <c r="J95">
        <f>VLOOKUP($A95,ScionOutput!$A$3:$BL$215,59,FALSE)</f>
        <v>0</v>
      </c>
      <c r="K95">
        <f>VLOOKUP($A95,ScionOutput!$A$3:$BL$215,62,FALSE)</f>
        <v>0</v>
      </c>
      <c r="L95">
        <f>VLOOKUP($A95,ScionOutput!$A$3:$BL$215,63,FALSE)</f>
        <v>0</v>
      </c>
      <c r="M95" t="b">
        <f t="shared" si="9"/>
        <v>0</v>
      </c>
      <c r="N95">
        <f>VLOOKUP($A95,Outcomes!$B$3:$I$209,8,FALSE)</f>
        <v>4</v>
      </c>
      <c r="O95">
        <f t="shared" si="10"/>
        <v>1</v>
      </c>
      <c r="P95">
        <f>VLOOKUP($A95,Outcomes!$B$3:$I$209,5,FALSE)</f>
        <v>3</v>
      </c>
      <c r="Q95">
        <f>VLOOKUP($A95,Outcomes!$B$3:$I$209,6,FALSE)</f>
        <v>1</v>
      </c>
      <c r="R95">
        <f>VLOOKUP($A95,Outcomes!$B$3:$I$209,7,FALSE)</f>
        <v>-2</v>
      </c>
      <c r="S95" t="str">
        <f t="shared" si="11"/>
        <v>HomDog</v>
      </c>
      <c r="T95" t="str">
        <f t="shared" si="12"/>
        <v/>
      </c>
      <c r="U95" t="str">
        <f t="shared" si="8"/>
        <v/>
      </c>
      <c r="V95" t="str">
        <f t="shared" si="13"/>
        <v/>
      </c>
      <c r="W95" t="str">
        <f t="shared" si="14"/>
        <v/>
      </c>
      <c r="X95" s="2" t="str">
        <f t="shared" si="15"/>
        <v/>
      </c>
      <c r="Y95" t="str">
        <f>VLOOKUP($A95,ScionOutput!$A$3:$BL$215,64,FALSE)</f>
        <v xml:space="preserve">824426. VF plays are disallowed. No play due to strategy constraints. </v>
      </c>
    </row>
    <row r="96" spans="1:25" x14ac:dyDescent="0.2">
      <c r="A96">
        <v>824587</v>
      </c>
      <c r="B96" s="3">
        <f>VLOOKUP($A96,ScionOutput!$A$3:$BL$215,3,FALSE)</f>
        <v>46186</v>
      </c>
      <c r="C96">
        <f>VLOOKUP($A96,ScionOutput!$A$3:$BL$215,22,FALSE)</f>
        <v>9</v>
      </c>
      <c r="D96" t="str">
        <f>VLOOKUP($A96,ScionOutput!$A$3:$BL$215,23,FALSE)</f>
        <v>CWS</v>
      </c>
      <c r="E96">
        <f>VLOOKUP($A96,ScionOutput!$A$3:$BL$215,6,FALSE)</f>
        <v>14</v>
      </c>
      <c r="F96" t="str">
        <f>VLOOKUP($A96,ScionOutput!$A$3:$BL$215,7,FALSE)</f>
        <v>LA</v>
      </c>
      <c r="G96">
        <f>VLOOKUP($A96,ScionOutput!$A$3:$BL$215,26,FALSE)</f>
        <v>185</v>
      </c>
      <c r="H96">
        <f>VLOOKUP($A96,ScionOutput!$A$3:$BL$215,10,FALSE)</f>
        <v>-203</v>
      </c>
      <c r="I96" t="str">
        <f>VLOOKUP($A96,ScionOutput!$A$3:$BL$215,58,FALSE)</f>
        <v>No Play</v>
      </c>
      <c r="J96">
        <f>VLOOKUP($A96,ScionOutput!$A$3:$BL$215,59,FALSE)</f>
        <v>0</v>
      </c>
      <c r="K96">
        <f>VLOOKUP($A96,ScionOutput!$A$3:$BL$215,62,FALSE)</f>
        <v>0</v>
      </c>
      <c r="L96">
        <f>VLOOKUP($A96,ScionOutput!$A$3:$BL$215,63,FALSE)</f>
        <v>0</v>
      </c>
      <c r="M96" t="b">
        <f t="shared" si="9"/>
        <v>0</v>
      </c>
      <c r="N96">
        <f>VLOOKUP($A96,Outcomes!$B$3:$I$209,8,FALSE)</f>
        <v>8</v>
      </c>
      <c r="O96">
        <f t="shared" si="10"/>
        <v>-1</v>
      </c>
      <c r="P96">
        <f>VLOOKUP($A96,Outcomes!$B$3:$I$209,5,FALSE)</f>
        <v>1</v>
      </c>
      <c r="Q96">
        <f>VLOOKUP($A96,Outcomes!$B$3:$I$209,6,FALSE)</f>
        <v>7</v>
      </c>
      <c r="R96">
        <f>VLOOKUP($A96,Outcomes!$B$3:$I$209,7,FALSE)</f>
        <v>6</v>
      </c>
      <c r="S96" t="str">
        <f t="shared" si="11"/>
        <v>VisFave</v>
      </c>
      <c r="T96" t="str">
        <f t="shared" si="12"/>
        <v/>
      </c>
      <c r="U96" t="str">
        <f t="shared" si="8"/>
        <v/>
      </c>
      <c r="V96" t="str">
        <f t="shared" si="13"/>
        <v/>
      </c>
      <c r="W96" t="str">
        <f t="shared" si="14"/>
        <v/>
      </c>
      <c r="X96" s="2" t="str">
        <f t="shared" si="15"/>
        <v/>
      </c>
      <c r="Y96" t="str">
        <f>VLOOKUP($A96,ScionOutput!$A$3:$BL$215,64,FALSE)</f>
        <v xml:space="preserve">824587. LineStatEns is NoPlay as bookie-line outside range. StatOnlyEns is NoPlay as bookie-line outside range. No play due to strategy constraints. </v>
      </c>
    </row>
    <row r="97" spans="1:25" x14ac:dyDescent="0.2">
      <c r="A97">
        <v>824100</v>
      </c>
      <c r="B97" s="3">
        <f>VLOOKUP($A97,ScionOutput!$A$3:$BL$215,3,FALSE)</f>
        <v>46186</v>
      </c>
      <c r="C97">
        <f>VLOOKUP($A97,ScionOutput!$A$3:$BL$215,22,FALSE)</f>
        <v>13</v>
      </c>
      <c r="D97" t="str">
        <f>VLOOKUP($A97,ScionOutput!$A$3:$BL$215,23,FALSE)</f>
        <v>KC</v>
      </c>
      <c r="E97">
        <f>VLOOKUP($A97,ScionOutput!$A$3:$BL$215,6,FALSE)</f>
        <v>12</v>
      </c>
      <c r="F97" t="str">
        <f>VLOOKUP($A97,ScionOutput!$A$3:$BL$215,7,FALSE)</f>
        <v>HOU</v>
      </c>
      <c r="G97">
        <f>VLOOKUP($A97,ScionOutput!$A$3:$BL$215,26,FALSE)</f>
        <v>-121</v>
      </c>
      <c r="H97">
        <f>VLOOKUP($A97,ScionOutput!$A$3:$BL$215,10,FALSE)</f>
        <v>112</v>
      </c>
      <c r="I97" t="str">
        <f>VLOOKUP($A97,ScionOutput!$A$3:$BL$215,58,FALSE)</f>
        <v>VisDog</v>
      </c>
      <c r="J97">
        <f>VLOOKUP($A97,ScionOutput!$A$3:$BL$215,59,FALSE)</f>
        <v>-5.7189999999999998E-2</v>
      </c>
      <c r="K97">
        <f>VLOOKUP($A97,ScionOutput!$A$3:$BL$215,62,FALSE)</f>
        <v>5</v>
      </c>
      <c r="L97">
        <f>VLOOKUP($A97,ScionOutput!$A$3:$BL$215,63,FALSE)</f>
        <v>0.67</v>
      </c>
      <c r="M97" t="b">
        <f t="shared" si="9"/>
        <v>1</v>
      </c>
      <c r="N97">
        <f>VLOOKUP($A97,Outcomes!$B$3:$I$209,8,FALSE)</f>
        <v>15</v>
      </c>
      <c r="O97">
        <f t="shared" si="10"/>
        <v>-1</v>
      </c>
      <c r="P97">
        <f>VLOOKUP($A97,Outcomes!$B$3:$I$209,5,FALSE)</f>
        <v>7</v>
      </c>
      <c r="Q97">
        <f>VLOOKUP($A97,Outcomes!$B$3:$I$209,6,FALSE)</f>
        <v>8</v>
      </c>
      <c r="R97">
        <f>VLOOKUP($A97,Outcomes!$B$3:$I$209,7,FALSE)</f>
        <v>1</v>
      </c>
      <c r="S97" t="str">
        <f t="shared" si="11"/>
        <v>VisDog</v>
      </c>
      <c r="T97" t="str">
        <f t="shared" si="12"/>
        <v/>
      </c>
      <c r="U97" t="str">
        <f t="shared" si="8"/>
        <v/>
      </c>
      <c r="V97" t="str">
        <f t="shared" si="13"/>
        <v/>
      </c>
      <c r="W97" t="str">
        <f t="shared" si="14"/>
        <v/>
      </c>
      <c r="X97" s="2" t="str">
        <f t="shared" si="15"/>
        <v/>
      </c>
      <c r="Y97" t="str">
        <f>VLOOKUP($A97,ScionOutput!$A$3:$BL$215,64,FALSE)</f>
        <v xml:space="preserve">824100. Play determined by LineStatEns and StatOnlyEns agreement. </v>
      </c>
    </row>
    <row r="98" spans="1:25" x14ac:dyDescent="0.2">
      <c r="A98">
        <v>823694</v>
      </c>
      <c r="B98" s="3">
        <f>VLOOKUP($A98,ScionOutput!$A$3:$BL$215,3,FALSE)</f>
        <v>46186</v>
      </c>
      <c r="C98">
        <f>VLOOKUP($A98,ScionOutput!$A$3:$BL$215,22,FALSE)</f>
        <v>15</v>
      </c>
      <c r="D98" t="str">
        <f>VLOOKUP($A98,ScionOutput!$A$3:$BL$215,23,FALSE)</f>
        <v>MIN</v>
      </c>
      <c r="E98">
        <f>VLOOKUP($A98,ScionOutput!$A$3:$BL$215,6,FALSE)</f>
        <v>26</v>
      </c>
      <c r="F98" t="str">
        <f>VLOOKUP($A98,ScionOutput!$A$3:$BL$215,7,FALSE)</f>
        <v>STL</v>
      </c>
      <c r="G98">
        <f>VLOOKUP($A98,ScionOutput!$A$3:$BL$215,26,FALSE)</f>
        <v>102</v>
      </c>
      <c r="H98">
        <f>VLOOKUP($A98,ScionOutput!$A$3:$BL$215,10,FALSE)</f>
        <v>-110</v>
      </c>
      <c r="I98" t="str">
        <f>VLOOKUP($A98,ScionOutput!$A$3:$BL$215,58,FALSE)</f>
        <v>HomDog</v>
      </c>
      <c r="J98">
        <f>VLOOKUP($A98,ScionOutput!$A$3:$BL$215,59,FALSE)</f>
        <v>1.4109999999999999E-2</v>
      </c>
      <c r="K98">
        <f>VLOOKUP($A98,ScionOutput!$A$3:$BL$215,62,FALSE)</f>
        <v>5</v>
      </c>
      <c r="L98">
        <f>VLOOKUP($A98,ScionOutput!$A$3:$BL$215,63,FALSE)</f>
        <v>0.53</v>
      </c>
      <c r="M98" t="b">
        <f t="shared" si="9"/>
        <v>1</v>
      </c>
      <c r="N98">
        <f>VLOOKUP($A98,Outcomes!$B$3:$I$209,8,FALSE)</f>
        <v>15</v>
      </c>
      <c r="O98">
        <f t="shared" si="10"/>
        <v>-1</v>
      </c>
      <c r="P98">
        <f>VLOOKUP($A98,Outcomes!$B$3:$I$209,5,FALSE)</f>
        <v>6</v>
      </c>
      <c r="Q98">
        <f>VLOOKUP($A98,Outcomes!$B$3:$I$209,6,FALSE)</f>
        <v>9</v>
      </c>
      <c r="R98">
        <f>VLOOKUP($A98,Outcomes!$B$3:$I$209,7,FALSE)</f>
        <v>3</v>
      </c>
      <c r="S98" t="str">
        <f t="shared" si="11"/>
        <v>VisFave</v>
      </c>
      <c r="T98" t="str">
        <f t="shared" si="12"/>
        <v/>
      </c>
      <c r="U98" t="str">
        <f t="shared" si="8"/>
        <v/>
      </c>
      <c r="V98" t="str">
        <f t="shared" si="13"/>
        <v/>
      </c>
      <c r="W98" t="str">
        <f t="shared" si="14"/>
        <v/>
      </c>
      <c r="X98" s="2" t="str">
        <f t="shared" si="15"/>
        <v/>
      </c>
      <c r="Y98" t="str">
        <f>VLOOKUP($A98,ScionOutput!$A$3:$BL$215,64,FALSE)</f>
        <v xml:space="preserve">823694. Play determined by LineStatEns and StatOnlyEns agreement. </v>
      </c>
    </row>
    <row r="99" spans="1:25" x14ac:dyDescent="0.2">
      <c r="A99">
        <v>822725</v>
      </c>
      <c r="B99" s="3">
        <f>VLOOKUP($A99,ScionOutput!$A$3:$BL$215,3,FALSE)</f>
        <v>46186</v>
      </c>
      <c r="C99">
        <f>VLOOKUP($A99,ScionOutput!$A$3:$BL$215,22,FALSE)</f>
        <v>16</v>
      </c>
      <c r="D99" t="str">
        <f>VLOOKUP($A99,ScionOutput!$A$3:$BL$215,23,FALSE)</f>
        <v>WAS</v>
      </c>
      <c r="E99">
        <f>VLOOKUP($A99,ScionOutput!$A$3:$BL$215,6,FALSE)</f>
        <v>24</v>
      </c>
      <c r="F99" t="str">
        <f>VLOOKUP($A99,ScionOutput!$A$3:$BL$215,7,FALSE)</f>
        <v>SEA</v>
      </c>
      <c r="G99">
        <f>VLOOKUP($A99,ScionOutput!$A$3:$BL$215,26,FALSE)</f>
        <v>-116</v>
      </c>
      <c r="H99">
        <f>VLOOKUP($A99,ScionOutput!$A$3:$BL$215,10,FALSE)</f>
        <v>108</v>
      </c>
      <c r="I99" t="str">
        <f>VLOOKUP($A99,ScionOutput!$A$3:$BL$215,58,FALSE)</f>
        <v>VisDog</v>
      </c>
      <c r="J99">
        <f>VLOOKUP($A99,ScionOutput!$A$3:$BL$215,59,FALSE)</f>
        <v>-4.7640000000000002E-2</v>
      </c>
      <c r="K99">
        <f>VLOOKUP($A99,ScionOutput!$A$3:$BL$215,62,FALSE)</f>
        <v>5</v>
      </c>
      <c r="L99">
        <f>VLOOKUP($A99,ScionOutput!$A$3:$BL$215,63,FALSE)</f>
        <v>0.73</v>
      </c>
      <c r="M99" t="b">
        <f t="shared" si="9"/>
        <v>1</v>
      </c>
      <c r="N99">
        <f>VLOOKUP($A99,Outcomes!$B$3:$I$209,8,FALSE)</f>
        <v>11</v>
      </c>
      <c r="O99">
        <f t="shared" si="10"/>
        <v>1</v>
      </c>
      <c r="P99">
        <f>VLOOKUP($A99,Outcomes!$B$3:$I$209,5,FALSE)</f>
        <v>8</v>
      </c>
      <c r="Q99">
        <f>VLOOKUP($A99,Outcomes!$B$3:$I$209,6,FALSE)</f>
        <v>3</v>
      </c>
      <c r="R99">
        <f>VLOOKUP($A99,Outcomes!$B$3:$I$209,7,FALSE)</f>
        <v>-5</v>
      </c>
      <c r="S99" t="str">
        <f t="shared" si="11"/>
        <v>HomFave</v>
      </c>
      <c r="T99" t="str">
        <f t="shared" si="12"/>
        <v/>
      </c>
      <c r="U99" t="str">
        <f t="shared" si="8"/>
        <v/>
      </c>
      <c r="V99" t="str">
        <f t="shared" si="13"/>
        <v/>
      </c>
      <c r="W99" t="str">
        <f t="shared" si="14"/>
        <v/>
      </c>
      <c r="X99" s="2" t="str">
        <f t="shared" si="15"/>
        <v/>
      </c>
      <c r="Y99" t="str">
        <f>VLOOKUP($A99,ScionOutput!$A$3:$BL$215,64,FALSE)</f>
        <v xml:space="preserve">822725. Play determined by LineStatEns and StatOnlyEns agreement. </v>
      </c>
    </row>
    <row r="100" spans="1:25" x14ac:dyDescent="0.2">
      <c r="A100">
        <v>823776</v>
      </c>
      <c r="B100" s="3">
        <f>VLOOKUP($A100,ScionOutput!$A$3:$BL$215,3,FALSE)</f>
        <v>46186</v>
      </c>
      <c r="C100">
        <f>VLOOKUP($A100,ScionOutput!$A$3:$BL$215,22,FALSE)</f>
        <v>17</v>
      </c>
      <c r="D100" t="str">
        <f>VLOOKUP($A100,ScionOutput!$A$3:$BL$215,23,FALSE)</f>
        <v>MLW</v>
      </c>
      <c r="E100">
        <f>VLOOKUP($A100,ScionOutput!$A$3:$BL$215,6,FALSE)</f>
        <v>21</v>
      </c>
      <c r="F100" t="str">
        <f>VLOOKUP($A100,ScionOutput!$A$3:$BL$215,7,FALSE)</f>
        <v>PHI</v>
      </c>
      <c r="G100">
        <f>VLOOKUP($A100,ScionOutput!$A$3:$BL$215,26,FALSE)</f>
        <v>-163</v>
      </c>
      <c r="H100">
        <f>VLOOKUP($A100,ScionOutput!$A$3:$BL$215,10,FALSE)</f>
        <v>150</v>
      </c>
      <c r="I100" t="str">
        <f>VLOOKUP($A100,ScionOutput!$A$3:$BL$215,58,FALSE)</f>
        <v>No Play</v>
      </c>
      <c r="J100">
        <f>VLOOKUP($A100,ScionOutput!$A$3:$BL$215,59,FALSE)</f>
        <v>0</v>
      </c>
      <c r="K100">
        <f>VLOOKUP($A100,ScionOutput!$A$3:$BL$215,62,FALSE)</f>
        <v>0</v>
      </c>
      <c r="L100">
        <f>VLOOKUP($A100,ScionOutput!$A$3:$BL$215,63,FALSE)</f>
        <v>0</v>
      </c>
      <c r="M100" t="b">
        <f t="shared" si="9"/>
        <v>0</v>
      </c>
      <c r="N100">
        <f>VLOOKUP($A100,Outcomes!$B$3:$I$209,8,FALSE)</f>
        <v>17</v>
      </c>
      <c r="O100">
        <f t="shared" si="10"/>
        <v>-1</v>
      </c>
      <c r="P100">
        <f>VLOOKUP($A100,Outcomes!$B$3:$I$209,5,FALSE)</f>
        <v>8</v>
      </c>
      <c r="Q100">
        <f>VLOOKUP($A100,Outcomes!$B$3:$I$209,6,FALSE)</f>
        <v>9</v>
      </c>
      <c r="R100">
        <f>VLOOKUP($A100,Outcomes!$B$3:$I$209,7,FALSE)</f>
        <v>1</v>
      </c>
      <c r="S100" t="str">
        <f t="shared" si="11"/>
        <v>VisDog</v>
      </c>
      <c r="T100" t="str">
        <f t="shared" si="12"/>
        <v/>
      </c>
      <c r="U100" t="str">
        <f t="shared" si="8"/>
        <v/>
      </c>
      <c r="V100" t="str">
        <f t="shared" si="13"/>
        <v/>
      </c>
      <c r="W100" t="str">
        <f t="shared" si="14"/>
        <v/>
      </c>
      <c r="X100" s="2" t="str">
        <f t="shared" si="15"/>
        <v/>
      </c>
      <c r="Y100" t="str">
        <f>VLOOKUP($A100,ScionOutput!$A$3:$BL$215,64,FALSE)</f>
        <v xml:space="preserve">823776. LineStatEns is NoPlay as bookie-line outside range. StatOnlyEns is NoPlay as bookie-line outside range. No play due to strategy constraints. </v>
      </c>
    </row>
    <row r="101" spans="1:25" x14ac:dyDescent="0.2">
      <c r="A101">
        <v>823616</v>
      </c>
      <c r="B101" s="3">
        <f>VLOOKUP($A101,ScionOutput!$A$3:$BL$215,3,FALSE)</f>
        <v>46186</v>
      </c>
      <c r="C101">
        <f>VLOOKUP($A101,ScionOutput!$A$3:$BL$215,22,FALSE)</f>
        <v>18</v>
      </c>
      <c r="D101" t="str">
        <f>VLOOKUP($A101,ScionOutput!$A$3:$BL$215,23,FALSE)</f>
        <v>NYM</v>
      </c>
      <c r="E101">
        <f>VLOOKUP($A101,ScionOutput!$A$3:$BL$215,6,FALSE)</f>
        <v>0</v>
      </c>
      <c r="F101" t="str">
        <f>VLOOKUP($A101,ScionOutput!$A$3:$BL$215,7,FALSE)</f>
        <v>ATL</v>
      </c>
      <c r="G101">
        <f>VLOOKUP($A101,ScionOutput!$A$3:$BL$215,26,FALSE)</f>
        <v>-114</v>
      </c>
      <c r="H101">
        <f>VLOOKUP($A101,ScionOutput!$A$3:$BL$215,10,FALSE)</f>
        <v>105</v>
      </c>
      <c r="I101" t="str">
        <f>VLOOKUP($A101,ScionOutput!$A$3:$BL$215,58,FALSE)</f>
        <v>No Play</v>
      </c>
      <c r="J101">
        <f>VLOOKUP($A101,ScionOutput!$A$3:$BL$215,59,FALSE)</f>
        <v>0</v>
      </c>
      <c r="K101">
        <f>VLOOKUP($A101,ScionOutput!$A$3:$BL$215,62,FALSE)</f>
        <v>0</v>
      </c>
      <c r="L101">
        <f>VLOOKUP($A101,ScionOutput!$A$3:$BL$215,63,FALSE)</f>
        <v>0</v>
      </c>
      <c r="M101" t="b">
        <f t="shared" si="9"/>
        <v>0</v>
      </c>
      <c r="N101">
        <f>VLOOKUP($A101,Outcomes!$B$3:$I$209,8,FALSE)</f>
        <v>4</v>
      </c>
      <c r="O101">
        <f t="shared" si="10"/>
        <v>-1</v>
      </c>
      <c r="P101">
        <f>VLOOKUP($A101,Outcomes!$B$3:$I$209,5,FALSE)</f>
        <v>1</v>
      </c>
      <c r="Q101">
        <f>VLOOKUP($A101,Outcomes!$B$3:$I$209,6,FALSE)</f>
        <v>3</v>
      </c>
      <c r="R101">
        <f>VLOOKUP($A101,Outcomes!$B$3:$I$209,7,FALSE)</f>
        <v>2</v>
      </c>
      <c r="S101" t="str">
        <f t="shared" si="11"/>
        <v>VisDog</v>
      </c>
      <c r="T101" t="str">
        <f t="shared" si="12"/>
        <v/>
      </c>
      <c r="U101" t="str">
        <f t="shared" si="8"/>
        <v/>
      </c>
      <c r="V101" t="str">
        <f t="shared" si="13"/>
        <v/>
      </c>
      <c r="W101" t="str">
        <f t="shared" si="14"/>
        <v/>
      </c>
      <c r="X101" s="2" t="str">
        <f t="shared" si="15"/>
        <v/>
      </c>
      <c r="Y101" t="str">
        <f>VLOOKUP($A101,ScionOutput!$A$3:$BL$215,64,FALSE)</f>
        <v xml:space="preserve">823616. LineStatEns probability points gap does not exceed threshold (no edge found)! No play due to strategy constraints. </v>
      </c>
    </row>
    <row r="102" spans="1:25" x14ac:dyDescent="0.2">
      <c r="A102">
        <v>824995</v>
      </c>
      <c r="B102" s="3">
        <f>VLOOKUP($A102,ScionOutput!$A$3:$BL$215,3,FALSE)</f>
        <v>46186</v>
      </c>
      <c r="C102">
        <f>VLOOKUP($A102,ScionOutput!$A$3:$BL$215,22,FALSE)</f>
        <v>20</v>
      </c>
      <c r="D102" t="str">
        <f>VLOOKUP($A102,ScionOutput!$A$3:$BL$215,23,FALSE)</f>
        <v>OAK</v>
      </c>
      <c r="E102">
        <f>VLOOKUP($A102,ScionOutput!$A$3:$BL$215,6,FALSE)</f>
        <v>8</v>
      </c>
      <c r="F102" t="str">
        <f>VLOOKUP($A102,ScionOutput!$A$3:$BL$215,7,FALSE)</f>
        <v>COL</v>
      </c>
      <c r="G102">
        <f>VLOOKUP($A102,ScionOutput!$A$3:$BL$215,26,FALSE)</f>
        <v>-148</v>
      </c>
      <c r="H102">
        <f>VLOOKUP($A102,ScionOutput!$A$3:$BL$215,10,FALSE)</f>
        <v>136</v>
      </c>
      <c r="I102" t="str">
        <f>VLOOKUP($A102,ScionOutput!$A$3:$BL$215,58,FALSE)</f>
        <v>No Play</v>
      </c>
      <c r="J102">
        <f>VLOOKUP($A102,ScionOutput!$A$3:$BL$215,59,FALSE)</f>
        <v>0</v>
      </c>
      <c r="K102">
        <f>VLOOKUP($A102,ScionOutput!$A$3:$BL$215,62,FALSE)</f>
        <v>0</v>
      </c>
      <c r="L102">
        <f>VLOOKUP($A102,ScionOutput!$A$3:$BL$215,63,FALSE)</f>
        <v>0</v>
      </c>
      <c r="M102" t="b">
        <f t="shared" si="9"/>
        <v>0</v>
      </c>
      <c r="N102">
        <f>VLOOKUP($A102,Outcomes!$B$3:$I$209,8,FALSE)</f>
        <v>12</v>
      </c>
      <c r="O102">
        <f t="shared" si="10"/>
        <v>1</v>
      </c>
      <c r="P102">
        <f>VLOOKUP($A102,Outcomes!$B$3:$I$209,5,FALSE)</f>
        <v>7</v>
      </c>
      <c r="Q102">
        <f>VLOOKUP($A102,Outcomes!$B$3:$I$209,6,FALSE)</f>
        <v>5</v>
      </c>
      <c r="R102">
        <f>VLOOKUP($A102,Outcomes!$B$3:$I$209,7,FALSE)</f>
        <v>-2</v>
      </c>
      <c r="S102" t="str">
        <f t="shared" si="11"/>
        <v>HomFave</v>
      </c>
      <c r="T102" t="str">
        <f t="shared" si="12"/>
        <v/>
      </c>
      <c r="U102" t="str">
        <f t="shared" si="8"/>
        <v/>
      </c>
      <c r="V102" t="str">
        <f t="shared" si="13"/>
        <v/>
      </c>
      <c r="W102" t="str">
        <f t="shared" si="14"/>
        <v/>
      </c>
      <c r="X102" s="2" t="str">
        <f t="shared" si="15"/>
        <v/>
      </c>
      <c r="Y102" t="str">
        <f>VLOOKUP($A102,ScionOutput!$A$3:$BL$215,64,FALSE)</f>
        <v xml:space="preserve">824995. H_SP is Null, team-based avg used. NoPlay as H_SP is Null. </v>
      </c>
    </row>
    <row r="103" spans="1:25" x14ac:dyDescent="0.2">
      <c r="A103">
        <v>823369</v>
      </c>
      <c r="B103" s="3">
        <f>VLOOKUP($A103,ScionOutput!$A$3:$BL$215,3,FALSE)</f>
        <v>46186</v>
      </c>
      <c r="C103">
        <f>VLOOKUP($A103,ScionOutput!$A$3:$BL$215,22,FALSE)</f>
        <v>22</v>
      </c>
      <c r="D103" t="str">
        <f>VLOOKUP($A103,ScionOutput!$A$3:$BL$215,23,FALSE)</f>
        <v>PIT</v>
      </c>
      <c r="E103">
        <f>VLOOKUP($A103,ScionOutput!$A$3:$BL$215,6,FALSE)</f>
        <v>11</v>
      </c>
      <c r="F103" t="str">
        <f>VLOOKUP($A103,ScionOutput!$A$3:$BL$215,7,FALSE)</f>
        <v>FLO</v>
      </c>
      <c r="G103">
        <f>VLOOKUP($A103,ScionOutput!$A$3:$BL$215,26,FALSE)</f>
        <v>-110</v>
      </c>
      <c r="H103">
        <f>VLOOKUP($A103,ScionOutput!$A$3:$BL$215,10,FALSE)</f>
        <v>102</v>
      </c>
      <c r="I103" t="str">
        <f>VLOOKUP($A103,ScionOutput!$A$3:$BL$215,58,FALSE)</f>
        <v>VisDog</v>
      </c>
      <c r="J103">
        <f>VLOOKUP($A103,ScionOutput!$A$3:$BL$215,59,FALSE)</f>
        <v>-2.4109999999999999E-2</v>
      </c>
      <c r="K103">
        <f>VLOOKUP($A103,ScionOutput!$A$3:$BL$215,62,FALSE)</f>
        <v>5</v>
      </c>
      <c r="L103">
        <f>VLOOKUP($A103,ScionOutput!$A$3:$BL$215,63,FALSE)</f>
        <v>0.6</v>
      </c>
      <c r="M103" t="b">
        <f t="shared" si="9"/>
        <v>1</v>
      </c>
      <c r="N103">
        <f>VLOOKUP($A103,Outcomes!$B$3:$I$209,8,FALSE)</f>
        <v>5</v>
      </c>
      <c r="O103">
        <f t="shared" si="10"/>
        <v>1</v>
      </c>
      <c r="P103">
        <f>VLOOKUP($A103,Outcomes!$B$3:$I$209,5,FALSE)</f>
        <v>3</v>
      </c>
      <c r="Q103">
        <f>VLOOKUP($A103,Outcomes!$B$3:$I$209,6,FALSE)</f>
        <v>2</v>
      </c>
      <c r="R103">
        <f>VLOOKUP($A103,Outcomes!$B$3:$I$209,7,FALSE)</f>
        <v>-1</v>
      </c>
      <c r="S103" t="str">
        <f t="shared" si="11"/>
        <v>HomFave</v>
      </c>
      <c r="T103" t="str">
        <f t="shared" si="12"/>
        <v/>
      </c>
      <c r="U103" t="str">
        <f t="shared" si="8"/>
        <v/>
      </c>
      <c r="V103" t="str">
        <f t="shared" si="13"/>
        <v/>
      </c>
      <c r="W103" t="str">
        <f t="shared" si="14"/>
        <v/>
      </c>
      <c r="X103" s="2" t="str">
        <f t="shared" si="15"/>
        <v/>
      </c>
      <c r="Y103" t="str">
        <f>VLOOKUP($A103,ScionOutput!$A$3:$BL$215,64,FALSE)</f>
        <v xml:space="preserve">823369. Play determined by LineStatEns and StatOnlyEns agreement. </v>
      </c>
    </row>
    <row r="104" spans="1:25" x14ac:dyDescent="0.2">
      <c r="A104">
        <v>823213</v>
      </c>
      <c r="B104" s="3">
        <f>VLOOKUP($A104,ScionOutput!$A$3:$BL$215,3,FALSE)</f>
        <v>46186</v>
      </c>
      <c r="C104">
        <f>VLOOKUP($A104,ScionOutput!$A$3:$BL$215,22,FALSE)</f>
        <v>25</v>
      </c>
      <c r="D104" t="str">
        <f>VLOOKUP($A104,ScionOutput!$A$3:$BL$215,23,FALSE)</f>
        <v>SF</v>
      </c>
      <c r="E104">
        <f>VLOOKUP($A104,ScionOutput!$A$3:$BL$215,6,FALSE)</f>
        <v>5</v>
      </c>
      <c r="F104" t="str">
        <f>VLOOKUP($A104,ScionOutput!$A$3:$BL$215,7,FALSE)</f>
        <v>CHC</v>
      </c>
      <c r="G104">
        <f>VLOOKUP($A104,ScionOutput!$A$3:$BL$215,26,FALSE)</f>
        <v>105</v>
      </c>
      <c r="H104">
        <f>VLOOKUP($A104,ScionOutput!$A$3:$BL$215,10,FALSE)</f>
        <v>-114</v>
      </c>
      <c r="I104" t="str">
        <f>VLOOKUP($A104,ScionOutput!$A$3:$BL$215,58,FALSE)</f>
        <v>No Play</v>
      </c>
      <c r="J104">
        <f>VLOOKUP($A104,ScionOutput!$A$3:$BL$215,59,FALSE)</f>
        <v>0</v>
      </c>
      <c r="K104">
        <f>VLOOKUP($A104,ScionOutput!$A$3:$BL$215,62,FALSE)</f>
        <v>0</v>
      </c>
      <c r="L104">
        <f>VLOOKUP($A104,ScionOutput!$A$3:$BL$215,63,FALSE)</f>
        <v>0</v>
      </c>
      <c r="M104" t="b">
        <f t="shared" si="9"/>
        <v>0</v>
      </c>
      <c r="N104">
        <f>VLOOKUP($A104,Outcomes!$B$3:$I$209,8,FALSE)</f>
        <v>7</v>
      </c>
      <c r="O104">
        <f t="shared" si="10"/>
        <v>-1</v>
      </c>
      <c r="P104">
        <f>VLOOKUP($A104,Outcomes!$B$3:$I$209,5,FALSE)</f>
        <v>1</v>
      </c>
      <c r="Q104">
        <f>VLOOKUP($A104,Outcomes!$B$3:$I$209,6,FALSE)</f>
        <v>6</v>
      </c>
      <c r="R104">
        <f>VLOOKUP($A104,Outcomes!$B$3:$I$209,7,FALSE)</f>
        <v>5</v>
      </c>
      <c r="S104" t="str">
        <f t="shared" si="11"/>
        <v>VisFave</v>
      </c>
      <c r="T104" t="str">
        <f t="shared" si="12"/>
        <v/>
      </c>
      <c r="U104" t="str">
        <f t="shared" si="8"/>
        <v/>
      </c>
      <c r="V104" t="str">
        <f t="shared" si="13"/>
        <v/>
      </c>
      <c r="W104" t="str">
        <f t="shared" si="14"/>
        <v/>
      </c>
      <c r="X104" s="2" t="str">
        <f t="shared" si="15"/>
        <v/>
      </c>
      <c r="Y104" t="str">
        <f>VLOOKUP($A104,ScionOutput!$A$3:$BL$215,64,FALSE)</f>
        <v xml:space="preserve">823213. VF plays are disallowed. No play due to strategy constraints. </v>
      </c>
    </row>
    <row r="105" spans="1:25" x14ac:dyDescent="0.2">
      <c r="A105">
        <v>822802</v>
      </c>
      <c r="B105" s="3">
        <f>VLOOKUP($A105,ScionOutput!$A$3:$BL$215,3,FALSE)</f>
        <v>46186</v>
      </c>
      <c r="C105">
        <f>VLOOKUP($A105,ScionOutput!$A$3:$BL$215,22,FALSE)</f>
        <v>29</v>
      </c>
      <c r="D105" t="str">
        <f>VLOOKUP($A105,ScionOutput!$A$3:$BL$215,23,FALSE)</f>
        <v>TOR</v>
      </c>
      <c r="E105">
        <f>VLOOKUP($A105,ScionOutput!$A$3:$BL$215,6,FALSE)</f>
        <v>19</v>
      </c>
      <c r="F105" t="str">
        <f>VLOOKUP($A105,ScionOutput!$A$3:$BL$215,7,FALSE)</f>
        <v>NYY</v>
      </c>
      <c r="G105">
        <f>VLOOKUP($A105,ScionOutput!$A$3:$BL$215,26,FALSE)</f>
        <v>105</v>
      </c>
      <c r="H105">
        <f>VLOOKUP($A105,ScionOutput!$A$3:$BL$215,10,FALSE)</f>
        <v>-114</v>
      </c>
      <c r="I105" t="str">
        <f>VLOOKUP($A105,ScionOutput!$A$3:$BL$215,58,FALSE)</f>
        <v>No Play</v>
      </c>
      <c r="J105">
        <f>VLOOKUP($A105,ScionOutput!$A$3:$BL$215,59,FALSE)</f>
        <v>0</v>
      </c>
      <c r="K105">
        <f>VLOOKUP($A105,ScionOutput!$A$3:$BL$215,62,FALSE)</f>
        <v>0</v>
      </c>
      <c r="L105">
        <f>VLOOKUP($A105,ScionOutput!$A$3:$BL$215,63,FALSE)</f>
        <v>0</v>
      </c>
      <c r="M105" t="b">
        <f t="shared" si="9"/>
        <v>0</v>
      </c>
      <c r="N105">
        <f>VLOOKUP($A105,Outcomes!$B$3:$I$209,8,FALSE)</f>
        <v>4</v>
      </c>
      <c r="O105">
        <f t="shared" si="10"/>
        <v>-1</v>
      </c>
      <c r="P105">
        <f>VLOOKUP($A105,Outcomes!$B$3:$I$209,5,FALSE)</f>
        <v>1</v>
      </c>
      <c r="Q105">
        <f>VLOOKUP($A105,Outcomes!$B$3:$I$209,6,FALSE)</f>
        <v>3</v>
      </c>
      <c r="R105">
        <f>VLOOKUP($A105,Outcomes!$B$3:$I$209,7,FALSE)</f>
        <v>2</v>
      </c>
      <c r="S105" t="str">
        <f t="shared" si="11"/>
        <v>VisFave</v>
      </c>
      <c r="T105" t="str">
        <f t="shared" si="12"/>
        <v/>
      </c>
      <c r="U105" t="str">
        <f t="shared" si="8"/>
        <v/>
      </c>
      <c r="V105" t="str">
        <f t="shared" si="13"/>
        <v/>
      </c>
      <c r="W105" t="str">
        <f t="shared" si="14"/>
        <v/>
      </c>
      <c r="X105" s="2" t="str">
        <f t="shared" si="15"/>
        <v/>
      </c>
      <c r="Y105" t="str">
        <f>VLOOKUP($A105,ScionOutput!$A$3:$BL$215,64,FALSE)</f>
        <v xml:space="preserve">822802. VF plays are disallowed. No play due to strategy constraints. </v>
      </c>
    </row>
    <row r="106" spans="1:25" x14ac:dyDescent="0.2">
      <c r="A106">
        <v>824823</v>
      </c>
      <c r="B106" s="3">
        <f>VLOOKUP($A106,ScionOutput!$A$3:$BL$215,3,FALSE)</f>
        <v>46187</v>
      </c>
      <c r="C106">
        <f>VLOOKUP($A106,ScionOutput!$A$3:$BL$215,22,FALSE)</f>
        <v>2</v>
      </c>
      <c r="D106" t="str">
        <f>VLOOKUP($A106,ScionOutput!$A$3:$BL$215,23,FALSE)</f>
        <v>BAL</v>
      </c>
      <c r="E106">
        <f>VLOOKUP($A106,ScionOutput!$A$3:$BL$215,6,FALSE)</f>
        <v>23</v>
      </c>
      <c r="F106" t="str">
        <f>VLOOKUP($A106,ScionOutput!$A$3:$BL$215,7,FALSE)</f>
        <v>SD</v>
      </c>
      <c r="G106">
        <f>VLOOKUP($A106,ScionOutput!$A$3:$BL$215,26,FALSE)</f>
        <v>-134</v>
      </c>
      <c r="H106">
        <f>VLOOKUP($A106,ScionOutput!$A$3:$BL$215,10,FALSE)</f>
        <v>123</v>
      </c>
      <c r="I106" t="str">
        <f>VLOOKUP($A106,ScionOutput!$A$3:$BL$215,58,FALSE)</f>
        <v>No Play</v>
      </c>
      <c r="J106">
        <f>VLOOKUP($A106,ScionOutput!$A$3:$BL$215,59,FALSE)</f>
        <v>0</v>
      </c>
      <c r="K106">
        <f>VLOOKUP($A106,ScionOutput!$A$3:$BL$215,62,FALSE)</f>
        <v>0</v>
      </c>
      <c r="L106">
        <f>VLOOKUP($A106,ScionOutput!$A$3:$BL$215,63,FALSE)</f>
        <v>0</v>
      </c>
      <c r="M106" t="b">
        <f t="shared" si="9"/>
        <v>0</v>
      </c>
      <c r="N106">
        <f>VLOOKUP($A106,Outcomes!$B$3:$I$209,8,FALSE)</f>
        <v>7</v>
      </c>
      <c r="O106">
        <f t="shared" si="10"/>
        <v>-1</v>
      </c>
      <c r="P106">
        <f>VLOOKUP($A106,Outcomes!$B$3:$I$209,5,FALSE)</f>
        <v>2</v>
      </c>
      <c r="Q106">
        <f>VLOOKUP($A106,Outcomes!$B$3:$I$209,6,FALSE)</f>
        <v>5</v>
      </c>
      <c r="R106">
        <f>VLOOKUP($A106,Outcomes!$B$3:$I$209,7,FALSE)</f>
        <v>3</v>
      </c>
      <c r="S106" t="str">
        <f t="shared" si="11"/>
        <v>VisDog</v>
      </c>
      <c r="T106" t="str">
        <f t="shared" si="12"/>
        <v/>
      </c>
      <c r="U106" t="str">
        <f t="shared" si="8"/>
        <v/>
      </c>
      <c r="V106" t="str">
        <f t="shared" si="13"/>
        <v/>
      </c>
      <c r="W106" t="str">
        <f t="shared" si="14"/>
        <v/>
      </c>
      <c r="X106" s="2" t="str">
        <f t="shared" si="15"/>
        <v/>
      </c>
      <c r="Y106" t="str">
        <f>VLOOKUP($A106,ScionOutput!$A$3:$BL$215,64,FALSE)</f>
        <v xml:space="preserve">824823. LineStatEns probability points gap does not exceed threshold (no edge found)! StatOnlyEns probability points gap does not exceed threshold (no edge found)! No play due to strategy constraints. </v>
      </c>
    </row>
    <row r="107" spans="1:25" x14ac:dyDescent="0.2">
      <c r="A107">
        <v>824751</v>
      </c>
      <c r="B107" s="3">
        <f>VLOOKUP($A107,ScionOutput!$A$3:$BL$215,3,FALSE)</f>
        <v>46187</v>
      </c>
      <c r="C107">
        <f>VLOOKUP($A107,ScionOutput!$A$3:$BL$215,22,FALSE)</f>
        <v>3</v>
      </c>
      <c r="D107" t="str">
        <f>VLOOKUP($A107,ScionOutput!$A$3:$BL$215,23,FALSE)</f>
        <v>BOS</v>
      </c>
      <c r="E107">
        <f>VLOOKUP($A107,ScionOutput!$A$3:$BL$215,6,FALSE)</f>
        <v>28</v>
      </c>
      <c r="F107" t="str">
        <f>VLOOKUP($A107,ScionOutput!$A$3:$BL$215,7,FALSE)</f>
        <v>TEX</v>
      </c>
      <c r="G107">
        <f>VLOOKUP($A107,ScionOutput!$A$3:$BL$215,26,FALSE)</f>
        <v>-107</v>
      </c>
      <c r="H107">
        <f>VLOOKUP($A107,ScionOutput!$A$3:$BL$215,10,FALSE)</f>
        <v>-101</v>
      </c>
      <c r="I107" t="str">
        <f>VLOOKUP($A107,ScionOutput!$A$3:$BL$215,58,FALSE)</f>
        <v>VisDog</v>
      </c>
      <c r="J107">
        <f>VLOOKUP($A107,ScionOutput!$A$3:$BL$215,59,FALSE)</f>
        <v>-1.7069999999999998E-2</v>
      </c>
      <c r="K107">
        <f>VLOOKUP($A107,ScionOutput!$A$3:$BL$215,62,FALSE)</f>
        <v>3</v>
      </c>
      <c r="L107">
        <f>VLOOKUP($A107,ScionOutput!$A$3:$BL$215,63,FALSE)</f>
        <v>0.6</v>
      </c>
      <c r="M107" t="b">
        <f t="shared" si="9"/>
        <v>0</v>
      </c>
      <c r="N107">
        <f>VLOOKUP($A107,Outcomes!$B$3:$I$209,8,FALSE)</f>
        <v>10</v>
      </c>
      <c r="O107">
        <f t="shared" si="10"/>
        <v>-1</v>
      </c>
      <c r="P107">
        <f>VLOOKUP($A107,Outcomes!$B$3:$I$209,5,FALSE)</f>
        <v>4</v>
      </c>
      <c r="Q107">
        <f>VLOOKUP($A107,Outcomes!$B$3:$I$209,6,FALSE)</f>
        <v>6</v>
      </c>
      <c r="R107">
        <f>VLOOKUP($A107,Outcomes!$B$3:$I$209,7,FALSE)</f>
        <v>2</v>
      </c>
      <c r="S107" t="str">
        <f t="shared" si="11"/>
        <v>VisDog</v>
      </c>
      <c r="T107" t="str">
        <f t="shared" si="12"/>
        <v/>
      </c>
      <c r="U107" t="str">
        <f t="shared" si="8"/>
        <v/>
      </c>
      <c r="V107" t="str">
        <f t="shared" si="13"/>
        <v/>
      </c>
      <c r="W107" t="str">
        <f t="shared" si="14"/>
        <v/>
      </c>
      <c r="X107" s="2" t="str">
        <f t="shared" si="15"/>
        <v/>
      </c>
      <c r="Y107" t="str">
        <f>VLOOKUP($A107,ScionOutput!$A$3:$BL$215,64,FALSE)</f>
        <v xml:space="preserve">824751. StatOnlyEns probability points gap does not exceed threshold (no edge found)! Play determined by LineStatEns only. </v>
      </c>
    </row>
    <row r="108" spans="1:25" x14ac:dyDescent="0.2">
      <c r="A108">
        <v>824021</v>
      </c>
      <c r="B108" s="3">
        <f>VLOOKUP($A108,ScionOutput!$A$3:$BL$215,3,FALSE)</f>
        <v>46187</v>
      </c>
      <c r="C108">
        <f>VLOOKUP($A108,ScionOutput!$A$3:$BL$215,22,FALSE)</f>
        <v>4</v>
      </c>
      <c r="D108" t="str">
        <f>VLOOKUP($A108,ScionOutput!$A$3:$BL$215,23,FALSE)</f>
        <v>LAA</v>
      </c>
      <c r="E108">
        <f>VLOOKUP($A108,ScionOutput!$A$3:$BL$215,6,FALSE)</f>
        <v>27</v>
      </c>
      <c r="F108" t="str">
        <f>VLOOKUP($A108,ScionOutput!$A$3:$BL$215,7,FALSE)</f>
        <v>TB</v>
      </c>
      <c r="G108">
        <f>VLOOKUP($A108,ScionOutput!$A$3:$BL$215,26,FALSE)</f>
        <v>106</v>
      </c>
      <c r="H108">
        <f>VLOOKUP($A108,ScionOutput!$A$3:$BL$215,10,FALSE)</f>
        <v>-115</v>
      </c>
      <c r="I108" t="str">
        <f>VLOOKUP($A108,ScionOutput!$A$3:$BL$215,58,FALSE)</f>
        <v>No Play</v>
      </c>
      <c r="J108">
        <f>VLOOKUP($A108,ScionOutput!$A$3:$BL$215,59,FALSE)</f>
        <v>0</v>
      </c>
      <c r="K108">
        <f>VLOOKUP($A108,ScionOutput!$A$3:$BL$215,62,FALSE)</f>
        <v>0</v>
      </c>
      <c r="L108">
        <f>VLOOKUP($A108,ScionOutput!$A$3:$BL$215,63,FALSE)</f>
        <v>0</v>
      </c>
      <c r="M108" t="b">
        <f t="shared" si="9"/>
        <v>0</v>
      </c>
      <c r="N108">
        <f>VLOOKUP($A108,Outcomes!$B$3:$I$209,8,FALSE)</f>
        <v>11</v>
      </c>
      <c r="O108">
        <f t="shared" si="10"/>
        <v>-1</v>
      </c>
      <c r="P108">
        <f>VLOOKUP($A108,Outcomes!$B$3:$I$209,5,FALSE)</f>
        <v>3</v>
      </c>
      <c r="Q108">
        <f>VLOOKUP($A108,Outcomes!$B$3:$I$209,6,FALSE)</f>
        <v>8</v>
      </c>
      <c r="R108">
        <f>VLOOKUP($A108,Outcomes!$B$3:$I$209,7,FALSE)</f>
        <v>5</v>
      </c>
      <c r="S108" t="str">
        <f t="shared" si="11"/>
        <v>VisFave</v>
      </c>
      <c r="T108" t="str">
        <f t="shared" si="12"/>
        <v/>
      </c>
      <c r="U108" t="str">
        <f t="shared" si="8"/>
        <v/>
      </c>
      <c r="V108" t="str">
        <f t="shared" si="13"/>
        <v/>
      </c>
      <c r="W108" t="str">
        <f t="shared" si="14"/>
        <v/>
      </c>
      <c r="X108" s="2" t="str">
        <f t="shared" si="15"/>
        <v/>
      </c>
      <c r="Y108" t="str">
        <f>VLOOKUP($A108,ScionOutput!$A$3:$BL$215,64,FALSE)</f>
        <v xml:space="preserve">824021. V_SP is Null, team-based avg used. NoPlay as V_SP is Null. </v>
      </c>
    </row>
    <row r="109" spans="1:25" x14ac:dyDescent="0.2">
      <c r="A109">
        <v>824506</v>
      </c>
      <c r="B109" s="3">
        <f>VLOOKUP($A109,ScionOutput!$A$3:$BL$215,3,FALSE)</f>
        <v>46187</v>
      </c>
      <c r="C109">
        <f>VLOOKUP($A109,ScionOutput!$A$3:$BL$215,22,FALSE)</f>
        <v>6</v>
      </c>
      <c r="D109" t="str">
        <f>VLOOKUP($A109,ScionOutput!$A$3:$BL$215,23,FALSE)</f>
        <v>CIN</v>
      </c>
      <c r="E109">
        <f>VLOOKUP($A109,ScionOutput!$A$3:$BL$215,6,FALSE)</f>
        <v>1</v>
      </c>
      <c r="F109" t="str">
        <f>VLOOKUP($A109,ScionOutput!$A$3:$BL$215,7,FALSE)</f>
        <v>ARZ</v>
      </c>
      <c r="G109">
        <f>VLOOKUP($A109,ScionOutput!$A$3:$BL$215,26,FALSE)</f>
        <v>-101</v>
      </c>
      <c r="H109">
        <f>VLOOKUP($A109,ScionOutput!$A$3:$BL$215,10,FALSE)</f>
        <v>-107</v>
      </c>
      <c r="I109" t="str">
        <f>VLOOKUP($A109,ScionOutput!$A$3:$BL$215,58,FALSE)</f>
        <v>No Play</v>
      </c>
      <c r="J109">
        <f>VLOOKUP($A109,ScionOutput!$A$3:$BL$215,59,FALSE)</f>
        <v>0</v>
      </c>
      <c r="K109">
        <f>VLOOKUP($A109,ScionOutput!$A$3:$BL$215,62,FALSE)</f>
        <v>0</v>
      </c>
      <c r="L109">
        <f>VLOOKUP($A109,ScionOutput!$A$3:$BL$215,63,FALSE)</f>
        <v>0</v>
      </c>
      <c r="M109" t="b">
        <f t="shared" si="9"/>
        <v>0</v>
      </c>
      <c r="N109">
        <f>VLOOKUP($A109,Outcomes!$B$3:$I$209,8,FALSE)</f>
        <v>8</v>
      </c>
      <c r="O109">
        <f t="shared" si="10"/>
        <v>-1</v>
      </c>
      <c r="P109">
        <f>VLOOKUP($A109,Outcomes!$B$3:$I$209,5,FALSE)</f>
        <v>3</v>
      </c>
      <c r="Q109">
        <f>VLOOKUP($A109,Outcomes!$B$3:$I$209,6,FALSE)</f>
        <v>5</v>
      </c>
      <c r="R109">
        <f>VLOOKUP($A109,Outcomes!$B$3:$I$209,7,FALSE)</f>
        <v>2</v>
      </c>
      <c r="S109" t="str">
        <f t="shared" si="11"/>
        <v>VisFave</v>
      </c>
      <c r="T109" t="str">
        <f t="shared" si="12"/>
        <v/>
      </c>
      <c r="U109" t="str">
        <f t="shared" si="8"/>
        <v/>
      </c>
      <c r="V109" t="str">
        <f t="shared" si="13"/>
        <v/>
      </c>
      <c r="W109" t="str">
        <f t="shared" si="14"/>
        <v/>
      </c>
      <c r="X109" s="2" t="str">
        <f t="shared" si="15"/>
        <v/>
      </c>
      <c r="Y109" t="str">
        <f>VLOOKUP($A109,ScionOutput!$A$3:$BL$215,64,FALSE)</f>
        <v xml:space="preserve">824506. VF plays are disallowed. No play due to strategy constraints. </v>
      </c>
    </row>
    <row r="110" spans="1:25" x14ac:dyDescent="0.2">
      <c r="A110">
        <v>824586</v>
      </c>
      <c r="B110" s="3">
        <f>VLOOKUP($A110,ScionOutput!$A$3:$BL$215,3,FALSE)</f>
        <v>46187</v>
      </c>
      <c r="C110">
        <f>VLOOKUP($A110,ScionOutput!$A$3:$BL$215,22,FALSE)</f>
        <v>9</v>
      </c>
      <c r="D110" t="str">
        <f>VLOOKUP($A110,ScionOutput!$A$3:$BL$215,23,FALSE)</f>
        <v>CWS</v>
      </c>
      <c r="E110">
        <f>VLOOKUP($A110,ScionOutput!$A$3:$BL$215,6,FALSE)</f>
        <v>14</v>
      </c>
      <c r="F110" t="str">
        <f>VLOOKUP($A110,ScionOutput!$A$3:$BL$215,7,FALSE)</f>
        <v>LA</v>
      </c>
      <c r="G110">
        <f>VLOOKUP($A110,ScionOutput!$A$3:$BL$215,26,FALSE)</f>
        <v>171</v>
      </c>
      <c r="H110">
        <f>VLOOKUP($A110,ScionOutput!$A$3:$BL$215,10,FALSE)</f>
        <v>-188</v>
      </c>
      <c r="I110" t="str">
        <f>VLOOKUP($A110,ScionOutput!$A$3:$BL$215,58,FALSE)</f>
        <v>No Play</v>
      </c>
      <c r="J110">
        <f>VLOOKUP($A110,ScionOutput!$A$3:$BL$215,59,FALSE)</f>
        <v>0</v>
      </c>
      <c r="K110">
        <f>VLOOKUP($A110,ScionOutput!$A$3:$BL$215,62,FALSE)</f>
        <v>0</v>
      </c>
      <c r="L110">
        <f>VLOOKUP($A110,ScionOutput!$A$3:$BL$215,63,FALSE)</f>
        <v>0</v>
      </c>
      <c r="M110" t="b">
        <f t="shared" si="9"/>
        <v>0</v>
      </c>
      <c r="N110">
        <f>VLOOKUP($A110,Outcomes!$B$3:$I$209,8,FALSE)</f>
        <v>10</v>
      </c>
      <c r="O110">
        <f t="shared" si="10"/>
        <v>1</v>
      </c>
      <c r="P110">
        <f>VLOOKUP($A110,Outcomes!$B$3:$I$209,5,FALSE)</f>
        <v>6</v>
      </c>
      <c r="Q110">
        <f>VLOOKUP($A110,Outcomes!$B$3:$I$209,6,FALSE)</f>
        <v>4</v>
      </c>
      <c r="R110">
        <f>VLOOKUP($A110,Outcomes!$B$3:$I$209,7,FALSE)</f>
        <v>-2</v>
      </c>
      <c r="S110" t="str">
        <f t="shared" si="11"/>
        <v>HomDog</v>
      </c>
      <c r="T110" t="str">
        <f t="shared" si="12"/>
        <v/>
      </c>
      <c r="U110" t="str">
        <f t="shared" si="8"/>
        <v/>
      </c>
      <c r="V110" t="str">
        <f t="shared" si="13"/>
        <v/>
      </c>
      <c r="W110" t="str">
        <f t="shared" si="14"/>
        <v/>
      </c>
      <c r="X110" s="2" t="str">
        <f t="shared" si="15"/>
        <v/>
      </c>
      <c r="Y110" t="str">
        <f>VLOOKUP($A110,ScionOutput!$A$3:$BL$215,64,FALSE)</f>
        <v xml:space="preserve">824586. LineStatEns is NoPlay as bookie-line outside range. StatOnlyEns is NoPlay as bookie-line outside range. No play due to strategy constraints. </v>
      </c>
    </row>
    <row r="111" spans="1:25" x14ac:dyDescent="0.2">
      <c r="A111">
        <v>824099</v>
      </c>
      <c r="B111" s="3">
        <f>VLOOKUP($A111,ScionOutput!$A$3:$BL$215,3,FALSE)</f>
        <v>46187</v>
      </c>
      <c r="C111">
        <f>VLOOKUP($A111,ScionOutput!$A$3:$BL$215,22,FALSE)</f>
        <v>13</v>
      </c>
      <c r="D111" t="str">
        <f>VLOOKUP($A111,ScionOutput!$A$3:$BL$215,23,FALSE)</f>
        <v>KC</v>
      </c>
      <c r="E111">
        <f>VLOOKUP($A111,ScionOutput!$A$3:$BL$215,6,FALSE)</f>
        <v>12</v>
      </c>
      <c r="F111" t="str">
        <f>VLOOKUP($A111,ScionOutput!$A$3:$BL$215,7,FALSE)</f>
        <v>HOU</v>
      </c>
      <c r="G111">
        <f>VLOOKUP($A111,ScionOutput!$A$3:$BL$215,26,FALSE)</f>
        <v>-116</v>
      </c>
      <c r="H111">
        <f>VLOOKUP($A111,ScionOutput!$A$3:$BL$215,10,FALSE)</f>
        <v>107</v>
      </c>
      <c r="I111" t="str">
        <f>VLOOKUP($A111,ScionOutput!$A$3:$BL$215,58,FALSE)</f>
        <v>VisDog</v>
      </c>
      <c r="J111">
        <f>VLOOKUP($A111,ScionOutput!$A$3:$BL$215,59,FALSE)</f>
        <v>-4.6440000000000002E-2</v>
      </c>
      <c r="K111">
        <f>VLOOKUP($A111,ScionOutput!$A$3:$BL$215,62,FALSE)</f>
        <v>3</v>
      </c>
      <c r="L111">
        <f>VLOOKUP($A111,ScionOutput!$A$3:$BL$215,63,FALSE)</f>
        <v>0.73</v>
      </c>
      <c r="M111" t="b">
        <f t="shared" si="9"/>
        <v>0</v>
      </c>
      <c r="N111">
        <f>VLOOKUP($A111,Outcomes!$B$3:$I$209,8,FALSE)</f>
        <v>4</v>
      </c>
      <c r="O111">
        <f t="shared" si="10"/>
        <v>1</v>
      </c>
      <c r="P111">
        <f>VLOOKUP($A111,Outcomes!$B$3:$I$209,5,FALSE)</f>
        <v>4</v>
      </c>
      <c r="Q111">
        <f>VLOOKUP($A111,Outcomes!$B$3:$I$209,6,FALSE)</f>
        <v>0</v>
      </c>
      <c r="R111">
        <f>VLOOKUP($A111,Outcomes!$B$3:$I$209,7,FALSE)</f>
        <v>-4</v>
      </c>
      <c r="S111" t="str">
        <f t="shared" si="11"/>
        <v>HomFave</v>
      </c>
      <c r="T111" t="str">
        <f t="shared" si="12"/>
        <v/>
      </c>
      <c r="U111" t="str">
        <f t="shared" si="8"/>
        <v/>
      </c>
      <c r="V111" t="str">
        <f t="shared" si="13"/>
        <v/>
      </c>
      <c r="W111" t="str">
        <f t="shared" si="14"/>
        <v/>
      </c>
      <c r="X111" s="2" t="str">
        <f t="shared" si="15"/>
        <v/>
      </c>
      <c r="Y111" t="str">
        <f>VLOOKUP($A111,ScionOutput!$A$3:$BL$215,64,FALSE)</f>
        <v xml:space="preserve">824099. StatOnlyEns probability points gap does not exceed threshold (no edge found)! Play determined by LineStatEns only. </v>
      </c>
    </row>
    <row r="112" spans="1:25" x14ac:dyDescent="0.2">
      <c r="A112">
        <v>823693</v>
      </c>
      <c r="B112" s="3">
        <f>VLOOKUP($A112,ScionOutput!$A$3:$BL$215,3,FALSE)</f>
        <v>46187</v>
      </c>
      <c r="C112">
        <f>VLOOKUP($A112,ScionOutput!$A$3:$BL$215,22,FALSE)</f>
        <v>15</v>
      </c>
      <c r="D112" t="str">
        <f>VLOOKUP($A112,ScionOutput!$A$3:$BL$215,23,FALSE)</f>
        <v>MIN</v>
      </c>
      <c r="E112">
        <f>VLOOKUP($A112,ScionOutput!$A$3:$BL$215,6,FALSE)</f>
        <v>26</v>
      </c>
      <c r="F112" t="str">
        <f>VLOOKUP($A112,ScionOutput!$A$3:$BL$215,7,FALSE)</f>
        <v>STL</v>
      </c>
      <c r="G112">
        <f>VLOOKUP($A112,ScionOutput!$A$3:$BL$215,26,FALSE)</f>
        <v>-108</v>
      </c>
      <c r="H112">
        <f>VLOOKUP($A112,ScionOutput!$A$3:$BL$215,10,FALSE)</f>
        <v>100</v>
      </c>
      <c r="I112" t="str">
        <f>VLOOKUP($A112,ScionOutput!$A$3:$BL$215,58,FALSE)</f>
        <v>No Play</v>
      </c>
      <c r="J112">
        <f>VLOOKUP($A112,ScionOutput!$A$3:$BL$215,59,FALSE)</f>
        <v>0</v>
      </c>
      <c r="K112">
        <f>VLOOKUP($A112,ScionOutput!$A$3:$BL$215,62,FALSE)</f>
        <v>0</v>
      </c>
      <c r="L112">
        <f>VLOOKUP($A112,ScionOutput!$A$3:$BL$215,63,FALSE)</f>
        <v>0</v>
      </c>
      <c r="M112" t="b">
        <f t="shared" si="9"/>
        <v>0</v>
      </c>
      <c r="N112">
        <f>VLOOKUP($A112,Outcomes!$B$3:$I$209,8,FALSE)</f>
        <v>9</v>
      </c>
      <c r="O112">
        <f t="shared" si="10"/>
        <v>1</v>
      </c>
      <c r="P112">
        <f>VLOOKUP($A112,Outcomes!$B$3:$I$209,5,FALSE)</f>
        <v>5</v>
      </c>
      <c r="Q112">
        <f>VLOOKUP($A112,Outcomes!$B$3:$I$209,6,FALSE)</f>
        <v>4</v>
      </c>
      <c r="R112">
        <f>VLOOKUP($A112,Outcomes!$B$3:$I$209,7,FALSE)</f>
        <v>-1</v>
      </c>
      <c r="S112" t="str">
        <f t="shared" si="11"/>
        <v>HomFave</v>
      </c>
      <c r="T112" t="str">
        <f t="shared" si="12"/>
        <v/>
      </c>
      <c r="U112" t="str">
        <f t="shared" si="8"/>
        <v/>
      </c>
      <c r="V112" t="str">
        <f t="shared" si="13"/>
        <v/>
      </c>
      <c r="W112" t="str">
        <f t="shared" si="14"/>
        <v/>
      </c>
      <c r="X112" s="2" t="str">
        <f t="shared" si="15"/>
        <v/>
      </c>
      <c r="Y112" t="str">
        <f>VLOOKUP($A112,ScionOutput!$A$3:$BL$215,64,FALSE)</f>
        <v xml:space="preserve">823693. LineStatEns probability points gap does not exceed threshold (no edge found)! StatOnlyEns probability points gap does not exceed threshold (no edge found)! No play due to strategy constraints. </v>
      </c>
    </row>
    <row r="113" spans="1:25" x14ac:dyDescent="0.2">
      <c r="A113">
        <v>822722</v>
      </c>
      <c r="B113" s="3">
        <f>VLOOKUP($A113,ScionOutput!$A$3:$BL$215,3,FALSE)</f>
        <v>46187</v>
      </c>
      <c r="C113">
        <f>VLOOKUP($A113,ScionOutput!$A$3:$BL$215,22,FALSE)</f>
        <v>16</v>
      </c>
      <c r="D113" t="str">
        <f>VLOOKUP($A113,ScionOutput!$A$3:$BL$215,23,FALSE)</f>
        <v>WAS</v>
      </c>
      <c r="E113">
        <f>VLOOKUP($A113,ScionOutput!$A$3:$BL$215,6,FALSE)</f>
        <v>24</v>
      </c>
      <c r="F113" t="str">
        <f>VLOOKUP($A113,ScionOutput!$A$3:$BL$215,7,FALSE)</f>
        <v>SEA</v>
      </c>
      <c r="G113">
        <f>VLOOKUP($A113,ScionOutput!$A$3:$BL$215,26,FALSE)</f>
        <v>119</v>
      </c>
      <c r="H113">
        <f>VLOOKUP($A113,ScionOutput!$A$3:$BL$215,10,FALSE)</f>
        <v>-129</v>
      </c>
      <c r="I113" t="str">
        <f>VLOOKUP($A113,ScionOutput!$A$3:$BL$215,58,FALSE)</f>
        <v>No Play</v>
      </c>
      <c r="J113">
        <f>VLOOKUP($A113,ScionOutput!$A$3:$BL$215,59,FALSE)</f>
        <v>0</v>
      </c>
      <c r="K113">
        <f>VLOOKUP($A113,ScionOutput!$A$3:$BL$215,62,FALSE)</f>
        <v>0</v>
      </c>
      <c r="L113">
        <f>VLOOKUP($A113,ScionOutput!$A$3:$BL$215,63,FALSE)</f>
        <v>0</v>
      </c>
      <c r="M113" t="b">
        <f t="shared" si="9"/>
        <v>0</v>
      </c>
      <c r="N113">
        <f>VLOOKUP($A113,Outcomes!$B$3:$I$209,8,FALSE)</f>
        <v>11</v>
      </c>
      <c r="O113">
        <f t="shared" si="10"/>
        <v>1</v>
      </c>
      <c r="P113">
        <f>VLOOKUP($A113,Outcomes!$B$3:$I$209,5,FALSE)</f>
        <v>10</v>
      </c>
      <c r="Q113">
        <f>VLOOKUP($A113,Outcomes!$B$3:$I$209,6,FALSE)</f>
        <v>1</v>
      </c>
      <c r="R113">
        <f>VLOOKUP($A113,Outcomes!$B$3:$I$209,7,FALSE)</f>
        <v>-9</v>
      </c>
      <c r="S113" t="str">
        <f t="shared" si="11"/>
        <v>HomDog</v>
      </c>
      <c r="T113" t="str">
        <f t="shared" si="12"/>
        <v/>
      </c>
      <c r="U113" t="str">
        <f t="shared" si="8"/>
        <v/>
      </c>
      <c r="V113" t="str">
        <f t="shared" si="13"/>
        <v/>
      </c>
      <c r="W113" t="str">
        <f t="shared" si="14"/>
        <v/>
      </c>
      <c r="X113" s="2" t="str">
        <f t="shared" si="15"/>
        <v/>
      </c>
      <c r="Y113" t="str">
        <f>VLOOKUP($A113,ScionOutput!$A$3:$BL$215,64,FALSE)</f>
        <v xml:space="preserve">822722. VF plays are disallowed. No play due to strategy constraints. </v>
      </c>
    </row>
    <row r="114" spans="1:25" x14ac:dyDescent="0.2">
      <c r="A114">
        <v>823777</v>
      </c>
      <c r="B114" s="3">
        <f>VLOOKUP($A114,ScionOutput!$A$3:$BL$215,3,FALSE)</f>
        <v>46187</v>
      </c>
      <c r="C114">
        <f>VLOOKUP($A114,ScionOutput!$A$3:$BL$215,22,FALSE)</f>
        <v>17</v>
      </c>
      <c r="D114" t="str">
        <f>VLOOKUP($A114,ScionOutput!$A$3:$BL$215,23,FALSE)</f>
        <v>MLW</v>
      </c>
      <c r="E114">
        <f>VLOOKUP($A114,ScionOutput!$A$3:$BL$215,6,FALSE)</f>
        <v>21</v>
      </c>
      <c r="F114" t="str">
        <f>VLOOKUP($A114,ScionOutput!$A$3:$BL$215,7,FALSE)</f>
        <v>PHI</v>
      </c>
      <c r="G114">
        <f>VLOOKUP($A114,ScionOutput!$A$3:$BL$215,26,FALSE)</f>
        <v>113</v>
      </c>
      <c r="H114">
        <f>VLOOKUP($A114,ScionOutput!$A$3:$BL$215,10,FALSE)</f>
        <v>-122</v>
      </c>
      <c r="I114" t="str">
        <f>VLOOKUP($A114,ScionOutput!$A$3:$BL$215,58,FALSE)</f>
        <v>No Play</v>
      </c>
      <c r="J114">
        <f>VLOOKUP($A114,ScionOutput!$A$3:$BL$215,59,FALSE)</f>
        <v>0</v>
      </c>
      <c r="K114">
        <f>VLOOKUP($A114,ScionOutput!$A$3:$BL$215,62,FALSE)</f>
        <v>0</v>
      </c>
      <c r="L114">
        <f>VLOOKUP($A114,ScionOutput!$A$3:$BL$215,63,FALSE)</f>
        <v>0</v>
      </c>
      <c r="M114" t="b">
        <f t="shared" si="9"/>
        <v>0</v>
      </c>
      <c r="N114">
        <f>VLOOKUP($A114,Outcomes!$B$3:$I$209,8,FALSE)</f>
        <v>4</v>
      </c>
      <c r="O114">
        <f t="shared" si="10"/>
        <v>1</v>
      </c>
      <c r="P114">
        <f>VLOOKUP($A114,Outcomes!$B$3:$I$209,5,FALSE)</f>
        <v>4</v>
      </c>
      <c r="Q114">
        <f>VLOOKUP($A114,Outcomes!$B$3:$I$209,6,FALSE)</f>
        <v>0</v>
      </c>
      <c r="R114">
        <f>VLOOKUP($A114,Outcomes!$B$3:$I$209,7,FALSE)</f>
        <v>-4</v>
      </c>
      <c r="S114" t="str">
        <f t="shared" si="11"/>
        <v>HomDog</v>
      </c>
      <c r="T114" t="str">
        <f t="shared" si="12"/>
        <v/>
      </c>
      <c r="U114" t="str">
        <f t="shared" si="8"/>
        <v/>
      </c>
      <c r="V114" t="str">
        <f t="shared" si="13"/>
        <v/>
      </c>
      <c r="W114" t="str">
        <f t="shared" si="14"/>
        <v/>
      </c>
      <c r="X114" s="2" t="str">
        <f t="shared" si="15"/>
        <v/>
      </c>
      <c r="Y114" t="str">
        <f>VLOOKUP($A114,ScionOutput!$A$3:$BL$215,64,FALSE)</f>
        <v xml:space="preserve">823777. VF plays are disallowed. No play due to strategy constraints. </v>
      </c>
    </row>
    <row r="115" spans="1:25" x14ac:dyDescent="0.2">
      <c r="A115">
        <v>823615</v>
      </c>
      <c r="B115" s="3">
        <f>VLOOKUP($A115,ScionOutput!$A$3:$BL$215,3,FALSE)</f>
        <v>46187</v>
      </c>
      <c r="C115">
        <f>VLOOKUP($A115,ScionOutput!$A$3:$BL$215,22,FALSE)</f>
        <v>18</v>
      </c>
      <c r="D115" t="str">
        <f>VLOOKUP($A115,ScionOutput!$A$3:$BL$215,23,FALSE)</f>
        <v>NYM</v>
      </c>
      <c r="E115">
        <f>VLOOKUP($A115,ScionOutput!$A$3:$BL$215,6,FALSE)</f>
        <v>0</v>
      </c>
      <c r="F115" t="str">
        <f>VLOOKUP($A115,ScionOutput!$A$3:$BL$215,7,FALSE)</f>
        <v>ATL</v>
      </c>
      <c r="G115">
        <f>VLOOKUP($A115,ScionOutput!$A$3:$BL$215,26,FALSE)</f>
        <v>-122</v>
      </c>
      <c r="H115">
        <f>VLOOKUP($A115,ScionOutput!$A$3:$BL$215,10,FALSE)</f>
        <v>113</v>
      </c>
      <c r="I115" t="str">
        <f>VLOOKUP($A115,ScionOutput!$A$3:$BL$215,58,FALSE)</f>
        <v>No Play</v>
      </c>
      <c r="J115">
        <f>VLOOKUP($A115,ScionOutput!$A$3:$BL$215,59,FALSE)</f>
        <v>0</v>
      </c>
      <c r="K115">
        <f>VLOOKUP($A115,ScionOutput!$A$3:$BL$215,62,FALSE)</f>
        <v>0</v>
      </c>
      <c r="L115">
        <f>VLOOKUP($A115,ScionOutput!$A$3:$BL$215,63,FALSE)</f>
        <v>0</v>
      </c>
      <c r="M115" t="b">
        <f t="shared" si="9"/>
        <v>0</v>
      </c>
      <c r="N115">
        <f>VLOOKUP($A115,Outcomes!$B$3:$I$209,8,FALSE)</f>
        <v>9</v>
      </c>
      <c r="O115">
        <f t="shared" si="10"/>
        <v>1</v>
      </c>
      <c r="P115">
        <f>VLOOKUP($A115,Outcomes!$B$3:$I$209,5,FALSE)</f>
        <v>8</v>
      </c>
      <c r="Q115">
        <f>VLOOKUP($A115,Outcomes!$B$3:$I$209,6,FALSE)</f>
        <v>1</v>
      </c>
      <c r="R115">
        <f>VLOOKUP($A115,Outcomes!$B$3:$I$209,7,FALSE)</f>
        <v>-7</v>
      </c>
      <c r="S115" t="str">
        <f t="shared" si="11"/>
        <v>HomFave</v>
      </c>
      <c r="T115" t="str">
        <f t="shared" si="12"/>
        <v/>
      </c>
      <c r="U115" t="str">
        <f t="shared" si="8"/>
        <v/>
      </c>
      <c r="V115" t="str">
        <f t="shared" si="13"/>
        <v/>
      </c>
      <c r="W115" t="str">
        <f t="shared" si="14"/>
        <v/>
      </c>
      <c r="X115" s="2" t="str">
        <f t="shared" si="15"/>
        <v/>
      </c>
      <c r="Y115" t="str">
        <f>VLOOKUP($A115,ScionOutput!$A$3:$BL$215,64,FALSE)</f>
        <v xml:space="preserve">823615. LineStatEns probability points gap does not exceed threshold (no edge found)! No play due to strategy constraints. </v>
      </c>
    </row>
    <row r="116" spans="1:25" x14ac:dyDescent="0.2">
      <c r="A116">
        <v>824994</v>
      </c>
      <c r="B116" s="3">
        <f>VLOOKUP($A116,ScionOutput!$A$3:$BL$215,3,FALSE)</f>
        <v>46187</v>
      </c>
      <c r="C116">
        <f>VLOOKUP($A116,ScionOutput!$A$3:$BL$215,22,FALSE)</f>
        <v>20</v>
      </c>
      <c r="D116" t="str">
        <f>VLOOKUP($A116,ScionOutput!$A$3:$BL$215,23,FALSE)</f>
        <v>OAK</v>
      </c>
      <c r="E116">
        <f>VLOOKUP($A116,ScionOutput!$A$3:$BL$215,6,FALSE)</f>
        <v>8</v>
      </c>
      <c r="F116" t="str">
        <f>VLOOKUP($A116,ScionOutput!$A$3:$BL$215,7,FALSE)</f>
        <v>COL</v>
      </c>
      <c r="G116">
        <f>VLOOKUP($A116,ScionOutput!$A$3:$BL$215,26,FALSE)</f>
        <v>-188</v>
      </c>
      <c r="H116">
        <f>VLOOKUP($A116,ScionOutput!$A$3:$BL$215,10,FALSE)</f>
        <v>171</v>
      </c>
      <c r="I116" t="str">
        <f>VLOOKUP($A116,ScionOutput!$A$3:$BL$215,58,FALSE)</f>
        <v>No Play</v>
      </c>
      <c r="J116">
        <f>VLOOKUP($A116,ScionOutput!$A$3:$BL$215,59,FALSE)</f>
        <v>0</v>
      </c>
      <c r="K116">
        <f>VLOOKUP($A116,ScionOutput!$A$3:$BL$215,62,FALSE)</f>
        <v>0</v>
      </c>
      <c r="L116">
        <f>VLOOKUP($A116,ScionOutput!$A$3:$BL$215,63,FALSE)</f>
        <v>0</v>
      </c>
      <c r="M116" t="b">
        <f t="shared" si="9"/>
        <v>0</v>
      </c>
      <c r="N116">
        <f>VLOOKUP($A116,Outcomes!$B$3:$I$209,8,FALSE)</f>
        <v>32</v>
      </c>
      <c r="O116">
        <f t="shared" si="10"/>
        <v>-1</v>
      </c>
      <c r="P116">
        <f>VLOOKUP($A116,Outcomes!$B$3:$I$209,5,FALSE)</f>
        <v>9</v>
      </c>
      <c r="Q116">
        <f>VLOOKUP($A116,Outcomes!$B$3:$I$209,6,FALSE)</f>
        <v>23</v>
      </c>
      <c r="R116">
        <f>VLOOKUP($A116,Outcomes!$B$3:$I$209,7,FALSE)</f>
        <v>14</v>
      </c>
      <c r="S116" t="str">
        <f t="shared" si="11"/>
        <v>VisDog</v>
      </c>
      <c r="T116" t="str">
        <f t="shared" si="12"/>
        <v/>
      </c>
      <c r="U116" t="str">
        <f t="shared" si="8"/>
        <v/>
      </c>
      <c r="V116" t="str">
        <f t="shared" si="13"/>
        <v/>
      </c>
      <c r="W116" t="str">
        <f t="shared" si="14"/>
        <v/>
      </c>
      <c r="X116" s="2" t="str">
        <f t="shared" si="15"/>
        <v/>
      </c>
      <c r="Y116" t="str">
        <f>VLOOKUP($A116,ScionOutput!$A$3:$BL$215,64,FALSE)</f>
        <v xml:space="preserve">824994. LineStatEns is NoPlay as bookie-line outside range. StatOnlyEns is NoPlay as bookie-line outside range. No play due to strategy constraints. </v>
      </c>
    </row>
    <row r="117" spans="1:25" x14ac:dyDescent="0.2">
      <c r="A117">
        <v>823368</v>
      </c>
      <c r="B117" s="3">
        <f>VLOOKUP($A117,ScionOutput!$A$3:$BL$215,3,FALSE)</f>
        <v>46187</v>
      </c>
      <c r="C117">
        <f>VLOOKUP($A117,ScionOutput!$A$3:$BL$215,22,FALSE)</f>
        <v>22</v>
      </c>
      <c r="D117" t="str">
        <f>VLOOKUP($A117,ScionOutput!$A$3:$BL$215,23,FALSE)</f>
        <v>PIT</v>
      </c>
      <c r="E117">
        <f>VLOOKUP($A117,ScionOutput!$A$3:$BL$215,6,FALSE)</f>
        <v>11</v>
      </c>
      <c r="F117" t="str">
        <f>VLOOKUP($A117,ScionOutput!$A$3:$BL$215,7,FALSE)</f>
        <v>FLO</v>
      </c>
      <c r="G117">
        <f>VLOOKUP($A117,ScionOutput!$A$3:$BL$215,26,FALSE)</f>
        <v>-150</v>
      </c>
      <c r="H117">
        <f>VLOOKUP($A117,ScionOutput!$A$3:$BL$215,10,FALSE)</f>
        <v>138</v>
      </c>
      <c r="I117" t="str">
        <f>VLOOKUP($A117,ScionOutput!$A$3:$BL$215,58,FALSE)</f>
        <v>No Play</v>
      </c>
      <c r="J117">
        <f>VLOOKUP($A117,ScionOutput!$A$3:$BL$215,59,FALSE)</f>
        <v>0</v>
      </c>
      <c r="K117">
        <f>VLOOKUP($A117,ScionOutput!$A$3:$BL$215,62,FALSE)</f>
        <v>0</v>
      </c>
      <c r="L117">
        <f>VLOOKUP($A117,ScionOutput!$A$3:$BL$215,63,FALSE)</f>
        <v>0</v>
      </c>
      <c r="M117" t="b">
        <f t="shared" si="9"/>
        <v>0</v>
      </c>
      <c r="N117">
        <f>VLOOKUP($A117,Outcomes!$B$3:$I$209,8,FALSE)</f>
        <v>6</v>
      </c>
      <c r="O117">
        <f t="shared" si="10"/>
        <v>-1</v>
      </c>
      <c r="P117">
        <f>VLOOKUP($A117,Outcomes!$B$3:$I$209,5,FALSE)</f>
        <v>2</v>
      </c>
      <c r="Q117">
        <f>VLOOKUP($A117,Outcomes!$B$3:$I$209,6,FALSE)</f>
        <v>4</v>
      </c>
      <c r="R117">
        <f>VLOOKUP($A117,Outcomes!$B$3:$I$209,7,FALSE)</f>
        <v>2</v>
      </c>
      <c r="S117" t="str">
        <f t="shared" si="11"/>
        <v>VisDog</v>
      </c>
      <c r="T117" t="str">
        <f t="shared" si="12"/>
        <v/>
      </c>
      <c r="U117" t="str">
        <f t="shared" si="8"/>
        <v/>
      </c>
      <c r="V117" t="str">
        <f t="shared" si="13"/>
        <v/>
      </c>
      <c r="W117" t="str">
        <f t="shared" si="14"/>
        <v/>
      </c>
      <c r="X117" s="2" t="str">
        <f t="shared" si="15"/>
        <v/>
      </c>
      <c r="Y117" t="str">
        <f>VLOOKUP($A117,ScionOutput!$A$3:$BL$215,64,FALSE)</f>
        <v xml:space="preserve">823368. LineStatEns probability points gap does not exceed threshold (no edge found)! No play due to strategy constraints. </v>
      </c>
    </row>
    <row r="118" spans="1:25" x14ac:dyDescent="0.2">
      <c r="A118">
        <v>823212</v>
      </c>
      <c r="B118" s="3">
        <f>VLOOKUP($A118,ScionOutput!$A$3:$BL$215,3,FALSE)</f>
        <v>46187</v>
      </c>
      <c r="C118">
        <f>VLOOKUP($A118,ScionOutput!$A$3:$BL$215,22,FALSE)</f>
        <v>25</v>
      </c>
      <c r="D118" t="str">
        <f>VLOOKUP($A118,ScionOutput!$A$3:$BL$215,23,FALSE)</f>
        <v>SF</v>
      </c>
      <c r="E118">
        <f>VLOOKUP($A118,ScionOutput!$A$3:$BL$215,6,FALSE)</f>
        <v>5</v>
      </c>
      <c r="F118" t="str">
        <f>VLOOKUP($A118,ScionOutput!$A$3:$BL$215,7,FALSE)</f>
        <v>CHC</v>
      </c>
      <c r="G118">
        <f>VLOOKUP($A118,ScionOutput!$A$3:$BL$215,26,FALSE)</f>
        <v>-124</v>
      </c>
      <c r="H118">
        <f>VLOOKUP($A118,ScionOutput!$A$3:$BL$215,10,FALSE)</f>
        <v>115</v>
      </c>
      <c r="I118" t="str">
        <f>VLOOKUP($A118,ScionOutput!$A$3:$BL$215,58,FALSE)</f>
        <v>No Play</v>
      </c>
      <c r="J118">
        <f>VLOOKUP($A118,ScionOutput!$A$3:$BL$215,59,FALSE)</f>
        <v>0</v>
      </c>
      <c r="K118">
        <f>VLOOKUP($A118,ScionOutput!$A$3:$BL$215,62,FALSE)</f>
        <v>0</v>
      </c>
      <c r="L118">
        <f>VLOOKUP($A118,ScionOutput!$A$3:$BL$215,63,FALSE)</f>
        <v>0</v>
      </c>
      <c r="M118" t="b">
        <f t="shared" si="9"/>
        <v>0</v>
      </c>
      <c r="N118">
        <f>VLOOKUP($A118,Outcomes!$B$3:$I$209,8,FALSE)</f>
        <v>6</v>
      </c>
      <c r="O118">
        <f t="shared" si="10"/>
        <v>1</v>
      </c>
      <c r="P118">
        <f>VLOOKUP($A118,Outcomes!$B$3:$I$209,5,FALSE)</f>
        <v>5</v>
      </c>
      <c r="Q118">
        <f>VLOOKUP($A118,Outcomes!$B$3:$I$209,6,FALSE)</f>
        <v>1</v>
      </c>
      <c r="R118">
        <f>VLOOKUP($A118,Outcomes!$B$3:$I$209,7,FALSE)</f>
        <v>-4</v>
      </c>
      <c r="S118" t="str">
        <f t="shared" si="11"/>
        <v>HomFave</v>
      </c>
      <c r="T118" t="str">
        <f t="shared" si="12"/>
        <v/>
      </c>
      <c r="U118" t="str">
        <f t="shared" si="8"/>
        <v/>
      </c>
      <c r="V118" t="str">
        <f t="shared" si="13"/>
        <v/>
      </c>
      <c r="W118" t="str">
        <f t="shared" si="14"/>
        <v/>
      </c>
      <c r="X118" s="2" t="str">
        <f t="shared" si="15"/>
        <v/>
      </c>
      <c r="Y118" t="str">
        <f>VLOOKUP($A118,ScionOutput!$A$3:$BL$215,64,FALSE)</f>
        <v xml:space="preserve">823212. V_SP is Null, team-based avg used. NoPlay as V_SP is Null. </v>
      </c>
    </row>
    <row r="119" spans="1:25" x14ac:dyDescent="0.2">
      <c r="A119">
        <v>822801</v>
      </c>
      <c r="B119" s="3">
        <f>VLOOKUP($A119,ScionOutput!$A$3:$BL$215,3,FALSE)</f>
        <v>46187</v>
      </c>
      <c r="C119">
        <f>VLOOKUP($A119,ScionOutput!$A$3:$BL$215,22,FALSE)</f>
        <v>29</v>
      </c>
      <c r="D119" t="str">
        <f>VLOOKUP($A119,ScionOutput!$A$3:$BL$215,23,FALSE)</f>
        <v>TOR</v>
      </c>
      <c r="E119">
        <f>VLOOKUP($A119,ScionOutput!$A$3:$BL$215,6,FALSE)</f>
        <v>19</v>
      </c>
      <c r="F119" t="str">
        <f>VLOOKUP($A119,ScionOutput!$A$3:$BL$215,7,FALSE)</f>
        <v>NYY</v>
      </c>
      <c r="G119">
        <f>VLOOKUP($A119,ScionOutput!$A$3:$BL$215,26,FALSE)</f>
        <v>112</v>
      </c>
      <c r="H119">
        <f>VLOOKUP($A119,ScionOutput!$A$3:$BL$215,10,FALSE)</f>
        <v>-121</v>
      </c>
      <c r="I119" t="str">
        <f>VLOOKUP($A119,ScionOutput!$A$3:$BL$215,58,FALSE)</f>
        <v>No Play</v>
      </c>
      <c r="J119">
        <f>VLOOKUP($A119,ScionOutput!$A$3:$BL$215,59,FALSE)</f>
        <v>0</v>
      </c>
      <c r="K119">
        <f>VLOOKUP($A119,ScionOutput!$A$3:$BL$215,62,FALSE)</f>
        <v>0</v>
      </c>
      <c r="L119">
        <f>VLOOKUP($A119,ScionOutput!$A$3:$BL$215,63,FALSE)</f>
        <v>0</v>
      </c>
      <c r="M119" t="b">
        <f t="shared" si="9"/>
        <v>0</v>
      </c>
      <c r="N119">
        <f>VLOOKUP($A119,Outcomes!$B$3:$I$209,8,FALSE)</f>
        <v>11</v>
      </c>
      <c r="O119">
        <f t="shared" si="10"/>
        <v>-1</v>
      </c>
      <c r="P119">
        <f>VLOOKUP($A119,Outcomes!$B$3:$I$209,5,FALSE)</f>
        <v>3</v>
      </c>
      <c r="Q119">
        <f>VLOOKUP($A119,Outcomes!$B$3:$I$209,6,FALSE)</f>
        <v>8</v>
      </c>
      <c r="R119">
        <f>VLOOKUP($A119,Outcomes!$B$3:$I$209,7,FALSE)</f>
        <v>5</v>
      </c>
      <c r="S119" t="str">
        <f t="shared" si="11"/>
        <v>VisFave</v>
      </c>
      <c r="T119" t="str">
        <f t="shared" si="12"/>
        <v/>
      </c>
      <c r="U119" t="str">
        <f t="shared" si="8"/>
        <v/>
      </c>
      <c r="V119" t="str">
        <f t="shared" si="13"/>
        <v/>
      </c>
      <c r="W119" t="str">
        <f t="shared" si="14"/>
        <v/>
      </c>
      <c r="X119" s="2" t="str">
        <f t="shared" si="15"/>
        <v/>
      </c>
      <c r="Y119" t="str">
        <f>VLOOKUP($A119,ScionOutput!$A$3:$BL$215,64,FALSE)</f>
        <v xml:space="preserve">822801. VF plays are disallowed. No play due to strategy constraints. </v>
      </c>
    </row>
    <row r="120" spans="1:25" x14ac:dyDescent="0.2">
      <c r="A120">
        <v>825071</v>
      </c>
      <c r="B120" s="3">
        <f>VLOOKUP($A120,ScionOutput!$A$3:$BL$215,3,FALSE)</f>
        <v>46188</v>
      </c>
      <c r="C120">
        <f>VLOOKUP($A120,ScionOutput!$A$3:$BL$215,22,FALSE)</f>
        <v>1</v>
      </c>
      <c r="D120" t="str">
        <f>VLOOKUP($A120,ScionOutput!$A$3:$BL$215,23,FALSE)</f>
        <v>ARZ</v>
      </c>
      <c r="E120">
        <f>VLOOKUP($A120,ScionOutput!$A$3:$BL$215,6,FALSE)</f>
        <v>4</v>
      </c>
      <c r="F120" t="str">
        <f>VLOOKUP($A120,ScionOutput!$A$3:$BL$215,7,FALSE)</f>
        <v>LAA</v>
      </c>
      <c r="G120">
        <f>VLOOKUP($A120,ScionOutput!$A$3:$BL$215,26,FALSE)</f>
        <v>-125</v>
      </c>
      <c r="H120">
        <f>VLOOKUP($A120,ScionOutput!$A$3:$BL$215,10,FALSE)</f>
        <v>116</v>
      </c>
      <c r="I120" t="str">
        <f>VLOOKUP($A120,ScionOutput!$A$3:$BL$215,58,FALSE)</f>
        <v>No Play</v>
      </c>
      <c r="J120">
        <f>VLOOKUP($A120,ScionOutput!$A$3:$BL$215,59,FALSE)</f>
        <v>0</v>
      </c>
      <c r="K120">
        <f>VLOOKUP($A120,ScionOutput!$A$3:$BL$215,62,FALSE)</f>
        <v>0</v>
      </c>
      <c r="L120">
        <f>VLOOKUP($A120,ScionOutput!$A$3:$BL$215,63,FALSE)</f>
        <v>0</v>
      </c>
      <c r="M120" t="b">
        <f t="shared" si="9"/>
        <v>0</v>
      </c>
      <c r="N120">
        <f>VLOOKUP($A120,Outcomes!$B$3:$I$209,8,FALSE)</f>
        <v>7</v>
      </c>
      <c r="O120">
        <f t="shared" si="10"/>
        <v>1</v>
      </c>
      <c r="P120">
        <f>VLOOKUP($A120,Outcomes!$B$3:$I$209,5,FALSE)</f>
        <v>4</v>
      </c>
      <c r="Q120">
        <f>VLOOKUP($A120,Outcomes!$B$3:$I$209,6,FALSE)</f>
        <v>3</v>
      </c>
      <c r="R120">
        <f>VLOOKUP($A120,Outcomes!$B$3:$I$209,7,FALSE)</f>
        <v>-1</v>
      </c>
      <c r="S120" t="str">
        <f t="shared" si="11"/>
        <v>HomFave</v>
      </c>
      <c r="T120" t="str">
        <f t="shared" si="12"/>
        <v/>
      </c>
      <c r="U120" t="str">
        <f t="shared" si="8"/>
        <v/>
      </c>
      <c r="V120" t="str">
        <f t="shared" si="13"/>
        <v/>
      </c>
      <c r="W120" t="str">
        <f t="shared" si="14"/>
        <v/>
      </c>
      <c r="X120" s="2" t="str">
        <f t="shared" si="15"/>
        <v/>
      </c>
      <c r="Y120" t="str">
        <f>VLOOKUP($A120,ScionOutput!$A$3:$BL$215,64,FALSE)</f>
        <v xml:space="preserve">825071. LineStatEns probability points gap does not exceed threshold (no edge found)! StatOnlyEns probability points gap does not exceed threshold (no edge found)! No play due to strategy constraints. </v>
      </c>
    </row>
    <row r="121" spans="1:25" x14ac:dyDescent="0.2">
      <c r="A121">
        <v>824666</v>
      </c>
      <c r="B121" s="3">
        <f>VLOOKUP($A121,ScionOutput!$A$3:$BL$215,3,FALSE)</f>
        <v>46188</v>
      </c>
      <c r="C121">
        <f>VLOOKUP($A121,ScionOutput!$A$3:$BL$215,22,FALSE)</f>
        <v>5</v>
      </c>
      <c r="D121" t="str">
        <f>VLOOKUP($A121,ScionOutput!$A$3:$BL$215,23,FALSE)</f>
        <v>CHC</v>
      </c>
      <c r="E121">
        <f>VLOOKUP($A121,ScionOutput!$A$3:$BL$215,6,FALSE)</f>
        <v>8</v>
      </c>
      <c r="F121" t="str">
        <f>VLOOKUP($A121,ScionOutput!$A$3:$BL$215,7,FALSE)</f>
        <v>COL</v>
      </c>
      <c r="G121">
        <f>VLOOKUP($A121,ScionOutput!$A$3:$BL$215,26,FALSE)</f>
        <v>-205</v>
      </c>
      <c r="H121">
        <f>VLOOKUP($A121,ScionOutput!$A$3:$BL$215,10,FALSE)</f>
        <v>186</v>
      </c>
      <c r="I121" t="str">
        <f>VLOOKUP($A121,ScionOutput!$A$3:$BL$215,58,FALSE)</f>
        <v>No Play</v>
      </c>
      <c r="J121">
        <f>VLOOKUP($A121,ScionOutput!$A$3:$BL$215,59,FALSE)</f>
        <v>0</v>
      </c>
      <c r="K121">
        <f>VLOOKUP($A121,ScionOutput!$A$3:$BL$215,62,FALSE)</f>
        <v>0</v>
      </c>
      <c r="L121">
        <f>VLOOKUP($A121,ScionOutput!$A$3:$BL$215,63,FALSE)</f>
        <v>0</v>
      </c>
      <c r="M121" t="b">
        <f t="shared" si="9"/>
        <v>0</v>
      </c>
      <c r="N121">
        <f>VLOOKUP($A121,Outcomes!$B$3:$I$209,8,FALSE)</f>
        <v>9</v>
      </c>
      <c r="O121">
        <f t="shared" si="10"/>
        <v>1</v>
      </c>
      <c r="P121">
        <f>VLOOKUP($A121,Outcomes!$B$3:$I$209,5,FALSE)</f>
        <v>5</v>
      </c>
      <c r="Q121">
        <f>VLOOKUP($A121,Outcomes!$B$3:$I$209,6,FALSE)</f>
        <v>4</v>
      </c>
      <c r="R121">
        <f>VLOOKUP($A121,Outcomes!$B$3:$I$209,7,FALSE)</f>
        <v>-1</v>
      </c>
      <c r="S121" t="str">
        <f t="shared" si="11"/>
        <v>HomFave</v>
      </c>
      <c r="T121" t="str">
        <f t="shared" si="12"/>
        <v/>
      </c>
      <c r="U121" t="str">
        <f t="shared" si="8"/>
        <v/>
      </c>
      <c r="V121" t="str">
        <f t="shared" si="13"/>
        <v/>
      </c>
      <c r="W121" t="str">
        <f t="shared" si="14"/>
        <v/>
      </c>
      <c r="X121" s="2" t="str">
        <f t="shared" si="15"/>
        <v/>
      </c>
      <c r="Y121" t="str">
        <f>VLOOKUP($A121,ScionOutput!$A$3:$BL$215,64,FALSE)</f>
        <v xml:space="preserve">824666. LineStatEns is NoPlay as bookie-line outside range. StatOnlyEns is NoPlay as bookie-line outside range. No play due to strategy constraints. </v>
      </c>
    </row>
    <row r="122" spans="1:25" x14ac:dyDescent="0.2">
      <c r="A122">
        <v>824505</v>
      </c>
      <c r="B122" s="3">
        <f>VLOOKUP($A122,ScionOutput!$A$3:$BL$215,3,FALSE)</f>
        <v>46188</v>
      </c>
      <c r="C122">
        <f>VLOOKUP($A122,ScionOutput!$A$3:$BL$215,22,FALSE)</f>
        <v>6</v>
      </c>
      <c r="D122" t="str">
        <f>VLOOKUP($A122,ScionOutput!$A$3:$BL$215,23,FALSE)</f>
        <v>CIN</v>
      </c>
      <c r="E122">
        <f>VLOOKUP($A122,ScionOutput!$A$3:$BL$215,6,FALSE)</f>
        <v>18</v>
      </c>
      <c r="F122" t="str">
        <f>VLOOKUP($A122,ScionOutput!$A$3:$BL$215,7,FALSE)</f>
        <v>NYM</v>
      </c>
      <c r="G122">
        <f>VLOOKUP($A122,ScionOutput!$A$3:$BL$215,26,FALSE)</f>
        <v>-131</v>
      </c>
      <c r="H122">
        <f>VLOOKUP($A122,ScionOutput!$A$3:$BL$215,10,FALSE)</f>
        <v>121</v>
      </c>
      <c r="I122" t="str">
        <f>VLOOKUP($A122,ScionOutput!$A$3:$BL$215,58,FALSE)</f>
        <v>No Play</v>
      </c>
      <c r="J122">
        <f>VLOOKUP($A122,ScionOutput!$A$3:$BL$215,59,FALSE)</f>
        <v>0</v>
      </c>
      <c r="K122">
        <f>VLOOKUP($A122,ScionOutput!$A$3:$BL$215,62,FALSE)</f>
        <v>0</v>
      </c>
      <c r="L122">
        <f>VLOOKUP($A122,ScionOutput!$A$3:$BL$215,63,FALSE)</f>
        <v>0</v>
      </c>
      <c r="M122" t="b">
        <f t="shared" si="9"/>
        <v>0</v>
      </c>
      <c r="N122">
        <f>VLOOKUP($A122,Outcomes!$B$3:$I$209,8,FALSE)</f>
        <v>12</v>
      </c>
      <c r="O122">
        <f t="shared" si="10"/>
        <v>1</v>
      </c>
      <c r="P122">
        <f>VLOOKUP($A122,Outcomes!$B$3:$I$209,5,FALSE)</f>
        <v>12</v>
      </c>
      <c r="Q122">
        <f>VLOOKUP($A122,Outcomes!$B$3:$I$209,6,FALSE)</f>
        <v>0</v>
      </c>
      <c r="R122">
        <f>VLOOKUP($A122,Outcomes!$B$3:$I$209,7,FALSE)</f>
        <v>-12</v>
      </c>
      <c r="S122" t="str">
        <f t="shared" si="11"/>
        <v>HomFave</v>
      </c>
      <c r="T122" t="str">
        <f t="shared" si="12"/>
        <v/>
      </c>
      <c r="U122" t="str">
        <f t="shared" si="8"/>
        <v/>
      </c>
      <c r="V122" t="str">
        <f t="shared" si="13"/>
        <v/>
      </c>
      <c r="W122" t="str">
        <f t="shared" si="14"/>
        <v/>
      </c>
      <c r="X122" s="2" t="str">
        <f t="shared" si="15"/>
        <v/>
      </c>
      <c r="Y122" t="str">
        <f>VLOOKUP($A122,ScionOutput!$A$3:$BL$215,64,FALSE)</f>
        <v xml:space="preserve">824505. LineStatEns probability points gap does not exceed threshold (no edge found)! StatOnlyEns probability points gap does not exceed threshold (no edge found)! No play due to strategy constraints. </v>
      </c>
    </row>
    <row r="123" spans="1:25" x14ac:dyDescent="0.2">
      <c r="A123">
        <v>824181</v>
      </c>
      <c r="B123" s="3">
        <f>VLOOKUP($A123,ScionOutput!$A$3:$BL$215,3,FALSE)</f>
        <v>46188</v>
      </c>
      <c r="C123">
        <f>VLOOKUP($A123,ScionOutput!$A$3:$BL$215,22,FALSE)</f>
        <v>12</v>
      </c>
      <c r="D123" t="str">
        <f>VLOOKUP($A123,ScionOutput!$A$3:$BL$215,23,FALSE)</f>
        <v>HOU</v>
      </c>
      <c r="E123">
        <f>VLOOKUP($A123,ScionOutput!$A$3:$BL$215,6,FALSE)</f>
        <v>10</v>
      </c>
      <c r="F123" t="str">
        <f>VLOOKUP($A123,ScionOutput!$A$3:$BL$215,7,FALSE)</f>
        <v>DET</v>
      </c>
      <c r="G123">
        <f>VLOOKUP($A123,ScionOutput!$A$3:$BL$215,26,FALSE)</f>
        <v>-114</v>
      </c>
      <c r="H123">
        <f>VLOOKUP($A123,ScionOutput!$A$3:$BL$215,10,FALSE)</f>
        <v>106</v>
      </c>
      <c r="I123" t="str">
        <f>VLOOKUP($A123,ScionOutput!$A$3:$BL$215,58,FALSE)</f>
        <v>VisDog</v>
      </c>
      <c r="J123">
        <f>VLOOKUP($A123,ScionOutput!$A$3:$BL$215,59,FALSE)</f>
        <v>-3.322E-2</v>
      </c>
      <c r="K123">
        <f>VLOOKUP($A123,ScionOutput!$A$3:$BL$215,62,FALSE)</f>
        <v>5</v>
      </c>
      <c r="L123">
        <f>VLOOKUP($A123,ScionOutput!$A$3:$BL$215,63,FALSE)</f>
        <v>0.8</v>
      </c>
      <c r="M123" t="b">
        <f t="shared" si="9"/>
        <v>1</v>
      </c>
      <c r="N123">
        <f>VLOOKUP($A123,Outcomes!$B$3:$I$209,8,FALSE)</f>
        <v>12</v>
      </c>
      <c r="O123">
        <f t="shared" si="10"/>
        <v>-1</v>
      </c>
      <c r="P123">
        <f>VLOOKUP($A123,Outcomes!$B$3:$I$209,5,FALSE)</f>
        <v>3</v>
      </c>
      <c r="Q123">
        <f>VLOOKUP($A123,Outcomes!$B$3:$I$209,6,FALSE)</f>
        <v>9</v>
      </c>
      <c r="R123">
        <f>VLOOKUP($A123,Outcomes!$B$3:$I$209,7,FALSE)</f>
        <v>6</v>
      </c>
      <c r="S123" t="str">
        <f t="shared" si="11"/>
        <v>VisDog</v>
      </c>
      <c r="T123" t="str">
        <f t="shared" si="12"/>
        <v/>
      </c>
      <c r="U123" t="str">
        <f t="shared" si="8"/>
        <v/>
      </c>
      <c r="V123" t="str">
        <f t="shared" si="13"/>
        <v/>
      </c>
      <c r="W123" t="str">
        <f t="shared" si="14"/>
        <v/>
      </c>
      <c r="X123" s="2" t="str">
        <f t="shared" si="15"/>
        <v/>
      </c>
      <c r="Y123" t="str">
        <f>VLOOKUP($A123,ScionOutput!$A$3:$BL$215,64,FALSE)</f>
        <v xml:space="preserve">824181. Play determined by LineStatEns and StatOnlyEns agreement. </v>
      </c>
    </row>
    <row r="124" spans="1:25" x14ac:dyDescent="0.2">
      <c r="A124">
        <v>823938</v>
      </c>
      <c r="B124" s="3">
        <f>VLOOKUP($A124,ScionOutput!$A$3:$BL$215,3,FALSE)</f>
        <v>46188</v>
      </c>
      <c r="C124">
        <f>VLOOKUP($A124,ScionOutput!$A$3:$BL$215,22,FALSE)</f>
        <v>14</v>
      </c>
      <c r="D124" t="str">
        <f>VLOOKUP($A124,ScionOutput!$A$3:$BL$215,23,FALSE)</f>
        <v>LA</v>
      </c>
      <c r="E124">
        <f>VLOOKUP($A124,ScionOutput!$A$3:$BL$215,6,FALSE)</f>
        <v>27</v>
      </c>
      <c r="F124" t="str">
        <f>VLOOKUP($A124,ScionOutput!$A$3:$BL$215,7,FALSE)</f>
        <v>TB</v>
      </c>
      <c r="G124">
        <f>VLOOKUP($A124,ScionOutput!$A$3:$BL$215,26,FALSE)</f>
        <v>-172</v>
      </c>
      <c r="H124">
        <f>VLOOKUP($A124,ScionOutput!$A$3:$BL$215,10,FALSE)</f>
        <v>158</v>
      </c>
      <c r="I124" t="str">
        <f>VLOOKUP($A124,ScionOutput!$A$3:$BL$215,58,FALSE)</f>
        <v>No Play</v>
      </c>
      <c r="J124">
        <f>VLOOKUP($A124,ScionOutput!$A$3:$BL$215,59,FALSE)</f>
        <v>0</v>
      </c>
      <c r="K124">
        <f>VLOOKUP($A124,ScionOutput!$A$3:$BL$215,62,FALSE)</f>
        <v>0</v>
      </c>
      <c r="L124">
        <f>VLOOKUP($A124,ScionOutput!$A$3:$BL$215,63,FALSE)</f>
        <v>0</v>
      </c>
      <c r="M124" t="b">
        <f t="shared" si="9"/>
        <v>0</v>
      </c>
      <c r="N124">
        <f>VLOOKUP($A124,Outcomes!$B$3:$I$209,8,FALSE)</f>
        <v>7</v>
      </c>
      <c r="O124">
        <f t="shared" si="10"/>
        <v>1</v>
      </c>
      <c r="P124">
        <f>VLOOKUP($A124,Outcomes!$B$3:$I$209,5,FALSE)</f>
        <v>4</v>
      </c>
      <c r="Q124">
        <f>VLOOKUP($A124,Outcomes!$B$3:$I$209,6,FALSE)</f>
        <v>3</v>
      </c>
      <c r="R124">
        <f>VLOOKUP($A124,Outcomes!$B$3:$I$209,7,FALSE)</f>
        <v>-1</v>
      </c>
      <c r="S124" t="str">
        <f t="shared" si="11"/>
        <v>HomFave</v>
      </c>
      <c r="T124" t="str">
        <f t="shared" si="12"/>
        <v/>
      </c>
      <c r="U124" t="str">
        <f t="shared" si="8"/>
        <v/>
      </c>
      <c r="V124" t="str">
        <f t="shared" si="13"/>
        <v/>
      </c>
      <c r="W124" t="str">
        <f t="shared" si="14"/>
        <v/>
      </c>
      <c r="X124" s="2" t="str">
        <f t="shared" si="15"/>
        <v/>
      </c>
      <c r="Y124" t="str">
        <f>VLOOKUP($A124,ScionOutput!$A$3:$BL$215,64,FALSE)</f>
        <v xml:space="preserve">823938. LineStatEns is NoPlay as bookie-line outside range. StatOnlyEns is NoPlay as bookie-line outside range. No play due to strategy constraints. </v>
      </c>
    </row>
    <row r="125" spans="1:25" x14ac:dyDescent="0.2">
      <c r="A125">
        <v>822724</v>
      </c>
      <c r="B125" s="3">
        <f>VLOOKUP($A125,ScionOutput!$A$3:$BL$215,3,FALSE)</f>
        <v>46188</v>
      </c>
      <c r="C125">
        <f>VLOOKUP($A125,ScionOutput!$A$3:$BL$215,22,FALSE)</f>
        <v>16</v>
      </c>
      <c r="D125" t="str">
        <f>VLOOKUP($A125,ScionOutput!$A$3:$BL$215,23,FALSE)</f>
        <v>WAS</v>
      </c>
      <c r="E125">
        <f>VLOOKUP($A125,ScionOutput!$A$3:$BL$215,6,FALSE)</f>
        <v>13</v>
      </c>
      <c r="F125" t="str">
        <f>VLOOKUP($A125,ScionOutput!$A$3:$BL$215,7,FALSE)</f>
        <v>KC</v>
      </c>
      <c r="G125">
        <f>VLOOKUP($A125,ScionOutput!$A$3:$BL$215,26,FALSE)</f>
        <v>-127</v>
      </c>
      <c r="H125">
        <f>VLOOKUP($A125,ScionOutput!$A$3:$BL$215,10,FALSE)</f>
        <v>118</v>
      </c>
      <c r="I125" t="str">
        <f>VLOOKUP($A125,ScionOutput!$A$3:$BL$215,58,FALSE)</f>
        <v>No Play</v>
      </c>
      <c r="J125">
        <f>VLOOKUP($A125,ScionOutput!$A$3:$BL$215,59,FALSE)</f>
        <v>0</v>
      </c>
      <c r="K125">
        <f>VLOOKUP($A125,ScionOutput!$A$3:$BL$215,62,FALSE)</f>
        <v>0</v>
      </c>
      <c r="L125">
        <f>VLOOKUP($A125,ScionOutput!$A$3:$BL$215,63,FALSE)</f>
        <v>0</v>
      </c>
      <c r="M125" t="b">
        <f t="shared" si="9"/>
        <v>0</v>
      </c>
      <c r="N125">
        <f>VLOOKUP($A125,Outcomes!$B$3:$I$209,8,FALSE)</f>
        <v>10</v>
      </c>
      <c r="O125">
        <f t="shared" si="10"/>
        <v>1</v>
      </c>
      <c r="P125">
        <f>VLOOKUP($A125,Outcomes!$B$3:$I$209,5,FALSE)</f>
        <v>7</v>
      </c>
      <c r="Q125">
        <f>VLOOKUP($A125,Outcomes!$B$3:$I$209,6,FALSE)</f>
        <v>3</v>
      </c>
      <c r="R125">
        <f>VLOOKUP($A125,Outcomes!$B$3:$I$209,7,FALSE)</f>
        <v>-4</v>
      </c>
      <c r="S125" t="str">
        <f t="shared" si="11"/>
        <v>HomFave</v>
      </c>
      <c r="T125" t="str">
        <f t="shared" si="12"/>
        <v/>
      </c>
      <c r="U125" t="str">
        <f t="shared" si="8"/>
        <v/>
      </c>
      <c r="V125" t="str">
        <f t="shared" si="13"/>
        <v/>
      </c>
      <c r="W125" t="str">
        <f t="shared" si="14"/>
        <v/>
      </c>
      <c r="X125" s="2" t="str">
        <f t="shared" si="15"/>
        <v/>
      </c>
      <c r="Y125" t="str">
        <f>VLOOKUP($A125,ScionOutput!$A$3:$BL$215,64,FALSE)</f>
        <v xml:space="preserve">822724. V_SP is Null, team-based avg used. NoPlay as V_SP is Null. </v>
      </c>
    </row>
    <row r="126" spans="1:25" x14ac:dyDescent="0.2">
      <c r="A126">
        <v>824993</v>
      </c>
      <c r="B126" s="3">
        <f>VLOOKUP($A126,ScionOutput!$A$3:$BL$215,3,FALSE)</f>
        <v>46188</v>
      </c>
      <c r="C126">
        <f>VLOOKUP($A126,ScionOutput!$A$3:$BL$215,22,FALSE)</f>
        <v>20</v>
      </c>
      <c r="D126" t="str">
        <f>VLOOKUP($A126,ScionOutput!$A$3:$BL$215,23,FALSE)</f>
        <v>OAK</v>
      </c>
      <c r="E126">
        <f>VLOOKUP($A126,ScionOutput!$A$3:$BL$215,6,FALSE)</f>
        <v>22</v>
      </c>
      <c r="F126" t="str">
        <f>VLOOKUP($A126,ScionOutput!$A$3:$BL$215,7,FALSE)</f>
        <v>PIT</v>
      </c>
      <c r="G126">
        <f>VLOOKUP($A126,ScionOutput!$A$3:$BL$215,26,FALSE)</f>
        <v>-116</v>
      </c>
      <c r="H126">
        <f>VLOOKUP($A126,ScionOutput!$A$3:$BL$215,10,FALSE)</f>
        <v>107</v>
      </c>
      <c r="I126" t="str">
        <f>VLOOKUP($A126,ScionOutput!$A$3:$BL$215,58,FALSE)</f>
        <v>HomFave</v>
      </c>
      <c r="J126">
        <f>VLOOKUP($A126,ScionOutput!$A$3:$BL$215,59,FALSE)</f>
        <v>1.3559999999999999E-2</v>
      </c>
      <c r="K126">
        <f>VLOOKUP($A126,ScionOutput!$A$3:$BL$215,62,FALSE)</f>
        <v>1</v>
      </c>
      <c r="L126">
        <f>VLOOKUP($A126,ScionOutput!$A$3:$BL$215,63,FALSE)</f>
        <v>1</v>
      </c>
      <c r="M126" t="b">
        <f t="shared" si="9"/>
        <v>1</v>
      </c>
      <c r="N126">
        <f>VLOOKUP($A126,Outcomes!$B$3:$I$209,8,FALSE)</f>
        <v>13</v>
      </c>
      <c r="O126">
        <f t="shared" si="10"/>
        <v>1</v>
      </c>
      <c r="P126">
        <f>VLOOKUP($A126,Outcomes!$B$3:$I$209,5,FALSE)</f>
        <v>11</v>
      </c>
      <c r="Q126">
        <f>VLOOKUP($A126,Outcomes!$B$3:$I$209,6,FALSE)</f>
        <v>2</v>
      </c>
      <c r="R126">
        <f>VLOOKUP($A126,Outcomes!$B$3:$I$209,7,FALSE)</f>
        <v>-9</v>
      </c>
      <c r="S126" t="str">
        <f t="shared" si="11"/>
        <v>HomFave</v>
      </c>
      <c r="T126">
        <f t="shared" si="12"/>
        <v>1</v>
      </c>
      <c r="U126">
        <f t="shared" si="8"/>
        <v>116</v>
      </c>
      <c r="V126">
        <f t="shared" si="13"/>
        <v>216</v>
      </c>
      <c r="W126">
        <f t="shared" si="14"/>
        <v>100</v>
      </c>
      <c r="X126" s="2">
        <f t="shared" si="15"/>
        <v>0.86206896551724133</v>
      </c>
      <c r="Y126" t="str">
        <f>VLOOKUP($A126,ScionOutput!$A$3:$BL$215,64,FALSE)</f>
        <v xml:space="preserve">824993. Play determined by LineStatEns and StatOnlyEns agreement. </v>
      </c>
    </row>
    <row r="127" spans="1:25" x14ac:dyDescent="0.2">
      <c r="A127">
        <v>823452</v>
      </c>
      <c r="B127" s="3">
        <f>VLOOKUP($A127,ScionOutput!$A$3:$BL$215,3,FALSE)</f>
        <v>46188</v>
      </c>
      <c r="C127">
        <f>VLOOKUP($A127,ScionOutput!$A$3:$BL$215,22,FALSE)</f>
        <v>21</v>
      </c>
      <c r="D127" t="str">
        <f>VLOOKUP($A127,ScionOutput!$A$3:$BL$215,23,FALSE)</f>
        <v>PHI</v>
      </c>
      <c r="E127">
        <f>VLOOKUP($A127,ScionOutput!$A$3:$BL$215,6,FALSE)</f>
        <v>11</v>
      </c>
      <c r="F127" t="str">
        <f>VLOOKUP($A127,ScionOutput!$A$3:$BL$215,7,FALSE)</f>
        <v>FLO</v>
      </c>
      <c r="G127">
        <f>VLOOKUP($A127,ScionOutput!$A$3:$BL$215,26,FALSE)</f>
        <v>-186</v>
      </c>
      <c r="H127">
        <f>VLOOKUP($A127,ScionOutput!$A$3:$BL$215,10,FALSE)</f>
        <v>170</v>
      </c>
      <c r="I127" t="str">
        <f>VLOOKUP($A127,ScionOutput!$A$3:$BL$215,58,FALSE)</f>
        <v>No Play</v>
      </c>
      <c r="J127">
        <f>VLOOKUP($A127,ScionOutput!$A$3:$BL$215,59,FALSE)</f>
        <v>0</v>
      </c>
      <c r="K127">
        <f>VLOOKUP($A127,ScionOutput!$A$3:$BL$215,62,FALSE)</f>
        <v>0</v>
      </c>
      <c r="L127">
        <f>VLOOKUP($A127,ScionOutput!$A$3:$BL$215,63,FALSE)</f>
        <v>0</v>
      </c>
      <c r="M127" t="b">
        <f t="shared" si="9"/>
        <v>0</v>
      </c>
      <c r="N127">
        <f>VLOOKUP($A127,Outcomes!$B$3:$I$209,8,FALSE)</f>
        <v>7</v>
      </c>
      <c r="O127">
        <f t="shared" si="10"/>
        <v>1</v>
      </c>
      <c r="P127">
        <f>VLOOKUP($A127,Outcomes!$B$3:$I$209,5,FALSE)</f>
        <v>7</v>
      </c>
      <c r="Q127">
        <f>VLOOKUP($A127,Outcomes!$B$3:$I$209,6,FALSE)</f>
        <v>0</v>
      </c>
      <c r="R127">
        <f>VLOOKUP($A127,Outcomes!$B$3:$I$209,7,FALSE)</f>
        <v>-7</v>
      </c>
      <c r="S127" t="str">
        <f t="shared" si="11"/>
        <v>HomFave</v>
      </c>
      <c r="T127" t="str">
        <f t="shared" si="12"/>
        <v/>
      </c>
      <c r="U127" t="str">
        <f t="shared" si="8"/>
        <v/>
      </c>
      <c r="V127" t="str">
        <f t="shared" si="13"/>
        <v/>
      </c>
      <c r="W127" t="str">
        <f t="shared" si="14"/>
        <v/>
      </c>
      <c r="X127" s="2" t="str">
        <f t="shared" si="15"/>
        <v/>
      </c>
      <c r="Y127" t="str">
        <f>VLOOKUP($A127,ScionOutput!$A$3:$BL$215,64,FALSE)</f>
        <v xml:space="preserve">823452. LineStatEns is NoPlay as bookie-line outside range. StatOnlyEns is NoPlay as bookie-line outside range. No play due to strategy constraints. </v>
      </c>
    </row>
    <row r="128" spans="1:25" x14ac:dyDescent="0.2">
      <c r="A128">
        <v>823046</v>
      </c>
      <c r="B128" s="3">
        <f>VLOOKUP($A128,ScionOutput!$A$3:$BL$215,3,FALSE)</f>
        <v>46188</v>
      </c>
      <c r="C128">
        <f>VLOOKUP($A128,ScionOutput!$A$3:$BL$215,22,FALSE)</f>
        <v>26</v>
      </c>
      <c r="D128" t="str">
        <f>VLOOKUP($A128,ScionOutput!$A$3:$BL$215,23,FALSE)</f>
        <v>STL</v>
      </c>
      <c r="E128">
        <f>VLOOKUP($A128,ScionOutput!$A$3:$BL$215,6,FALSE)</f>
        <v>23</v>
      </c>
      <c r="F128" t="str">
        <f>VLOOKUP($A128,ScionOutput!$A$3:$BL$215,7,FALSE)</f>
        <v>SD</v>
      </c>
      <c r="G128">
        <f>VLOOKUP($A128,ScionOutput!$A$3:$BL$215,26,FALSE)</f>
        <v>-159</v>
      </c>
      <c r="H128">
        <f>VLOOKUP($A128,ScionOutput!$A$3:$BL$215,10,FALSE)</f>
        <v>146</v>
      </c>
      <c r="I128" t="str">
        <f>VLOOKUP($A128,ScionOutput!$A$3:$BL$215,58,FALSE)</f>
        <v>No Play</v>
      </c>
      <c r="J128">
        <f>VLOOKUP($A128,ScionOutput!$A$3:$BL$215,59,FALSE)</f>
        <v>0</v>
      </c>
      <c r="K128">
        <f>VLOOKUP($A128,ScionOutput!$A$3:$BL$215,62,FALSE)</f>
        <v>0</v>
      </c>
      <c r="L128">
        <f>VLOOKUP($A128,ScionOutput!$A$3:$BL$215,63,FALSE)</f>
        <v>0</v>
      </c>
      <c r="M128" t="b">
        <f t="shared" si="9"/>
        <v>0</v>
      </c>
      <c r="N128">
        <f>VLOOKUP($A128,Outcomes!$B$3:$I$209,8,FALSE)</f>
        <v>3</v>
      </c>
      <c r="O128">
        <f t="shared" si="10"/>
        <v>1</v>
      </c>
      <c r="P128">
        <f>VLOOKUP($A128,Outcomes!$B$3:$I$209,5,FALSE)</f>
        <v>3</v>
      </c>
      <c r="Q128">
        <f>VLOOKUP($A128,Outcomes!$B$3:$I$209,6,FALSE)</f>
        <v>0</v>
      </c>
      <c r="R128">
        <f>VLOOKUP($A128,Outcomes!$B$3:$I$209,7,FALSE)</f>
        <v>-3</v>
      </c>
      <c r="S128" t="str">
        <f t="shared" si="11"/>
        <v>HomFave</v>
      </c>
      <c r="T128" t="str">
        <f t="shared" si="12"/>
        <v/>
      </c>
      <c r="U128" t="str">
        <f t="shared" si="8"/>
        <v/>
      </c>
      <c r="V128" t="str">
        <f t="shared" si="13"/>
        <v/>
      </c>
      <c r="W128" t="str">
        <f t="shared" si="14"/>
        <v/>
      </c>
      <c r="X128" s="2" t="str">
        <f t="shared" si="15"/>
        <v/>
      </c>
      <c r="Y128" t="str">
        <f>VLOOKUP($A128,ScionOutput!$A$3:$BL$215,64,FALSE)</f>
        <v xml:space="preserve">823046. LineStatEns is NoPlay as bookie-line outside range. StatOnlyEns is NoPlay as bookie-line outside range. No play due to strategy constraints. </v>
      </c>
    </row>
    <row r="129" spans="1:25" x14ac:dyDescent="0.2">
      <c r="A129">
        <v>822887</v>
      </c>
      <c r="B129" s="3">
        <f>VLOOKUP($A129,ScionOutput!$A$3:$BL$215,3,FALSE)</f>
        <v>46188</v>
      </c>
      <c r="C129">
        <f>VLOOKUP($A129,ScionOutput!$A$3:$BL$215,22,FALSE)</f>
        <v>28</v>
      </c>
      <c r="D129" t="str">
        <f>VLOOKUP($A129,ScionOutput!$A$3:$BL$215,23,FALSE)</f>
        <v>TEX</v>
      </c>
      <c r="E129">
        <f>VLOOKUP($A129,ScionOutput!$A$3:$BL$215,6,FALSE)</f>
        <v>15</v>
      </c>
      <c r="F129" t="str">
        <f>VLOOKUP($A129,ScionOutput!$A$3:$BL$215,7,FALSE)</f>
        <v>MIN</v>
      </c>
      <c r="G129">
        <f>VLOOKUP($A129,ScionOutput!$A$3:$BL$215,26,FALSE)</f>
        <v>-150</v>
      </c>
      <c r="H129">
        <f>VLOOKUP($A129,ScionOutput!$A$3:$BL$215,10,FALSE)</f>
        <v>138</v>
      </c>
      <c r="I129" t="str">
        <f>VLOOKUP($A129,ScionOutput!$A$3:$BL$215,58,FALSE)</f>
        <v>No Play</v>
      </c>
      <c r="J129">
        <f>VLOOKUP($A129,ScionOutput!$A$3:$BL$215,59,FALSE)</f>
        <v>0</v>
      </c>
      <c r="K129">
        <f>VLOOKUP($A129,ScionOutput!$A$3:$BL$215,62,FALSE)</f>
        <v>0</v>
      </c>
      <c r="L129">
        <f>VLOOKUP($A129,ScionOutput!$A$3:$BL$215,63,FALSE)</f>
        <v>0</v>
      </c>
      <c r="M129" t="b">
        <f t="shared" si="9"/>
        <v>0</v>
      </c>
      <c r="N129">
        <f>VLOOKUP($A129,Outcomes!$B$3:$I$209,8,FALSE)</f>
        <v>6</v>
      </c>
      <c r="O129">
        <f t="shared" si="10"/>
        <v>-1</v>
      </c>
      <c r="P129">
        <f>VLOOKUP($A129,Outcomes!$B$3:$I$209,5,FALSE)</f>
        <v>2</v>
      </c>
      <c r="Q129">
        <f>VLOOKUP($A129,Outcomes!$B$3:$I$209,6,FALSE)</f>
        <v>4</v>
      </c>
      <c r="R129">
        <f>VLOOKUP($A129,Outcomes!$B$3:$I$209,7,FALSE)</f>
        <v>2</v>
      </c>
      <c r="S129" t="str">
        <f t="shared" si="11"/>
        <v>VisDog</v>
      </c>
      <c r="T129" t="str">
        <f t="shared" si="12"/>
        <v/>
      </c>
      <c r="U129" t="str">
        <f t="shared" si="8"/>
        <v/>
      </c>
      <c r="V129" t="str">
        <f t="shared" si="13"/>
        <v/>
      </c>
      <c r="W129" t="str">
        <f t="shared" si="14"/>
        <v/>
      </c>
      <c r="X129" s="2" t="str">
        <f t="shared" si="15"/>
        <v/>
      </c>
      <c r="Y129" t="str">
        <f>VLOOKUP($A129,ScionOutput!$A$3:$BL$215,64,FALSE)</f>
        <v xml:space="preserve">822887. LineStatEns probability points gap does not exceed threshold (no edge found)! StatOnlyEns probability points gap does not exceed threshold (no edge found)! No play due to strategy constraints. </v>
      </c>
    </row>
    <row r="130" spans="1:25" x14ac:dyDescent="0.2">
      <c r="A130">
        <v>824912</v>
      </c>
      <c r="B130" s="3">
        <f>VLOOKUP($A130,ScionOutput!$A$3:$BL$215,3,FALSE)</f>
        <v>46189</v>
      </c>
      <c r="C130">
        <f>VLOOKUP($A130,ScionOutput!$A$3:$BL$215,22,FALSE)</f>
        <v>0</v>
      </c>
      <c r="D130" t="str">
        <f>VLOOKUP($A130,ScionOutput!$A$3:$BL$215,23,FALSE)</f>
        <v>ATL</v>
      </c>
      <c r="E130">
        <f>VLOOKUP($A130,ScionOutput!$A$3:$BL$215,6,FALSE)</f>
        <v>25</v>
      </c>
      <c r="F130" t="str">
        <f>VLOOKUP($A130,ScionOutput!$A$3:$BL$215,7,FALSE)</f>
        <v>SF</v>
      </c>
      <c r="G130">
        <f>VLOOKUP($A130,ScionOutput!$A$3:$BL$215,26,FALSE)</f>
        <v>-169</v>
      </c>
      <c r="H130">
        <f>VLOOKUP($A130,ScionOutput!$A$3:$BL$215,10,FALSE)</f>
        <v>154</v>
      </c>
      <c r="I130" t="str">
        <f>VLOOKUP($A130,ScionOutput!$A$3:$BL$215,58,FALSE)</f>
        <v>No Play</v>
      </c>
      <c r="J130">
        <f>VLOOKUP($A130,ScionOutput!$A$3:$BL$215,59,FALSE)</f>
        <v>0</v>
      </c>
      <c r="K130">
        <f>VLOOKUP($A130,ScionOutput!$A$3:$BL$215,62,FALSE)</f>
        <v>0</v>
      </c>
      <c r="L130">
        <f>VLOOKUP($A130,ScionOutput!$A$3:$BL$215,63,FALSE)</f>
        <v>0</v>
      </c>
      <c r="M130" t="b">
        <f t="shared" si="9"/>
        <v>0</v>
      </c>
      <c r="N130">
        <f>VLOOKUP($A130,Outcomes!$B$3:$I$209,8,FALSE)</f>
        <v>9</v>
      </c>
      <c r="O130">
        <f t="shared" si="10"/>
        <v>-1</v>
      </c>
      <c r="P130">
        <f>VLOOKUP($A130,Outcomes!$B$3:$I$209,5,FALSE)</f>
        <v>2</v>
      </c>
      <c r="Q130">
        <f>VLOOKUP($A130,Outcomes!$B$3:$I$209,6,FALSE)</f>
        <v>7</v>
      </c>
      <c r="R130">
        <f>VLOOKUP($A130,Outcomes!$B$3:$I$209,7,FALSE)</f>
        <v>5</v>
      </c>
      <c r="S130" t="str">
        <f t="shared" si="11"/>
        <v>VisDog</v>
      </c>
      <c r="T130" t="str">
        <f t="shared" si="12"/>
        <v/>
      </c>
      <c r="U130" t="str">
        <f t="shared" ref="U130:U193" si="16">IF(T130="","",IF(G130&lt;H130,IF(I130="HomFave",ABS(G130),IF(H130&lt;0,ABS(H130),100)),IF(I130="VisFave",ABS(H130),IF(G130&lt;0,ABS(G130),100))))</f>
        <v/>
      </c>
      <c r="V130" t="str">
        <f t="shared" si="13"/>
        <v/>
      </c>
      <c r="W130" t="str">
        <f t="shared" si="14"/>
        <v/>
      </c>
      <c r="X130" s="2" t="str">
        <f t="shared" si="15"/>
        <v/>
      </c>
      <c r="Y130" t="str">
        <f>VLOOKUP($A130,ScionOutput!$A$3:$BL$215,64,FALSE)</f>
        <v xml:space="preserve">824912. LineStatEns is NoPlay as bookie-line outside range. StatOnlyEns is NoPlay as bookie-line outside range. No play due to strategy constraints. </v>
      </c>
    </row>
    <row r="131" spans="1:25" x14ac:dyDescent="0.2">
      <c r="A131">
        <v>825070</v>
      </c>
      <c r="B131" s="3">
        <f>VLOOKUP($A131,ScionOutput!$A$3:$BL$215,3,FALSE)</f>
        <v>46189</v>
      </c>
      <c r="C131">
        <f>VLOOKUP($A131,ScionOutput!$A$3:$BL$215,22,FALSE)</f>
        <v>1</v>
      </c>
      <c r="D131" t="str">
        <f>VLOOKUP($A131,ScionOutput!$A$3:$BL$215,23,FALSE)</f>
        <v>ARZ</v>
      </c>
      <c r="E131">
        <f>VLOOKUP($A131,ScionOutput!$A$3:$BL$215,6,FALSE)</f>
        <v>4</v>
      </c>
      <c r="F131" t="str">
        <f>VLOOKUP($A131,ScionOutput!$A$3:$BL$215,7,FALSE)</f>
        <v>LAA</v>
      </c>
      <c r="G131">
        <f>VLOOKUP($A131,ScionOutput!$A$3:$BL$215,26,FALSE)</f>
        <v>-101</v>
      </c>
      <c r="H131">
        <f>VLOOKUP($A131,ScionOutput!$A$3:$BL$215,10,FALSE)</f>
        <v>-107</v>
      </c>
      <c r="I131" t="str">
        <f>VLOOKUP($A131,ScionOutput!$A$3:$BL$215,58,FALSE)</f>
        <v>No Play</v>
      </c>
      <c r="J131">
        <f>VLOOKUP($A131,ScionOutput!$A$3:$BL$215,59,FALSE)</f>
        <v>0</v>
      </c>
      <c r="K131">
        <f>VLOOKUP($A131,ScionOutput!$A$3:$BL$215,62,FALSE)</f>
        <v>0</v>
      </c>
      <c r="L131">
        <f>VLOOKUP($A131,ScionOutput!$A$3:$BL$215,63,FALSE)</f>
        <v>0</v>
      </c>
      <c r="M131" t="b">
        <f t="shared" ref="M131:M194" si="17">ISNUMBER(SEARCH("Play determined by LineStatEns and StatOnlyEns agreement", Y131))</f>
        <v>0</v>
      </c>
      <c r="N131">
        <f>VLOOKUP($A131,Outcomes!$B$3:$I$209,8,FALSE)</f>
        <v>7</v>
      </c>
      <c r="O131">
        <f t="shared" ref="O131:O194" si="18">IF(P131&gt;Q131,1,IF(P131&lt;Q131,-1,0))</f>
        <v>-1</v>
      </c>
      <c r="P131">
        <f>VLOOKUP($A131,Outcomes!$B$3:$I$209,5,FALSE)</f>
        <v>0</v>
      </c>
      <c r="Q131">
        <f>VLOOKUP($A131,Outcomes!$B$3:$I$209,6,FALSE)</f>
        <v>7</v>
      </c>
      <c r="R131">
        <f>VLOOKUP($A131,Outcomes!$B$3:$I$209,7,FALSE)</f>
        <v>7</v>
      </c>
      <c r="S131" t="str">
        <f t="shared" ref="S131:S194" si="19">IF(R131=0,"Push",IF(G131&lt;H131,IF(R131&lt;0,"HomFave","VisDog"),IF(R131&gt;0,"VisFave","HomDog")))</f>
        <v>VisFave</v>
      </c>
      <c r="T131" t="str">
        <f t="shared" ref="T131:T194" si="20">IF(OR(R131=0,I131="No Play",K131&lt;&gt;1),"",IF(S131=I131,1,0))</f>
        <v/>
      </c>
      <c r="U131" t="str">
        <f t="shared" si="16"/>
        <v/>
      </c>
      <c r="V131" t="str">
        <f t="shared" ref="V131:V194" si="21">IF(T131="","",IF(T131=0,0,IF(G131&lt;H131,IF(I131="HomFave",U131+100,IF(H131&lt;0,100+U131,U131+ABS(H131))),IF(I131="VisFave",U131+100,IF(G131&lt;0,100+U131,U131+ABS(G131))))))</f>
        <v/>
      </c>
      <c r="W131" t="str">
        <f t="shared" ref="W131:W194" si="22">IF(T131="","",V131-U131)</f>
        <v/>
      </c>
      <c r="X131" s="2" t="str">
        <f t="shared" ref="X131:X194" si="23">IF(T131="","",W131/U131)</f>
        <v/>
      </c>
      <c r="Y131" t="str">
        <f>VLOOKUP($A131,ScionOutput!$A$3:$BL$215,64,FALSE)</f>
        <v xml:space="preserve">825070. VF plays are disallowed. No play due to strategy constraints. </v>
      </c>
    </row>
    <row r="132" spans="1:25" x14ac:dyDescent="0.2">
      <c r="A132">
        <v>824750</v>
      </c>
      <c r="B132" s="3">
        <f>VLOOKUP($A132,ScionOutput!$A$3:$BL$215,3,FALSE)</f>
        <v>46189</v>
      </c>
      <c r="C132">
        <f>VLOOKUP($A132,ScionOutput!$A$3:$BL$215,22,FALSE)</f>
        <v>3</v>
      </c>
      <c r="D132" t="str">
        <f>VLOOKUP($A132,ScionOutput!$A$3:$BL$215,23,FALSE)</f>
        <v>BOS</v>
      </c>
      <c r="E132">
        <f>VLOOKUP($A132,ScionOutput!$A$3:$BL$215,6,FALSE)</f>
        <v>29</v>
      </c>
      <c r="F132" t="str">
        <f>VLOOKUP($A132,ScionOutput!$A$3:$BL$215,7,FALSE)</f>
        <v>TOR</v>
      </c>
      <c r="G132">
        <f>VLOOKUP($A132,ScionOutput!$A$3:$BL$215,26,FALSE)</f>
        <v>105</v>
      </c>
      <c r="H132">
        <f>VLOOKUP($A132,ScionOutput!$A$3:$BL$215,10,FALSE)</f>
        <v>-114</v>
      </c>
      <c r="I132" t="str">
        <f>VLOOKUP($A132,ScionOutput!$A$3:$BL$215,58,FALSE)</f>
        <v>No Play</v>
      </c>
      <c r="J132">
        <f>VLOOKUP($A132,ScionOutput!$A$3:$BL$215,59,FALSE)</f>
        <v>0</v>
      </c>
      <c r="K132">
        <f>VLOOKUP($A132,ScionOutput!$A$3:$BL$215,62,FALSE)</f>
        <v>0</v>
      </c>
      <c r="L132">
        <f>VLOOKUP($A132,ScionOutput!$A$3:$BL$215,63,FALSE)</f>
        <v>0</v>
      </c>
      <c r="M132" t="b">
        <f t="shared" si="17"/>
        <v>0</v>
      </c>
      <c r="N132">
        <f>VLOOKUP($A132,Outcomes!$B$3:$I$209,8,FALSE)</f>
        <v>7</v>
      </c>
      <c r="O132">
        <f t="shared" si="18"/>
        <v>-1</v>
      </c>
      <c r="P132">
        <f>VLOOKUP($A132,Outcomes!$B$3:$I$209,5,FALSE)</f>
        <v>1</v>
      </c>
      <c r="Q132">
        <f>VLOOKUP($A132,Outcomes!$B$3:$I$209,6,FALSE)</f>
        <v>6</v>
      </c>
      <c r="R132">
        <f>VLOOKUP($A132,Outcomes!$B$3:$I$209,7,FALSE)</f>
        <v>5</v>
      </c>
      <c r="S132" t="str">
        <f t="shared" si="19"/>
        <v>VisFave</v>
      </c>
      <c r="T132" t="str">
        <f t="shared" si="20"/>
        <v/>
      </c>
      <c r="U132" t="str">
        <f t="shared" si="16"/>
        <v/>
      </c>
      <c r="V132" t="str">
        <f t="shared" si="21"/>
        <v/>
      </c>
      <c r="W132" t="str">
        <f t="shared" si="22"/>
        <v/>
      </c>
      <c r="X132" s="2" t="str">
        <f t="shared" si="23"/>
        <v/>
      </c>
      <c r="Y132" t="str">
        <f>VLOOKUP($A132,ScionOutput!$A$3:$BL$215,64,FALSE)</f>
        <v xml:space="preserve">824750. VF plays are disallowed. No play due to strategy constraints. </v>
      </c>
    </row>
    <row r="133" spans="1:25" x14ac:dyDescent="0.2">
      <c r="A133">
        <v>824667</v>
      </c>
      <c r="B133" s="3">
        <f>VLOOKUP($A133,ScionOutput!$A$3:$BL$215,3,FALSE)</f>
        <v>46189</v>
      </c>
      <c r="C133">
        <f>VLOOKUP($A133,ScionOutput!$A$3:$BL$215,22,FALSE)</f>
        <v>5</v>
      </c>
      <c r="D133" t="str">
        <f>VLOOKUP($A133,ScionOutput!$A$3:$BL$215,23,FALSE)</f>
        <v>CHC</v>
      </c>
      <c r="E133">
        <f>VLOOKUP($A133,ScionOutput!$A$3:$BL$215,6,FALSE)</f>
        <v>8</v>
      </c>
      <c r="F133" t="str">
        <f>VLOOKUP($A133,ScionOutput!$A$3:$BL$215,7,FALSE)</f>
        <v>COL</v>
      </c>
      <c r="G133">
        <f>VLOOKUP($A133,ScionOutput!$A$3:$BL$215,26,FALSE)</f>
        <v>-194</v>
      </c>
      <c r="H133">
        <f>VLOOKUP($A133,ScionOutput!$A$3:$BL$215,10,FALSE)</f>
        <v>176</v>
      </c>
      <c r="I133" t="str">
        <f>VLOOKUP($A133,ScionOutput!$A$3:$BL$215,58,FALSE)</f>
        <v>No Play</v>
      </c>
      <c r="J133">
        <f>VLOOKUP($A133,ScionOutput!$A$3:$BL$215,59,FALSE)</f>
        <v>0</v>
      </c>
      <c r="K133">
        <f>VLOOKUP($A133,ScionOutput!$A$3:$BL$215,62,FALSE)</f>
        <v>0</v>
      </c>
      <c r="L133">
        <f>VLOOKUP($A133,ScionOutput!$A$3:$BL$215,63,FALSE)</f>
        <v>0</v>
      </c>
      <c r="M133" t="b">
        <f t="shared" si="17"/>
        <v>0</v>
      </c>
      <c r="N133">
        <f>VLOOKUP($A133,Outcomes!$B$3:$I$209,8,FALSE)</f>
        <v>7</v>
      </c>
      <c r="O133">
        <f t="shared" si="18"/>
        <v>-1</v>
      </c>
      <c r="P133">
        <f>VLOOKUP($A133,Outcomes!$B$3:$I$209,5,FALSE)</f>
        <v>2</v>
      </c>
      <c r="Q133">
        <f>VLOOKUP($A133,Outcomes!$B$3:$I$209,6,FALSE)</f>
        <v>5</v>
      </c>
      <c r="R133">
        <f>VLOOKUP($A133,Outcomes!$B$3:$I$209,7,FALSE)</f>
        <v>3</v>
      </c>
      <c r="S133" t="str">
        <f t="shared" si="19"/>
        <v>VisDog</v>
      </c>
      <c r="T133" t="str">
        <f t="shared" si="20"/>
        <v/>
      </c>
      <c r="U133" t="str">
        <f t="shared" si="16"/>
        <v/>
      </c>
      <c r="V133" t="str">
        <f t="shared" si="21"/>
        <v/>
      </c>
      <c r="W133" t="str">
        <f t="shared" si="22"/>
        <v/>
      </c>
      <c r="X133" s="2" t="str">
        <f t="shared" si="23"/>
        <v/>
      </c>
      <c r="Y133" t="str">
        <f>VLOOKUP($A133,ScionOutput!$A$3:$BL$215,64,FALSE)</f>
        <v xml:space="preserve">824667. LineStatEns is NoPlay as bookie-line outside range. StatOnlyEns is NoPlay as bookie-line outside range. No play due to strategy constraints. </v>
      </c>
    </row>
    <row r="134" spans="1:25" x14ac:dyDescent="0.2">
      <c r="A134">
        <v>824504</v>
      </c>
      <c r="B134" s="3">
        <f>VLOOKUP($A134,ScionOutput!$A$3:$BL$215,3,FALSE)</f>
        <v>46189</v>
      </c>
      <c r="C134">
        <f>VLOOKUP($A134,ScionOutput!$A$3:$BL$215,22,FALSE)</f>
        <v>6</v>
      </c>
      <c r="D134" t="str">
        <f>VLOOKUP($A134,ScionOutput!$A$3:$BL$215,23,FALSE)</f>
        <v>CIN</v>
      </c>
      <c r="E134">
        <f>VLOOKUP($A134,ScionOutput!$A$3:$BL$215,6,FALSE)</f>
        <v>18</v>
      </c>
      <c r="F134" t="str">
        <f>VLOOKUP($A134,ScionOutput!$A$3:$BL$215,7,FALSE)</f>
        <v>NYM</v>
      </c>
      <c r="G134">
        <f>VLOOKUP($A134,ScionOutput!$A$3:$BL$215,26,FALSE)</f>
        <v>107</v>
      </c>
      <c r="H134">
        <f>VLOOKUP($A134,ScionOutput!$A$3:$BL$215,10,FALSE)</f>
        <v>-115</v>
      </c>
      <c r="I134" t="str">
        <f>VLOOKUP($A134,ScionOutput!$A$3:$BL$215,58,FALSE)</f>
        <v>No Play</v>
      </c>
      <c r="J134">
        <f>VLOOKUP($A134,ScionOutput!$A$3:$BL$215,59,FALSE)</f>
        <v>0</v>
      </c>
      <c r="K134">
        <f>VLOOKUP($A134,ScionOutput!$A$3:$BL$215,62,FALSE)</f>
        <v>0</v>
      </c>
      <c r="L134">
        <f>VLOOKUP($A134,ScionOutput!$A$3:$BL$215,63,FALSE)</f>
        <v>0</v>
      </c>
      <c r="M134" t="b">
        <f t="shared" si="17"/>
        <v>0</v>
      </c>
      <c r="N134">
        <f>VLOOKUP($A134,Outcomes!$B$3:$I$209,8,FALSE)</f>
        <v>8</v>
      </c>
      <c r="O134">
        <f t="shared" si="18"/>
        <v>1</v>
      </c>
      <c r="P134">
        <f>VLOOKUP($A134,Outcomes!$B$3:$I$209,5,FALSE)</f>
        <v>5</v>
      </c>
      <c r="Q134">
        <f>VLOOKUP($A134,Outcomes!$B$3:$I$209,6,FALSE)</f>
        <v>3</v>
      </c>
      <c r="R134">
        <f>VLOOKUP($A134,Outcomes!$B$3:$I$209,7,FALSE)</f>
        <v>-2</v>
      </c>
      <c r="S134" t="str">
        <f t="shared" si="19"/>
        <v>HomDog</v>
      </c>
      <c r="T134" t="str">
        <f t="shared" si="20"/>
        <v/>
      </c>
      <c r="U134" t="str">
        <f t="shared" si="16"/>
        <v/>
      </c>
      <c r="V134" t="str">
        <f t="shared" si="21"/>
        <v/>
      </c>
      <c r="W134" t="str">
        <f t="shared" si="22"/>
        <v/>
      </c>
      <c r="X134" s="2" t="str">
        <f t="shared" si="23"/>
        <v/>
      </c>
      <c r="Y134" t="str">
        <f>VLOOKUP($A134,ScionOutput!$A$3:$BL$215,64,FALSE)</f>
        <v xml:space="preserve">824504. VF plays are disallowed. No play due to strategy constraints. </v>
      </c>
    </row>
    <row r="135" spans="1:25" x14ac:dyDescent="0.2">
      <c r="A135">
        <v>824182</v>
      </c>
      <c r="B135" s="3">
        <f>VLOOKUP($A135,ScionOutput!$A$3:$BL$215,3,FALSE)</f>
        <v>46189</v>
      </c>
      <c r="C135">
        <f>VLOOKUP($A135,ScionOutput!$A$3:$BL$215,22,FALSE)</f>
        <v>12</v>
      </c>
      <c r="D135" t="str">
        <f>VLOOKUP($A135,ScionOutput!$A$3:$BL$215,23,FALSE)</f>
        <v>HOU</v>
      </c>
      <c r="E135">
        <f>VLOOKUP($A135,ScionOutput!$A$3:$BL$215,6,FALSE)</f>
        <v>10</v>
      </c>
      <c r="F135" t="str">
        <f>VLOOKUP($A135,ScionOutput!$A$3:$BL$215,7,FALSE)</f>
        <v>DET</v>
      </c>
      <c r="G135">
        <f>VLOOKUP($A135,ScionOutput!$A$3:$BL$215,26,FALSE)</f>
        <v>-167</v>
      </c>
      <c r="H135">
        <f>VLOOKUP($A135,ScionOutput!$A$3:$BL$215,10,FALSE)</f>
        <v>153</v>
      </c>
      <c r="I135" t="str">
        <f>VLOOKUP($A135,ScionOutput!$A$3:$BL$215,58,FALSE)</f>
        <v>No Play</v>
      </c>
      <c r="J135">
        <f>VLOOKUP($A135,ScionOutput!$A$3:$BL$215,59,FALSE)</f>
        <v>0</v>
      </c>
      <c r="K135">
        <f>VLOOKUP($A135,ScionOutput!$A$3:$BL$215,62,FALSE)</f>
        <v>0</v>
      </c>
      <c r="L135">
        <f>VLOOKUP($A135,ScionOutput!$A$3:$BL$215,63,FALSE)</f>
        <v>0</v>
      </c>
      <c r="M135" t="b">
        <f t="shared" si="17"/>
        <v>0</v>
      </c>
      <c r="N135">
        <f>VLOOKUP($A135,Outcomes!$B$3:$I$209,8,FALSE)</f>
        <v>6</v>
      </c>
      <c r="O135">
        <f t="shared" si="18"/>
        <v>1</v>
      </c>
      <c r="P135">
        <f>VLOOKUP($A135,Outcomes!$B$3:$I$209,5,FALSE)</f>
        <v>4</v>
      </c>
      <c r="Q135">
        <f>VLOOKUP($A135,Outcomes!$B$3:$I$209,6,FALSE)</f>
        <v>2</v>
      </c>
      <c r="R135">
        <f>VLOOKUP($A135,Outcomes!$B$3:$I$209,7,FALSE)</f>
        <v>-2</v>
      </c>
      <c r="S135" t="str">
        <f t="shared" si="19"/>
        <v>HomFave</v>
      </c>
      <c r="T135" t="str">
        <f t="shared" si="20"/>
        <v/>
      </c>
      <c r="U135" t="str">
        <f t="shared" si="16"/>
        <v/>
      </c>
      <c r="V135" t="str">
        <f t="shared" si="21"/>
        <v/>
      </c>
      <c r="W135" t="str">
        <f t="shared" si="22"/>
        <v/>
      </c>
      <c r="X135" s="2" t="str">
        <f t="shared" si="23"/>
        <v/>
      </c>
      <c r="Y135" t="str">
        <f>VLOOKUP($A135,ScionOutput!$A$3:$BL$215,64,FALSE)</f>
        <v xml:space="preserve">824182. LineStatEns is NoPlay as bookie-line outside range. StatOnlyEns is NoPlay as bookie-line outside range. No play due to strategy constraints. </v>
      </c>
    </row>
    <row r="136" spans="1:25" x14ac:dyDescent="0.2">
      <c r="A136">
        <v>823939</v>
      </c>
      <c r="B136" s="3">
        <f>VLOOKUP($A136,ScionOutput!$A$3:$BL$215,3,FALSE)</f>
        <v>46189</v>
      </c>
      <c r="C136">
        <f>VLOOKUP($A136,ScionOutput!$A$3:$BL$215,22,FALSE)</f>
        <v>14</v>
      </c>
      <c r="D136" t="str">
        <f>VLOOKUP($A136,ScionOutput!$A$3:$BL$215,23,FALSE)</f>
        <v>LA</v>
      </c>
      <c r="E136">
        <f>VLOOKUP($A136,ScionOutput!$A$3:$BL$215,6,FALSE)</f>
        <v>27</v>
      </c>
      <c r="F136" t="str">
        <f>VLOOKUP($A136,ScionOutput!$A$3:$BL$215,7,FALSE)</f>
        <v>TB</v>
      </c>
      <c r="G136">
        <f>VLOOKUP($A136,ScionOutput!$A$3:$BL$215,26,FALSE)</f>
        <v>-144</v>
      </c>
      <c r="H136">
        <f>VLOOKUP($A136,ScionOutput!$A$3:$BL$215,10,FALSE)</f>
        <v>133</v>
      </c>
      <c r="I136" t="str">
        <f>VLOOKUP($A136,ScionOutput!$A$3:$BL$215,58,FALSE)</f>
        <v>No Play</v>
      </c>
      <c r="J136">
        <f>VLOOKUP($A136,ScionOutput!$A$3:$BL$215,59,FALSE)</f>
        <v>0</v>
      </c>
      <c r="K136">
        <f>VLOOKUP($A136,ScionOutput!$A$3:$BL$215,62,FALSE)</f>
        <v>0</v>
      </c>
      <c r="L136">
        <f>VLOOKUP($A136,ScionOutput!$A$3:$BL$215,63,FALSE)</f>
        <v>0</v>
      </c>
      <c r="M136" t="b">
        <f t="shared" si="17"/>
        <v>0</v>
      </c>
      <c r="N136">
        <f>VLOOKUP($A136,Outcomes!$B$3:$I$209,8,FALSE)</f>
        <v>1</v>
      </c>
      <c r="O136">
        <f t="shared" si="18"/>
        <v>1</v>
      </c>
      <c r="P136">
        <f>VLOOKUP($A136,Outcomes!$B$3:$I$209,5,FALSE)</f>
        <v>1</v>
      </c>
      <c r="Q136">
        <f>VLOOKUP($A136,Outcomes!$B$3:$I$209,6,FALSE)</f>
        <v>0</v>
      </c>
      <c r="R136">
        <f>VLOOKUP($A136,Outcomes!$B$3:$I$209,7,FALSE)</f>
        <v>-1</v>
      </c>
      <c r="S136" t="str">
        <f t="shared" si="19"/>
        <v>HomFave</v>
      </c>
      <c r="T136" t="str">
        <f t="shared" si="20"/>
        <v/>
      </c>
      <c r="U136" t="str">
        <f t="shared" si="16"/>
        <v/>
      </c>
      <c r="V136" t="str">
        <f t="shared" si="21"/>
        <v/>
      </c>
      <c r="W136" t="str">
        <f t="shared" si="22"/>
        <v/>
      </c>
      <c r="X136" s="2" t="str">
        <f t="shared" si="23"/>
        <v/>
      </c>
      <c r="Y136" t="str">
        <f>VLOOKUP($A136,ScionOutput!$A$3:$BL$215,64,FALSE)</f>
        <v xml:space="preserve">823939. LineStatEns probability points gap does not exceed threshold (no edge found)! StatOnlyEns probability points gap does not exceed threshold (no edge found)! No play due to strategy constraints. </v>
      </c>
    </row>
    <row r="137" spans="1:25" x14ac:dyDescent="0.2">
      <c r="A137">
        <v>822723</v>
      </c>
      <c r="B137" s="3">
        <f>VLOOKUP($A137,ScionOutput!$A$3:$BL$215,3,FALSE)</f>
        <v>46189</v>
      </c>
      <c r="C137">
        <f>VLOOKUP($A137,ScionOutput!$A$3:$BL$215,22,FALSE)</f>
        <v>16</v>
      </c>
      <c r="D137" t="str">
        <f>VLOOKUP($A137,ScionOutput!$A$3:$BL$215,23,FALSE)</f>
        <v>WAS</v>
      </c>
      <c r="E137">
        <f>VLOOKUP($A137,ScionOutput!$A$3:$BL$215,6,FALSE)</f>
        <v>13</v>
      </c>
      <c r="F137" t="str">
        <f>VLOOKUP($A137,ScionOutput!$A$3:$BL$215,7,FALSE)</f>
        <v>KC</v>
      </c>
      <c r="G137">
        <f>VLOOKUP($A137,ScionOutput!$A$3:$BL$215,26,FALSE)</f>
        <v>-131</v>
      </c>
      <c r="H137">
        <f>VLOOKUP($A137,ScionOutput!$A$3:$BL$215,10,FALSE)</f>
        <v>121</v>
      </c>
      <c r="I137" t="str">
        <f>VLOOKUP($A137,ScionOutput!$A$3:$BL$215,58,FALSE)</f>
        <v>No Play</v>
      </c>
      <c r="J137">
        <f>VLOOKUP($A137,ScionOutput!$A$3:$BL$215,59,FALSE)</f>
        <v>0</v>
      </c>
      <c r="K137">
        <f>VLOOKUP($A137,ScionOutput!$A$3:$BL$215,62,FALSE)</f>
        <v>0</v>
      </c>
      <c r="L137">
        <f>VLOOKUP($A137,ScionOutput!$A$3:$BL$215,63,FALSE)</f>
        <v>0</v>
      </c>
      <c r="M137" t="b">
        <f t="shared" si="17"/>
        <v>0</v>
      </c>
      <c r="N137">
        <f>VLOOKUP($A137,Outcomes!$B$3:$I$209,8,FALSE)</f>
        <v>10</v>
      </c>
      <c r="O137">
        <f t="shared" si="18"/>
        <v>1</v>
      </c>
      <c r="P137">
        <f>VLOOKUP($A137,Outcomes!$B$3:$I$209,5,FALSE)</f>
        <v>6</v>
      </c>
      <c r="Q137">
        <f>VLOOKUP($A137,Outcomes!$B$3:$I$209,6,FALSE)</f>
        <v>4</v>
      </c>
      <c r="R137">
        <f>VLOOKUP($A137,Outcomes!$B$3:$I$209,7,FALSE)</f>
        <v>-2</v>
      </c>
      <c r="S137" t="str">
        <f t="shared" si="19"/>
        <v>HomFave</v>
      </c>
      <c r="T137" t="str">
        <f t="shared" si="20"/>
        <v/>
      </c>
      <c r="U137" t="str">
        <f t="shared" si="16"/>
        <v/>
      </c>
      <c r="V137" t="str">
        <f t="shared" si="21"/>
        <v/>
      </c>
      <c r="W137" t="str">
        <f t="shared" si="22"/>
        <v/>
      </c>
      <c r="X137" s="2" t="str">
        <f t="shared" si="23"/>
        <v/>
      </c>
      <c r="Y137" t="str">
        <f>VLOOKUP($A137,ScionOutput!$A$3:$BL$215,64,FALSE)</f>
        <v xml:space="preserve">822723. LineStatEns probability points gap does not exceed threshold (no edge found)! StatOnlyEns probability points gap does not exceed threshold (no edge found)! No play due to strategy constraints. </v>
      </c>
    </row>
    <row r="138" spans="1:25" x14ac:dyDescent="0.2">
      <c r="A138">
        <v>823775</v>
      </c>
      <c r="B138" s="3">
        <f>VLOOKUP($A138,ScionOutput!$A$3:$BL$215,3,FALSE)</f>
        <v>46189</v>
      </c>
      <c r="C138">
        <f>VLOOKUP($A138,ScionOutput!$A$3:$BL$215,22,FALSE)</f>
        <v>17</v>
      </c>
      <c r="D138" t="str">
        <f>VLOOKUP($A138,ScionOutput!$A$3:$BL$215,23,FALSE)</f>
        <v>MLW</v>
      </c>
      <c r="E138">
        <f>VLOOKUP($A138,ScionOutput!$A$3:$BL$215,6,FALSE)</f>
        <v>7</v>
      </c>
      <c r="F138" t="str">
        <f>VLOOKUP($A138,ScionOutput!$A$3:$BL$215,7,FALSE)</f>
        <v>CLE</v>
      </c>
      <c r="G138">
        <f>VLOOKUP($A138,ScionOutput!$A$3:$BL$215,26,FALSE)</f>
        <v>-151</v>
      </c>
      <c r="H138">
        <f>VLOOKUP($A138,ScionOutput!$A$3:$BL$215,10,FALSE)</f>
        <v>139</v>
      </c>
      <c r="I138" t="str">
        <f>VLOOKUP($A138,ScionOutput!$A$3:$BL$215,58,FALSE)</f>
        <v>No Play</v>
      </c>
      <c r="J138">
        <f>VLOOKUP($A138,ScionOutput!$A$3:$BL$215,59,FALSE)</f>
        <v>0</v>
      </c>
      <c r="K138">
        <f>VLOOKUP($A138,ScionOutput!$A$3:$BL$215,62,FALSE)</f>
        <v>0</v>
      </c>
      <c r="L138">
        <f>VLOOKUP($A138,ScionOutput!$A$3:$BL$215,63,FALSE)</f>
        <v>0</v>
      </c>
      <c r="M138" t="b">
        <f t="shared" si="17"/>
        <v>0</v>
      </c>
      <c r="N138">
        <f>VLOOKUP($A138,Outcomes!$B$3:$I$209,8,FALSE)</f>
        <v>3</v>
      </c>
      <c r="O138">
        <f t="shared" si="18"/>
        <v>1</v>
      </c>
      <c r="P138">
        <f>VLOOKUP($A138,Outcomes!$B$3:$I$209,5,FALSE)</f>
        <v>2</v>
      </c>
      <c r="Q138">
        <f>VLOOKUP($A138,Outcomes!$B$3:$I$209,6,FALSE)</f>
        <v>1</v>
      </c>
      <c r="R138">
        <f>VLOOKUP($A138,Outcomes!$B$3:$I$209,7,FALSE)</f>
        <v>-1</v>
      </c>
      <c r="S138" t="str">
        <f t="shared" si="19"/>
        <v>HomFave</v>
      </c>
      <c r="T138" t="str">
        <f t="shared" si="20"/>
        <v/>
      </c>
      <c r="U138" t="str">
        <f t="shared" si="16"/>
        <v/>
      </c>
      <c r="V138" t="str">
        <f t="shared" si="21"/>
        <v/>
      </c>
      <c r="W138" t="str">
        <f t="shared" si="22"/>
        <v/>
      </c>
      <c r="X138" s="2" t="str">
        <f t="shared" si="23"/>
        <v/>
      </c>
      <c r="Y138" t="str">
        <f>VLOOKUP($A138,ScionOutput!$A$3:$BL$215,64,FALSE)</f>
        <v xml:space="preserve">823775. LineStatEns is NoPlay as bookie-line outside range. StatOnlyEns is NoPlay as bookie-line outside range. No play due to strategy constraints. </v>
      </c>
    </row>
    <row r="139" spans="1:25" x14ac:dyDescent="0.2">
      <c r="A139">
        <v>823535</v>
      </c>
      <c r="B139" s="3">
        <f>VLOOKUP($A139,ScionOutput!$A$3:$BL$215,3,FALSE)</f>
        <v>46189</v>
      </c>
      <c r="C139">
        <f>VLOOKUP($A139,ScionOutput!$A$3:$BL$215,22,FALSE)</f>
        <v>19</v>
      </c>
      <c r="D139" t="str">
        <f>VLOOKUP($A139,ScionOutput!$A$3:$BL$215,23,FALSE)</f>
        <v>NYY</v>
      </c>
      <c r="E139">
        <f>VLOOKUP($A139,ScionOutput!$A$3:$BL$215,6,FALSE)</f>
        <v>9</v>
      </c>
      <c r="F139" t="str">
        <f>VLOOKUP($A139,ScionOutput!$A$3:$BL$215,7,FALSE)</f>
        <v>CWS</v>
      </c>
      <c r="G139">
        <f>VLOOKUP($A139,ScionOutput!$A$3:$BL$215,26,FALSE)</f>
        <v>-138</v>
      </c>
      <c r="H139">
        <f>VLOOKUP($A139,ScionOutput!$A$3:$BL$215,10,FALSE)</f>
        <v>127</v>
      </c>
      <c r="I139" t="str">
        <f>VLOOKUP($A139,ScionOutput!$A$3:$BL$215,58,FALSE)</f>
        <v>No Play</v>
      </c>
      <c r="J139">
        <f>VLOOKUP($A139,ScionOutput!$A$3:$BL$215,59,FALSE)</f>
        <v>0</v>
      </c>
      <c r="K139">
        <f>VLOOKUP($A139,ScionOutput!$A$3:$BL$215,62,FALSE)</f>
        <v>0</v>
      </c>
      <c r="L139">
        <f>VLOOKUP($A139,ScionOutput!$A$3:$BL$215,63,FALSE)</f>
        <v>0</v>
      </c>
      <c r="M139" t="b">
        <f t="shared" si="17"/>
        <v>0</v>
      </c>
      <c r="N139">
        <f>VLOOKUP($A139,Outcomes!$B$3:$I$209,8,FALSE)</f>
        <v>14</v>
      </c>
      <c r="O139">
        <f t="shared" si="18"/>
        <v>1</v>
      </c>
      <c r="P139">
        <f>VLOOKUP($A139,Outcomes!$B$3:$I$209,5,FALSE)</f>
        <v>12</v>
      </c>
      <c r="Q139">
        <f>VLOOKUP($A139,Outcomes!$B$3:$I$209,6,FALSE)</f>
        <v>2</v>
      </c>
      <c r="R139">
        <f>VLOOKUP($A139,Outcomes!$B$3:$I$209,7,FALSE)</f>
        <v>-10</v>
      </c>
      <c r="S139" t="str">
        <f t="shared" si="19"/>
        <v>HomFave</v>
      </c>
      <c r="T139" t="str">
        <f t="shared" si="20"/>
        <v/>
      </c>
      <c r="U139" t="str">
        <f t="shared" si="16"/>
        <v/>
      </c>
      <c r="V139" t="str">
        <f t="shared" si="21"/>
        <v/>
      </c>
      <c r="W139" t="str">
        <f t="shared" si="22"/>
        <v/>
      </c>
      <c r="X139" s="2" t="str">
        <f t="shared" si="23"/>
        <v/>
      </c>
      <c r="Y139" t="str">
        <f>VLOOKUP($A139,ScionOutput!$A$3:$BL$215,64,FALSE)</f>
        <v xml:space="preserve">823535. LineStatEns probability points gap does not exceed threshold (no edge found)! StatOnlyEns probability points gap does not exceed threshold (no edge found)! No play due to strategy constraints. </v>
      </c>
    </row>
    <row r="140" spans="1:25" x14ac:dyDescent="0.2">
      <c r="A140">
        <v>824991</v>
      </c>
      <c r="B140" s="3">
        <f>VLOOKUP($A140,ScionOutput!$A$3:$BL$215,3,FALSE)</f>
        <v>46189</v>
      </c>
      <c r="C140">
        <f>VLOOKUP($A140,ScionOutput!$A$3:$BL$215,22,FALSE)</f>
        <v>20</v>
      </c>
      <c r="D140" t="str">
        <f>VLOOKUP($A140,ScionOutput!$A$3:$BL$215,23,FALSE)</f>
        <v>OAK</v>
      </c>
      <c r="E140">
        <f>VLOOKUP($A140,ScionOutput!$A$3:$BL$215,6,FALSE)</f>
        <v>22</v>
      </c>
      <c r="F140" t="str">
        <f>VLOOKUP($A140,ScionOutput!$A$3:$BL$215,7,FALSE)</f>
        <v>PIT</v>
      </c>
      <c r="G140">
        <f>VLOOKUP($A140,ScionOutput!$A$3:$BL$215,26,FALSE)</f>
        <v>-137</v>
      </c>
      <c r="H140">
        <f>VLOOKUP($A140,ScionOutput!$A$3:$BL$215,10,FALSE)</f>
        <v>126</v>
      </c>
      <c r="I140" t="str">
        <f>VLOOKUP($A140,ScionOutput!$A$3:$BL$215,58,FALSE)</f>
        <v>No Play</v>
      </c>
      <c r="J140">
        <f>VLOOKUP($A140,ScionOutput!$A$3:$BL$215,59,FALSE)</f>
        <v>0</v>
      </c>
      <c r="K140">
        <f>VLOOKUP($A140,ScionOutput!$A$3:$BL$215,62,FALSE)</f>
        <v>0</v>
      </c>
      <c r="L140">
        <f>VLOOKUP($A140,ScionOutput!$A$3:$BL$215,63,FALSE)</f>
        <v>0</v>
      </c>
      <c r="M140" t="b">
        <f t="shared" si="17"/>
        <v>0</v>
      </c>
      <c r="N140">
        <f>VLOOKUP($A140,Outcomes!$B$3:$I$209,8,FALSE)</f>
        <v>11</v>
      </c>
      <c r="O140">
        <f t="shared" si="18"/>
        <v>-1</v>
      </c>
      <c r="P140">
        <f>VLOOKUP($A140,Outcomes!$B$3:$I$209,5,FALSE)</f>
        <v>5</v>
      </c>
      <c r="Q140">
        <f>VLOOKUP($A140,Outcomes!$B$3:$I$209,6,FALSE)</f>
        <v>6</v>
      </c>
      <c r="R140">
        <f>VLOOKUP($A140,Outcomes!$B$3:$I$209,7,FALSE)</f>
        <v>1</v>
      </c>
      <c r="S140" t="str">
        <f t="shared" si="19"/>
        <v>VisDog</v>
      </c>
      <c r="T140" t="str">
        <f t="shared" si="20"/>
        <v/>
      </c>
      <c r="U140" t="str">
        <f t="shared" si="16"/>
        <v/>
      </c>
      <c r="V140" t="str">
        <f t="shared" si="21"/>
        <v/>
      </c>
      <c r="W140" t="str">
        <f t="shared" si="22"/>
        <v/>
      </c>
      <c r="X140" s="2" t="str">
        <f t="shared" si="23"/>
        <v/>
      </c>
      <c r="Y140" t="str">
        <f>VLOOKUP($A140,ScionOutput!$A$3:$BL$215,64,FALSE)</f>
        <v xml:space="preserve">824991. LineStatEns probability points gap does not exceed threshold (no edge found)! StatOnlyEns probability points gap does not exceed threshold (no edge found)! No play due to strategy constraints. </v>
      </c>
    </row>
    <row r="141" spans="1:25" x14ac:dyDescent="0.2">
      <c r="A141">
        <v>823451</v>
      </c>
      <c r="B141" s="3">
        <f>VLOOKUP($A141,ScionOutput!$A$3:$BL$215,3,FALSE)</f>
        <v>46189</v>
      </c>
      <c r="C141">
        <f>VLOOKUP($A141,ScionOutput!$A$3:$BL$215,22,FALSE)</f>
        <v>21</v>
      </c>
      <c r="D141" t="str">
        <f>VLOOKUP($A141,ScionOutput!$A$3:$BL$215,23,FALSE)</f>
        <v>PHI</v>
      </c>
      <c r="E141">
        <f>VLOOKUP($A141,ScionOutput!$A$3:$BL$215,6,FALSE)</f>
        <v>11</v>
      </c>
      <c r="F141" t="str">
        <f>VLOOKUP($A141,ScionOutput!$A$3:$BL$215,7,FALSE)</f>
        <v>FLO</v>
      </c>
      <c r="G141">
        <f>VLOOKUP($A141,ScionOutput!$A$3:$BL$215,26,FALSE)</f>
        <v>-165</v>
      </c>
      <c r="H141">
        <f>VLOOKUP($A141,ScionOutput!$A$3:$BL$215,10,FALSE)</f>
        <v>152</v>
      </c>
      <c r="I141" t="str">
        <f>VLOOKUP($A141,ScionOutput!$A$3:$BL$215,58,FALSE)</f>
        <v>No Play</v>
      </c>
      <c r="J141">
        <f>VLOOKUP($A141,ScionOutput!$A$3:$BL$215,59,FALSE)</f>
        <v>0</v>
      </c>
      <c r="K141">
        <f>VLOOKUP($A141,ScionOutput!$A$3:$BL$215,62,FALSE)</f>
        <v>0</v>
      </c>
      <c r="L141">
        <f>VLOOKUP($A141,ScionOutput!$A$3:$BL$215,63,FALSE)</f>
        <v>0</v>
      </c>
      <c r="M141" t="b">
        <f t="shared" si="17"/>
        <v>0</v>
      </c>
      <c r="N141">
        <f>VLOOKUP($A141,Outcomes!$B$3:$I$209,8,FALSE)</f>
        <v>10</v>
      </c>
      <c r="O141">
        <f t="shared" si="18"/>
        <v>1</v>
      </c>
      <c r="P141">
        <f>VLOOKUP($A141,Outcomes!$B$3:$I$209,5,FALSE)</f>
        <v>8</v>
      </c>
      <c r="Q141">
        <f>VLOOKUP($A141,Outcomes!$B$3:$I$209,6,FALSE)</f>
        <v>2</v>
      </c>
      <c r="R141">
        <f>VLOOKUP($A141,Outcomes!$B$3:$I$209,7,FALSE)</f>
        <v>-6</v>
      </c>
      <c r="S141" t="str">
        <f t="shared" si="19"/>
        <v>HomFave</v>
      </c>
      <c r="T141" t="str">
        <f t="shared" si="20"/>
        <v/>
      </c>
      <c r="U141" t="str">
        <f t="shared" si="16"/>
        <v/>
      </c>
      <c r="V141" t="str">
        <f t="shared" si="21"/>
        <v/>
      </c>
      <c r="W141" t="str">
        <f t="shared" si="22"/>
        <v/>
      </c>
      <c r="X141" s="2" t="str">
        <f t="shared" si="23"/>
        <v/>
      </c>
      <c r="Y141" t="str">
        <f>VLOOKUP($A141,ScionOutput!$A$3:$BL$215,64,FALSE)</f>
        <v xml:space="preserve">823451. LineStatEns is NoPlay as bookie-line outside range. StatOnlyEns is NoPlay as bookie-line outside range. No play due to strategy constraints. </v>
      </c>
    </row>
    <row r="142" spans="1:25" x14ac:dyDescent="0.2">
      <c r="A142">
        <v>823128</v>
      </c>
      <c r="B142" s="3">
        <f>VLOOKUP($A142,ScionOutput!$A$3:$BL$215,3,FALSE)</f>
        <v>46189</v>
      </c>
      <c r="C142">
        <f>VLOOKUP($A142,ScionOutput!$A$3:$BL$215,22,FALSE)</f>
        <v>24</v>
      </c>
      <c r="D142" t="str">
        <f>VLOOKUP($A142,ScionOutput!$A$3:$BL$215,23,FALSE)</f>
        <v>SEA</v>
      </c>
      <c r="E142">
        <f>VLOOKUP($A142,ScionOutput!$A$3:$BL$215,6,FALSE)</f>
        <v>2</v>
      </c>
      <c r="F142" t="str">
        <f>VLOOKUP($A142,ScionOutput!$A$3:$BL$215,7,FALSE)</f>
        <v>BAL</v>
      </c>
      <c r="G142">
        <f>VLOOKUP($A142,ScionOutput!$A$3:$BL$215,26,FALSE)</f>
        <v>-151</v>
      </c>
      <c r="H142">
        <f>VLOOKUP($A142,ScionOutput!$A$3:$BL$215,10,FALSE)</f>
        <v>139</v>
      </c>
      <c r="I142" t="str">
        <f>VLOOKUP($A142,ScionOutput!$A$3:$BL$215,58,FALSE)</f>
        <v>No Play</v>
      </c>
      <c r="J142">
        <f>VLOOKUP($A142,ScionOutput!$A$3:$BL$215,59,FALSE)</f>
        <v>0</v>
      </c>
      <c r="K142">
        <f>VLOOKUP($A142,ScionOutput!$A$3:$BL$215,62,FALSE)</f>
        <v>0</v>
      </c>
      <c r="L142">
        <f>VLOOKUP($A142,ScionOutput!$A$3:$BL$215,63,FALSE)</f>
        <v>0</v>
      </c>
      <c r="M142" t="b">
        <f t="shared" si="17"/>
        <v>0</v>
      </c>
      <c r="N142">
        <f>VLOOKUP($A142,Outcomes!$B$3:$I$209,8,FALSE)</f>
        <v>4</v>
      </c>
      <c r="O142">
        <f t="shared" si="18"/>
        <v>1</v>
      </c>
      <c r="P142">
        <f>VLOOKUP($A142,Outcomes!$B$3:$I$209,5,FALSE)</f>
        <v>3</v>
      </c>
      <c r="Q142">
        <f>VLOOKUP($A142,Outcomes!$B$3:$I$209,6,FALSE)</f>
        <v>1</v>
      </c>
      <c r="R142">
        <f>VLOOKUP($A142,Outcomes!$B$3:$I$209,7,FALSE)</f>
        <v>-2</v>
      </c>
      <c r="S142" t="str">
        <f t="shared" si="19"/>
        <v>HomFave</v>
      </c>
      <c r="T142" t="str">
        <f t="shared" si="20"/>
        <v/>
      </c>
      <c r="U142" t="str">
        <f t="shared" si="16"/>
        <v/>
      </c>
      <c r="V142" t="str">
        <f t="shared" si="21"/>
        <v/>
      </c>
      <c r="W142" t="str">
        <f t="shared" si="22"/>
        <v/>
      </c>
      <c r="X142" s="2" t="str">
        <f t="shared" si="23"/>
        <v/>
      </c>
      <c r="Y142" t="str">
        <f>VLOOKUP($A142,ScionOutput!$A$3:$BL$215,64,FALSE)</f>
        <v xml:space="preserve">823128. LineStatEns is NoPlay as bookie-line outside range. StatOnlyEns is NoPlay as bookie-line outside range. No play due to strategy constraints. </v>
      </c>
    </row>
    <row r="143" spans="1:25" x14ac:dyDescent="0.2">
      <c r="A143">
        <v>823045</v>
      </c>
      <c r="B143" s="3">
        <f>VLOOKUP($A143,ScionOutput!$A$3:$BL$215,3,FALSE)</f>
        <v>46189</v>
      </c>
      <c r="C143">
        <f>VLOOKUP($A143,ScionOutput!$A$3:$BL$215,22,FALSE)</f>
        <v>26</v>
      </c>
      <c r="D143" t="str">
        <f>VLOOKUP($A143,ScionOutput!$A$3:$BL$215,23,FALSE)</f>
        <v>STL</v>
      </c>
      <c r="E143">
        <f>VLOOKUP($A143,ScionOutput!$A$3:$BL$215,6,FALSE)</f>
        <v>23</v>
      </c>
      <c r="F143" t="str">
        <f>VLOOKUP($A143,ScionOutput!$A$3:$BL$215,7,FALSE)</f>
        <v>SD</v>
      </c>
      <c r="G143">
        <f>VLOOKUP($A143,ScionOutput!$A$3:$BL$215,26,FALSE)</f>
        <v>-113</v>
      </c>
      <c r="H143">
        <f>VLOOKUP($A143,ScionOutput!$A$3:$BL$215,10,FALSE)</f>
        <v>105</v>
      </c>
      <c r="I143" t="str">
        <f>VLOOKUP($A143,ScionOutput!$A$3:$BL$215,58,FALSE)</f>
        <v>HomFave</v>
      </c>
      <c r="J143">
        <f>VLOOKUP($A143,ScionOutput!$A$3:$BL$215,59,FALSE)</f>
        <v>1.9029999999999998E-2</v>
      </c>
      <c r="K143">
        <f>VLOOKUP($A143,ScionOutput!$A$3:$BL$215,62,FALSE)</f>
        <v>3</v>
      </c>
      <c r="L143">
        <f>VLOOKUP($A143,ScionOutput!$A$3:$BL$215,63,FALSE)</f>
        <v>0.93</v>
      </c>
      <c r="M143" t="b">
        <f t="shared" si="17"/>
        <v>0</v>
      </c>
      <c r="N143">
        <f>VLOOKUP($A143,Outcomes!$B$3:$I$209,8,FALSE)</f>
        <v>5</v>
      </c>
      <c r="O143">
        <f t="shared" si="18"/>
        <v>1</v>
      </c>
      <c r="P143">
        <f>VLOOKUP($A143,Outcomes!$B$3:$I$209,5,FALSE)</f>
        <v>3</v>
      </c>
      <c r="Q143">
        <f>VLOOKUP($A143,Outcomes!$B$3:$I$209,6,FALSE)</f>
        <v>2</v>
      </c>
      <c r="R143">
        <f>VLOOKUP($A143,Outcomes!$B$3:$I$209,7,FALSE)</f>
        <v>-1</v>
      </c>
      <c r="S143" t="str">
        <f t="shared" si="19"/>
        <v>HomFave</v>
      </c>
      <c r="T143" t="str">
        <f t="shared" si="20"/>
        <v/>
      </c>
      <c r="U143" t="str">
        <f t="shared" si="16"/>
        <v/>
      </c>
      <c r="V143" t="str">
        <f t="shared" si="21"/>
        <v/>
      </c>
      <c r="W143" t="str">
        <f t="shared" si="22"/>
        <v/>
      </c>
      <c r="X143" s="2" t="str">
        <f t="shared" si="23"/>
        <v/>
      </c>
      <c r="Y143" t="str">
        <f>VLOOKUP($A143,ScionOutput!$A$3:$BL$215,64,FALSE)</f>
        <v xml:space="preserve">823045. StatOnlyEns probability points gap does not exceed threshold (no edge found)! Play determined by LineStatEns only. </v>
      </c>
    </row>
    <row r="144" spans="1:25" x14ac:dyDescent="0.2">
      <c r="A144">
        <v>822888</v>
      </c>
      <c r="B144" s="3">
        <f>VLOOKUP($A144,ScionOutput!$A$3:$BL$215,3,FALSE)</f>
        <v>46189</v>
      </c>
      <c r="C144">
        <f>VLOOKUP($A144,ScionOutput!$A$3:$BL$215,22,FALSE)</f>
        <v>28</v>
      </c>
      <c r="D144" t="str">
        <f>VLOOKUP($A144,ScionOutput!$A$3:$BL$215,23,FALSE)</f>
        <v>TEX</v>
      </c>
      <c r="E144">
        <f>VLOOKUP($A144,ScionOutput!$A$3:$BL$215,6,FALSE)</f>
        <v>15</v>
      </c>
      <c r="F144" t="str">
        <f>VLOOKUP($A144,ScionOutput!$A$3:$BL$215,7,FALSE)</f>
        <v>MIN</v>
      </c>
      <c r="G144">
        <f>VLOOKUP($A144,ScionOutput!$A$3:$BL$215,26,FALSE)</f>
        <v>-120</v>
      </c>
      <c r="H144">
        <f>VLOOKUP($A144,ScionOutput!$A$3:$BL$215,10,FALSE)</f>
        <v>111</v>
      </c>
      <c r="I144" t="str">
        <f>VLOOKUP($A144,ScionOutput!$A$3:$BL$215,58,FALSE)</f>
        <v>No Play</v>
      </c>
      <c r="J144">
        <f>VLOOKUP($A144,ScionOutput!$A$3:$BL$215,59,FALSE)</f>
        <v>0</v>
      </c>
      <c r="K144">
        <f>VLOOKUP($A144,ScionOutput!$A$3:$BL$215,62,FALSE)</f>
        <v>0</v>
      </c>
      <c r="L144">
        <f>VLOOKUP($A144,ScionOutput!$A$3:$BL$215,63,FALSE)</f>
        <v>0</v>
      </c>
      <c r="M144" t="b">
        <f t="shared" si="17"/>
        <v>0</v>
      </c>
      <c r="N144">
        <f>VLOOKUP($A144,Outcomes!$B$3:$I$209,8,FALSE)</f>
        <v>14</v>
      </c>
      <c r="O144">
        <f t="shared" si="18"/>
        <v>-1</v>
      </c>
      <c r="P144">
        <f>VLOOKUP($A144,Outcomes!$B$3:$I$209,5,FALSE)</f>
        <v>2</v>
      </c>
      <c r="Q144">
        <f>VLOOKUP($A144,Outcomes!$B$3:$I$209,6,FALSE)</f>
        <v>12</v>
      </c>
      <c r="R144">
        <f>VLOOKUP($A144,Outcomes!$B$3:$I$209,7,FALSE)</f>
        <v>10</v>
      </c>
      <c r="S144" t="str">
        <f t="shared" si="19"/>
        <v>VisDog</v>
      </c>
      <c r="T144" t="str">
        <f t="shared" si="20"/>
        <v/>
      </c>
      <c r="U144" t="str">
        <f t="shared" si="16"/>
        <v/>
      </c>
      <c r="V144" t="str">
        <f t="shared" si="21"/>
        <v/>
      </c>
      <c r="W144" t="str">
        <f t="shared" si="22"/>
        <v/>
      </c>
      <c r="X144" s="2" t="str">
        <f t="shared" si="23"/>
        <v/>
      </c>
      <c r="Y144" t="str">
        <f>VLOOKUP($A144,ScionOutput!$A$3:$BL$215,64,FALSE)</f>
        <v xml:space="preserve">822888. LineStatEns probability points gap does not exceed threshold (no edge found)! StatOnlyEns probability points gap does not exceed threshold (no edge found)! No play due to strategy constraints. </v>
      </c>
    </row>
    <row r="145" spans="1:25" x14ac:dyDescent="0.2">
      <c r="A145">
        <v>824912</v>
      </c>
      <c r="B145" s="3">
        <f>VLOOKUP($A145,ScionOutput!$A$3:$BL$215,3,FALSE)</f>
        <v>46189</v>
      </c>
      <c r="C145">
        <f>VLOOKUP($A145,ScionOutput!$A$3:$BL$215,22,FALSE)</f>
        <v>0</v>
      </c>
      <c r="D145" t="str">
        <f>VLOOKUP($A145,ScionOutput!$A$3:$BL$215,23,FALSE)</f>
        <v>ATL</v>
      </c>
      <c r="E145">
        <f>VLOOKUP($A145,ScionOutput!$A$3:$BL$215,6,FALSE)</f>
        <v>25</v>
      </c>
      <c r="F145" t="str">
        <f>VLOOKUP($A145,ScionOutput!$A$3:$BL$215,7,FALSE)</f>
        <v>SF</v>
      </c>
      <c r="G145">
        <f>VLOOKUP($A145,ScionOutput!$A$3:$BL$215,26,FALSE)</f>
        <v>-169</v>
      </c>
      <c r="H145">
        <f>VLOOKUP($A145,ScionOutput!$A$3:$BL$215,10,FALSE)</f>
        <v>154</v>
      </c>
      <c r="I145" t="str">
        <f>VLOOKUP($A145,ScionOutput!$A$3:$BL$215,58,FALSE)</f>
        <v>No Play</v>
      </c>
      <c r="J145">
        <f>VLOOKUP($A145,ScionOutput!$A$3:$BL$215,59,FALSE)</f>
        <v>0</v>
      </c>
      <c r="K145">
        <f>VLOOKUP($A145,ScionOutput!$A$3:$BL$215,62,FALSE)</f>
        <v>0</v>
      </c>
      <c r="L145">
        <f>VLOOKUP($A145,ScionOutput!$A$3:$BL$215,63,FALSE)</f>
        <v>0</v>
      </c>
      <c r="M145" t="b">
        <f t="shared" si="17"/>
        <v>0</v>
      </c>
      <c r="N145">
        <f>VLOOKUP($A145,Outcomes!$B$3:$I$209,8,FALSE)</f>
        <v>9</v>
      </c>
      <c r="O145">
        <f t="shared" si="18"/>
        <v>-1</v>
      </c>
      <c r="P145">
        <f>VLOOKUP($A145,Outcomes!$B$3:$I$209,5,FALSE)</f>
        <v>2</v>
      </c>
      <c r="Q145">
        <f>VLOOKUP($A145,Outcomes!$B$3:$I$209,6,FALSE)</f>
        <v>7</v>
      </c>
      <c r="R145">
        <f>VLOOKUP($A145,Outcomes!$B$3:$I$209,7,FALSE)</f>
        <v>5</v>
      </c>
      <c r="S145" t="str">
        <f t="shared" si="19"/>
        <v>VisDog</v>
      </c>
      <c r="T145" t="str">
        <f t="shared" si="20"/>
        <v/>
      </c>
      <c r="U145" t="str">
        <f t="shared" si="16"/>
        <v/>
      </c>
      <c r="V145" t="str">
        <f t="shared" si="21"/>
        <v/>
      </c>
      <c r="W145" t="str">
        <f t="shared" si="22"/>
        <v/>
      </c>
      <c r="X145" s="2" t="str">
        <f t="shared" si="23"/>
        <v/>
      </c>
      <c r="Y145" t="str">
        <f>VLOOKUP($A145,ScionOutput!$A$3:$BL$215,64,FALSE)</f>
        <v xml:space="preserve">824912. LineStatEns is NoPlay as bookie-line outside range. StatOnlyEns is NoPlay as bookie-line outside range. No play due to strategy constraints. </v>
      </c>
    </row>
    <row r="146" spans="1:25" x14ac:dyDescent="0.2">
      <c r="A146">
        <v>824913</v>
      </c>
      <c r="B146" s="3">
        <f>VLOOKUP($A146,ScionOutput!$A$3:$BL$215,3,FALSE)</f>
        <v>46190</v>
      </c>
      <c r="C146">
        <f>VLOOKUP($A146,ScionOutput!$A$3:$BL$215,22,FALSE)</f>
        <v>0</v>
      </c>
      <c r="D146" t="str">
        <f>VLOOKUP($A146,ScionOutput!$A$3:$BL$215,23,FALSE)</f>
        <v>ATL</v>
      </c>
      <c r="E146">
        <f>VLOOKUP($A146,ScionOutput!$A$3:$BL$215,6,FALSE)</f>
        <v>25</v>
      </c>
      <c r="F146" t="str">
        <f>VLOOKUP($A146,ScionOutput!$A$3:$BL$215,7,FALSE)</f>
        <v>SF</v>
      </c>
      <c r="G146">
        <f>VLOOKUP($A146,ScionOutput!$A$3:$BL$215,26,FALSE)</f>
        <v>-137</v>
      </c>
      <c r="H146">
        <f>VLOOKUP($A146,ScionOutput!$A$3:$BL$215,10,FALSE)</f>
        <v>124</v>
      </c>
      <c r="I146" t="str">
        <f>VLOOKUP($A146,ScionOutput!$A$3:$BL$215,58,FALSE)</f>
        <v>HomFave</v>
      </c>
      <c r="J146">
        <f>VLOOKUP($A146,ScionOutput!$A$3:$BL$215,59,FALSE)</f>
        <v>1.576E-2</v>
      </c>
      <c r="K146">
        <f>VLOOKUP($A146,ScionOutput!$A$3:$BL$215,62,FALSE)</f>
        <v>3</v>
      </c>
      <c r="L146">
        <f>VLOOKUP($A146,ScionOutput!$A$3:$BL$215,63,FALSE)</f>
        <v>1</v>
      </c>
      <c r="M146" t="b">
        <f t="shared" si="17"/>
        <v>0</v>
      </c>
      <c r="N146">
        <f>VLOOKUP($A146,Outcomes!$B$3:$I$209,8,FALSE)</f>
        <v>12</v>
      </c>
      <c r="O146">
        <f t="shared" si="18"/>
        <v>-1</v>
      </c>
      <c r="P146">
        <f>VLOOKUP($A146,Outcomes!$B$3:$I$209,5,FALSE)</f>
        <v>5</v>
      </c>
      <c r="Q146">
        <f>VLOOKUP($A146,Outcomes!$B$3:$I$209,6,FALSE)</f>
        <v>7</v>
      </c>
      <c r="R146">
        <f>VLOOKUP($A146,Outcomes!$B$3:$I$209,7,FALSE)</f>
        <v>2</v>
      </c>
      <c r="S146" t="str">
        <f t="shared" si="19"/>
        <v>VisDog</v>
      </c>
      <c r="T146" t="str">
        <f t="shared" si="20"/>
        <v/>
      </c>
      <c r="U146" t="str">
        <f t="shared" si="16"/>
        <v/>
      </c>
      <c r="V146" t="str">
        <f t="shared" si="21"/>
        <v/>
      </c>
      <c r="W146" t="str">
        <f t="shared" si="22"/>
        <v/>
      </c>
      <c r="X146" s="2" t="str">
        <f t="shared" si="23"/>
        <v/>
      </c>
      <c r="Y146" t="str">
        <f>VLOOKUP($A146,ScionOutput!$A$3:$BL$215,64,FALSE)</f>
        <v xml:space="preserve">824913. StatOnlyEns probability points gap does not exceed threshold (no edge found)! Play determined by LineStatEns only. </v>
      </c>
    </row>
    <row r="147" spans="1:25" x14ac:dyDescent="0.2">
      <c r="A147">
        <v>825072</v>
      </c>
      <c r="B147" s="3">
        <f>VLOOKUP($A147,ScionOutput!$A$3:$BL$215,3,FALSE)</f>
        <v>46190</v>
      </c>
      <c r="C147">
        <f>VLOOKUP($A147,ScionOutput!$A$3:$BL$215,22,FALSE)</f>
        <v>1</v>
      </c>
      <c r="D147" t="str">
        <f>VLOOKUP($A147,ScionOutput!$A$3:$BL$215,23,FALSE)</f>
        <v>ARZ</v>
      </c>
      <c r="E147">
        <f>VLOOKUP($A147,ScionOutput!$A$3:$BL$215,6,FALSE)</f>
        <v>4</v>
      </c>
      <c r="F147" t="str">
        <f>VLOOKUP($A147,ScionOutput!$A$3:$BL$215,7,FALSE)</f>
        <v>LAA</v>
      </c>
      <c r="G147">
        <f>VLOOKUP($A147,ScionOutput!$A$3:$BL$215,26,FALSE)</f>
        <v>-163</v>
      </c>
      <c r="H147">
        <f>VLOOKUP($A147,ScionOutput!$A$3:$BL$215,10,FALSE)</f>
        <v>146</v>
      </c>
      <c r="I147" t="str">
        <f>VLOOKUP($A147,ScionOutput!$A$3:$BL$215,58,FALSE)</f>
        <v>No Play</v>
      </c>
      <c r="J147">
        <f>VLOOKUP($A147,ScionOutput!$A$3:$BL$215,59,FALSE)</f>
        <v>0</v>
      </c>
      <c r="K147">
        <f>VLOOKUP($A147,ScionOutput!$A$3:$BL$215,62,FALSE)</f>
        <v>0</v>
      </c>
      <c r="L147">
        <f>VLOOKUP($A147,ScionOutput!$A$3:$BL$215,63,FALSE)</f>
        <v>0</v>
      </c>
      <c r="M147" t="b">
        <f t="shared" si="17"/>
        <v>0</v>
      </c>
      <c r="N147">
        <f>VLOOKUP($A147,Outcomes!$B$3:$I$209,8,FALSE)</f>
        <v>9</v>
      </c>
      <c r="O147">
        <f t="shared" si="18"/>
        <v>1</v>
      </c>
      <c r="P147">
        <f>VLOOKUP($A147,Outcomes!$B$3:$I$209,5,FALSE)</f>
        <v>8</v>
      </c>
      <c r="Q147">
        <f>VLOOKUP($A147,Outcomes!$B$3:$I$209,6,FALSE)</f>
        <v>1</v>
      </c>
      <c r="R147">
        <f>VLOOKUP($A147,Outcomes!$B$3:$I$209,7,FALSE)</f>
        <v>-7</v>
      </c>
      <c r="S147" t="str">
        <f t="shared" si="19"/>
        <v>HomFave</v>
      </c>
      <c r="T147" t="str">
        <f t="shared" si="20"/>
        <v/>
      </c>
      <c r="U147" t="str">
        <f t="shared" si="16"/>
        <v/>
      </c>
      <c r="V147" t="str">
        <f t="shared" si="21"/>
        <v/>
      </c>
      <c r="W147" t="str">
        <f t="shared" si="22"/>
        <v/>
      </c>
      <c r="X147" s="2" t="str">
        <f t="shared" si="23"/>
        <v/>
      </c>
      <c r="Y147" t="str">
        <f>VLOOKUP($A147,ScionOutput!$A$3:$BL$215,64,FALSE)</f>
        <v xml:space="preserve">825072. LineStatEns is NoPlay as bookie-line outside range. StatOnlyEns is NoPlay as bookie-line outside range. No play due to strategy constraints. </v>
      </c>
    </row>
    <row r="148" spans="1:25" x14ac:dyDescent="0.2">
      <c r="A148">
        <v>824746</v>
      </c>
      <c r="B148" s="3">
        <f>VLOOKUP($A148,ScionOutput!$A$3:$BL$215,3,FALSE)</f>
        <v>46190</v>
      </c>
      <c r="C148">
        <f>VLOOKUP($A148,ScionOutput!$A$3:$BL$215,22,FALSE)</f>
        <v>3</v>
      </c>
      <c r="D148" t="str">
        <f>VLOOKUP($A148,ScionOutput!$A$3:$BL$215,23,FALSE)</f>
        <v>BOS</v>
      </c>
      <c r="E148">
        <f>VLOOKUP($A148,ScionOutput!$A$3:$BL$215,6,FALSE)</f>
        <v>29</v>
      </c>
      <c r="F148" t="str">
        <f>VLOOKUP($A148,ScionOutput!$A$3:$BL$215,7,FALSE)</f>
        <v>TOR</v>
      </c>
      <c r="G148">
        <f>VLOOKUP($A148,ScionOutput!$A$3:$BL$215,26,FALSE)</f>
        <v>-124</v>
      </c>
      <c r="H148">
        <f>VLOOKUP($A148,ScionOutput!$A$3:$BL$215,10,FALSE)</f>
        <v>112</v>
      </c>
      <c r="I148" t="str">
        <f>VLOOKUP($A148,ScionOutput!$A$3:$BL$215,58,FALSE)</f>
        <v>No Play</v>
      </c>
      <c r="J148">
        <f>VLOOKUP($A148,ScionOutput!$A$3:$BL$215,59,FALSE)</f>
        <v>0</v>
      </c>
      <c r="K148">
        <f>VLOOKUP($A148,ScionOutput!$A$3:$BL$215,62,FALSE)</f>
        <v>0</v>
      </c>
      <c r="L148">
        <f>VLOOKUP($A148,ScionOutput!$A$3:$BL$215,63,FALSE)</f>
        <v>0</v>
      </c>
      <c r="M148" t="b">
        <f t="shared" si="17"/>
        <v>0</v>
      </c>
      <c r="N148">
        <f>VLOOKUP($A148,Outcomes!$B$3:$I$209,8,FALSE)</f>
        <v>3</v>
      </c>
      <c r="O148">
        <f t="shared" si="18"/>
        <v>-1</v>
      </c>
      <c r="P148">
        <f>VLOOKUP($A148,Outcomes!$B$3:$I$209,5,FALSE)</f>
        <v>0</v>
      </c>
      <c r="Q148">
        <f>VLOOKUP($A148,Outcomes!$B$3:$I$209,6,FALSE)</f>
        <v>3</v>
      </c>
      <c r="R148">
        <f>VLOOKUP($A148,Outcomes!$B$3:$I$209,7,FALSE)</f>
        <v>3</v>
      </c>
      <c r="S148" t="str">
        <f t="shared" si="19"/>
        <v>VisDog</v>
      </c>
      <c r="T148" t="str">
        <f t="shared" si="20"/>
        <v/>
      </c>
      <c r="U148" t="str">
        <f t="shared" si="16"/>
        <v/>
      </c>
      <c r="V148" t="str">
        <f t="shared" si="21"/>
        <v/>
      </c>
      <c r="W148" t="str">
        <f t="shared" si="22"/>
        <v/>
      </c>
      <c r="X148" s="2" t="str">
        <f t="shared" si="23"/>
        <v/>
      </c>
      <c r="Y148" t="str">
        <f>VLOOKUP($A148,ScionOutput!$A$3:$BL$215,64,FALSE)</f>
        <v xml:space="preserve">824746. LineStatEns probability points gap does not exceed threshold (no edge found)! No play due to strategy constraints. </v>
      </c>
    </row>
    <row r="149" spans="1:25" x14ac:dyDescent="0.2">
      <c r="A149">
        <v>824668</v>
      </c>
      <c r="B149" s="3">
        <f>VLOOKUP($A149,ScionOutput!$A$3:$BL$215,3,FALSE)</f>
        <v>46190</v>
      </c>
      <c r="C149">
        <f>VLOOKUP($A149,ScionOutput!$A$3:$BL$215,22,FALSE)</f>
        <v>5</v>
      </c>
      <c r="D149" t="str">
        <f>VLOOKUP($A149,ScionOutput!$A$3:$BL$215,23,FALSE)</f>
        <v>CHC</v>
      </c>
      <c r="E149">
        <f>VLOOKUP($A149,ScionOutput!$A$3:$BL$215,6,FALSE)</f>
        <v>8</v>
      </c>
      <c r="F149" t="str">
        <f>VLOOKUP($A149,ScionOutput!$A$3:$BL$215,7,FALSE)</f>
        <v>COL</v>
      </c>
      <c r="G149">
        <f>VLOOKUP($A149,ScionOutput!$A$3:$BL$215,26,FALSE)</f>
        <v>-180</v>
      </c>
      <c r="H149">
        <f>VLOOKUP($A149,ScionOutput!$A$3:$BL$215,10,FALSE)</f>
        <v>161</v>
      </c>
      <c r="I149" t="str">
        <f>VLOOKUP($A149,ScionOutput!$A$3:$BL$215,58,FALSE)</f>
        <v>No Play</v>
      </c>
      <c r="J149">
        <f>VLOOKUP($A149,ScionOutput!$A$3:$BL$215,59,FALSE)</f>
        <v>0</v>
      </c>
      <c r="K149">
        <f>VLOOKUP($A149,ScionOutput!$A$3:$BL$215,62,FALSE)</f>
        <v>0</v>
      </c>
      <c r="L149">
        <f>VLOOKUP($A149,ScionOutput!$A$3:$BL$215,63,FALSE)</f>
        <v>0</v>
      </c>
      <c r="M149" t="b">
        <f t="shared" si="17"/>
        <v>0</v>
      </c>
      <c r="N149">
        <f>VLOOKUP($A149,Outcomes!$B$3:$I$209,8,FALSE)</f>
        <v>14</v>
      </c>
      <c r="O149">
        <f t="shared" si="18"/>
        <v>1</v>
      </c>
      <c r="P149">
        <f>VLOOKUP($A149,Outcomes!$B$3:$I$209,5,FALSE)</f>
        <v>8</v>
      </c>
      <c r="Q149">
        <f>VLOOKUP($A149,Outcomes!$B$3:$I$209,6,FALSE)</f>
        <v>6</v>
      </c>
      <c r="R149">
        <f>VLOOKUP($A149,Outcomes!$B$3:$I$209,7,FALSE)</f>
        <v>-2</v>
      </c>
      <c r="S149" t="str">
        <f t="shared" si="19"/>
        <v>HomFave</v>
      </c>
      <c r="T149" t="str">
        <f t="shared" si="20"/>
        <v/>
      </c>
      <c r="U149" t="str">
        <f t="shared" si="16"/>
        <v/>
      </c>
      <c r="V149" t="str">
        <f t="shared" si="21"/>
        <v/>
      </c>
      <c r="W149" t="str">
        <f t="shared" si="22"/>
        <v/>
      </c>
      <c r="X149" s="2" t="str">
        <f t="shared" si="23"/>
        <v/>
      </c>
      <c r="Y149" t="str">
        <f>VLOOKUP($A149,ScionOutput!$A$3:$BL$215,64,FALSE)</f>
        <v xml:space="preserve">824668. LineStatEns is NoPlay as bookie-line outside range. StatOnlyEns is NoPlay as bookie-line outside range. No play due to strategy constraints. </v>
      </c>
    </row>
    <row r="150" spans="1:25" x14ac:dyDescent="0.2">
      <c r="A150">
        <v>824503</v>
      </c>
      <c r="B150" s="3">
        <f>VLOOKUP($A150,ScionOutput!$A$3:$BL$215,3,FALSE)</f>
        <v>46190</v>
      </c>
      <c r="C150">
        <f>VLOOKUP($A150,ScionOutput!$A$3:$BL$215,22,FALSE)</f>
        <v>6</v>
      </c>
      <c r="D150" t="str">
        <f>VLOOKUP($A150,ScionOutput!$A$3:$BL$215,23,FALSE)</f>
        <v>CIN</v>
      </c>
      <c r="E150">
        <f>VLOOKUP($A150,ScionOutput!$A$3:$BL$215,6,FALSE)</f>
        <v>18</v>
      </c>
      <c r="F150" t="str">
        <f>VLOOKUP($A150,ScionOutput!$A$3:$BL$215,7,FALSE)</f>
        <v>NYM</v>
      </c>
      <c r="G150">
        <f>VLOOKUP($A150,ScionOutput!$A$3:$BL$215,26,FALSE)</f>
        <v>113</v>
      </c>
      <c r="H150">
        <f>VLOOKUP($A150,ScionOutput!$A$3:$BL$215,10,FALSE)</f>
        <v>-125</v>
      </c>
      <c r="I150" t="str">
        <f>VLOOKUP($A150,ScionOutput!$A$3:$BL$215,58,FALSE)</f>
        <v>No Play</v>
      </c>
      <c r="J150">
        <f>VLOOKUP($A150,ScionOutput!$A$3:$BL$215,59,FALSE)</f>
        <v>0</v>
      </c>
      <c r="K150">
        <f>VLOOKUP($A150,ScionOutput!$A$3:$BL$215,62,FALSE)</f>
        <v>0</v>
      </c>
      <c r="L150">
        <f>VLOOKUP($A150,ScionOutput!$A$3:$BL$215,63,FALSE)</f>
        <v>0</v>
      </c>
      <c r="M150" t="b">
        <f t="shared" si="17"/>
        <v>0</v>
      </c>
      <c r="N150">
        <f>VLOOKUP($A150,Outcomes!$B$3:$I$209,8,FALSE)</f>
        <v>10</v>
      </c>
      <c r="O150">
        <f t="shared" si="18"/>
        <v>-1</v>
      </c>
      <c r="P150">
        <f>VLOOKUP($A150,Outcomes!$B$3:$I$209,5,FALSE)</f>
        <v>1</v>
      </c>
      <c r="Q150">
        <f>VLOOKUP($A150,Outcomes!$B$3:$I$209,6,FALSE)</f>
        <v>9</v>
      </c>
      <c r="R150">
        <f>VLOOKUP($A150,Outcomes!$B$3:$I$209,7,FALSE)</f>
        <v>8</v>
      </c>
      <c r="S150" t="str">
        <f t="shared" si="19"/>
        <v>VisFave</v>
      </c>
      <c r="T150" t="str">
        <f t="shared" si="20"/>
        <v/>
      </c>
      <c r="U150" t="str">
        <f t="shared" si="16"/>
        <v/>
      </c>
      <c r="V150" t="str">
        <f t="shared" si="21"/>
        <v/>
      </c>
      <c r="W150" t="str">
        <f t="shared" si="22"/>
        <v/>
      </c>
      <c r="X150" s="2" t="str">
        <f t="shared" si="23"/>
        <v/>
      </c>
      <c r="Y150" t="str">
        <f>VLOOKUP($A150,ScionOutput!$A$3:$BL$215,64,FALSE)</f>
        <v xml:space="preserve">824503. VF plays are disallowed. No play due to strategy constraints. </v>
      </c>
    </row>
    <row r="151" spans="1:25" x14ac:dyDescent="0.2">
      <c r="A151">
        <v>824178</v>
      </c>
      <c r="B151" s="3">
        <f>VLOOKUP($A151,ScionOutput!$A$3:$BL$215,3,FALSE)</f>
        <v>46190</v>
      </c>
      <c r="C151">
        <f>VLOOKUP($A151,ScionOutput!$A$3:$BL$215,22,FALSE)</f>
        <v>12</v>
      </c>
      <c r="D151" t="str">
        <f>VLOOKUP($A151,ScionOutput!$A$3:$BL$215,23,FALSE)</f>
        <v>HOU</v>
      </c>
      <c r="E151">
        <f>VLOOKUP($A151,ScionOutput!$A$3:$BL$215,6,FALSE)</f>
        <v>10</v>
      </c>
      <c r="F151" t="str">
        <f>VLOOKUP($A151,ScionOutput!$A$3:$BL$215,7,FALSE)</f>
        <v>DET</v>
      </c>
      <c r="G151">
        <f>VLOOKUP($A151,ScionOutput!$A$3:$BL$215,26,FALSE)</f>
        <v>-103</v>
      </c>
      <c r="H151">
        <f>VLOOKUP($A151,ScionOutput!$A$3:$BL$215,10,FALSE)</f>
        <v>-107</v>
      </c>
      <c r="I151" t="str">
        <f>VLOOKUP($A151,ScionOutput!$A$3:$BL$215,58,FALSE)</f>
        <v>No Play</v>
      </c>
      <c r="J151">
        <f>VLOOKUP($A151,ScionOutput!$A$3:$BL$215,59,FALSE)</f>
        <v>0</v>
      </c>
      <c r="K151">
        <f>VLOOKUP($A151,ScionOutput!$A$3:$BL$215,62,FALSE)</f>
        <v>0</v>
      </c>
      <c r="L151">
        <f>VLOOKUP($A151,ScionOutput!$A$3:$BL$215,63,FALSE)</f>
        <v>0</v>
      </c>
      <c r="M151" t="b">
        <f t="shared" si="17"/>
        <v>0</v>
      </c>
      <c r="N151">
        <f>VLOOKUP($A151,Outcomes!$B$3:$I$209,8,FALSE)</f>
        <v>6</v>
      </c>
      <c r="O151">
        <f t="shared" si="18"/>
        <v>1</v>
      </c>
      <c r="P151">
        <f>VLOOKUP($A151,Outcomes!$B$3:$I$209,5,FALSE)</f>
        <v>4</v>
      </c>
      <c r="Q151">
        <f>VLOOKUP($A151,Outcomes!$B$3:$I$209,6,FALSE)</f>
        <v>2</v>
      </c>
      <c r="R151">
        <f>VLOOKUP($A151,Outcomes!$B$3:$I$209,7,FALSE)</f>
        <v>-2</v>
      </c>
      <c r="S151" t="str">
        <f t="shared" si="19"/>
        <v>HomDog</v>
      </c>
      <c r="T151" t="str">
        <f t="shared" si="20"/>
        <v/>
      </c>
      <c r="U151" t="str">
        <f t="shared" si="16"/>
        <v/>
      </c>
      <c r="V151" t="str">
        <f t="shared" si="21"/>
        <v/>
      </c>
      <c r="W151" t="str">
        <f t="shared" si="22"/>
        <v/>
      </c>
      <c r="X151" s="2" t="str">
        <f t="shared" si="23"/>
        <v/>
      </c>
      <c r="Y151" t="str">
        <f>VLOOKUP($A151,ScionOutput!$A$3:$BL$215,64,FALSE)</f>
        <v xml:space="preserve">824178. VF plays are disallowed. No play due to strategy constraints. </v>
      </c>
    </row>
    <row r="152" spans="1:25" x14ac:dyDescent="0.2">
      <c r="A152">
        <v>823940</v>
      </c>
      <c r="B152" s="3">
        <f>VLOOKUP($A152,ScionOutput!$A$3:$BL$215,3,FALSE)</f>
        <v>46190</v>
      </c>
      <c r="C152">
        <f>VLOOKUP($A152,ScionOutput!$A$3:$BL$215,22,FALSE)</f>
        <v>14</v>
      </c>
      <c r="D152" t="str">
        <f>VLOOKUP($A152,ScionOutput!$A$3:$BL$215,23,FALSE)</f>
        <v>LA</v>
      </c>
      <c r="E152">
        <f>VLOOKUP($A152,ScionOutput!$A$3:$BL$215,6,FALSE)</f>
        <v>27</v>
      </c>
      <c r="F152" t="str">
        <f>VLOOKUP($A152,ScionOutput!$A$3:$BL$215,7,FALSE)</f>
        <v>TB</v>
      </c>
      <c r="G152">
        <f>VLOOKUP($A152,ScionOutput!$A$3:$BL$215,26,FALSE)</f>
        <v>-181</v>
      </c>
      <c r="H152">
        <f>VLOOKUP($A152,ScionOutput!$A$3:$BL$215,10,FALSE)</f>
        <v>162</v>
      </c>
      <c r="I152" t="str">
        <f>VLOOKUP($A152,ScionOutput!$A$3:$BL$215,58,FALSE)</f>
        <v>No Play</v>
      </c>
      <c r="J152">
        <f>VLOOKUP($A152,ScionOutput!$A$3:$BL$215,59,FALSE)</f>
        <v>0</v>
      </c>
      <c r="K152">
        <f>VLOOKUP($A152,ScionOutput!$A$3:$BL$215,62,FALSE)</f>
        <v>0</v>
      </c>
      <c r="L152">
        <f>VLOOKUP($A152,ScionOutput!$A$3:$BL$215,63,FALSE)</f>
        <v>0</v>
      </c>
      <c r="M152" t="b">
        <f t="shared" si="17"/>
        <v>0</v>
      </c>
      <c r="N152">
        <f>VLOOKUP($A152,Outcomes!$B$3:$I$209,8,FALSE)</f>
        <v>9</v>
      </c>
      <c r="O152">
        <f t="shared" si="18"/>
        <v>1</v>
      </c>
      <c r="P152">
        <f>VLOOKUP($A152,Outcomes!$B$3:$I$209,5,FALSE)</f>
        <v>5</v>
      </c>
      <c r="Q152">
        <f>VLOOKUP($A152,Outcomes!$B$3:$I$209,6,FALSE)</f>
        <v>4</v>
      </c>
      <c r="R152">
        <f>VLOOKUP($A152,Outcomes!$B$3:$I$209,7,FALSE)</f>
        <v>-1</v>
      </c>
      <c r="S152" t="str">
        <f t="shared" si="19"/>
        <v>HomFave</v>
      </c>
      <c r="T152" t="str">
        <f t="shared" si="20"/>
        <v/>
      </c>
      <c r="U152" t="str">
        <f t="shared" si="16"/>
        <v/>
      </c>
      <c r="V152" t="str">
        <f t="shared" si="21"/>
        <v/>
      </c>
      <c r="W152" t="str">
        <f t="shared" si="22"/>
        <v/>
      </c>
      <c r="X152" s="2" t="str">
        <f t="shared" si="23"/>
        <v/>
      </c>
      <c r="Y152" t="str">
        <f>VLOOKUP($A152,ScionOutput!$A$3:$BL$215,64,FALSE)</f>
        <v xml:space="preserve">823940. LineStatEns is NoPlay as bookie-line outside range. StatOnlyEns is NoPlay as bookie-line outside range. No play due to strategy constraints. </v>
      </c>
    </row>
    <row r="153" spans="1:25" x14ac:dyDescent="0.2">
      <c r="A153">
        <v>822721</v>
      </c>
      <c r="B153" s="3">
        <f>VLOOKUP($A153,ScionOutput!$A$3:$BL$215,3,FALSE)</f>
        <v>46190</v>
      </c>
      <c r="C153">
        <f>VLOOKUP($A153,ScionOutput!$A$3:$BL$215,22,FALSE)</f>
        <v>16</v>
      </c>
      <c r="D153" t="str">
        <f>VLOOKUP($A153,ScionOutput!$A$3:$BL$215,23,FALSE)</f>
        <v>WAS</v>
      </c>
      <c r="E153">
        <f>VLOOKUP($A153,ScionOutput!$A$3:$BL$215,6,FALSE)</f>
        <v>13</v>
      </c>
      <c r="F153" t="str">
        <f>VLOOKUP($A153,ScionOutput!$A$3:$BL$215,7,FALSE)</f>
        <v>KC</v>
      </c>
      <c r="G153">
        <f>VLOOKUP($A153,ScionOutput!$A$3:$BL$215,26,FALSE)</f>
        <v>-125</v>
      </c>
      <c r="H153">
        <f>VLOOKUP($A153,ScionOutput!$A$3:$BL$215,10,FALSE)</f>
        <v>113</v>
      </c>
      <c r="I153" t="str">
        <f>VLOOKUP($A153,ScionOutput!$A$3:$BL$215,58,FALSE)</f>
        <v>No Play</v>
      </c>
      <c r="J153">
        <f>VLOOKUP($A153,ScionOutput!$A$3:$BL$215,59,FALSE)</f>
        <v>0</v>
      </c>
      <c r="K153">
        <f>VLOOKUP($A153,ScionOutput!$A$3:$BL$215,62,FALSE)</f>
        <v>0</v>
      </c>
      <c r="L153">
        <f>VLOOKUP($A153,ScionOutput!$A$3:$BL$215,63,FALSE)</f>
        <v>0</v>
      </c>
      <c r="M153" t="b">
        <f t="shared" si="17"/>
        <v>0</v>
      </c>
      <c r="N153">
        <f>VLOOKUP($A153,Outcomes!$B$3:$I$209,8,FALSE)</f>
        <v>8</v>
      </c>
      <c r="O153">
        <f t="shared" si="18"/>
        <v>-1</v>
      </c>
      <c r="P153">
        <f>VLOOKUP($A153,Outcomes!$B$3:$I$209,5,FALSE)</f>
        <v>2</v>
      </c>
      <c r="Q153">
        <f>VLOOKUP($A153,Outcomes!$B$3:$I$209,6,FALSE)</f>
        <v>6</v>
      </c>
      <c r="R153">
        <f>VLOOKUP($A153,Outcomes!$B$3:$I$209,7,FALSE)</f>
        <v>4</v>
      </c>
      <c r="S153" t="str">
        <f t="shared" si="19"/>
        <v>VisDog</v>
      </c>
      <c r="T153" t="str">
        <f t="shared" si="20"/>
        <v/>
      </c>
      <c r="U153" t="str">
        <f t="shared" si="16"/>
        <v/>
      </c>
      <c r="V153" t="str">
        <f t="shared" si="21"/>
        <v/>
      </c>
      <c r="W153" t="str">
        <f t="shared" si="22"/>
        <v/>
      </c>
      <c r="X153" s="2" t="str">
        <f t="shared" si="23"/>
        <v/>
      </c>
      <c r="Y153" t="str">
        <f>VLOOKUP($A153,ScionOutput!$A$3:$BL$215,64,FALSE)</f>
        <v xml:space="preserve">822721. LineStatEns probability points gap does not exceed threshold (no edge found)! StatOnlyEns probability points gap does not exceed threshold (no edge found)! No play due to strategy constraints. </v>
      </c>
    </row>
    <row r="154" spans="1:25" x14ac:dyDescent="0.2">
      <c r="A154">
        <v>823774</v>
      </c>
      <c r="B154" s="3">
        <f>VLOOKUP($A154,ScionOutput!$A$3:$BL$215,3,FALSE)</f>
        <v>46190</v>
      </c>
      <c r="C154">
        <f>VLOOKUP($A154,ScionOutput!$A$3:$BL$215,22,FALSE)</f>
        <v>17</v>
      </c>
      <c r="D154" t="str">
        <f>VLOOKUP($A154,ScionOutput!$A$3:$BL$215,23,FALSE)</f>
        <v>MLW</v>
      </c>
      <c r="E154">
        <f>VLOOKUP($A154,ScionOutput!$A$3:$BL$215,6,FALSE)</f>
        <v>7</v>
      </c>
      <c r="F154" t="str">
        <f>VLOOKUP($A154,ScionOutput!$A$3:$BL$215,7,FALSE)</f>
        <v>CLE</v>
      </c>
      <c r="G154">
        <f>VLOOKUP($A154,ScionOutput!$A$3:$BL$215,26,FALSE)</f>
        <v>-118</v>
      </c>
      <c r="H154">
        <f>VLOOKUP($A154,ScionOutput!$A$3:$BL$215,10,FALSE)</f>
        <v>107</v>
      </c>
      <c r="I154" t="str">
        <f>VLOOKUP($A154,ScionOutput!$A$3:$BL$215,58,FALSE)</f>
        <v>No Play</v>
      </c>
      <c r="J154">
        <f>VLOOKUP($A154,ScionOutput!$A$3:$BL$215,59,FALSE)</f>
        <v>0</v>
      </c>
      <c r="K154">
        <f>VLOOKUP($A154,ScionOutput!$A$3:$BL$215,62,FALSE)</f>
        <v>0</v>
      </c>
      <c r="L154">
        <f>VLOOKUP($A154,ScionOutput!$A$3:$BL$215,63,FALSE)</f>
        <v>0</v>
      </c>
      <c r="M154" t="b">
        <f t="shared" si="17"/>
        <v>0</v>
      </c>
      <c r="N154">
        <f>VLOOKUP($A154,Outcomes!$B$3:$I$209,8,FALSE)</f>
        <v>13</v>
      </c>
      <c r="O154">
        <f t="shared" si="18"/>
        <v>1</v>
      </c>
      <c r="P154">
        <f>VLOOKUP($A154,Outcomes!$B$3:$I$209,5,FALSE)</f>
        <v>9</v>
      </c>
      <c r="Q154">
        <f>VLOOKUP($A154,Outcomes!$B$3:$I$209,6,FALSE)</f>
        <v>4</v>
      </c>
      <c r="R154">
        <f>VLOOKUP($A154,Outcomes!$B$3:$I$209,7,FALSE)</f>
        <v>-5</v>
      </c>
      <c r="S154" t="str">
        <f t="shared" si="19"/>
        <v>HomFave</v>
      </c>
      <c r="T154" t="str">
        <f t="shared" si="20"/>
        <v/>
      </c>
      <c r="U154" t="str">
        <f t="shared" si="16"/>
        <v/>
      </c>
      <c r="V154" t="str">
        <f t="shared" si="21"/>
        <v/>
      </c>
      <c r="W154" t="str">
        <f t="shared" si="22"/>
        <v/>
      </c>
      <c r="X154" s="2" t="str">
        <f t="shared" si="23"/>
        <v/>
      </c>
      <c r="Y154" t="str">
        <f>VLOOKUP($A154,ScionOutput!$A$3:$BL$215,64,FALSE)</f>
        <v xml:space="preserve">823774. LineStatEns probability points gap does not exceed threshold (no edge found)! No play due to strategy constraints. </v>
      </c>
    </row>
    <row r="155" spans="1:25" x14ac:dyDescent="0.2">
      <c r="A155">
        <v>823536</v>
      </c>
      <c r="B155" s="3">
        <f>VLOOKUP($A155,ScionOutput!$A$3:$BL$215,3,FALSE)</f>
        <v>46190</v>
      </c>
      <c r="C155">
        <f>VLOOKUP($A155,ScionOutput!$A$3:$BL$215,22,FALSE)</f>
        <v>19</v>
      </c>
      <c r="D155" t="str">
        <f>VLOOKUP($A155,ScionOutput!$A$3:$BL$215,23,FALSE)</f>
        <v>NYY</v>
      </c>
      <c r="E155">
        <f>VLOOKUP($A155,ScionOutput!$A$3:$BL$215,6,FALSE)</f>
        <v>9</v>
      </c>
      <c r="F155" t="str">
        <f>VLOOKUP($A155,ScionOutput!$A$3:$BL$215,7,FALSE)</f>
        <v>CWS</v>
      </c>
      <c r="G155">
        <f>VLOOKUP($A155,ScionOutput!$A$3:$BL$215,26,FALSE)</f>
        <v>-170</v>
      </c>
      <c r="H155">
        <f>VLOOKUP($A155,ScionOutput!$A$3:$BL$215,10,FALSE)</f>
        <v>153</v>
      </c>
      <c r="I155" t="str">
        <f>VLOOKUP($A155,ScionOutput!$A$3:$BL$215,58,FALSE)</f>
        <v>No Play</v>
      </c>
      <c r="J155">
        <f>VLOOKUP($A155,ScionOutput!$A$3:$BL$215,59,FALSE)</f>
        <v>0</v>
      </c>
      <c r="K155">
        <f>VLOOKUP($A155,ScionOutput!$A$3:$BL$215,62,FALSE)</f>
        <v>0</v>
      </c>
      <c r="L155">
        <f>VLOOKUP($A155,ScionOutput!$A$3:$BL$215,63,FALSE)</f>
        <v>0</v>
      </c>
      <c r="M155" t="b">
        <f t="shared" si="17"/>
        <v>0</v>
      </c>
      <c r="N155">
        <f>VLOOKUP($A155,Outcomes!$B$3:$I$209,8,FALSE)</f>
        <v>15</v>
      </c>
      <c r="O155">
        <f t="shared" si="18"/>
        <v>1</v>
      </c>
      <c r="P155">
        <f>VLOOKUP($A155,Outcomes!$B$3:$I$209,5,FALSE)</f>
        <v>10</v>
      </c>
      <c r="Q155">
        <f>VLOOKUP($A155,Outcomes!$B$3:$I$209,6,FALSE)</f>
        <v>5</v>
      </c>
      <c r="R155">
        <f>VLOOKUP($A155,Outcomes!$B$3:$I$209,7,FALSE)</f>
        <v>-5</v>
      </c>
      <c r="S155" t="str">
        <f t="shared" si="19"/>
        <v>HomFave</v>
      </c>
      <c r="T155" t="str">
        <f t="shared" si="20"/>
        <v/>
      </c>
      <c r="U155" t="str">
        <f t="shared" si="16"/>
        <v/>
      </c>
      <c r="V155" t="str">
        <f t="shared" si="21"/>
        <v/>
      </c>
      <c r="W155" t="str">
        <f t="shared" si="22"/>
        <v/>
      </c>
      <c r="X155" s="2" t="str">
        <f t="shared" si="23"/>
        <v/>
      </c>
      <c r="Y155" t="str">
        <f>VLOOKUP($A155,ScionOutput!$A$3:$BL$215,64,FALSE)</f>
        <v xml:space="preserve">823536. LineStatEns is NoPlay as bookie-line outside range. StatOnlyEns is NoPlay as bookie-line outside range. No play due to strategy constraints. </v>
      </c>
    </row>
    <row r="156" spans="1:25" x14ac:dyDescent="0.2">
      <c r="A156">
        <v>824992</v>
      </c>
      <c r="B156" s="3">
        <f>VLOOKUP($A156,ScionOutput!$A$3:$BL$215,3,FALSE)</f>
        <v>46190</v>
      </c>
      <c r="C156">
        <f>VLOOKUP($A156,ScionOutput!$A$3:$BL$215,22,FALSE)</f>
        <v>20</v>
      </c>
      <c r="D156" t="str">
        <f>VLOOKUP($A156,ScionOutput!$A$3:$BL$215,23,FALSE)</f>
        <v>OAK</v>
      </c>
      <c r="E156">
        <f>VLOOKUP($A156,ScionOutput!$A$3:$BL$215,6,FALSE)</f>
        <v>22</v>
      </c>
      <c r="F156" t="str">
        <f>VLOOKUP($A156,ScionOutput!$A$3:$BL$215,7,FALSE)</f>
        <v>PIT</v>
      </c>
      <c r="G156">
        <f>VLOOKUP($A156,ScionOutput!$A$3:$BL$215,26,FALSE)</f>
        <v>104</v>
      </c>
      <c r="H156">
        <f>VLOOKUP($A156,ScionOutput!$A$3:$BL$215,10,FALSE)</f>
        <v>-114</v>
      </c>
      <c r="I156" t="str">
        <f>VLOOKUP($A156,ScionOutput!$A$3:$BL$215,58,FALSE)</f>
        <v>HomDog</v>
      </c>
      <c r="J156">
        <f>VLOOKUP($A156,ScionOutput!$A$3:$BL$215,59,FALSE)</f>
        <v>2.078E-2</v>
      </c>
      <c r="K156">
        <f>VLOOKUP($A156,ScionOutput!$A$3:$BL$215,62,FALSE)</f>
        <v>5</v>
      </c>
      <c r="L156">
        <f>VLOOKUP($A156,ScionOutput!$A$3:$BL$215,63,FALSE)</f>
        <v>0.53</v>
      </c>
      <c r="M156" t="b">
        <f t="shared" si="17"/>
        <v>1</v>
      </c>
      <c r="N156">
        <f>VLOOKUP($A156,Outcomes!$B$3:$I$209,8,FALSE)</f>
        <v>16</v>
      </c>
      <c r="O156">
        <f t="shared" si="18"/>
        <v>-1</v>
      </c>
      <c r="P156">
        <f>VLOOKUP($A156,Outcomes!$B$3:$I$209,5,FALSE)</f>
        <v>4</v>
      </c>
      <c r="Q156">
        <f>VLOOKUP($A156,Outcomes!$B$3:$I$209,6,FALSE)</f>
        <v>12</v>
      </c>
      <c r="R156">
        <f>VLOOKUP($A156,Outcomes!$B$3:$I$209,7,FALSE)</f>
        <v>8</v>
      </c>
      <c r="S156" t="str">
        <f t="shared" si="19"/>
        <v>VisFave</v>
      </c>
      <c r="T156" t="str">
        <f t="shared" si="20"/>
        <v/>
      </c>
      <c r="U156" t="str">
        <f t="shared" si="16"/>
        <v/>
      </c>
      <c r="V156" t="str">
        <f t="shared" si="21"/>
        <v/>
      </c>
      <c r="W156" t="str">
        <f t="shared" si="22"/>
        <v/>
      </c>
      <c r="X156" s="2" t="str">
        <f t="shared" si="23"/>
        <v/>
      </c>
      <c r="Y156" t="str">
        <f>VLOOKUP($A156,ScionOutput!$A$3:$BL$215,64,FALSE)</f>
        <v xml:space="preserve">824992. Play determined by LineStatEns and StatOnlyEns agreement. </v>
      </c>
    </row>
    <row r="157" spans="1:25" x14ac:dyDescent="0.2">
      <c r="A157">
        <v>823450</v>
      </c>
      <c r="B157" s="3">
        <f>VLOOKUP($A157,ScionOutput!$A$3:$BL$215,3,FALSE)</f>
        <v>46190</v>
      </c>
      <c r="C157">
        <f>VLOOKUP($A157,ScionOutput!$A$3:$BL$215,22,FALSE)</f>
        <v>21</v>
      </c>
      <c r="D157" t="str">
        <f>VLOOKUP($A157,ScionOutput!$A$3:$BL$215,23,FALSE)</f>
        <v>PHI</v>
      </c>
      <c r="E157">
        <f>VLOOKUP($A157,ScionOutput!$A$3:$BL$215,6,FALSE)</f>
        <v>11</v>
      </c>
      <c r="F157" t="str">
        <f>VLOOKUP($A157,ScionOutput!$A$3:$BL$215,7,FALSE)</f>
        <v>FLO</v>
      </c>
      <c r="G157">
        <f>VLOOKUP($A157,ScionOutput!$A$3:$BL$215,26,FALSE)</f>
        <v>-111</v>
      </c>
      <c r="H157">
        <f>VLOOKUP($A157,ScionOutput!$A$3:$BL$215,10,FALSE)</f>
        <v>100</v>
      </c>
      <c r="I157" t="str">
        <f>VLOOKUP($A157,ScionOutput!$A$3:$BL$215,58,FALSE)</f>
        <v>HomFave</v>
      </c>
      <c r="J157">
        <f>VLOOKUP($A157,ScionOutput!$A$3:$BL$215,59,FALSE)</f>
        <v>7.3000000000000001E-3</v>
      </c>
      <c r="K157">
        <f>VLOOKUP($A157,ScionOutput!$A$3:$BL$215,62,FALSE)</f>
        <v>3</v>
      </c>
      <c r="L157">
        <f>VLOOKUP($A157,ScionOutput!$A$3:$BL$215,63,FALSE)</f>
        <v>0.93</v>
      </c>
      <c r="M157" t="b">
        <f t="shared" si="17"/>
        <v>0</v>
      </c>
      <c r="N157">
        <f>VLOOKUP($A157,Outcomes!$B$3:$I$209,8,FALSE)</f>
        <v>16</v>
      </c>
      <c r="O157">
        <f t="shared" si="18"/>
        <v>-1</v>
      </c>
      <c r="P157">
        <f>VLOOKUP($A157,Outcomes!$B$3:$I$209,5,FALSE)</f>
        <v>4</v>
      </c>
      <c r="Q157">
        <f>VLOOKUP($A157,Outcomes!$B$3:$I$209,6,FALSE)</f>
        <v>12</v>
      </c>
      <c r="R157">
        <f>VLOOKUP($A157,Outcomes!$B$3:$I$209,7,FALSE)</f>
        <v>8</v>
      </c>
      <c r="S157" t="str">
        <f t="shared" si="19"/>
        <v>VisDog</v>
      </c>
      <c r="T157" t="str">
        <f t="shared" si="20"/>
        <v/>
      </c>
      <c r="U157" t="str">
        <f t="shared" si="16"/>
        <v/>
      </c>
      <c r="V157" t="str">
        <f t="shared" si="21"/>
        <v/>
      </c>
      <c r="W157" t="str">
        <f t="shared" si="22"/>
        <v/>
      </c>
      <c r="X157" s="2" t="str">
        <f t="shared" si="23"/>
        <v/>
      </c>
      <c r="Y157" t="str">
        <f>VLOOKUP($A157,ScionOutput!$A$3:$BL$215,64,FALSE)</f>
        <v xml:space="preserve">823450. StatOnlyEns probability points gap does not exceed threshold (no edge found)! Play determined by LineStatEns only. </v>
      </c>
    </row>
    <row r="158" spans="1:25" x14ac:dyDescent="0.2">
      <c r="A158">
        <v>823127</v>
      </c>
      <c r="B158" s="3">
        <f>VLOOKUP($A158,ScionOutput!$A$3:$BL$215,3,FALSE)</f>
        <v>46190</v>
      </c>
      <c r="C158">
        <f>VLOOKUP($A158,ScionOutput!$A$3:$BL$215,22,FALSE)</f>
        <v>24</v>
      </c>
      <c r="D158" t="str">
        <f>VLOOKUP($A158,ScionOutput!$A$3:$BL$215,23,FALSE)</f>
        <v>SEA</v>
      </c>
      <c r="E158">
        <f>VLOOKUP($A158,ScionOutput!$A$3:$BL$215,6,FALSE)</f>
        <v>2</v>
      </c>
      <c r="F158" t="str">
        <f>VLOOKUP($A158,ScionOutput!$A$3:$BL$215,7,FALSE)</f>
        <v>BAL</v>
      </c>
      <c r="G158">
        <f>VLOOKUP($A158,ScionOutput!$A$3:$BL$215,26,FALSE)</f>
        <v>-139</v>
      </c>
      <c r="H158">
        <f>VLOOKUP($A158,ScionOutput!$A$3:$BL$215,10,FALSE)</f>
        <v>126</v>
      </c>
      <c r="I158" t="str">
        <f>VLOOKUP($A158,ScionOutput!$A$3:$BL$215,58,FALSE)</f>
        <v>No Play</v>
      </c>
      <c r="J158">
        <f>VLOOKUP($A158,ScionOutput!$A$3:$BL$215,59,FALSE)</f>
        <v>0</v>
      </c>
      <c r="K158">
        <f>VLOOKUP($A158,ScionOutput!$A$3:$BL$215,62,FALSE)</f>
        <v>0</v>
      </c>
      <c r="L158">
        <f>VLOOKUP($A158,ScionOutput!$A$3:$BL$215,63,FALSE)</f>
        <v>0</v>
      </c>
      <c r="M158" t="b">
        <f t="shared" si="17"/>
        <v>0</v>
      </c>
      <c r="N158">
        <f>VLOOKUP($A158,Outcomes!$B$3:$I$209,8,FALSE)</f>
        <v>8</v>
      </c>
      <c r="O158">
        <f t="shared" si="18"/>
        <v>-1</v>
      </c>
      <c r="P158">
        <f>VLOOKUP($A158,Outcomes!$B$3:$I$209,5,FALSE)</f>
        <v>3</v>
      </c>
      <c r="Q158">
        <f>VLOOKUP($A158,Outcomes!$B$3:$I$209,6,FALSE)</f>
        <v>5</v>
      </c>
      <c r="R158">
        <f>VLOOKUP($A158,Outcomes!$B$3:$I$209,7,FALSE)</f>
        <v>2</v>
      </c>
      <c r="S158" t="str">
        <f t="shared" si="19"/>
        <v>VisDog</v>
      </c>
      <c r="T158" t="str">
        <f t="shared" si="20"/>
        <v/>
      </c>
      <c r="U158" t="str">
        <f t="shared" si="16"/>
        <v/>
      </c>
      <c r="V158" t="str">
        <f t="shared" si="21"/>
        <v/>
      </c>
      <c r="W158" t="str">
        <f t="shared" si="22"/>
        <v/>
      </c>
      <c r="X158" s="2" t="str">
        <f t="shared" si="23"/>
        <v/>
      </c>
      <c r="Y158" t="str">
        <f>VLOOKUP($A158,ScionOutput!$A$3:$BL$215,64,FALSE)</f>
        <v xml:space="preserve">823127. LineStatEns probability points gap does not exceed threshold (no edge found)! StatOnlyEns probability points gap does not exceed threshold (no edge found)! No play due to strategy constraints. </v>
      </c>
    </row>
    <row r="159" spans="1:25" x14ac:dyDescent="0.2">
      <c r="A159">
        <v>823044</v>
      </c>
      <c r="B159" s="3">
        <f>VLOOKUP($A159,ScionOutput!$A$3:$BL$215,3,FALSE)</f>
        <v>46190</v>
      </c>
      <c r="C159">
        <f>VLOOKUP($A159,ScionOutput!$A$3:$BL$215,22,FALSE)</f>
        <v>26</v>
      </c>
      <c r="D159" t="str">
        <f>VLOOKUP($A159,ScionOutput!$A$3:$BL$215,23,FALSE)</f>
        <v>STL</v>
      </c>
      <c r="E159">
        <f>VLOOKUP($A159,ScionOutput!$A$3:$BL$215,6,FALSE)</f>
        <v>23</v>
      </c>
      <c r="F159" t="str">
        <f>VLOOKUP($A159,ScionOutput!$A$3:$BL$215,7,FALSE)</f>
        <v>SD</v>
      </c>
      <c r="G159">
        <f>VLOOKUP($A159,ScionOutput!$A$3:$BL$215,26,FALSE)</f>
        <v>-124</v>
      </c>
      <c r="H159">
        <f>VLOOKUP($A159,ScionOutput!$A$3:$BL$215,10,FALSE)</f>
        <v>112</v>
      </c>
      <c r="I159" t="str">
        <f>VLOOKUP($A159,ScionOutput!$A$3:$BL$215,58,FALSE)</f>
        <v>No Play</v>
      </c>
      <c r="J159">
        <f>VLOOKUP($A159,ScionOutput!$A$3:$BL$215,59,FALSE)</f>
        <v>0</v>
      </c>
      <c r="K159">
        <f>VLOOKUP($A159,ScionOutput!$A$3:$BL$215,62,FALSE)</f>
        <v>0</v>
      </c>
      <c r="L159">
        <f>VLOOKUP($A159,ScionOutput!$A$3:$BL$215,63,FALSE)</f>
        <v>0</v>
      </c>
      <c r="M159" t="b">
        <f t="shared" si="17"/>
        <v>0</v>
      </c>
      <c r="N159">
        <f>VLOOKUP($A159,Outcomes!$B$3:$I$209,8,FALSE)</f>
        <v>7</v>
      </c>
      <c r="O159">
        <f t="shared" si="18"/>
        <v>-1</v>
      </c>
      <c r="P159">
        <f>VLOOKUP($A159,Outcomes!$B$3:$I$209,5,FALSE)</f>
        <v>1</v>
      </c>
      <c r="Q159">
        <f>VLOOKUP($A159,Outcomes!$B$3:$I$209,6,FALSE)</f>
        <v>6</v>
      </c>
      <c r="R159">
        <f>VLOOKUP($A159,Outcomes!$B$3:$I$209,7,FALSE)</f>
        <v>5</v>
      </c>
      <c r="S159" t="str">
        <f t="shared" si="19"/>
        <v>VisDog</v>
      </c>
      <c r="T159" t="str">
        <f t="shared" si="20"/>
        <v/>
      </c>
      <c r="U159" t="str">
        <f t="shared" si="16"/>
        <v/>
      </c>
      <c r="V159" t="str">
        <f t="shared" si="21"/>
        <v/>
      </c>
      <c r="W159" t="str">
        <f t="shared" si="22"/>
        <v/>
      </c>
      <c r="X159" s="2" t="str">
        <f t="shared" si="23"/>
        <v/>
      </c>
      <c r="Y159" t="str">
        <f>VLOOKUP($A159,ScionOutput!$A$3:$BL$215,64,FALSE)</f>
        <v xml:space="preserve">823044. LineStatEns probability points gap does not exceed threshold (no edge found)! StatOnlyEns probability points gap does not exceed threshold (no edge found)! No play due to strategy constraints. </v>
      </c>
    </row>
    <row r="160" spans="1:25" x14ac:dyDescent="0.2">
      <c r="A160">
        <v>824748</v>
      </c>
      <c r="B160" s="3">
        <f>VLOOKUP($A160,ScionOutput!$A$3:$BL$215,3,FALSE)</f>
        <v>46191</v>
      </c>
      <c r="C160">
        <f>VLOOKUP($A160,ScionOutput!$A$3:$BL$215,22,FALSE)</f>
        <v>3</v>
      </c>
      <c r="D160" t="str">
        <f>VLOOKUP($A160,ScionOutput!$A$3:$BL$215,23,FALSE)</f>
        <v>BOS</v>
      </c>
      <c r="E160">
        <f>VLOOKUP($A160,ScionOutput!$A$3:$BL$215,6,FALSE)</f>
        <v>29</v>
      </c>
      <c r="F160" t="str">
        <f>VLOOKUP($A160,ScionOutput!$A$3:$BL$215,7,FALSE)</f>
        <v>TOR</v>
      </c>
      <c r="G160">
        <f>VLOOKUP($A160,ScionOutput!$A$3:$BL$215,26,FALSE)</f>
        <v>-131</v>
      </c>
      <c r="H160">
        <f>VLOOKUP($A160,ScionOutput!$A$3:$BL$215,10,FALSE)</f>
        <v>120</v>
      </c>
      <c r="I160" t="str">
        <f>VLOOKUP($A160,ScionOutput!$A$3:$BL$215,58,FALSE)</f>
        <v>No Play</v>
      </c>
      <c r="J160">
        <f>VLOOKUP($A160,ScionOutput!$A$3:$BL$215,59,FALSE)</f>
        <v>0</v>
      </c>
      <c r="K160">
        <f>VLOOKUP($A160,ScionOutput!$A$3:$BL$215,62,FALSE)</f>
        <v>0</v>
      </c>
      <c r="L160">
        <f>VLOOKUP($A160,ScionOutput!$A$3:$BL$215,63,FALSE)</f>
        <v>0</v>
      </c>
      <c r="M160" t="b">
        <f t="shared" si="17"/>
        <v>0</v>
      </c>
      <c r="N160">
        <f>VLOOKUP($A160,Outcomes!$B$3:$I$209,8,FALSE)</f>
        <v>7</v>
      </c>
      <c r="O160">
        <f t="shared" si="18"/>
        <v>-1</v>
      </c>
      <c r="P160">
        <f>VLOOKUP($A160,Outcomes!$B$3:$I$209,5,FALSE)</f>
        <v>3</v>
      </c>
      <c r="Q160">
        <f>VLOOKUP($A160,Outcomes!$B$3:$I$209,6,FALSE)</f>
        <v>4</v>
      </c>
      <c r="R160">
        <f>VLOOKUP($A160,Outcomes!$B$3:$I$209,7,FALSE)</f>
        <v>1</v>
      </c>
      <c r="S160" t="str">
        <f t="shared" si="19"/>
        <v>VisDog</v>
      </c>
      <c r="T160" t="str">
        <f t="shared" si="20"/>
        <v/>
      </c>
      <c r="U160" t="str">
        <f t="shared" si="16"/>
        <v/>
      </c>
      <c r="V160" t="str">
        <f t="shared" si="21"/>
        <v/>
      </c>
      <c r="W160" t="str">
        <f t="shared" si="22"/>
        <v/>
      </c>
      <c r="X160" s="2" t="str">
        <f t="shared" si="23"/>
        <v/>
      </c>
      <c r="Y160" t="str">
        <f>VLOOKUP($A160,ScionOutput!$A$3:$BL$215,64,FALSE)</f>
        <v xml:space="preserve">824748. LineStatEns probability points gap does not exceed threshold (no edge found)! No play due to strategy constraints. </v>
      </c>
    </row>
    <row r="161" spans="1:25" x14ac:dyDescent="0.2">
      <c r="A161">
        <v>824098</v>
      </c>
      <c r="B161" s="3">
        <f>VLOOKUP($A161,ScionOutput!$A$3:$BL$215,3,FALSE)</f>
        <v>46191</v>
      </c>
      <c r="C161">
        <f>VLOOKUP($A161,ScionOutput!$A$3:$BL$215,22,FALSE)</f>
        <v>13</v>
      </c>
      <c r="D161" t="str">
        <f>VLOOKUP($A161,ScionOutput!$A$3:$BL$215,23,FALSE)</f>
        <v>KC</v>
      </c>
      <c r="E161">
        <f>VLOOKUP($A161,ScionOutput!$A$3:$BL$215,6,FALSE)</f>
        <v>26</v>
      </c>
      <c r="F161" t="str">
        <f>VLOOKUP($A161,ScionOutput!$A$3:$BL$215,7,FALSE)</f>
        <v>STL</v>
      </c>
      <c r="G161">
        <f>VLOOKUP($A161,ScionOutput!$A$3:$BL$215,26,FALSE)</f>
        <v>-111</v>
      </c>
      <c r="H161">
        <f>VLOOKUP($A161,ScionOutput!$A$3:$BL$215,10,FALSE)</f>
        <v>103</v>
      </c>
      <c r="I161" t="str">
        <f>VLOOKUP($A161,ScionOutput!$A$3:$BL$215,58,FALSE)</f>
        <v>No Play</v>
      </c>
      <c r="J161">
        <f>VLOOKUP($A161,ScionOutput!$A$3:$BL$215,59,FALSE)</f>
        <v>0</v>
      </c>
      <c r="K161">
        <f>VLOOKUP($A161,ScionOutput!$A$3:$BL$215,62,FALSE)</f>
        <v>0</v>
      </c>
      <c r="L161">
        <f>VLOOKUP($A161,ScionOutput!$A$3:$BL$215,63,FALSE)</f>
        <v>0</v>
      </c>
      <c r="M161" t="b">
        <f t="shared" si="17"/>
        <v>0</v>
      </c>
      <c r="N161">
        <f>VLOOKUP($A161,Outcomes!$B$3:$I$209,8,FALSE)</f>
        <v>20</v>
      </c>
      <c r="O161">
        <f t="shared" si="18"/>
        <v>1</v>
      </c>
      <c r="P161">
        <f>VLOOKUP($A161,Outcomes!$B$3:$I$209,5,FALSE)</f>
        <v>14</v>
      </c>
      <c r="Q161">
        <f>VLOOKUP($A161,Outcomes!$B$3:$I$209,6,FALSE)</f>
        <v>6</v>
      </c>
      <c r="R161">
        <f>VLOOKUP($A161,Outcomes!$B$3:$I$209,7,FALSE)</f>
        <v>-8</v>
      </c>
      <c r="S161" t="str">
        <f t="shared" si="19"/>
        <v>HomFave</v>
      </c>
      <c r="T161" t="str">
        <f t="shared" si="20"/>
        <v/>
      </c>
      <c r="U161" t="str">
        <f t="shared" si="16"/>
        <v/>
      </c>
      <c r="V161" t="str">
        <f t="shared" si="21"/>
        <v/>
      </c>
      <c r="W161" t="str">
        <f t="shared" si="22"/>
        <v/>
      </c>
      <c r="X161" s="2" t="str">
        <f t="shared" si="23"/>
        <v/>
      </c>
      <c r="Y161" t="str">
        <f>VLOOKUP($A161,ScionOutput!$A$3:$BL$215,64,FALSE)</f>
        <v xml:space="preserve">824098. LineStatEns probability points gap does not exceed threshold (no edge found)! No play due to strategy constraints. </v>
      </c>
    </row>
    <row r="162" spans="1:25" x14ac:dyDescent="0.2">
      <c r="A162">
        <v>823772</v>
      </c>
      <c r="B162" s="3">
        <f>VLOOKUP($A162,ScionOutput!$A$3:$BL$215,3,FALSE)</f>
        <v>46191</v>
      </c>
      <c r="C162">
        <f>VLOOKUP($A162,ScionOutput!$A$3:$BL$215,22,FALSE)</f>
        <v>17</v>
      </c>
      <c r="D162" t="str">
        <f>VLOOKUP($A162,ScionOutput!$A$3:$BL$215,23,FALSE)</f>
        <v>MLW</v>
      </c>
      <c r="E162">
        <f>VLOOKUP($A162,ScionOutput!$A$3:$BL$215,6,FALSE)</f>
        <v>7</v>
      </c>
      <c r="F162" t="str">
        <f>VLOOKUP($A162,ScionOutput!$A$3:$BL$215,7,FALSE)</f>
        <v>CLE</v>
      </c>
      <c r="G162">
        <f>VLOOKUP($A162,ScionOutput!$A$3:$BL$215,26,FALSE)</f>
        <v>-138</v>
      </c>
      <c r="H162">
        <f>VLOOKUP($A162,ScionOutput!$A$3:$BL$215,10,FALSE)</f>
        <v>127</v>
      </c>
      <c r="I162" t="str">
        <f>VLOOKUP($A162,ScionOutput!$A$3:$BL$215,58,FALSE)</f>
        <v>No Play</v>
      </c>
      <c r="J162">
        <f>VLOOKUP($A162,ScionOutput!$A$3:$BL$215,59,FALSE)</f>
        <v>0</v>
      </c>
      <c r="K162">
        <f>VLOOKUP($A162,ScionOutput!$A$3:$BL$215,62,FALSE)</f>
        <v>0</v>
      </c>
      <c r="L162">
        <f>VLOOKUP($A162,ScionOutput!$A$3:$BL$215,63,FALSE)</f>
        <v>0</v>
      </c>
      <c r="M162" t="b">
        <f t="shared" si="17"/>
        <v>0</v>
      </c>
      <c r="N162">
        <f>VLOOKUP($A162,Outcomes!$B$3:$I$209,8,FALSE)</f>
        <v>6</v>
      </c>
      <c r="O162">
        <f t="shared" si="18"/>
        <v>-1</v>
      </c>
      <c r="P162">
        <f>VLOOKUP($A162,Outcomes!$B$3:$I$209,5,FALSE)</f>
        <v>2</v>
      </c>
      <c r="Q162">
        <f>VLOOKUP($A162,Outcomes!$B$3:$I$209,6,FALSE)</f>
        <v>4</v>
      </c>
      <c r="R162">
        <f>VLOOKUP($A162,Outcomes!$B$3:$I$209,7,FALSE)</f>
        <v>2</v>
      </c>
      <c r="S162" t="str">
        <f t="shared" si="19"/>
        <v>VisDog</v>
      </c>
      <c r="T162" t="str">
        <f t="shared" si="20"/>
        <v/>
      </c>
      <c r="U162" t="str">
        <f t="shared" si="16"/>
        <v/>
      </c>
      <c r="V162" t="str">
        <f t="shared" si="21"/>
        <v/>
      </c>
      <c r="W162" t="str">
        <f t="shared" si="22"/>
        <v/>
      </c>
      <c r="X162" s="2" t="str">
        <f t="shared" si="23"/>
        <v/>
      </c>
      <c r="Y162" t="str">
        <f>VLOOKUP($A162,ScionOutput!$A$3:$BL$215,64,FALSE)</f>
        <v xml:space="preserve">823772. LineStatEns probability points gap does not exceed threshold (no edge found)! StatOnlyEns probability points gap does not exceed threshold (no edge found)! No play due to strategy constraints. </v>
      </c>
    </row>
    <row r="163" spans="1:25" x14ac:dyDescent="0.2">
      <c r="A163">
        <v>823533</v>
      </c>
      <c r="B163" s="3">
        <f>VLOOKUP($A163,ScionOutput!$A$3:$BL$215,3,FALSE)</f>
        <v>46191</v>
      </c>
      <c r="C163">
        <f>VLOOKUP($A163,ScionOutput!$A$3:$BL$215,22,FALSE)</f>
        <v>19</v>
      </c>
      <c r="D163" t="str">
        <f>VLOOKUP($A163,ScionOutput!$A$3:$BL$215,23,FALSE)</f>
        <v>NYY</v>
      </c>
      <c r="E163">
        <f>VLOOKUP($A163,ScionOutput!$A$3:$BL$215,6,FALSE)</f>
        <v>9</v>
      </c>
      <c r="F163" t="str">
        <f>VLOOKUP($A163,ScionOutput!$A$3:$BL$215,7,FALSE)</f>
        <v>CWS</v>
      </c>
      <c r="G163">
        <f>VLOOKUP($A163,ScionOutput!$A$3:$BL$215,26,FALSE)</f>
        <v>-157</v>
      </c>
      <c r="H163">
        <f>VLOOKUP($A163,ScionOutput!$A$3:$BL$215,10,FALSE)</f>
        <v>144</v>
      </c>
      <c r="I163" t="str">
        <f>VLOOKUP($A163,ScionOutput!$A$3:$BL$215,58,FALSE)</f>
        <v>No Play</v>
      </c>
      <c r="J163">
        <f>VLOOKUP($A163,ScionOutput!$A$3:$BL$215,59,FALSE)</f>
        <v>0</v>
      </c>
      <c r="K163">
        <f>VLOOKUP($A163,ScionOutput!$A$3:$BL$215,62,FALSE)</f>
        <v>0</v>
      </c>
      <c r="L163">
        <f>VLOOKUP($A163,ScionOutput!$A$3:$BL$215,63,FALSE)</f>
        <v>0</v>
      </c>
      <c r="M163" t="b">
        <f t="shared" si="17"/>
        <v>0</v>
      </c>
      <c r="N163">
        <f>VLOOKUP($A163,Outcomes!$B$3:$I$209,8,FALSE)</f>
        <v>6</v>
      </c>
      <c r="O163">
        <f t="shared" si="18"/>
        <v>-1</v>
      </c>
      <c r="P163">
        <f>VLOOKUP($A163,Outcomes!$B$3:$I$209,5,FALSE)</f>
        <v>1</v>
      </c>
      <c r="Q163">
        <f>VLOOKUP($A163,Outcomes!$B$3:$I$209,6,FALSE)</f>
        <v>5</v>
      </c>
      <c r="R163">
        <f>VLOOKUP($A163,Outcomes!$B$3:$I$209,7,FALSE)</f>
        <v>4</v>
      </c>
      <c r="S163" t="str">
        <f t="shared" si="19"/>
        <v>VisDog</v>
      </c>
      <c r="T163" t="str">
        <f t="shared" si="20"/>
        <v/>
      </c>
      <c r="U163" t="str">
        <f t="shared" si="16"/>
        <v/>
      </c>
      <c r="V163" t="str">
        <f t="shared" si="21"/>
        <v/>
      </c>
      <c r="W163" t="str">
        <f t="shared" si="22"/>
        <v/>
      </c>
      <c r="X163" s="2" t="str">
        <f t="shared" si="23"/>
        <v/>
      </c>
      <c r="Y163" t="str">
        <f>VLOOKUP($A163,ScionOutput!$A$3:$BL$215,64,FALSE)</f>
        <v xml:space="preserve">823533. LineStatEns is NoPlay as bookie-line outside range. StatOnlyEns is NoPlay as bookie-line outside range. No play due to strategy constraints. </v>
      </c>
    </row>
    <row r="164" spans="1:25" x14ac:dyDescent="0.2">
      <c r="A164">
        <v>824989</v>
      </c>
      <c r="B164" s="3">
        <f>VLOOKUP($A164,ScionOutput!$A$3:$BL$215,3,FALSE)</f>
        <v>46191</v>
      </c>
      <c r="C164">
        <f>VLOOKUP($A164,ScionOutput!$A$3:$BL$215,22,FALSE)</f>
        <v>20</v>
      </c>
      <c r="D164" t="str">
        <f>VLOOKUP($A164,ScionOutput!$A$3:$BL$215,23,FALSE)</f>
        <v>OAK</v>
      </c>
      <c r="E164">
        <f>VLOOKUP($A164,ScionOutput!$A$3:$BL$215,6,FALSE)</f>
        <v>4</v>
      </c>
      <c r="F164" t="str">
        <f>VLOOKUP($A164,ScionOutput!$A$3:$BL$215,7,FALSE)</f>
        <v>LAA</v>
      </c>
      <c r="G164">
        <f>VLOOKUP($A164,ScionOutput!$A$3:$BL$215,26,FALSE)</f>
        <v>-133</v>
      </c>
      <c r="H164">
        <f>VLOOKUP($A164,ScionOutput!$A$3:$BL$215,10,FALSE)</f>
        <v>123</v>
      </c>
      <c r="I164" t="str">
        <f>VLOOKUP($A164,ScionOutput!$A$3:$BL$215,58,FALSE)</f>
        <v>No Play</v>
      </c>
      <c r="J164">
        <f>VLOOKUP($A164,ScionOutput!$A$3:$BL$215,59,FALSE)</f>
        <v>0</v>
      </c>
      <c r="K164">
        <f>VLOOKUP($A164,ScionOutput!$A$3:$BL$215,62,FALSE)</f>
        <v>0</v>
      </c>
      <c r="L164">
        <f>VLOOKUP($A164,ScionOutput!$A$3:$BL$215,63,FALSE)</f>
        <v>0</v>
      </c>
      <c r="M164" t="b">
        <f t="shared" si="17"/>
        <v>0</v>
      </c>
      <c r="N164">
        <f>VLOOKUP($A164,Outcomes!$B$3:$I$209,8,FALSE)</f>
        <v>5</v>
      </c>
      <c r="O164">
        <f t="shared" si="18"/>
        <v>1</v>
      </c>
      <c r="P164">
        <f>VLOOKUP($A164,Outcomes!$B$3:$I$209,5,FALSE)</f>
        <v>5</v>
      </c>
      <c r="Q164">
        <f>VLOOKUP($A164,Outcomes!$B$3:$I$209,6,FALSE)</f>
        <v>0</v>
      </c>
      <c r="R164">
        <f>VLOOKUP($A164,Outcomes!$B$3:$I$209,7,FALSE)</f>
        <v>-5</v>
      </c>
      <c r="S164" t="str">
        <f t="shared" si="19"/>
        <v>HomFave</v>
      </c>
      <c r="T164" t="str">
        <f t="shared" si="20"/>
        <v/>
      </c>
      <c r="U164" t="str">
        <f t="shared" si="16"/>
        <v/>
      </c>
      <c r="V164" t="str">
        <f t="shared" si="21"/>
        <v/>
      </c>
      <c r="W164" t="str">
        <f t="shared" si="22"/>
        <v/>
      </c>
      <c r="X164" s="2" t="str">
        <f t="shared" si="23"/>
        <v/>
      </c>
      <c r="Y164" t="str">
        <f>VLOOKUP($A164,ScionOutput!$A$3:$BL$215,64,FALSE)</f>
        <v xml:space="preserve">824989. LineStatEns probability points gap does not exceed threshold (no edge found)! No play due to strategy constraints. </v>
      </c>
    </row>
    <row r="165" spans="1:25" x14ac:dyDescent="0.2">
      <c r="A165">
        <v>823448</v>
      </c>
      <c r="B165" s="3">
        <f>VLOOKUP($A165,ScionOutput!$A$3:$BL$215,3,FALSE)</f>
        <v>46191</v>
      </c>
      <c r="C165">
        <f>VLOOKUP($A165,ScionOutput!$A$3:$BL$215,22,FALSE)</f>
        <v>21</v>
      </c>
      <c r="D165" t="str">
        <f>VLOOKUP($A165,ScionOutput!$A$3:$BL$215,23,FALSE)</f>
        <v>PHI</v>
      </c>
      <c r="E165">
        <f>VLOOKUP($A165,ScionOutput!$A$3:$BL$215,6,FALSE)</f>
        <v>18</v>
      </c>
      <c r="F165" t="str">
        <f>VLOOKUP($A165,ScionOutput!$A$3:$BL$215,7,FALSE)</f>
        <v>NYM</v>
      </c>
      <c r="G165">
        <f>VLOOKUP($A165,ScionOutput!$A$3:$BL$215,26,FALSE)</f>
        <v>-114</v>
      </c>
      <c r="H165">
        <f>VLOOKUP($A165,ScionOutput!$A$3:$BL$215,10,FALSE)</f>
        <v>105</v>
      </c>
      <c r="I165" t="str">
        <f>VLOOKUP($A165,ScionOutput!$A$3:$BL$215,58,FALSE)</f>
        <v>VisDog</v>
      </c>
      <c r="J165">
        <f>VLOOKUP($A165,ScionOutput!$A$3:$BL$215,59,FALSE)</f>
        <v>-4.2000000000000003E-2</v>
      </c>
      <c r="K165">
        <f>VLOOKUP($A165,ScionOutput!$A$3:$BL$215,62,FALSE)</f>
        <v>3</v>
      </c>
      <c r="L165">
        <f>VLOOKUP($A165,ScionOutput!$A$3:$BL$215,63,FALSE)</f>
        <v>0.67</v>
      </c>
      <c r="M165" t="b">
        <f t="shared" si="17"/>
        <v>0</v>
      </c>
      <c r="N165">
        <f>VLOOKUP($A165,Outcomes!$B$3:$I$209,8,FALSE)</f>
        <v>10</v>
      </c>
      <c r="O165">
        <f t="shared" si="18"/>
        <v>-1</v>
      </c>
      <c r="P165">
        <f>VLOOKUP($A165,Outcomes!$B$3:$I$209,5,FALSE)</f>
        <v>4</v>
      </c>
      <c r="Q165">
        <f>VLOOKUP($A165,Outcomes!$B$3:$I$209,6,FALSE)</f>
        <v>6</v>
      </c>
      <c r="R165">
        <f>VLOOKUP($A165,Outcomes!$B$3:$I$209,7,FALSE)</f>
        <v>2</v>
      </c>
      <c r="S165" t="str">
        <f t="shared" si="19"/>
        <v>VisDog</v>
      </c>
      <c r="T165" t="str">
        <f t="shared" si="20"/>
        <v/>
      </c>
      <c r="U165" t="str">
        <f t="shared" si="16"/>
        <v/>
      </c>
      <c r="V165" t="str">
        <f t="shared" si="21"/>
        <v/>
      </c>
      <c r="W165" t="str">
        <f t="shared" si="22"/>
        <v/>
      </c>
      <c r="X165" s="2" t="str">
        <f t="shared" si="23"/>
        <v/>
      </c>
      <c r="Y165" t="str">
        <f>VLOOKUP($A165,ScionOutput!$A$3:$BL$215,64,FALSE)</f>
        <v xml:space="preserve">823448. StatOnlyEns probability points gap does not exceed threshold (no edge found)! Play determined by LineStatEns only. </v>
      </c>
    </row>
    <row r="166" spans="1:25" x14ac:dyDescent="0.2">
      <c r="A166">
        <v>823125</v>
      </c>
      <c r="B166" s="3">
        <f>VLOOKUP($A166,ScionOutput!$A$3:$BL$215,3,FALSE)</f>
        <v>46191</v>
      </c>
      <c r="C166">
        <f>VLOOKUP($A166,ScionOutput!$A$3:$BL$215,22,FALSE)</f>
        <v>24</v>
      </c>
      <c r="D166" t="str">
        <f>VLOOKUP($A166,ScionOutput!$A$3:$BL$215,23,FALSE)</f>
        <v>SEA</v>
      </c>
      <c r="E166">
        <f>VLOOKUP($A166,ScionOutput!$A$3:$BL$215,6,FALSE)</f>
        <v>2</v>
      </c>
      <c r="F166" t="str">
        <f>VLOOKUP($A166,ScionOutput!$A$3:$BL$215,7,FALSE)</f>
        <v>BAL</v>
      </c>
      <c r="G166">
        <f>VLOOKUP($A166,ScionOutput!$A$3:$BL$215,26,FALSE)</f>
        <v>-133</v>
      </c>
      <c r="H166">
        <f>VLOOKUP($A166,ScionOutput!$A$3:$BL$215,10,FALSE)</f>
        <v>122</v>
      </c>
      <c r="I166" t="str">
        <f>VLOOKUP($A166,ScionOutput!$A$3:$BL$215,58,FALSE)</f>
        <v>No Play</v>
      </c>
      <c r="J166">
        <f>VLOOKUP($A166,ScionOutput!$A$3:$BL$215,59,FALSE)</f>
        <v>0</v>
      </c>
      <c r="K166">
        <f>VLOOKUP($A166,ScionOutput!$A$3:$BL$215,62,FALSE)</f>
        <v>0</v>
      </c>
      <c r="L166">
        <f>VLOOKUP($A166,ScionOutput!$A$3:$BL$215,63,FALSE)</f>
        <v>0</v>
      </c>
      <c r="M166" t="b">
        <f t="shared" si="17"/>
        <v>0</v>
      </c>
      <c r="N166">
        <f>VLOOKUP($A166,Outcomes!$B$3:$I$209,8,FALSE)</f>
        <v>3</v>
      </c>
      <c r="O166">
        <f t="shared" si="18"/>
        <v>1</v>
      </c>
      <c r="P166">
        <f>VLOOKUP($A166,Outcomes!$B$3:$I$209,5,FALSE)</f>
        <v>3</v>
      </c>
      <c r="Q166">
        <f>VLOOKUP($A166,Outcomes!$B$3:$I$209,6,FALSE)</f>
        <v>0</v>
      </c>
      <c r="R166">
        <f>VLOOKUP($A166,Outcomes!$B$3:$I$209,7,FALSE)</f>
        <v>-3</v>
      </c>
      <c r="S166" t="str">
        <f t="shared" si="19"/>
        <v>HomFave</v>
      </c>
      <c r="T166" t="str">
        <f t="shared" si="20"/>
        <v/>
      </c>
      <c r="U166" t="str">
        <f t="shared" si="16"/>
        <v/>
      </c>
      <c r="V166" t="str">
        <f t="shared" si="21"/>
        <v/>
      </c>
      <c r="W166" t="str">
        <f t="shared" si="22"/>
        <v/>
      </c>
      <c r="X166" s="2" t="str">
        <f t="shared" si="23"/>
        <v/>
      </c>
      <c r="Y166" t="str">
        <f>VLOOKUP($A166,ScionOutput!$A$3:$BL$215,64,FALSE)</f>
        <v xml:space="preserve">823125. LineStatEns probability points gap does not exceed threshold (no edge found)! StatOnlyEns probability points gap does not exceed threshold (no edge found)! No play due to strategy constraints. </v>
      </c>
    </row>
    <row r="167" spans="1:25" x14ac:dyDescent="0.2">
      <c r="A167">
        <v>822889</v>
      </c>
      <c r="B167" s="3">
        <f>VLOOKUP($A167,ScionOutput!$A$3:$BL$215,3,FALSE)</f>
        <v>46191</v>
      </c>
      <c r="C167">
        <f>VLOOKUP($A167,ScionOutput!$A$3:$BL$215,22,FALSE)</f>
        <v>28</v>
      </c>
      <c r="D167" t="str">
        <f>VLOOKUP($A167,ScionOutput!$A$3:$BL$215,23,FALSE)</f>
        <v>TEX</v>
      </c>
      <c r="E167">
        <f>VLOOKUP($A167,ScionOutput!$A$3:$BL$215,6,FALSE)</f>
        <v>15</v>
      </c>
      <c r="F167" t="str">
        <f>VLOOKUP($A167,ScionOutput!$A$3:$BL$215,7,FALSE)</f>
        <v>MIN</v>
      </c>
      <c r="G167">
        <f>VLOOKUP($A167,ScionOutput!$A$3:$BL$215,26,FALSE)</f>
        <v>108</v>
      </c>
      <c r="H167">
        <f>VLOOKUP($A167,ScionOutput!$A$3:$BL$215,10,FALSE)</f>
        <v>-117</v>
      </c>
      <c r="I167" t="str">
        <f>VLOOKUP($A167,ScionOutput!$A$3:$BL$215,58,FALSE)</f>
        <v>No Play</v>
      </c>
      <c r="J167">
        <f>VLOOKUP($A167,ScionOutput!$A$3:$BL$215,59,FALSE)</f>
        <v>0</v>
      </c>
      <c r="K167">
        <f>VLOOKUP($A167,ScionOutput!$A$3:$BL$215,62,FALSE)</f>
        <v>0</v>
      </c>
      <c r="L167">
        <f>VLOOKUP($A167,ScionOutput!$A$3:$BL$215,63,FALSE)</f>
        <v>0</v>
      </c>
      <c r="M167" t="b">
        <f t="shared" si="17"/>
        <v>0</v>
      </c>
      <c r="N167">
        <f>VLOOKUP($A167,Outcomes!$B$3:$I$209,8,FALSE)</f>
        <v>12</v>
      </c>
      <c r="O167">
        <f t="shared" si="18"/>
        <v>-1</v>
      </c>
      <c r="P167">
        <f>VLOOKUP($A167,Outcomes!$B$3:$I$209,5,FALSE)</f>
        <v>3</v>
      </c>
      <c r="Q167">
        <f>VLOOKUP($A167,Outcomes!$B$3:$I$209,6,FALSE)</f>
        <v>9</v>
      </c>
      <c r="R167">
        <f>VLOOKUP($A167,Outcomes!$B$3:$I$209,7,FALSE)</f>
        <v>6</v>
      </c>
      <c r="S167" t="str">
        <f t="shared" si="19"/>
        <v>VisFave</v>
      </c>
      <c r="T167" t="str">
        <f t="shared" si="20"/>
        <v/>
      </c>
      <c r="U167" t="str">
        <f t="shared" si="16"/>
        <v/>
      </c>
      <c r="V167" t="str">
        <f t="shared" si="21"/>
        <v/>
      </c>
      <c r="W167" t="str">
        <f t="shared" si="22"/>
        <v/>
      </c>
      <c r="X167" s="2" t="str">
        <f t="shared" si="23"/>
        <v/>
      </c>
      <c r="Y167" t="str">
        <f>VLOOKUP($A167,ScionOutput!$A$3:$BL$215,64,FALSE)</f>
        <v xml:space="preserve">822889. VF plays are disallowed. No play due to strategy constraints. </v>
      </c>
    </row>
    <row r="168" spans="1:25" x14ac:dyDescent="0.2">
      <c r="A168">
        <v>824910</v>
      </c>
      <c r="B168" s="3">
        <f>VLOOKUP($A168,ScionOutput!$A$3:$BL$215,3,FALSE)</f>
        <v>46192</v>
      </c>
      <c r="C168">
        <f>VLOOKUP($A168,ScionOutput!$A$3:$BL$215,22,FALSE)</f>
        <v>0</v>
      </c>
      <c r="D168" t="str">
        <f>VLOOKUP($A168,ScionOutput!$A$3:$BL$215,23,FALSE)</f>
        <v>ATL</v>
      </c>
      <c r="E168">
        <f>VLOOKUP($A168,ScionOutput!$A$3:$BL$215,6,FALSE)</f>
        <v>17</v>
      </c>
      <c r="F168" t="str">
        <f>VLOOKUP($A168,ScionOutput!$A$3:$BL$215,7,FALSE)</f>
        <v>MLW</v>
      </c>
      <c r="G168">
        <f>VLOOKUP($A168,ScionOutput!$A$3:$BL$215,26,FALSE)</f>
        <v>143</v>
      </c>
      <c r="H168">
        <f>VLOOKUP($A168,ScionOutput!$A$3:$BL$215,10,FALSE)</f>
        <v>-156</v>
      </c>
      <c r="I168" t="str">
        <f>VLOOKUP($A168,ScionOutput!$A$3:$BL$215,58,FALSE)</f>
        <v>No Play</v>
      </c>
      <c r="J168">
        <f>VLOOKUP($A168,ScionOutput!$A$3:$BL$215,59,FALSE)</f>
        <v>0</v>
      </c>
      <c r="K168">
        <f>VLOOKUP($A168,ScionOutput!$A$3:$BL$215,62,FALSE)</f>
        <v>0</v>
      </c>
      <c r="L168">
        <f>VLOOKUP($A168,ScionOutput!$A$3:$BL$215,63,FALSE)</f>
        <v>0</v>
      </c>
      <c r="M168" t="b">
        <f t="shared" si="17"/>
        <v>0</v>
      </c>
      <c r="N168">
        <f>VLOOKUP($A168,Outcomes!$B$3:$I$209,8,FALSE)</f>
        <v>5</v>
      </c>
      <c r="O168">
        <f t="shared" si="18"/>
        <v>1</v>
      </c>
      <c r="P168">
        <f>VLOOKUP($A168,Outcomes!$B$3:$I$209,5,FALSE)</f>
        <v>3</v>
      </c>
      <c r="Q168">
        <f>VLOOKUP($A168,Outcomes!$B$3:$I$209,6,FALSE)</f>
        <v>2</v>
      </c>
      <c r="R168">
        <f>VLOOKUP($A168,Outcomes!$B$3:$I$209,7,FALSE)</f>
        <v>-1</v>
      </c>
      <c r="S168" t="str">
        <f t="shared" si="19"/>
        <v>HomDog</v>
      </c>
      <c r="T168" t="str">
        <f t="shared" si="20"/>
        <v/>
      </c>
      <c r="U168" t="str">
        <f t="shared" si="16"/>
        <v/>
      </c>
      <c r="V168" t="str">
        <f t="shared" si="21"/>
        <v/>
      </c>
      <c r="W168" t="str">
        <f t="shared" si="22"/>
        <v/>
      </c>
      <c r="X168" s="2" t="str">
        <f t="shared" si="23"/>
        <v/>
      </c>
      <c r="Y168" t="str">
        <f>VLOOKUP($A168,ScionOutput!$A$3:$BL$215,64,FALSE)</f>
        <v xml:space="preserve">824910. VF plays are disallowed. No play due to strategy constraints. </v>
      </c>
    </row>
    <row r="169" spans="1:25" x14ac:dyDescent="0.2">
      <c r="A169">
        <v>825069</v>
      </c>
      <c r="B169" s="3">
        <f>VLOOKUP($A169,ScionOutput!$A$3:$BL$215,3,FALSE)</f>
        <v>46192</v>
      </c>
      <c r="C169">
        <f>VLOOKUP($A169,ScionOutput!$A$3:$BL$215,22,FALSE)</f>
        <v>1</v>
      </c>
      <c r="D169" t="str">
        <f>VLOOKUP($A169,ScionOutput!$A$3:$BL$215,23,FALSE)</f>
        <v>ARZ</v>
      </c>
      <c r="E169">
        <f>VLOOKUP($A169,ScionOutput!$A$3:$BL$215,6,FALSE)</f>
        <v>15</v>
      </c>
      <c r="F169" t="str">
        <f>VLOOKUP($A169,ScionOutput!$A$3:$BL$215,7,FALSE)</f>
        <v>MIN</v>
      </c>
      <c r="G169">
        <f>VLOOKUP($A169,ScionOutput!$A$3:$BL$215,26,FALSE)</f>
        <v>-165</v>
      </c>
      <c r="H169">
        <f>VLOOKUP($A169,ScionOutput!$A$3:$BL$215,10,FALSE)</f>
        <v>152</v>
      </c>
      <c r="I169" t="str">
        <f>VLOOKUP($A169,ScionOutput!$A$3:$BL$215,58,FALSE)</f>
        <v>No Play</v>
      </c>
      <c r="J169">
        <f>VLOOKUP($A169,ScionOutput!$A$3:$BL$215,59,FALSE)</f>
        <v>0</v>
      </c>
      <c r="K169">
        <f>VLOOKUP($A169,ScionOutput!$A$3:$BL$215,62,FALSE)</f>
        <v>0</v>
      </c>
      <c r="L169">
        <f>VLOOKUP($A169,ScionOutput!$A$3:$BL$215,63,FALSE)</f>
        <v>0</v>
      </c>
      <c r="M169" t="b">
        <f t="shared" si="17"/>
        <v>0</v>
      </c>
      <c r="N169">
        <f>VLOOKUP($A169,Outcomes!$B$3:$I$209,8,FALSE)</f>
        <v>14</v>
      </c>
      <c r="O169">
        <f t="shared" si="18"/>
        <v>1</v>
      </c>
      <c r="P169">
        <f>VLOOKUP($A169,Outcomes!$B$3:$I$209,5,FALSE)</f>
        <v>9</v>
      </c>
      <c r="Q169">
        <f>VLOOKUP($A169,Outcomes!$B$3:$I$209,6,FALSE)</f>
        <v>5</v>
      </c>
      <c r="R169">
        <f>VLOOKUP($A169,Outcomes!$B$3:$I$209,7,FALSE)</f>
        <v>-4</v>
      </c>
      <c r="S169" t="str">
        <f t="shared" si="19"/>
        <v>HomFave</v>
      </c>
      <c r="T169" t="str">
        <f t="shared" si="20"/>
        <v/>
      </c>
      <c r="U169" t="str">
        <f t="shared" si="16"/>
        <v/>
      </c>
      <c r="V169" t="str">
        <f t="shared" si="21"/>
        <v/>
      </c>
      <c r="W169" t="str">
        <f t="shared" si="22"/>
        <v/>
      </c>
      <c r="X169" s="2" t="str">
        <f t="shared" si="23"/>
        <v/>
      </c>
      <c r="Y169" t="str">
        <f>VLOOKUP($A169,ScionOutput!$A$3:$BL$215,64,FALSE)</f>
        <v xml:space="preserve">825069. LineStatEns is NoPlay as bookie-line outside range. StatOnlyEns is NoPlay as bookie-line outside range. No play due to strategy constraints. </v>
      </c>
    </row>
    <row r="170" spans="1:25" x14ac:dyDescent="0.2">
      <c r="A170">
        <v>824663</v>
      </c>
      <c r="B170" s="3">
        <f>VLOOKUP($A170,ScionOutput!$A$3:$BL$215,3,FALSE)</f>
        <v>46192</v>
      </c>
      <c r="C170">
        <f>VLOOKUP($A170,ScionOutput!$A$3:$BL$215,22,FALSE)</f>
        <v>5</v>
      </c>
      <c r="D170" t="str">
        <f>VLOOKUP($A170,ScionOutput!$A$3:$BL$215,23,FALSE)</f>
        <v>CHC</v>
      </c>
      <c r="E170">
        <f>VLOOKUP($A170,ScionOutput!$A$3:$BL$215,6,FALSE)</f>
        <v>29</v>
      </c>
      <c r="F170" t="str">
        <f>VLOOKUP($A170,ScionOutput!$A$3:$BL$215,7,FALSE)</f>
        <v>TOR</v>
      </c>
      <c r="G170">
        <f>VLOOKUP($A170,ScionOutput!$A$3:$BL$215,26,FALSE)</f>
        <v>-120</v>
      </c>
      <c r="H170">
        <f>VLOOKUP($A170,ScionOutput!$A$3:$BL$215,10,FALSE)</f>
        <v>111</v>
      </c>
      <c r="I170" t="str">
        <f>VLOOKUP($A170,ScionOutput!$A$3:$BL$215,58,FALSE)</f>
        <v>No Play</v>
      </c>
      <c r="J170">
        <f>VLOOKUP($A170,ScionOutput!$A$3:$BL$215,59,FALSE)</f>
        <v>0</v>
      </c>
      <c r="K170">
        <f>VLOOKUP($A170,ScionOutput!$A$3:$BL$215,62,FALSE)</f>
        <v>0</v>
      </c>
      <c r="L170">
        <f>VLOOKUP($A170,ScionOutput!$A$3:$BL$215,63,FALSE)</f>
        <v>0</v>
      </c>
      <c r="M170" t="b">
        <f t="shared" si="17"/>
        <v>0</v>
      </c>
      <c r="N170">
        <f>VLOOKUP($A170,Outcomes!$B$3:$I$209,8,FALSE)</f>
        <v>18</v>
      </c>
      <c r="O170">
        <f t="shared" si="18"/>
        <v>1</v>
      </c>
      <c r="P170">
        <f>VLOOKUP($A170,Outcomes!$B$3:$I$209,5,FALSE)</f>
        <v>16</v>
      </c>
      <c r="Q170">
        <f>VLOOKUP($A170,Outcomes!$B$3:$I$209,6,FALSE)</f>
        <v>2</v>
      </c>
      <c r="R170">
        <f>VLOOKUP($A170,Outcomes!$B$3:$I$209,7,FALSE)</f>
        <v>-14</v>
      </c>
      <c r="S170" t="str">
        <f t="shared" si="19"/>
        <v>HomFave</v>
      </c>
      <c r="T170" t="str">
        <f t="shared" si="20"/>
        <v/>
      </c>
      <c r="U170" t="str">
        <f t="shared" si="16"/>
        <v/>
      </c>
      <c r="V170" t="str">
        <f t="shared" si="21"/>
        <v/>
      </c>
      <c r="W170" t="str">
        <f t="shared" si="22"/>
        <v/>
      </c>
      <c r="X170" s="2" t="str">
        <f t="shared" si="23"/>
        <v/>
      </c>
      <c r="Y170" t="str">
        <f>VLOOKUP($A170,ScionOutput!$A$3:$BL$215,64,FALSE)</f>
        <v xml:space="preserve">824663. LineStatEns probability points gap does not exceed threshold (no edge found)! StatOnlyEns probability points gap does not exceed threshold (no edge found)! No play due to strategy constraints. </v>
      </c>
    </row>
    <row r="171" spans="1:25" x14ac:dyDescent="0.2">
      <c r="A171">
        <v>824345</v>
      </c>
      <c r="B171" s="3">
        <f>VLOOKUP($A171,ScionOutput!$A$3:$BL$215,3,FALSE)</f>
        <v>46192</v>
      </c>
      <c r="C171">
        <f>VLOOKUP($A171,ScionOutput!$A$3:$BL$215,22,FALSE)</f>
        <v>8</v>
      </c>
      <c r="D171" t="str">
        <f>VLOOKUP($A171,ScionOutput!$A$3:$BL$215,23,FALSE)</f>
        <v>COL</v>
      </c>
      <c r="E171">
        <f>VLOOKUP($A171,ScionOutput!$A$3:$BL$215,6,FALSE)</f>
        <v>22</v>
      </c>
      <c r="F171" t="str">
        <f>VLOOKUP($A171,ScionOutput!$A$3:$BL$215,7,FALSE)</f>
        <v>PIT</v>
      </c>
      <c r="G171">
        <f>VLOOKUP($A171,ScionOutput!$A$3:$BL$215,26,FALSE)</f>
        <v>122</v>
      </c>
      <c r="H171">
        <f>VLOOKUP($A171,ScionOutput!$A$3:$BL$215,10,FALSE)</f>
        <v>-132</v>
      </c>
      <c r="I171" t="str">
        <f>VLOOKUP($A171,ScionOutput!$A$3:$BL$215,58,FALSE)</f>
        <v>No Play</v>
      </c>
      <c r="J171">
        <f>VLOOKUP($A171,ScionOutput!$A$3:$BL$215,59,FALSE)</f>
        <v>0</v>
      </c>
      <c r="K171">
        <f>VLOOKUP($A171,ScionOutput!$A$3:$BL$215,62,FALSE)</f>
        <v>0</v>
      </c>
      <c r="L171">
        <f>VLOOKUP($A171,ScionOutput!$A$3:$BL$215,63,FALSE)</f>
        <v>0</v>
      </c>
      <c r="M171" t="b">
        <f t="shared" si="17"/>
        <v>0</v>
      </c>
      <c r="N171">
        <f>VLOOKUP($A171,Outcomes!$B$3:$I$209,8,FALSE)</f>
        <v>7</v>
      </c>
      <c r="O171">
        <f t="shared" si="18"/>
        <v>1</v>
      </c>
      <c r="P171">
        <f>VLOOKUP($A171,Outcomes!$B$3:$I$209,5,FALSE)</f>
        <v>4</v>
      </c>
      <c r="Q171">
        <f>VLOOKUP($A171,Outcomes!$B$3:$I$209,6,FALSE)</f>
        <v>3</v>
      </c>
      <c r="R171">
        <f>VLOOKUP($A171,Outcomes!$B$3:$I$209,7,FALSE)</f>
        <v>-1</v>
      </c>
      <c r="S171" t="str">
        <f t="shared" si="19"/>
        <v>HomDog</v>
      </c>
      <c r="T171" t="str">
        <f t="shared" si="20"/>
        <v/>
      </c>
      <c r="U171" t="str">
        <f t="shared" si="16"/>
        <v/>
      </c>
      <c r="V171" t="str">
        <f t="shared" si="21"/>
        <v/>
      </c>
      <c r="W171" t="str">
        <f t="shared" si="22"/>
        <v/>
      </c>
      <c r="X171" s="2" t="str">
        <f t="shared" si="23"/>
        <v/>
      </c>
      <c r="Y171" t="str">
        <f>VLOOKUP($A171,ScionOutput!$A$3:$BL$215,64,FALSE)</f>
        <v xml:space="preserve">824345. VF plays are disallowed. No play due to strategy constraints. </v>
      </c>
    </row>
    <row r="172" spans="1:25" x14ac:dyDescent="0.2">
      <c r="A172">
        <v>824264</v>
      </c>
      <c r="B172" s="3">
        <f>VLOOKUP($A172,ScionOutput!$A$3:$BL$215,3,FALSE)</f>
        <v>46192</v>
      </c>
      <c r="C172">
        <f>VLOOKUP($A172,ScionOutput!$A$3:$BL$215,22,FALSE)</f>
        <v>10</v>
      </c>
      <c r="D172" t="str">
        <f>VLOOKUP($A172,ScionOutput!$A$3:$BL$215,23,FALSE)</f>
        <v>DET</v>
      </c>
      <c r="E172">
        <f>VLOOKUP($A172,ScionOutput!$A$3:$BL$215,6,FALSE)</f>
        <v>9</v>
      </c>
      <c r="F172" t="str">
        <f>VLOOKUP($A172,ScionOutput!$A$3:$BL$215,7,FALSE)</f>
        <v>CWS</v>
      </c>
      <c r="G172">
        <f>VLOOKUP($A172,ScionOutput!$A$3:$BL$215,26,FALSE)</f>
        <v>-182</v>
      </c>
      <c r="H172">
        <f>VLOOKUP($A172,ScionOutput!$A$3:$BL$215,10,FALSE)</f>
        <v>166</v>
      </c>
      <c r="I172" t="str">
        <f>VLOOKUP($A172,ScionOutput!$A$3:$BL$215,58,FALSE)</f>
        <v>No Play</v>
      </c>
      <c r="J172">
        <f>VLOOKUP($A172,ScionOutput!$A$3:$BL$215,59,FALSE)</f>
        <v>0</v>
      </c>
      <c r="K172">
        <f>VLOOKUP($A172,ScionOutput!$A$3:$BL$215,62,FALSE)</f>
        <v>0</v>
      </c>
      <c r="L172">
        <f>VLOOKUP($A172,ScionOutput!$A$3:$BL$215,63,FALSE)</f>
        <v>0</v>
      </c>
      <c r="M172" t="b">
        <f t="shared" si="17"/>
        <v>0</v>
      </c>
      <c r="N172">
        <f>VLOOKUP($A172,Outcomes!$B$3:$I$209,8,FALSE)</f>
        <v>7</v>
      </c>
      <c r="O172">
        <f t="shared" si="18"/>
        <v>1</v>
      </c>
      <c r="P172">
        <f>VLOOKUP($A172,Outcomes!$B$3:$I$209,5,FALSE)</f>
        <v>4</v>
      </c>
      <c r="Q172">
        <f>VLOOKUP($A172,Outcomes!$B$3:$I$209,6,FALSE)</f>
        <v>3</v>
      </c>
      <c r="R172">
        <f>VLOOKUP($A172,Outcomes!$B$3:$I$209,7,FALSE)</f>
        <v>-1</v>
      </c>
      <c r="S172" t="str">
        <f t="shared" si="19"/>
        <v>HomFave</v>
      </c>
      <c r="T172" t="str">
        <f t="shared" si="20"/>
        <v/>
      </c>
      <c r="U172" t="str">
        <f t="shared" si="16"/>
        <v/>
      </c>
      <c r="V172" t="str">
        <f t="shared" si="21"/>
        <v/>
      </c>
      <c r="W172" t="str">
        <f t="shared" si="22"/>
        <v/>
      </c>
      <c r="X172" s="2" t="str">
        <f t="shared" si="23"/>
        <v/>
      </c>
      <c r="Y172" t="str">
        <f>VLOOKUP($A172,ScionOutput!$A$3:$BL$215,64,FALSE)</f>
        <v xml:space="preserve">824264. LineStatEns is NoPlay as bookie-line outside range. StatOnlyEns is NoPlay as bookie-line outside range. No play due to strategy constraints. </v>
      </c>
    </row>
    <row r="173" spans="1:25" x14ac:dyDescent="0.2">
      <c r="A173">
        <v>823853</v>
      </c>
      <c r="B173" s="3">
        <f>VLOOKUP($A173,ScionOutput!$A$3:$BL$215,3,FALSE)</f>
        <v>46192</v>
      </c>
      <c r="C173">
        <f>VLOOKUP($A173,ScionOutput!$A$3:$BL$215,22,FALSE)</f>
        <v>11</v>
      </c>
      <c r="D173" t="str">
        <f>VLOOKUP($A173,ScionOutput!$A$3:$BL$215,23,FALSE)</f>
        <v>FLO</v>
      </c>
      <c r="E173">
        <f>VLOOKUP($A173,ScionOutput!$A$3:$BL$215,6,FALSE)</f>
        <v>25</v>
      </c>
      <c r="F173" t="str">
        <f>VLOOKUP($A173,ScionOutput!$A$3:$BL$215,7,FALSE)</f>
        <v>SF</v>
      </c>
      <c r="G173">
        <f>VLOOKUP($A173,ScionOutput!$A$3:$BL$215,26,FALSE)</f>
        <v>-111</v>
      </c>
      <c r="H173">
        <f>VLOOKUP($A173,ScionOutput!$A$3:$BL$215,10,FALSE)</f>
        <v>103</v>
      </c>
      <c r="I173" t="str">
        <f>VLOOKUP($A173,ScionOutput!$A$3:$BL$215,58,FALSE)</f>
        <v>No Play</v>
      </c>
      <c r="J173">
        <f>VLOOKUP($A173,ScionOutput!$A$3:$BL$215,59,FALSE)</f>
        <v>0</v>
      </c>
      <c r="K173">
        <f>VLOOKUP($A173,ScionOutput!$A$3:$BL$215,62,FALSE)</f>
        <v>0</v>
      </c>
      <c r="L173">
        <f>VLOOKUP($A173,ScionOutput!$A$3:$BL$215,63,FALSE)</f>
        <v>0</v>
      </c>
      <c r="M173" t="b">
        <f t="shared" si="17"/>
        <v>0</v>
      </c>
      <c r="N173">
        <f>VLOOKUP($A173,Outcomes!$B$3:$I$209,8,FALSE)</f>
        <v>7</v>
      </c>
      <c r="O173">
        <f t="shared" si="18"/>
        <v>1</v>
      </c>
      <c r="P173">
        <f>VLOOKUP($A173,Outcomes!$B$3:$I$209,5,FALSE)</f>
        <v>4</v>
      </c>
      <c r="Q173">
        <f>VLOOKUP($A173,Outcomes!$B$3:$I$209,6,FALSE)</f>
        <v>3</v>
      </c>
      <c r="R173">
        <f>VLOOKUP($A173,Outcomes!$B$3:$I$209,7,FALSE)</f>
        <v>-1</v>
      </c>
      <c r="S173" t="str">
        <f t="shared" si="19"/>
        <v>HomFave</v>
      </c>
      <c r="T173" t="str">
        <f t="shared" si="20"/>
        <v/>
      </c>
      <c r="U173" t="str">
        <f t="shared" si="16"/>
        <v/>
      </c>
      <c r="V173" t="str">
        <f t="shared" si="21"/>
        <v/>
      </c>
      <c r="W173" t="str">
        <f t="shared" si="22"/>
        <v/>
      </c>
      <c r="X173" s="2" t="str">
        <f t="shared" si="23"/>
        <v/>
      </c>
      <c r="Y173" t="str">
        <f>VLOOKUP($A173,ScionOutput!$A$3:$BL$215,64,FALSE)</f>
        <v xml:space="preserve">823853. LineStatEns probability points gap does not exceed threshold (no edge found)! StatOnlyEns probability points gap does not exceed threshold (no edge found)! No play due to strategy constraints. </v>
      </c>
    </row>
    <row r="174" spans="1:25" x14ac:dyDescent="0.2">
      <c r="A174">
        <v>824179</v>
      </c>
      <c r="B174" s="3">
        <f>VLOOKUP($A174,ScionOutput!$A$3:$BL$215,3,FALSE)</f>
        <v>46192</v>
      </c>
      <c r="C174">
        <f>VLOOKUP($A174,ScionOutput!$A$3:$BL$215,22,FALSE)</f>
        <v>12</v>
      </c>
      <c r="D174" t="str">
        <f>VLOOKUP($A174,ScionOutput!$A$3:$BL$215,23,FALSE)</f>
        <v>HOU</v>
      </c>
      <c r="E174">
        <f>VLOOKUP($A174,ScionOutput!$A$3:$BL$215,6,FALSE)</f>
        <v>7</v>
      </c>
      <c r="F174" t="str">
        <f>VLOOKUP($A174,ScionOutput!$A$3:$BL$215,7,FALSE)</f>
        <v>CLE</v>
      </c>
      <c r="G174">
        <f>VLOOKUP($A174,ScionOutput!$A$3:$BL$215,26,FALSE)</f>
        <v>-121</v>
      </c>
      <c r="H174">
        <f>VLOOKUP($A174,ScionOutput!$A$3:$BL$215,10,FALSE)</f>
        <v>111</v>
      </c>
      <c r="I174" t="str">
        <f>VLOOKUP($A174,ScionOutput!$A$3:$BL$215,58,FALSE)</f>
        <v>VisDog</v>
      </c>
      <c r="J174">
        <f>VLOOKUP($A174,ScionOutput!$A$3:$BL$215,59,FALSE)</f>
        <v>-5.602E-2</v>
      </c>
      <c r="K174">
        <f>VLOOKUP($A174,ScionOutput!$A$3:$BL$215,62,FALSE)</f>
        <v>5</v>
      </c>
      <c r="L174">
        <f>VLOOKUP($A174,ScionOutput!$A$3:$BL$215,63,FALSE)</f>
        <v>0.67</v>
      </c>
      <c r="M174" t="b">
        <f t="shared" si="17"/>
        <v>1</v>
      </c>
      <c r="N174">
        <f>VLOOKUP($A174,Outcomes!$B$3:$I$209,8,FALSE)</f>
        <v>12</v>
      </c>
      <c r="O174">
        <f t="shared" si="18"/>
        <v>1</v>
      </c>
      <c r="P174">
        <f>VLOOKUP($A174,Outcomes!$B$3:$I$209,5,FALSE)</f>
        <v>9</v>
      </c>
      <c r="Q174">
        <f>VLOOKUP($A174,Outcomes!$B$3:$I$209,6,FALSE)</f>
        <v>3</v>
      </c>
      <c r="R174">
        <f>VLOOKUP($A174,Outcomes!$B$3:$I$209,7,FALSE)</f>
        <v>-6</v>
      </c>
      <c r="S174" t="str">
        <f t="shared" si="19"/>
        <v>HomFave</v>
      </c>
      <c r="T174" t="str">
        <f t="shared" si="20"/>
        <v/>
      </c>
      <c r="U174" t="str">
        <f t="shared" si="16"/>
        <v/>
      </c>
      <c r="V174" t="str">
        <f t="shared" si="21"/>
        <v/>
      </c>
      <c r="W174" t="str">
        <f t="shared" si="22"/>
        <v/>
      </c>
      <c r="X174" s="2" t="str">
        <f t="shared" si="23"/>
        <v/>
      </c>
      <c r="Y174" t="str">
        <f>VLOOKUP($A174,ScionOutput!$A$3:$BL$215,64,FALSE)</f>
        <v xml:space="preserve">824179. Play determined by LineStatEns and StatOnlyEns agreement. </v>
      </c>
    </row>
    <row r="175" spans="1:25" x14ac:dyDescent="0.2">
      <c r="A175">
        <v>824097</v>
      </c>
      <c r="B175" s="3">
        <f>VLOOKUP($A175,ScionOutput!$A$3:$BL$215,3,FALSE)</f>
        <v>46192</v>
      </c>
      <c r="C175">
        <f>VLOOKUP($A175,ScionOutput!$A$3:$BL$215,22,FALSE)</f>
        <v>13</v>
      </c>
      <c r="D175" t="str">
        <f>VLOOKUP($A175,ScionOutput!$A$3:$BL$215,23,FALSE)</f>
        <v>KC</v>
      </c>
      <c r="E175">
        <f>VLOOKUP($A175,ScionOutput!$A$3:$BL$215,6,FALSE)</f>
        <v>26</v>
      </c>
      <c r="F175" t="str">
        <f>VLOOKUP($A175,ScionOutput!$A$3:$BL$215,7,FALSE)</f>
        <v>STL</v>
      </c>
      <c r="G175">
        <f>VLOOKUP($A175,ScionOutput!$A$3:$BL$215,26,FALSE)</f>
        <v>105</v>
      </c>
      <c r="H175">
        <f>VLOOKUP($A175,ScionOutput!$A$3:$BL$215,10,FALSE)</f>
        <v>-114</v>
      </c>
      <c r="I175" t="str">
        <f>VLOOKUP($A175,ScionOutput!$A$3:$BL$215,58,FALSE)</f>
        <v>No Play</v>
      </c>
      <c r="J175">
        <f>VLOOKUP($A175,ScionOutput!$A$3:$BL$215,59,FALSE)</f>
        <v>0</v>
      </c>
      <c r="K175">
        <f>VLOOKUP($A175,ScionOutput!$A$3:$BL$215,62,FALSE)</f>
        <v>0</v>
      </c>
      <c r="L175">
        <f>VLOOKUP($A175,ScionOutput!$A$3:$BL$215,63,FALSE)</f>
        <v>0</v>
      </c>
      <c r="M175" t="b">
        <f t="shared" si="17"/>
        <v>0</v>
      </c>
      <c r="N175">
        <f>VLOOKUP($A175,Outcomes!$B$3:$I$209,8,FALSE)</f>
        <v>11</v>
      </c>
      <c r="O175">
        <f t="shared" si="18"/>
        <v>1</v>
      </c>
      <c r="P175">
        <f>VLOOKUP($A175,Outcomes!$B$3:$I$209,5,FALSE)</f>
        <v>6</v>
      </c>
      <c r="Q175">
        <f>VLOOKUP($A175,Outcomes!$B$3:$I$209,6,FALSE)</f>
        <v>5</v>
      </c>
      <c r="R175">
        <f>VLOOKUP($A175,Outcomes!$B$3:$I$209,7,FALSE)</f>
        <v>-1</v>
      </c>
      <c r="S175" t="str">
        <f t="shared" si="19"/>
        <v>HomDog</v>
      </c>
      <c r="T175" t="str">
        <f t="shared" si="20"/>
        <v/>
      </c>
      <c r="U175" t="str">
        <f t="shared" si="16"/>
        <v/>
      </c>
      <c r="V175" t="str">
        <f t="shared" si="21"/>
        <v/>
      </c>
      <c r="W175" t="str">
        <f t="shared" si="22"/>
        <v/>
      </c>
      <c r="X175" s="2" t="str">
        <f t="shared" si="23"/>
        <v/>
      </c>
      <c r="Y175" t="str">
        <f>VLOOKUP($A175,ScionOutput!$A$3:$BL$215,64,FALSE)</f>
        <v xml:space="preserve">824097. VF plays are disallowed. No play due to strategy constraints. </v>
      </c>
    </row>
    <row r="176" spans="1:25" x14ac:dyDescent="0.2">
      <c r="A176">
        <v>823936</v>
      </c>
      <c r="B176" s="3">
        <f>VLOOKUP($A176,ScionOutput!$A$3:$BL$215,3,FALSE)</f>
        <v>46192</v>
      </c>
      <c r="C176">
        <f>VLOOKUP($A176,ScionOutput!$A$3:$BL$215,22,FALSE)</f>
        <v>14</v>
      </c>
      <c r="D176" t="str">
        <f>VLOOKUP($A176,ScionOutput!$A$3:$BL$215,23,FALSE)</f>
        <v>LA</v>
      </c>
      <c r="E176">
        <f>VLOOKUP($A176,ScionOutput!$A$3:$BL$215,6,FALSE)</f>
        <v>2</v>
      </c>
      <c r="F176" t="str">
        <f>VLOOKUP($A176,ScionOutput!$A$3:$BL$215,7,FALSE)</f>
        <v>BAL</v>
      </c>
      <c r="G176">
        <f>VLOOKUP($A176,ScionOutput!$A$3:$BL$215,26,FALSE)</f>
        <v>-206</v>
      </c>
      <c r="H176">
        <f>VLOOKUP($A176,ScionOutput!$A$3:$BL$215,10,FALSE)</f>
        <v>187</v>
      </c>
      <c r="I176" t="str">
        <f>VLOOKUP($A176,ScionOutput!$A$3:$BL$215,58,FALSE)</f>
        <v>No Play</v>
      </c>
      <c r="J176">
        <f>VLOOKUP($A176,ScionOutput!$A$3:$BL$215,59,FALSE)</f>
        <v>0</v>
      </c>
      <c r="K176">
        <f>VLOOKUP($A176,ScionOutput!$A$3:$BL$215,62,FALSE)</f>
        <v>0</v>
      </c>
      <c r="L176">
        <f>VLOOKUP($A176,ScionOutput!$A$3:$BL$215,63,FALSE)</f>
        <v>0</v>
      </c>
      <c r="M176" t="b">
        <f t="shared" si="17"/>
        <v>0</v>
      </c>
      <c r="N176">
        <f>VLOOKUP($A176,Outcomes!$B$3:$I$209,8,FALSE)</f>
        <v>11</v>
      </c>
      <c r="O176">
        <f t="shared" si="18"/>
        <v>1</v>
      </c>
      <c r="P176">
        <f>VLOOKUP($A176,Outcomes!$B$3:$I$209,5,FALSE)</f>
        <v>6</v>
      </c>
      <c r="Q176">
        <f>VLOOKUP($A176,Outcomes!$B$3:$I$209,6,FALSE)</f>
        <v>5</v>
      </c>
      <c r="R176">
        <f>VLOOKUP($A176,Outcomes!$B$3:$I$209,7,FALSE)</f>
        <v>-1</v>
      </c>
      <c r="S176" t="str">
        <f t="shared" si="19"/>
        <v>HomFave</v>
      </c>
      <c r="T176" t="str">
        <f t="shared" si="20"/>
        <v/>
      </c>
      <c r="U176" t="str">
        <f t="shared" si="16"/>
        <v/>
      </c>
      <c r="V176" t="str">
        <f t="shared" si="21"/>
        <v/>
      </c>
      <c r="W176" t="str">
        <f t="shared" si="22"/>
        <v/>
      </c>
      <c r="X176" s="2" t="str">
        <f t="shared" si="23"/>
        <v/>
      </c>
      <c r="Y176" t="str">
        <f>VLOOKUP($A176,ScionOutput!$A$3:$BL$215,64,FALSE)</f>
        <v xml:space="preserve">823936. LineStatEns is NoPlay as bookie-line outside range. StatOnlyEns is NoPlay as bookie-line outside range. No play due to strategy constraints. </v>
      </c>
    </row>
    <row r="177" spans="1:25" x14ac:dyDescent="0.2">
      <c r="A177">
        <v>823534</v>
      </c>
      <c r="B177" s="3">
        <f>VLOOKUP($A177,ScionOutput!$A$3:$BL$215,3,FALSE)</f>
        <v>46192</v>
      </c>
      <c r="C177">
        <f>VLOOKUP($A177,ScionOutput!$A$3:$BL$215,22,FALSE)</f>
        <v>19</v>
      </c>
      <c r="D177" t="str">
        <f>VLOOKUP($A177,ScionOutput!$A$3:$BL$215,23,FALSE)</f>
        <v>NYY</v>
      </c>
      <c r="E177">
        <f>VLOOKUP($A177,ScionOutput!$A$3:$BL$215,6,FALSE)</f>
        <v>6</v>
      </c>
      <c r="F177" t="str">
        <f>VLOOKUP($A177,ScionOutput!$A$3:$BL$215,7,FALSE)</f>
        <v>CIN</v>
      </c>
      <c r="G177">
        <f>VLOOKUP($A177,ScionOutput!$A$3:$BL$215,26,FALSE)</f>
        <v>-269</v>
      </c>
      <c r="H177">
        <f>VLOOKUP($A177,ScionOutput!$A$3:$BL$215,10,FALSE)</f>
        <v>240</v>
      </c>
      <c r="I177" t="str">
        <f>VLOOKUP($A177,ScionOutput!$A$3:$BL$215,58,FALSE)</f>
        <v>No Play</v>
      </c>
      <c r="J177">
        <f>VLOOKUP($A177,ScionOutput!$A$3:$BL$215,59,FALSE)</f>
        <v>0</v>
      </c>
      <c r="K177">
        <f>VLOOKUP($A177,ScionOutput!$A$3:$BL$215,62,FALSE)</f>
        <v>0</v>
      </c>
      <c r="L177">
        <f>VLOOKUP($A177,ScionOutput!$A$3:$BL$215,63,FALSE)</f>
        <v>0</v>
      </c>
      <c r="M177" t="b">
        <f t="shared" si="17"/>
        <v>0</v>
      </c>
      <c r="N177">
        <f>VLOOKUP($A177,Outcomes!$B$3:$I$209,8,FALSE)</f>
        <v>5</v>
      </c>
      <c r="O177">
        <f t="shared" si="18"/>
        <v>1</v>
      </c>
      <c r="P177">
        <f>VLOOKUP($A177,Outcomes!$B$3:$I$209,5,FALSE)</f>
        <v>5</v>
      </c>
      <c r="Q177">
        <f>VLOOKUP($A177,Outcomes!$B$3:$I$209,6,FALSE)</f>
        <v>0</v>
      </c>
      <c r="R177">
        <f>VLOOKUP($A177,Outcomes!$B$3:$I$209,7,FALSE)</f>
        <v>-5</v>
      </c>
      <c r="S177" t="str">
        <f t="shared" si="19"/>
        <v>HomFave</v>
      </c>
      <c r="T177" t="str">
        <f t="shared" si="20"/>
        <v/>
      </c>
      <c r="U177" t="str">
        <f t="shared" si="16"/>
        <v/>
      </c>
      <c r="V177" t="str">
        <f t="shared" si="21"/>
        <v/>
      </c>
      <c r="W177" t="str">
        <f t="shared" si="22"/>
        <v/>
      </c>
      <c r="X177" s="2" t="str">
        <f t="shared" si="23"/>
        <v/>
      </c>
      <c r="Y177" t="str">
        <f>VLOOKUP($A177,ScionOutput!$A$3:$BL$215,64,FALSE)</f>
        <v xml:space="preserve">823534. LineStatEns is NoPlay as bookie-line outside range. StatOnlyEns is NoPlay as bookie-line outside range. No play due to strategy constraints. </v>
      </c>
    </row>
    <row r="178" spans="1:25" x14ac:dyDescent="0.2">
      <c r="A178">
        <v>824990</v>
      </c>
      <c r="B178" s="3">
        <f>VLOOKUP($A178,ScionOutput!$A$3:$BL$215,3,FALSE)</f>
        <v>46192</v>
      </c>
      <c r="C178">
        <f>VLOOKUP($A178,ScionOutput!$A$3:$BL$215,22,FALSE)</f>
        <v>20</v>
      </c>
      <c r="D178" t="str">
        <f>VLOOKUP($A178,ScionOutput!$A$3:$BL$215,23,FALSE)</f>
        <v>OAK</v>
      </c>
      <c r="E178">
        <f>VLOOKUP($A178,ScionOutput!$A$3:$BL$215,6,FALSE)</f>
        <v>4</v>
      </c>
      <c r="F178" t="str">
        <f>VLOOKUP($A178,ScionOutput!$A$3:$BL$215,7,FALSE)</f>
        <v>LAA</v>
      </c>
      <c r="G178">
        <f>VLOOKUP($A178,ScionOutput!$A$3:$BL$215,26,FALSE)</f>
        <v>-153</v>
      </c>
      <c r="H178">
        <f>VLOOKUP($A178,ScionOutput!$A$3:$BL$215,10,FALSE)</f>
        <v>141</v>
      </c>
      <c r="I178" t="str">
        <f>VLOOKUP($A178,ScionOutput!$A$3:$BL$215,58,FALSE)</f>
        <v>No Play</v>
      </c>
      <c r="J178">
        <f>VLOOKUP($A178,ScionOutput!$A$3:$BL$215,59,FALSE)</f>
        <v>0</v>
      </c>
      <c r="K178">
        <f>VLOOKUP($A178,ScionOutput!$A$3:$BL$215,62,FALSE)</f>
        <v>0</v>
      </c>
      <c r="L178">
        <f>VLOOKUP($A178,ScionOutput!$A$3:$BL$215,63,FALSE)</f>
        <v>0</v>
      </c>
      <c r="M178" t="b">
        <f t="shared" si="17"/>
        <v>0</v>
      </c>
      <c r="N178">
        <f>VLOOKUP($A178,Outcomes!$B$3:$I$209,8,FALSE)</f>
        <v>23</v>
      </c>
      <c r="O178">
        <f t="shared" si="18"/>
        <v>1</v>
      </c>
      <c r="P178">
        <f>VLOOKUP($A178,Outcomes!$B$3:$I$209,5,FALSE)</f>
        <v>12</v>
      </c>
      <c r="Q178">
        <f>VLOOKUP($A178,Outcomes!$B$3:$I$209,6,FALSE)</f>
        <v>11</v>
      </c>
      <c r="R178">
        <f>VLOOKUP($A178,Outcomes!$B$3:$I$209,7,FALSE)</f>
        <v>-1</v>
      </c>
      <c r="S178" t="str">
        <f t="shared" si="19"/>
        <v>HomFave</v>
      </c>
      <c r="T178" t="str">
        <f t="shared" si="20"/>
        <v/>
      </c>
      <c r="U178" t="str">
        <f t="shared" si="16"/>
        <v/>
      </c>
      <c r="V178" t="str">
        <f t="shared" si="21"/>
        <v/>
      </c>
      <c r="W178" t="str">
        <f t="shared" si="22"/>
        <v/>
      </c>
      <c r="X178" s="2" t="str">
        <f t="shared" si="23"/>
        <v/>
      </c>
      <c r="Y178" t="str">
        <f>VLOOKUP($A178,ScionOutput!$A$3:$BL$215,64,FALSE)</f>
        <v xml:space="preserve">824990. LineStatEns is NoPlay as bookie-line outside range. StatOnlyEns is NoPlay as bookie-line outside range. No play due to strategy constraints. </v>
      </c>
    </row>
    <row r="179" spans="1:25" x14ac:dyDescent="0.2">
      <c r="A179">
        <v>823124</v>
      </c>
      <c r="B179" s="3">
        <f>VLOOKUP($A179,ScionOutput!$A$3:$BL$215,3,FALSE)</f>
        <v>46192</v>
      </c>
      <c r="C179">
        <f>VLOOKUP($A179,ScionOutput!$A$3:$BL$215,22,FALSE)</f>
        <v>24</v>
      </c>
      <c r="D179" t="str">
        <f>VLOOKUP($A179,ScionOutput!$A$3:$BL$215,23,FALSE)</f>
        <v>SEA</v>
      </c>
      <c r="E179">
        <f>VLOOKUP($A179,ScionOutput!$A$3:$BL$215,6,FALSE)</f>
        <v>3</v>
      </c>
      <c r="F179" t="str">
        <f>VLOOKUP($A179,ScionOutput!$A$3:$BL$215,7,FALSE)</f>
        <v>BOS</v>
      </c>
      <c r="G179">
        <f>VLOOKUP($A179,ScionOutput!$A$3:$BL$215,26,FALSE)</f>
        <v>-108</v>
      </c>
      <c r="H179">
        <f>VLOOKUP($A179,ScionOutput!$A$3:$BL$215,10,FALSE)</f>
        <v>100</v>
      </c>
      <c r="I179" t="str">
        <f>VLOOKUP($A179,ScionOutput!$A$3:$BL$215,58,FALSE)</f>
        <v>HomFave</v>
      </c>
      <c r="J179">
        <f>VLOOKUP($A179,ScionOutput!$A$3:$BL$215,59,FALSE)</f>
        <v>3.057E-2</v>
      </c>
      <c r="K179">
        <f>VLOOKUP($A179,ScionOutput!$A$3:$BL$215,62,FALSE)</f>
        <v>5</v>
      </c>
      <c r="L179">
        <f>VLOOKUP($A179,ScionOutput!$A$3:$BL$215,63,FALSE)</f>
        <v>0.98</v>
      </c>
      <c r="M179" t="b">
        <f t="shared" si="17"/>
        <v>0</v>
      </c>
      <c r="N179">
        <f>VLOOKUP($A179,Outcomes!$B$3:$I$209,8,FALSE)</f>
        <v>8</v>
      </c>
      <c r="O179">
        <f t="shared" si="18"/>
        <v>-1</v>
      </c>
      <c r="P179">
        <f>VLOOKUP($A179,Outcomes!$B$3:$I$209,5,FALSE)</f>
        <v>2</v>
      </c>
      <c r="Q179">
        <f>VLOOKUP($A179,Outcomes!$B$3:$I$209,6,FALSE)</f>
        <v>6</v>
      </c>
      <c r="R179">
        <f>VLOOKUP($A179,Outcomes!$B$3:$I$209,7,FALSE)</f>
        <v>4</v>
      </c>
      <c r="S179" t="str">
        <f t="shared" si="19"/>
        <v>VisDog</v>
      </c>
      <c r="T179" t="str">
        <f t="shared" si="20"/>
        <v/>
      </c>
      <c r="U179" t="str">
        <f t="shared" si="16"/>
        <v/>
      </c>
      <c r="V179" t="str">
        <f t="shared" si="21"/>
        <v/>
      </c>
      <c r="W179" t="str">
        <f t="shared" si="22"/>
        <v/>
      </c>
      <c r="X179" s="2" t="str">
        <f t="shared" si="23"/>
        <v/>
      </c>
      <c r="Y179" t="str">
        <f>VLOOKUP($A179,ScionOutput!$A$3:$BL$215,64,FALSE)</f>
        <v xml:space="preserve">823124. Play determined by StatOnlyEns when it disagrees with LineStatEns. </v>
      </c>
    </row>
    <row r="180" spans="1:25" x14ac:dyDescent="0.2">
      <c r="A180">
        <v>822966</v>
      </c>
      <c r="B180" s="3">
        <f>VLOOKUP($A180,ScionOutput!$A$3:$BL$215,3,FALSE)</f>
        <v>46192</v>
      </c>
      <c r="C180">
        <f>VLOOKUP($A180,ScionOutput!$A$3:$BL$215,22,FALSE)</f>
        <v>27</v>
      </c>
      <c r="D180" t="str">
        <f>VLOOKUP($A180,ScionOutput!$A$3:$BL$215,23,FALSE)</f>
        <v>TB</v>
      </c>
      <c r="E180">
        <f>VLOOKUP($A180,ScionOutput!$A$3:$BL$215,6,FALSE)</f>
        <v>16</v>
      </c>
      <c r="F180" t="str">
        <f>VLOOKUP($A180,ScionOutput!$A$3:$BL$215,7,FALSE)</f>
        <v>WAS</v>
      </c>
      <c r="G180">
        <f>VLOOKUP($A180,ScionOutput!$A$3:$BL$215,26,FALSE)</f>
        <v>-119</v>
      </c>
      <c r="H180">
        <f>VLOOKUP($A180,ScionOutput!$A$3:$BL$215,10,FALSE)</f>
        <v>110</v>
      </c>
      <c r="I180" t="str">
        <f>VLOOKUP($A180,ScionOutput!$A$3:$BL$215,58,FALSE)</f>
        <v>No Play</v>
      </c>
      <c r="J180">
        <f>VLOOKUP($A180,ScionOutput!$A$3:$BL$215,59,FALSE)</f>
        <v>0</v>
      </c>
      <c r="K180">
        <f>VLOOKUP($A180,ScionOutput!$A$3:$BL$215,62,FALSE)</f>
        <v>0</v>
      </c>
      <c r="L180">
        <f>VLOOKUP($A180,ScionOutput!$A$3:$BL$215,63,FALSE)</f>
        <v>0</v>
      </c>
      <c r="M180" t="b">
        <f t="shared" si="17"/>
        <v>0</v>
      </c>
      <c r="N180">
        <f>VLOOKUP($A180,Outcomes!$B$3:$I$209,8,FALSE)</f>
        <v>7</v>
      </c>
      <c r="O180">
        <f t="shared" si="18"/>
        <v>1</v>
      </c>
      <c r="P180">
        <f>VLOOKUP($A180,Outcomes!$B$3:$I$209,5,FALSE)</f>
        <v>5</v>
      </c>
      <c r="Q180">
        <f>VLOOKUP($A180,Outcomes!$B$3:$I$209,6,FALSE)</f>
        <v>2</v>
      </c>
      <c r="R180">
        <f>VLOOKUP($A180,Outcomes!$B$3:$I$209,7,FALSE)</f>
        <v>-3</v>
      </c>
      <c r="S180" t="str">
        <f t="shared" si="19"/>
        <v>HomFave</v>
      </c>
      <c r="T180" t="str">
        <f t="shared" si="20"/>
        <v/>
      </c>
      <c r="U180" t="str">
        <f t="shared" si="16"/>
        <v/>
      </c>
      <c r="V180" t="str">
        <f t="shared" si="21"/>
        <v/>
      </c>
      <c r="W180" t="str">
        <f t="shared" si="22"/>
        <v/>
      </c>
      <c r="X180" s="2" t="str">
        <f t="shared" si="23"/>
        <v/>
      </c>
      <c r="Y180" t="str">
        <f>VLOOKUP($A180,ScionOutput!$A$3:$BL$215,64,FALSE)</f>
        <v xml:space="preserve">822966. LineStatEns probability points gap does not exceed threshold (no edge found)! StatOnlyEns probability points gap does not exceed threshold (no edge found)! No play due to strategy constraints. </v>
      </c>
    </row>
    <row r="181" spans="1:25" x14ac:dyDescent="0.2">
      <c r="A181">
        <v>822886</v>
      </c>
      <c r="B181" s="3">
        <f>VLOOKUP($A181,ScionOutput!$A$3:$BL$215,3,FALSE)</f>
        <v>46192</v>
      </c>
      <c r="C181">
        <f>VLOOKUP($A181,ScionOutput!$A$3:$BL$215,22,FALSE)</f>
        <v>28</v>
      </c>
      <c r="D181" t="str">
        <f>VLOOKUP($A181,ScionOutput!$A$3:$BL$215,23,FALSE)</f>
        <v>TEX</v>
      </c>
      <c r="E181">
        <f>VLOOKUP($A181,ScionOutput!$A$3:$BL$215,6,FALSE)</f>
        <v>23</v>
      </c>
      <c r="F181" t="str">
        <f>VLOOKUP($A181,ScionOutput!$A$3:$BL$215,7,FALSE)</f>
        <v>SD</v>
      </c>
      <c r="G181">
        <f>VLOOKUP($A181,ScionOutput!$A$3:$BL$215,26,FALSE)</f>
        <v>-154</v>
      </c>
      <c r="H181">
        <f>VLOOKUP($A181,ScionOutput!$A$3:$BL$215,10,FALSE)</f>
        <v>142</v>
      </c>
      <c r="I181" t="str">
        <f>VLOOKUP($A181,ScionOutput!$A$3:$BL$215,58,FALSE)</f>
        <v>No Play</v>
      </c>
      <c r="J181">
        <f>VLOOKUP($A181,ScionOutput!$A$3:$BL$215,59,FALSE)</f>
        <v>0</v>
      </c>
      <c r="K181">
        <f>VLOOKUP($A181,ScionOutput!$A$3:$BL$215,62,FALSE)</f>
        <v>0</v>
      </c>
      <c r="L181">
        <f>VLOOKUP($A181,ScionOutput!$A$3:$BL$215,63,FALSE)</f>
        <v>0</v>
      </c>
      <c r="M181" t="b">
        <f t="shared" si="17"/>
        <v>0</v>
      </c>
      <c r="N181">
        <f>VLOOKUP($A181,Outcomes!$B$3:$I$209,8,FALSE)</f>
        <v>16</v>
      </c>
      <c r="O181">
        <f t="shared" si="18"/>
        <v>1</v>
      </c>
      <c r="P181">
        <f>VLOOKUP($A181,Outcomes!$B$3:$I$209,5,FALSE)</f>
        <v>9</v>
      </c>
      <c r="Q181">
        <f>VLOOKUP($A181,Outcomes!$B$3:$I$209,6,FALSE)</f>
        <v>7</v>
      </c>
      <c r="R181">
        <f>VLOOKUP($A181,Outcomes!$B$3:$I$209,7,FALSE)</f>
        <v>-2</v>
      </c>
      <c r="S181" t="str">
        <f t="shared" si="19"/>
        <v>HomFave</v>
      </c>
      <c r="T181" t="str">
        <f t="shared" si="20"/>
        <v/>
      </c>
      <c r="U181" t="str">
        <f t="shared" si="16"/>
        <v/>
      </c>
      <c r="V181" t="str">
        <f t="shared" si="21"/>
        <v/>
      </c>
      <c r="W181" t="str">
        <f t="shared" si="22"/>
        <v/>
      </c>
      <c r="X181" s="2" t="str">
        <f t="shared" si="23"/>
        <v/>
      </c>
      <c r="Y181" t="str">
        <f>VLOOKUP($A181,ScionOutput!$A$3:$BL$215,64,FALSE)</f>
        <v xml:space="preserve">822886. LineStatEns is NoPlay as bookie-line outside range. StatOnlyEns is NoPlay as bookie-line outside range. No play due to strategy constraints. </v>
      </c>
    </row>
    <row r="182" spans="1:25" x14ac:dyDescent="0.2">
      <c r="A182">
        <v>824909</v>
      </c>
      <c r="B182" s="3">
        <f>VLOOKUP($A182,ScionOutput!$A$3:$BL$215,3,FALSE)</f>
        <v>46193</v>
      </c>
      <c r="C182">
        <f>VLOOKUP($A182,ScionOutput!$A$3:$BL$215,22,FALSE)</f>
        <v>0</v>
      </c>
      <c r="D182" t="str">
        <f>VLOOKUP($A182,ScionOutput!$A$3:$BL$215,23,FALSE)</f>
        <v>ATL</v>
      </c>
      <c r="E182">
        <f>VLOOKUP($A182,ScionOutput!$A$3:$BL$215,6,FALSE)</f>
        <v>17</v>
      </c>
      <c r="F182" t="str">
        <f>VLOOKUP($A182,ScionOutput!$A$3:$BL$215,7,FALSE)</f>
        <v>MLW</v>
      </c>
      <c r="G182">
        <f>VLOOKUP($A182,ScionOutput!$A$3:$BL$215,26,FALSE)</f>
        <v>-128</v>
      </c>
      <c r="H182">
        <f>VLOOKUP($A182,ScionOutput!$A$3:$BL$215,10,FALSE)</f>
        <v>118</v>
      </c>
      <c r="I182" t="str">
        <f>VLOOKUP($A182,ScionOutput!$A$3:$BL$215,58,FALSE)</f>
        <v>No Play</v>
      </c>
      <c r="J182">
        <f>VLOOKUP($A182,ScionOutput!$A$3:$BL$215,59,FALSE)</f>
        <v>0</v>
      </c>
      <c r="K182">
        <f>VLOOKUP($A182,ScionOutput!$A$3:$BL$215,62,FALSE)</f>
        <v>0</v>
      </c>
      <c r="L182">
        <f>VLOOKUP($A182,ScionOutput!$A$3:$BL$215,63,FALSE)</f>
        <v>0</v>
      </c>
      <c r="M182" t="b">
        <f t="shared" si="17"/>
        <v>0</v>
      </c>
      <c r="N182">
        <f>VLOOKUP($A182,Outcomes!$B$3:$I$209,8,FALSE)</f>
        <v>7</v>
      </c>
      <c r="O182">
        <f t="shared" si="18"/>
        <v>1</v>
      </c>
      <c r="P182">
        <f>VLOOKUP($A182,Outcomes!$B$3:$I$209,5,FALSE)</f>
        <v>4</v>
      </c>
      <c r="Q182">
        <f>VLOOKUP($A182,Outcomes!$B$3:$I$209,6,FALSE)</f>
        <v>3</v>
      </c>
      <c r="R182">
        <f>VLOOKUP($A182,Outcomes!$B$3:$I$209,7,FALSE)</f>
        <v>-1</v>
      </c>
      <c r="S182" t="str">
        <f t="shared" si="19"/>
        <v>HomFave</v>
      </c>
      <c r="T182" t="str">
        <f t="shared" si="20"/>
        <v/>
      </c>
      <c r="U182" t="str">
        <f t="shared" si="16"/>
        <v/>
      </c>
      <c r="V182" t="str">
        <f t="shared" si="21"/>
        <v/>
      </c>
      <c r="W182" t="str">
        <f t="shared" si="22"/>
        <v/>
      </c>
      <c r="X182" s="2" t="str">
        <f t="shared" si="23"/>
        <v/>
      </c>
      <c r="Y182" t="str">
        <f>VLOOKUP($A182,ScionOutput!$A$3:$BL$215,64,FALSE)</f>
        <v xml:space="preserve">824909. LineStatEns probability points gap does not exceed threshold (no edge found)! StatOnlyEns probability points gap does not exceed threshold (no edge found)! No play due to strategy constraints. </v>
      </c>
    </row>
    <row r="183" spans="1:25" x14ac:dyDescent="0.2">
      <c r="A183">
        <v>825068</v>
      </c>
      <c r="B183" s="3">
        <f>VLOOKUP($A183,ScionOutput!$A$3:$BL$215,3,FALSE)</f>
        <v>46193</v>
      </c>
      <c r="C183">
        <f>VLOOKUP($A183,ScionOutput!$A$3:$BL$215,22,FALSE)</f>
        <v>1</v>
      </c>
      <c r="D183" t="str">
        <f>VLOOKUP($A183,ScionOutput!$A$3:$BL$215,23,FALSE)</f>
        <v>ARZ</v>
      </c>
      <c r="E183">
        <f>VLOOKUP($A183,ScionOutput!$A$3:$BL$215,6,FALSE)</f>
        <v>15</v>
      </c>
      <c r="F183" t="str">
        <f>VLOOKUP($A183,ScionOutput!$A$3:$BL$215,7,FALSE)</f>
        <v>MIN</v>
      </c>
      <c r="G183">
        <f>VLOOKUP($A183,ScionOutput!$A$3:$BL$215,26,FALSE)</f>
        <v>-125</v>
      </c>
      <c r="H183">
        <f>VLOOKUP($A183,ScionOutput!$A$3:$BL$215,10,FALSE)</f>
        <v>115</v>
      </c>
      <c r="I183" t="str">
        <f>VLOOKUP($A183,ScionOutput!$A$3:$BL$215,58,FALSE)</f>
        <v>No Play</v>
      </c>
      <c r="J183">
        <f>VLOOKUP($A183,ScionOutput!$A$3:$BL$215,59,FALSE)</f>
        <v>0</v>
      </c>
      <c r="K183">
        <f>VLOOKUP($A183,ScionOutput!$A$3:$BL$215,62,FALSE)</f>
        <v>0</v>
      </c>
      <c r="L183">
        <f>VLOOKUP($A183,ScionOutput!$A$3:$BL$215,63,FALSE)</f>
        <v>0</v>
      </c>
      <c r="M183" t="b">
        <f t="shared" si="17"/>
        <v>0</v>
      </c>
      <c r="N183">
        <f>VLOOKUP($A183,Outcomes!$B$3:$I$209,8,FALSE)</f>
        <v>24</v>
      </c>
      <c r="O183">
        <f t="shared" si="18"/>
        <v>-1</v>
      </c>
      <c r="P183">
        <f>VLOOKUP($A183,Outcomes!$B$3:$I$209,5,FALSE)</f>
        <v>8</v>
      </c>
      <c r="Q183">
        <f>VLOOKUP($A183,Outcomes!$B$3:$I$209,6,FALSE)</f>
        <v>16</v>
      </c>
      <c r="R183">
        <f>VLOOKUP($A183,Outcomes!$B$3:$I$209,7,FALSE)</f>
        <v>8</v>
      </c>
      <c r="S183" t="str">
        <f t="shared" si="19"/>
        <v>VisDog</v>
      </c>
      <c r="T183" t="str">
        <f t="shared" si="20"/>
        <v/>
      </c>
      <c r="U183" t="str">
        <f t="shared" si="16"/>
        <v/>
      </c>
      <c r="V183" t="str">
        <f t="shared" si="21"/>
        <v/>
      </c>
      <c r="W183" t="str">
        <f t="shared" si="22"/>
        <v/>
      </c>
      <c r="X183" s="2" t="str">
        <f t="shared" si="23"/>
        <v/>
      </c>
      <c r="Y183" t="str">
        <f>VLOOKUP($A183,ScionOutput!$A$3:$BL$215,64,FALSE)</f>
        <v xml:space="preserve">825068. LineStatEns probability points gap does not exceed threshold (no edge found)! StatOnlyEns probability points gap does not exceed threshold (no edge found)! No play due to strategy constraints. </v>
      </c>
    </row>
    <row r="184" spans="1:25" x14ac:dyDescent="0.2">
      <c r="A184">
        <v>824665</v>
      </c>
      <c r="B184" s="3">
        <f>VLOOKUP($A184,ScionOutput!$A$3:$BL$215,3,FALSE)</f>
        <v>46193</v>
      </c>
      <c r="C184">
        <f>VLOOKUP($A184,ScionOutput!$A$3:$BL$215,22,FALSE)</f>
        <v>5</v>
      </c>
      <c r="D184" t="str">
        <f>VLOOKUP($A184,ScionOutput!$A$3:$BL$215,23,FALSE)</f>
        <v>CHC</v>
      </c>
      <c r="E184">
        <f>VLOOKUP($A184,ScionOutput!$A$3:$BL$215,6,FALSE)</f>
        <v>29</v>
      </c>
      <c r="F184" t="str">
        <f>VLOOKUP($A184,ScionOutput!$A$3:$BL$215,7,FALSE)</f>
        <v>TOR</v>
      </c>
      <c r="G184">
        <f>VLOOKUP($A184,ScionOutput!$A$3:$BL$215,26,FALSE)</f>
        <v>-126</v>
      </c>
      <c r="H184">
        <f>VLOOKUP($A184,ScionOutput!$A$3:$BL$215,10,FALSE)</f>
        <v>116</v>
      </c>
      <c r="I184" t="str">
        <f>VLOOKUP($A184,ScionOutput!$A$3:$BL$215,58,FALSE)</f>
        <v>HomFave</v>
      </c>
      <c r="J184">
        <f>VLOOKUP($A184,ScionOutput!$A$3:$BL$215,59,FALSE)</f>
        <v>1.367E-2</v>
      </c>
      <c r="K184">
        <f>VLOOKUP($A184,ScionOutput!$A$3:$BL$215,62,FALSE)</f>
        <v>1</v>
      </c>
      <c r="L184">
        <f>VLOOKUP($A184,ScionOutput!$A$3:$BL$215,63,FALSE)</f>
        <v>0.87</v>
      </c>
      <c r="M184" t="b">
        <f t="shared" si="17"/>
        <v>1</v>
      </c>
      <c r="N184">
        <f>VLOOKUP($A184,Outcomes!$B$3:$I$209,8,FALSE)</f>
        <v>14</v>
      </c>
      <c r="O184">
        <f t="shared" si="18"/>
        <v>-1</v>
      </c>
      <c r="P184">
        <f>VLOOKUP($A184,Outcomes!$B$3:$I$209,5,FALSE)</f>
        <v>6</v>
      </c>
      <c r="Q184">
        <f>VLOOKUP($A184,Outcomes!$B$3:$I$209,6,FALSE)</f>
        <v>8</v>
      </c>
      <c r="R184">
        <f>VLOOKUP($A184,Outcomes!$B$3:$I$209,7,FALSE)</f>
        <v>2</v>
      </c>
      <c r="S184" t="str">
        <f t="shared" si="19"/>
        <v>VisDog</v>
      </c>
      <c r="T184">
        <f t="shared" si="20"/>
        <v>0</v>
      </c>
      <c r="U184">
        <f t="shared" si="16"/>
        <v>126</v>
      </c>
      <c r="V184">
        <f t="shared" si="21"/>
        <v>0</v>
      </c>
      <c r="W184">
        <f t="shared" si="22"/>
        <v>-126</v>
      </c>
      <c r="X184" s="2">
        <f t="shared" si="23"/>
        <v>-1</v>
      </c>
      <c r="Y184" t="str">
        <f>VLOOKUP($A184,ScionOutput!$A$3:$BL$215,64,FALSE)</f>
        <v xml:space="preserve">824665. Play determined by LineStatEns and StatOnlyEns agreement. </v>
      </c>
    </row>
    <row r="185" spans="1:25" x14ac:dyDescent="0.2">
      <c r="A185">
        <v>824342</v>
      </c>
      <c r="B185" s="3">
        <f>VLOOKUP($A185,ScionOutput!$A$3:$BL$215,3,FALSE)</f>
        <v>46193</v>
      </c>
      <c r="C185">
        <f>VLOOKUP($A185,ScionOutput!$A$3:$BL$215,22,FALSE)</f>
        <v>8</v>
      </c>
      <c r="D185" t="str">
        <f>VLOOKUP($A185,ScionOutput!$A$3:$BL$215,23,FALSE)</f>
        <v>COL</v>
      </c>
      <c r="E185">
        <f>VLOOKUP($A185,ScionOutput!$A$3:$BL$215,6,FALSE)</f>
        <v>22</v>
      </c>
      <c r="F185" t="str">
        <f>VLOOKUP($A185,ScionOutput!$A$3:$BL$215,7,FALSE)</f>
        <v>PIT</v>
      </c>
      <c r="G185">
        <f>VLOOKUP($A185,ScionOutput!$A$3:$BL$215,26,FALSE)</f>
        <v>183</v>
      </c>
      <c r="H185">
        <f>VLOOKUP($A185,ScionOutput!$A$3:$BL$215,10,FALSE)</f>
        <v>-201</v>
      </c>
      <c r="I185" t="str">
        <f>VLOOKUP($A185,ScionOutput!$A$3:$BL$215,58,FALSE)</f>
        <v>No Play</v>
      </c>
      <c r="J185">
        <f>VLOOKUP($A185,ScionOutput!$A$3:$BL$215,59,FALSE)</f>
        <v>0</v>
      </c>
      <c r="K185">
        <f>VLOOKUP($A185,ScionOutput!$A$3:$BL$215,62,FALSE)</f>
        <v>0</v>
      </c>
      <c r="L185">
        <f>VLOOKUP($A185,ScionOutput!$A$3:$BL$215,63,FALSE)</f>
        <v>0</v>
      </c>
      <c r="M185" t="b">
        <f t="shared" si="17"/>
        <v>0</v>
      </c>
      <c r="N185">
        <f>VLOOKUP($A185,Outcomes!$B$3:$I$209,8,FALSE)</f>
        <v>3</v>
      </c>
      <c r="O185">
        <f t="shared" si="18"/>
        <v>1</v>
      </c>
      <c r="P185">
        <f>VLOOKUP($A185,Outcomes!$B$3:$I$209,5,FALSE)</f>
        <v>2</v>
      </c>
      <c r="Q185">
        <f>VLOOKUP($A185,Outcomes!$B$3:$I$209,6,FALSE)</f>
        <v>1</v>
      </c>
      <c r="R185">
        <f>VLOOKUP($A185,Outcomes!$B$3:$I$209,7,FALSE)</f>
        <v>-1</v>
      </c>
      <c r="S185" t="str">
        <f t="shared" si="19"/>
        <v>HomDog</v>
      </c>
      <c r="T185" t="str">
        <f t="shared" si="20"/>
        <v/>
      </c>
      <c r="U185" t="str">
        <f t="shared" si="16"/>
        <v/>
      </c>
      <c r="V185" t="str">
        <f t="shared" si="21"/>
        <v/>
      </c>
      <c r="W185" t="str">
        <f t="shared" si="22"/>
        <v/>
      </c>
      <c r="X185" s="2" t="str">
        <f t="shared" si="23"/>
        <v/>
      </c>
      <c r="Y185" t="str">
        <f>VLOOKUP($A185,ScionOutput!$A$3:$BL$215,64,FALSE)</f>
        <v xml:space="preserve">824342. LineStatEns is NoPlay as bookie-line outside range. StatOnlyEns is NoPlay as bookie-line outside range. No play due to strategy constraints. </v>
      </c>
    </row>
    <row r="186" spans="1:25" x14ac:dyDescent="0.2">
      <c r="A186">
        <v>824263</v>
      </c>
      <c r="B186" s="3">
        <f>VLOOKUP($A186,ScionOutput!$A$3:$BL$215,3,FALSE)</f>
        <v>46193</v>
      </c>
      <c r="C186">
        <f>VLOOKUP($A186,ScionOutput!$A$3:$BL$215,22,FALSE)</f>
        <v>10</v>
      </c>
      <c r="D186" t="str">
        <f>VLOOKUP($A186,ScionOutput!$A$3:$BL$215,23,FALSE)</f>
        <v>DET</v>
      </c>
      <c r="E186">
        <f>VLOOKUP($A186,ScionOutput!$A$3:$BL$215,6,FALSE)</f>
        <v>9</v>
      </c>
      <c r="F186" t="str">
        <f>VLOOKUP($A186,ScionOutput!$A$3:$BL$215,7,FALSE)</f>
        <v>CWS</v>
      </c>
      <c r="G186">
        <f>VLOOKUP($A186,ScionOutput!$A$3:$BL$215,26,FALSE)</f>
        <v>-115</v>
      </c>
      <c r="H186">
        <f>VLOOKUP($A186,ScionOutput!$A$3:$BL$215,10,FALSE)</f>
        <v>106</v>
      </c>
      <c r="I186" t="str">
        <f>VLOOKUP($A186,ScionOutput!$A$3:$BL$215,58,FALSE)</f>
        <v>No Play</v>
      </c>
      <c r="J186">
        <f>VLOOKUP($A186,ScionOutput!$A$3:$BL$215,59,FALSE)</f>
        <v>0</v>
      </c>
      <c r="K186">
        <f>VLOOKUP($A186,ScionOutput!$A$3:$BL$215,62,FALSE)</f>
        <v>0</v>
      </c>
      <c r="L186">
        <f>VLOOKUP($A186,ScionOutput!$A$3:$BL$215,63,FALSE)</f>
        <v>0</v>
      </c>
      <c r="M186" t="b">
        <f t="shared" si="17"/>
        <v>0</v>
      </c>
      <c r="N186">
        <f>VLOOKUP($A186,Outcomes!$B$3:$I$209,8,FALSE)</f>
        <v>5</v>
      </c>
      <c r="O186">
        <f t="shared" si="18"/>
        <v>1</v>
      </c>
      <c r="P186">
        <f>VLOOKUP($A186,Outcomes!$B$3:$I$209,5,FALSE)</f>
        <v>4</v>
      </c>
      <c r="Q186">
        <f>VLOOKUP($A186,Outcomes!$B$3:$I$209,6,FALSE)</f>
        <v>1</v>
      </c>
      <c r="R186">
        <f>VLOOKUP($A186,Outcomes!$B$3:$I$209,7,FALSE)</f>
        <v>-3</v>
      </c>
      <c r="S186" t="str">
        <f t="shared" si="19"/>
        <v>HomFave</v>
      </c>
      <c r="T186" t="str">
        <f t="shared" si="20"/>
        <v/>
      </c>
      <c r="U186" t="str">
        <f t="shared" si="16"/>
        <v/>
      </c>
      <c r="V186" t="str">
        <f t="shared" si="21"/>
        <v/>
      </c>
      <c r="W186" t="str">
        <f t="shared" si="22"/>
        <v/>
      </c>
      <c r="X186" s="2" t="str">
        <f t="shared" si="23"/>
        <v/>
      </c>
      <c r="Y186" t="str">
        <f>VLOOKUP($A186,ScionOutput!$A$3:$BL$215,64,FALSE)</f>
        <v xml:space="preserve">824263. V_SP is Null, team-based avg used. NoPlay as V_SP is Null. </v>
      </c>
    </row>
    <row r="187" spans="1:25" x14ac:dyDescent="0.2">
      <c r="A187">
        <v>823854</v>
      </c>
      <c r="B187" s="3">
        <f>VLOOKUP($A187,ScionOutput!$A$3:$BL$215,3,FALSE)</f>
        <v>46193</v>
      </c>
      <c r="C187">
        <f>VLOOKUP($A187,ScionOutput!$A$3:$BL$215,22,FALSE)</f>
        <v>11</v>
      </c>
      <c r="D187" t="str">
        <f>VLOOKUP($A187,ScionOutput!$A$3:$BL$215,23,FALSE)</f>
        <v>FLO</v>
      </c>
      <c r="E187">
        <f>VLOOKUP($A187,ScionOutput!$A$3:$BL$215,6,FALSE)</f>
        <v>25</v>
      </c>
      <c r="F187" t="str">
        <f>VLOOKUP($A187,ScionOutput!$A$3:$BL$215,7,FALSE)</f>
        <v>SF</v>
      </c>
      <c r="G187">
        <f>VLOOKUP($A187,ScionOutput!$A$3:$BL$215,26,FALSE)</f>
        <v>-137</v>
      </c>
      <c r="H187">
        <f>VLOOKUP($A187,ScionOutput!$A$3:$BL$215,10,FALSE)</f>
        <v>126</v>
      </c>
      <c r="I187" t="str">
        <f>VLOOKUP($A187,ScionOutput!$A$3:$BL$215,58,FALSE)</f>
        <v>No Play</v>
      </c>
      <c r="J187">
        <f>VLOOKUP($A187,ScionOutput!$A$3:$BL$215,59,FALSE)</f>
        <v>0</v>
      </c>
      <c r="K187">
        <f>VLOOKUP($A187,ScionOutput!$A$3:$BL$215,62,FALSE)</f>
        <v>0</v>
      </c>
      <c r="L187">
        <f>VLOOKUP($A187,ScionOutput!$A$3:$BL$215,63,FALSE)</f>
        <v>0</v>
      </c>
      <c r="M187" t="b">
        <f t="shared" si="17"/>
        <v>0</v>
      </c>
      <c r="N187">
        <f>VLOOKUP($A187,Outcomes!$B$3:$I$209,8,FALSE)</f>
        <v>9</v>
      </c>
      <c r="O187">
        <f t="shared" si="18"/>
        <v>1</v>
      </c>
      <c r="P187">
        <f>VLOOKUP($A187,Outcomes!$B$3:$I$209,5,FALSE)</f>
        <v>6</v>
      </c>
      <c r="Q187">
        <f>VLOOKUP($A187,Outcomes!$B$3:$I$209,6,FALSE)</f>
        <v>3</v>
      </c>
      <c r="R187">
        <f>VLOOKUP($A187,Outcomes!$B$3:$I$209,7,FALSE)</f>
        <v>-3</v>
      </c>
      <c r="S187" t="str">
        <f t="shared" si="19"/>
        <v>HomFave</v>
      </c>
      <c r="T187" t="str">
        <f t="shared" si="20"/>
        <v/>
      </c>
      <c r="U187" t="str">
        <f t="shared" si="16"/>
        <v/>
      </c>
      <c r="V187" t="str">
        <f t="shared" si="21"/>
        <v/>
      </c>
      <c r="W187" t="str">
        <f t="shared" si="22"/>
        <v/>
      </c>
      <c r="X187" s="2" t="str">
        <f t="shared" si="23"/>
        <v/>
      </c>
      <c r="Y187" t="str">
        <f>VLOOKUP($A187,ScionOutput!$A$3:$BL$215,64,FALSE)</f>
        <v xml:space="preserve">823854. LineStatEns probability points gap does not exceed threshold (no edge found)! StatOnlyEns probability points gap does not exceed threshold (no edge found)! No play due to strategy constraints. </v>
      </c>
    </row>
    <row r="188" spans="1:25" x14ac:dyDescent="0.2">
      <c r="A188">
        <v>824180</v>
      </c>
      <c r="B188" s="3">
        <f>VLOOKUP($A188,ScionOutput!$A$3:$BL$215,3,FALSE)</f>
        <v>46193</v>
      </c>
      <c r="C188">
        <f>VLOOKUP($A188,ScionOutput!$A$3:$BL$215,22,FALSE)</f>
        <v>12</v>
      </c>
      <c r="D188" t="str">
        <f>VLOOKUP($A188,ScionOutput!$A$3:$BL$215,23,FALSE)</f>
        <v>HOU</v>
      </c>
      <c r="E188">
        <f>VLOOKUP($A188,ScionOutput!$A$3:$BL$215,6,FALSE)</f>
        <v>7</v>
      </c>
      <c r="F188" t="str">
        <f>VLOOKUP($A188,ScionOutput!$A$3:$BL$215,7,FALSE)</f>
        <v>CLE</v>
      </c>
      <c r="G188">
        <f>VLOOKUP($A188,ScionOutput!$A$3:$BL$215,26,FALSE)</f>
        <v>-139</v>
      </c>
      <c r="H188">
        <f>VLOOKUP($A188,ScionOutput!$A$3:$BL$215,10,FALSE)</f>
        <v>128</v>
      </c>
      <c r="I188" t="str">
        <f>VLOOKUP($A188,ScionOutput!$A$3:$BL$215,58,FALSE)</f>
        <v>No Play</v>
      </c>
      <c r="J188">
        <f>VLOOKUP($A188,ScionOutput!$A$3:$BL$215,59,FALSE)</f>
        <v>0</v>
      </c>
      <c r="K188">
        <f>VLOOKUP($A188,ScionOutput!$A$3:$BL$215,62,FALSE)</f>
        <v>0</v>
      </c>
      <c r="L188">
        <f>VLOOKUP($A188,ScionOutput!$A$3:$BL$215,63,FALSE)</f>
        <v>0</v>
      </c>
      <c r="M188" t="b">
        <f t="shared" si="17"/>
        <v>0</v>
      </c>
      <c r="N188">
        <f>VLOOKUP($A188,Outcomes!$B$3:$I$209,8,FALSE)</f>
        <v>9</v>
      </c>
      <c r="O188">
        <f t="shared" si="18"/>
        <v>-1</v>
      </c>
      <c r="P188">
        <f>VLOOKUP($A188,Outcomes!$B$3:$I$209,5,FALSE)</f>
        <v>1</v>
      </c>
      <c r="Q188">
        <f>VLOOKUP($A188,Outcomes!$B$3:$I$209,6,FALSE)</f>
        <v>8</v>
      </c>
      <c r="R188">
        <f>VLOOKUP($A188,Outcomes!$B$3:$I$209,7,FALSE)</f>
        <v>7</v>
      </c>
      <c r="S188" t="str">
        <f t="shared" si="19"/>
        <v>VisDog</v>
      </c>
      <c r="T188" t="str">
        <f t="shared" si="20"/>
        <v/>
      </c>
      <c r="U188" t="str">
        <f t="shared" si="16"/>
        <v/>
      </c>
      <c r="V188" t="str">
        <f t="shared" si="21"/>
        <v/>
      </c>
      <c r="W188" t="str">
        <f t="shared" si="22"/>
        <v/>
      </c>
      <c r="X188" s="2" t="str">
        <f t="shared" si="23"/>
        <v/>
      </c>
      <c r="Y188" t="str">
        <f>VLOOKUP($A188,ScionOutput!$A$3:$BL$215,64,FALSE)</f>
        <v xml:space="preserve">824180. LineStatEns probability points gap does not exceed threshold (no edge found)! StatOnlyEns probability points gap does not exceed threshold (no edge found)! No play due to strategy constraints. </v>
      </c>
    </row>
    <row r="189" spans="1:25" x14ac:dyDescent="0.2">
      <c r="A189">
        <v>823937</v>
      </c>
      <c r="B189" s="3">
        <f>VLOOKUP($A189,ScionOutput!$A$3:$BL$215,3,FALSE)</f>
        <v>46193</v>
      </c>
      <c r="C189">
        <f>VLOOKUP($A189,ScionOutput!$A$3:$BL$215,22,FALSE)</f>
        <v>14</v>
      </c>
      <c r="D189" t="str">
        <f>VLOOKUP($A189,ScionOutput!$A$3:$BL$215,23,FALSE)</f>
        <v>LA</v>
      </c>
      <c r="E189">
        <f>VLOOKUP($A189,ScionOutput!$A$3:$BL$215,6,FALSE)</f>
        <v>2</v>
      </c>
      <c r="F189" t="str">
        <f>VLOOKUP($A189,ScionOutput!$A$3:$BL$215,7,FALSE)</f>
        <v>BAL</v>
      </c>
      <c r="G189">
        <f>VLOOKUP($A189,ScionOutput!$A$3:$BL$215,26,FALSE)</f>
        <v>-217</v>
      </c>
      <c r="H189">
        <f>VLOOKUP($A189,ScionOutput!$A$3:$BL$215,10,FALSE)</f>
        <v>196</v>
      </c>
      <c r="I189" t="str">
        <f>VLOOKUP($A189,ScionOutput!$A$3:$BL$215,58,FALSE)</f>
        <v>No Play</v>
      </c>
      <c r="J189">
        <f>VLOOKUP($A189,ScionOutput!$A$3:$BL$215,59,FALSE)</f>
        <v>0</v>
      </c>
      <c r="K189">
        <f>VLOOKUP($A189,ScionOutput!$A$3:$BL$215,62,FALSE)</f>
        <v>0</v>
      </c>
      <c r="L189">
        <f>VLOOKUP($A189,ScionOutput!$A$3:$BL$215,63,FALSE)</f>
        <v>0</v>
      </c>
      <c r="M189" t="b">
        <f t="shared" si="17"/>
        <v>0</v>
      </c>
      <c r="N189">
        <f>VLOOKUP($A189,Outcomes!$B$3:$I$209,8,FALSE)</f>
        <v>5</v>
      </c>
      <c r="O189">
        <f t="shared" si="18"/>
        <v>-1</v>
      </c>
      <c r="P189">
        <f>VLOOKUP($A189,Outcomes!$B$3:$I$209,5,FALSE)</f>
        <v>2</v>
      </c>
      <c r="Q189">
        <f>VLOOKUP($A189,Outcomes!$B$3:$I$209,6,FALSE)</f>
        <v>3</v>
      </c>
      <c r="R189">
        <f>VLOOKUP($A189,Outcomes!$B$3:$I$209,7,FALSE)</f>
        <v>1</v>
      </c>
      <c r="S189" t="str">
        <f t="shared" si="19"/>
        <v>VisDog</v>
      </c>
      <c r="T189" t="str">
        <f t="shared" si="20"/>
        <v/>
      </c>
      <c r="U189" t="str">
        <f t="shared" si="16"/>
        <v/>
      </c>
      <c r="V189" t="str">
        <f t="shared" si="21"/>
        <v/>
      </c>
      <c r="W189" t="str">
        <f t="shared" si="22"/>
        <v/>
      </c>
      <c r="X189" s="2" t="str">
        <f t="shared" si="23"/>
        <v/>
      </c>
      <c r="Y189" t="str">
        <f>VLOOKUP($A189,ScionOutput!$A$3:$BL$215,64,FALSE)</f>
        <v xml:space="preserve">823937. LineStatEns is NoPlay as bookie-line outside range. StatOnlyEns is NoPlay as bookie-line outside range. No play due to strategy constraints. </v>
      </c>
    </row>
    <row r="190" spans="1:25" x14ac:dyDescent="0.2">
      <c r="A190">
        <v>823532</v>
      </c>
      <c r="B190" s="3">
        <f>VLOOKUP($A190,ScionOutput!$A$3:$BL$215,3,FALSE)</f>
        <v>46193</v>
      </c>
      <c r="C190">
        <f>VLOOKUP($A190,ScionOutput!$A$3:$BL$215,22,FALSE)</f>
        <v>19</v>
      </c>
      <c r="D190" t="str">
        <f>VLOOKUP($A190,ScionOutput!$A$3:$BL$215,23,FALSE)</f>
        <v>NYY</v>
      </c>
      <c r="E190">
        <f>VLOOKUP($A190,ScionOutput!$A$3:$BL$215,6,FALSE)</f>
        <v>6</v>
      </c>
      <c r="F190" t="str">
        <f>VLOOKUP($A190,ScionOutput!$A$3:$BL$215,7,FALSE)</f>
        <v>CIN</v>
      </c>
      <c r="G190">
        <f>VLOOKUP($A190,ScionOutput!$A$3:$BL$215,26,FALSE)</f>
        <v>-199</v>
      </c>
      <c r="H190">
        <f>VLOOKUP($A190,ScionOutput!$A$3:$BL$215,10,FALSE)</f>
        <v>181</v>
      </c>
      <c r="I190" t="str">
        <f>VLOOKUP($A190,ScionOutput!$A$3:$BL$215,58,FALSE)</f>
        <v>No Play</v>
      </c>
      <c r="J190">
        <f>VLOOKUP($A190,ScionOutput!$A$3:$BL$215,59,FALSE)</f>
        <v>0</v>
      </c>
      <c r="K190">
        <f>VLOOKUP($A190,ScionOutput!$A$3:$BL$215,62,FALSE)</f>
        <v>0</v>
      </c>
      <c r="L190">
        <f>VLOOKUP($A190,ScionOutput!$A$3:$BL$215,63,FALSE)</f>
        <v>0</v>
      </c>
      <c r="M190" t="b">
        <f t="shared" si="17"/>
        <v>0</v>
      </c>
      <c r="N190">
        <f>VLOOKUP($A190,Outcomes!$B$3:$I$209,8,FALSE)</f>
        <v>12</v>
      </c>
      <c r="O190">
        <f t="shared" si="18"/>
        <v>-1</v>
      </c>
      <c r="P190">
        <f>VLOOKUP($A190,Outcomes!$B$3:$I$209,5,FALSE)</f>
        <v>2</v>
      </c>
      <c r="Q190">
        <f>VLOOKUP($A190,Outcomes!$B$3:$I$209,6,FALSE)</f>
        <v>10</v>
      </c>
      <c r="R190">
        <f>VLOOKUP($A190,Outcomes!$B$3:$I$209,7,FALSE)</f>
        <v>8</v>
      </c>
      <c r="S190" t="str">
        <f t="shared" si="19"/>
        <v>VisDog</v>
      </c>
      <c r="T190" t="str">
        <f t="shared" si="20"/>
        <v/>
      </c>
      <c r="U190" t="str">
        <f t="shared" si="16"/>
        <v/>
      </c>
      <c r="V190" t="str">
        <f t="shared" si="21"/>
        <v/>
      </c>
      <c r="W190" t="str">
        <f t="shared" si="22"/>
        <v/>
      </c>
      <c r="X190" s="2" t="str">
        <f t="shared" si="23"/>
        <v/>
      </c>
      <c r="Y190" t="str">
        <f>VLOOKUP($A190,ScionOutput!$A$3:$BL$215,64,FALSE)</f>
        <v xml:space="preserve">823532. LineStatEns is NoPlay as bookie-line outside range. StatOnlyEns is NoPlay as bookie-line outside range. No play due to strategy constraints. </v>
      </c>
    </row>
    <row r="191" spans="1:25" x14ac:dyDescent="0.2">
      <c r="A191">
        <v>824988</v>
      </c>
      <c r="B191" s="3">
        <f>VLOOKUP($A191,ScionOutput!$A$3:$BL$215,3,FALSE)</f>
        <v>46193</v>
      </c>
      <c r="C191">
        <f>VLOOKUP($A191,ScionOutput!$A$3:$BL$215,22,FALSE)</f>
        <v>20</v>
      </c>
      <c r="D191" t="str">
        <f>VLOOKUP($A191,ScionOutput!$A$3:$BL$215,23,FALSE)</f>
        <v>OAK</v>
      </c>
      <c r="E191">
        <f>VLOOKUP($A191,ScionOutput!$A$3:$BL$215,6,FALSE)</f>
        <v>4</v>
      </c>
      <c r="F191" t="str">
        <f>VLOOKUP($A191,ScionOutput!$A$3:$BL$215,7,FALSE)</f>
        <v>LAA</v>
      </c>
      <c r="G191">
        <f>VLOOKUP($A191,ScionOutput!$A$3:$BL$215,26,FALSE)</f>
        <v>-163</v>
      </c>
      <c r="H191">
        <f>VLOOKUP($A191,ScionOutput!$A$3:$BL$215,10,FALSE)</f>
        <v>149</v>
      </c>
      <c r="I191" t="str">
        <f>VLOOKUP($A191,ScionOutput!$A$3:$BL$215,58,FALSE)</f>
        <v>No Play</v>
      </c>
      <c r="J191">
        <f>VLOOKUP($A191,ScionOutput!$A$3:$BL$215,59,FALSE)</f>
        <v>0</v>
      </c>
      <c r="K191">
        <f>VLOOKUP($A191,ScionOutput!$A$3:$BL$215,62,FALSE)</f>
        <v>0</v>
      </c>
      <c r="L191">
        <f>VLOOKUP($A191,ScionOutput!$A$3:$BL$215,63,FALSE)</f>
        <v>0</v>
      </c>
      <c r="M191" t="b">
        <f t="shared" si="17"/>
        <v>0</v>
      </c>
      <c r="N191">
        <f>VLOOKUP($A191,Outcomes!$B$3:$I$209,8,FALSE)</f>
        <v>7</v>
      </c>
      <c r="O191">
        <f t="shared" si="18"/>
        <v>-1</v>
      </c>
      <c r="P191">
        <f>VLOOKUP($A191,Outcomes!$B$3:$I$209,5,FALSE)</f>
        <v>0</v>
      </c>
      <c r="Q191">
        <f>VLOOKUP($A191,Outcomes!$B$3:$I$209,6,FALSE)</f>
        <v>7</v>
      </c>
      <c r="R191">
        <f>VLOOKUP($A191,Outcomes!$B$3:$I$209,7,FALSE)</f>
        <v>7</v>
      </c>
      <c r="S191" t="str">
        <f t="shared" si="19"/>
        <v>VisDog</v>
      </c>
      <c r="T191" t="str">
        <f t="shared" si="20"/>
        <v/>
      </c>
      <c r="U191" t="str">
        <f t="shared" si="16"/>
        <v/>
      </c>
      <c r="V191" t="str">
        <f t="shared" si="21"/>
        <v/>
      </c>
      <c r="W191" t="str">
        <f t="shared" si="22"/>
        <v/>
      </c>
      <c r="X191" s="2" t="str">
        <f t="shared" si="23"/>
        <v/>
      </c>
      <c r="Y191" t="str">
        <f>VLOOKUP($A191,ScionOutput!$A$3:$BL$215,64,FALSE)</f>
        <v xml:space="preserve">824988. LineStatEns is NoPlay as bookie-line outside range. StatOnlyEns is NoPlay as bookie-line outside range. No play due to strategy constraints. </v>
      </c>
    </row>
    <row r="192" spans="1:25" x14ac:dyDescent="0.2">
      <c r="A192">
        <v>823447</v>
      </c>
      <c r="B192" s="3">
        <f>VLOOKUP($A192,ScionOutput!$A$3:$BL$215,3,FALSE)</f>
        <v>46193</v>
      </c>
      <c r="C192">
        <f>VLOOKUP($A192,ScionOutput!$A$3:$BL$215,22,FALSE)</f>
        <v>21</v>
      </c>
      <c r="D192" t="str">
        <f>VLOOKUP($A192,ScionOutput!$A$3:$BL$215,23,FALSE)</f>
        <v>PHI</v>
      </c>
      <c r="E192">
        <f>VLOOKUP($A192,ScionOutput!$A$3:$BL$215,6,FALSE)</f>
        <v>18</v>
      </c>
      <c r="F192" t="str">
        <f>VLOOKUP($A192,ScionOutput!$A$3:$BL$215,7,FALSE)</f>
        <v>NYM</v>
      </c>
      <c r="G192">
        <f>VLOOKUP($A192,ScionOutput!$A$3:$BL$215,26,FALSE)</f>
        <v>-183</v>
      </c>
      <c r="H192">
        <f>VLOOKUP($A192,ScionOutput!$A$3:$BL$215,10,FALSE)</f>
        <v>167</v>
      </c>
      <c r="I192" t="str">
        <f>VLOOKUP($A192,ScionOutput!$A$3:$BL$215,58,FALSE)</f>
        <v>No Play</v>
      </c>
      <c r="J192">
        <f>VLOOKUP($A192,ScionOutput!$A$3:$BL$215,59,FALSE)</f>
        <v>0</v>
      </c>
      <c r="K192">
        <f>VLOOKUP($A192,ScionOutput!$A$3:$BL$215,62,FALSE)</f>
        <v>0</v>
      </c>
      <c r="L192">
        <f>VLOOKUP($A192,ScionOutput!$A$3:$BL$215,63,FALSE)</f>
        <v>0</v>
      </c>
      <c r="M192" t="b">
        <f t="shared" si="17"/>
        <v>0</v>
      </c>
      <c r="N192">
        <f>VLOOKUP($A192,Outcomes!$B$3:$I$209,8,FALSE)</f>
        <v>18</v>
      </c>
      <c r="O192">
        <f t="shared" si="18"/>
        <v>1</v>
      </c>
      <c r="P192">
        <f>VLOOKUP($A192,Outcomes!$B$3:$I$209,5,FALSE)</f>
        <v>15</v>
      </c>
      <c r="Q192">
        <f>VLOOKUP($A192,Outcomes!$B$3:$I$209,6,FALSE)</f>
        <v>3</v>
      </c>
      <c r="R192">
        <f>VLOOKUP($A192,Outcomes!$B$3:$I$209,7,FALSE)</f>
        <v>-12</v>
      </c>
      <c r="S192" t="str">
        <f t="shared" si="19"/>
        <v>HomFave</v>
      </c>
      <c r="T192" t="str">
        <f t="shared" si="20"/>
        <v/>
      </c>
      <c r="U192" t="str">
        <f t="shared" si="16"/>
        <v/>
      </c>
      <c r="V192" t="str">
        <f t="shared" si="21"/>
        <v/>
      </c>
      <c r="W192" t="str">
        <f t="shared" si="22"/>
        <v/>
      </c>
      <c r="X192" s="2" t="str">
        <f t="shared" si="23"/>
        <v/>
      </c>
      <c r="Y192" t="str">
        <f>VLOOKUP($A192,ScionOutput!$A$3:$BL$215,64,FALSE)</f>
        <v xml:space="preserve">823447. LineStatEns is NoPlay as bookie-line outside range. StatOnlyEns is NoPlay as bookie-line outside range. No play due to strategy constraints. </v>
      </c>
    </row>
    <row r="193" spans="1:25" x14ac:dyDescent="0.2">
      <c r="A193">
        <v>823126</v>
      </c>
      <c r="B193" s="3">
        <f>VLOOKUP($A193,ScionOutput!$A$3:$BL$215,3,FALSE)</f>
        <v>46193</v>
      </c>
      <c r="C193">
        <f>VLOOKUP($A193,ScionOutput!$A$3:$BL$215,22,FALSE)</f>
        <v>24</v>
      </c>
      <c r="D193" t="str">
        <f>VLOOKUP($A193,ScionOutput!$A$3:$BL$215,23,FALSE)</f>
        <v>SEA</v>
      </c>
      <c r="E193">
        <f>VLOOKUP($A193,ScionOutput!$A$3:$BL$215,6,FALSE)</f>
        <v>3</v>
      </c>
      <c r="F193" t="str">
        <f>VLOOKUP($A193,ScionOutput!$A$3:$BL$215,7,FALSE)</f>
        <v>BOS</v>
      </c>
      <c r="G193">
        <f>VLOOKUP($A193,ScionOutput!$A$3:$BL$215,26,FALSE)</f>
        <v>-116</v>
      </c>
      <c r="H193">
        <f>VLOOKUP($A193,ScionOutput!$A$3:$BL$215,10,FALSE)</f>
        <v>107</v>
      </c>
      <c r="I193" t="str">
        <f>VLOOKUP($A193,ScionOutput!$A$3:$BL$215,58,FALSE)</f>
        <v>No Play</v>
      </c>
      <c r="J193">
        <f>VLOOKUP($A193,ScionOutput!$A$3:$BL$215,59,FALSE)</f>
        <v>0</v>
      </c>
      <c r="K193">
        <f>VLOOKUP($A193,ScionOutput!$A$3:$BL$215,62,FALSE)</f>
        <v>0</v>
      </c>
      <c r="L193">
        <f>VLOOKUP($A193,ScionOutput!$A$3:$BL$215,63,FALSE)</f>
        <v>0</v>
      </c>
      <c r="M193" t="b">
        <f t="shared" si="17"/>
        <v>0</v>
      </c>
      <c r="N193">
        <f>VLOOKUP($A193,Outcomes!$B$3:$I$209,8,FALSE)</f>
        <v>6</v>
      </c>
      <c r="O193">
        <f t="shared" si="18"/>
        <v>-1</v>
      </c>
      <c r="P193">
        <f>VLOOKUP($A193,Outcomes!$B$3:$I$209,5,FALSE)</f>
        <v>1</v>
      </c>
      <c r="Q193">
        <f>VLOOKUP($A193,Outcomes!$B$3:$I$209,6,FALSE)</f>
        <v>5</v>
      </c>
      <c r="R193">
        <f>VLOOKUP($A193,Outcomes!$B$3:$I$209,7,FALSE)</f>
        <v>4</v>
      </c>
      <c r="S193" t="str">
        <f t="shared" si="19"/>
        <v>VisDog</v>
      </c>
      <c r="T193" t="str">
        <f t="shared" si="20"/>
        <v/>
      </c>
      <c r="U193" t="str">
        <f t="shared" si="16"/>
        <v/>
      </c>
      <c r="V193" t="str">
        <f t="shared" si="21"/>
        <v/>
      </c>
      <c r="W193" t="str">
        <f t="shared" si="22"/>
        <v/>
      </c>
      <c r="X193" s="2" t="str">
        <f t="shared" si="23"/>
        <v/>
      </c>
      <c r="Y193" t="str">
        <f>VLOOKUP($A193,ScionOutput!$A$3:$BL$215,64,FALSE)</f>
        <v xml:space="preserve">823126. LineStatEns probability points gap does not exceed threshold (no edge found)! StatOnlyEns probability points gap does not exceed threshold (no edge found)! No play due to strategy constraints. </v>
      </c>
    </row>
    <row r="194" spans="1:25" x14ac:dyDescent="0.2">
      <c r="A194">
        <v>822967</v>
      </c>
      <c r="B194" s="3">
        <f>VLOOKUP($A194,ScionOutput!$A$3:$BL$215,3,FALSE)</f>
        <v>46193</v>
      </c>
      <c r="C194">
        <f>VLOOKUP($A194,ScionOutput!$A$3:$BL$215,22,FALSE)</f>
        <v>27</v>
      </c>
      <c r="D194" t="str">
        <f>VLOOKUP($A194,ScionOutput!$A$3:$BL$215,23,FALSE)</f>
        <v>TB</v>
      </c>
      <c r="E194">
        <f>VLOOKUP($A194,ScionOutput!$A$3:$BL$215,6,FALSE)</f>
        <v>16</v>
      </c>
      <c r="F194" t="str">
        <f>VLOOKUP($A194,ScionOutput!$A$3:$BL$215,7,FALSE)</f>
        <v>WAS</v>
      </c>
      <c r="G194">
        <f>VLOOKUP($A194,ScionOutput!$A$3:$BL$215,26,FALSE)</f>
        <v>-117</v>
      </c>
      <c r="H194">
        <f>VLOOKUP($A194,ScionOutput!$A$3:$BL$215,10,FALSE)</f>
        <v>108</v>
      </c>
      <c r="I194" t="str">
        <f>VLOOKUP($A194,ScionOutput!$A$3:$BL$215,58,FALSE)</f>
        <v>No Play</v>
      </c>
      <c r="J194">
        <f>VLOOKUP($A194,ScionOutput!$A$3:$BL$215,59,FALSE)</f>
        <v>0</v>
      </c>
      <c r="K194">
        <f>VLOOKUP($A194,ScionOutput!$A$3:$BL$215,62,FALSE)</f>
        <v>0</v>
      </c>
      <c r="L194">
        <f>VLOOKUP($A194,ScionOutput!$A$3:$BL$215,63,FALSE)</f>
        <v>0</v>
      </c>
      <c r="M194" t="b">
        <f t="shared" si="17"/>
        <v>0</v>
      </c>
      <c r="N194">
        <f>VLOOKUP($A194,Outcomes!$B$3:$I$209,8,FALSE)</f>
        <v>7</v>
      </c>
      <c r="O194">
        <f t="shared" si="18"/>
        <v>-1</v>
      </c>
      <c r="P194">
        <f>VLOOKUP($A194,Outcomes!$B$3:$I$209,5,FALSE)</f>
        <v>3</v>
      </c>
      <c r="Q194">
        <f>VLOOKUP($A194,Outcomes!$B$3:$I$209,6,FALSE)</f>
        <v>4</v>
      </c>
      <c r="R194">
        <f>VLOOKUP($A194,Outcomes!$B$3:$I$209,7,FALSE)</f>
        <v>1</v>
      </c>
      <c r="S194" t="str">
        <f t="shared" si="19"/>
        <v>VisDog</v>
      </c>
      <c r="T194" t="str">
        <f t="shared" si="20"/>
        <v/>
      </c>
      <c r="U194" t="str">
        <f t="shared" ref="U194:U209" si="24">IF(T194="","",IF(G194&lt;H194,IF(I194="HomFave",ABS(G194),IF(H194&lt;0,ABS(H194),100)),IF(I194="VisFave",ABS(H194),IF(G194&lt;0,ABS(G194),100))))</f>
        <v/>
      </c>
      <c r="V194" t="str">
        <f t="shared" si="21"/>
        <v/>
      </c>
      <c r="W194" t="str">
        <f t="shared" si="22"/>
        <v/>
      </c>
      <c r="X194" s="2" t="str">
        <f t="shared" si="23"/>
        <v/>
      </c>
      <c r="Y194" t="str">
        <f>VLOOKUP($A194,ScionOutput!$A$3:$BL$215,64,FALSE)</f>
        <v xml:space="preserve">822967. LineStatEns probability points gap does not exceed threshold (no edge found)! No play due to strategy constraints. </v>
      </c>
    </row>
    <row r="195" spans="1:25" x14ac:dyDescent="0.2">
      <c r="A195">
        <v>822885</v>
      </c>
      <c r="B195" s="3">
        <f>VLOOKUP($A195,ScionOutput!$A$3:$BL$215,3,FALSE)</f>
        <v>46193</v>
      </c>
      <c r="C195">
        <f>VLOOKUP($A195,ScionOutput!$A$3:$BL$215,22,FALSE)</f>
        <v>28</v>
      </c>
      <c r="D195" t="str">
        <f>VLOOKUP($A195,ScionOutput!$A$3:$BL$215,23,FALSE)</f>
        <v>TEX</v>
      </c>
      <c r="E195">
        <f>VLOOKUP($A195,ScionOutput!$A$3:$BL$215,6,FALSE)</f>
        <v>23</v>
      </c>
      <c r="F195" t="str">
        <f>VLOOKUP($A195,ScionOutput!$A$3:$BL$215,7,FALSE)</f>
        <v>SD</v>
      </c>
      <c r="G195">
        <f>VLOOKUP($A195,ScionOutput!$A$3:$BL$215,26,FALSE)</f>
        <v>-123</v>
      </c>
      <c r="H195">
        <f>VLOOKUP($A195,ScionOutput!$A$3:$BL$215,10,FALSE)</f>
        <v>114</v>
      </c>
      <c r="I195" t="str">
        <f>VLOOKUP($A195,ScionOutput!$A$3:$BL$215,58,FALSE)</f>
        <v>No Play</v>
      </c>
      <c r="J195">
        <f>VLOOKUP($A195,ScionOutput!$A$3:$BL$215,59,FALSE)</f>
        <v>0</v>
      </c>
      <c r="K195">
        <f>VLOOKUP($A195,ScionOutput!$A$3:$BL$215,62,FALSE)</f>
        <v>0</v>
      </c>
      <c r="L195">
        <f>VLOOKUP($A195,ScionOutput!$A$3:$BL$215,63,FALSE)</f>
        <v>0</v>
      </c>
      <c r="M195" t="b">
        <f t="shared" ref="M195:M209" si="25">ISNUMBER(SEARCH("Play determined by LineStatEns and StatOnlyEns agreement", Y195))</f>
        <v>0</v>
      </c>
      <c r="N195">
        <f>VLOOKUP($A195,Outcomes!$B$3:$I$209,8,FALSE)</f>
        <v>10</v>
      </c>
      <c r="O195">
        <f t="shared" ref="O195:O209" si="26">IF(P195&gt;Q195,1,IF(P195&lt;Q195,-1,0))</f>
        <v>-1</v>
      </c>
      <c r="P195">
        <f>VLOOKUP($A195,Outcomes!$B$3:$I$209,5,FALSE)</f>
        <v>4</v>
      </c>
      <c r="Q195">
        <f>VLOOKUP($A195,Outcomes!$B$3:$I$209,6,FALSE)</f>
        <v>6</v>
      </c>
      <c r="R195">
        <f>VLOOKUP($A195,Outcomes!$B$3:$I$209,7,FALSE)</f>
        <v>2</v>
      </c>
      <c r="S195" t="str">
        <f t="shared" ref="S195:S209" si="27">IF(R195=0,"Push",IF(G195&lt;H195,IF(R195&lt;0,"HomFave","VisDog"),IF(R195&gt;0,"VisFave","HomDog")))</f>
        <v>VisDog</v>
      </c>
      <c r="T195" t="str">
        <f t="shared" ref="T195:T209" si="28">IF(OR(R195=0,I195="No Play",K195&lt;&gt;1),"",IF(S195=I195,1,0))</f>
        <v/>
      </c>
      <c r="U195" t="str">
        <f t="shared" si="24"/>
        <v/>
      </c>
      <c r="V195" t="str">
        <f t="shared" ref="V195:V209" si="29">IF(T195="","",IF(T195=0,0,IF(G195&lt;H195,IF(I195="HomFave",U195+100,IF(H195&lt;0,100+U195,U195+ABS(H195))),IF(I195="VisFave",U195+100,IF(G195&lt;0,100+U195,U195+ABS(G195))))))</f>
        <v/>
      </c>
      <c r="W195" t="str">
        <f t="shared" ref="W195:W209" si="30">IF(T195="","",V195-U195)</f>
        <v/>
      </c>
      <c r="X195" s="2" t="str">
        <f t="shared" ref="X195:X210" si="31">IF(T195="","",W195/U195)</f>
        <v/>
      </c>
      <c r="Y195" t="str">
        <f>VLOOKUP($A195,ScionOutput!$A$3:$BL$215,64,FALSE)</f>
        <v xml:space="preserve">822885. LineStatEns probability points gap does not exceed threshold (no edge found)! StatOnlyEns probability points gap does not exceed threshold (no edge found)! No play due to strategy constraints. </v>
      </c>
    </row>
    <row r="196" spans="1:25" x14ac:dyDescent="0.2">
      <c r="A196">
        <v>824908</v>
      </c>
      <c r="B196" s="3">
        <f>VLOOKUP($A196,ScionOutput!$A$3:$BL$215,3,FALSE)</f>
        <v>46194</v>
      </c>
      <c r="C196">
        <f>VLOOKUP($A196,ScionOutput!$A$3:$BL$215,22,FALSE)</f>
        <v>0</v>
      </c>
      <c r="D196" t="str">
        <f>VLOOKUP($A196,ScionOutput!$A$3:$BL$215,23,FALSE)</f>
        <v>ATL</v>
      </c>
      <c r="E196">
        <f>VLOOKUP($A196,ScionOutput!$A$3:$BL$215,6,FALSE)</f>
        <v>17</v>
      </c>
      <c r="F196" t="str">
        <f>VLOOKUP($A196,ScionOutput!$A$3:$BL$215,7,FALSE)</f>
        <v>MLW</v>
      </c>
      <c r="G196">
        <f>VLOOKUP($A196,ScionOutput!$A$3:$BL$215,26,FALSE)</f>
        <v>-113</v>
      </c>
      <c r="H196">
        <f>VLOOKUP($A196,ScionOutput!$A$3:$BL$215,10,FALSE)</f>
        <v>105</v>
      </c>
      <c r="I196" t="str">
        <f>VLOOKUP($A196,ScionOutput!$A$3:$BL$215,58,FALSE)</f>
        <v>HomFave</v>
      </c>
      <c r="J196">
        <f>VLOOKUP($A196,ScionOutput!$A$3:$BL$215,59,FALSE)</f>
        <v>4.9029999999999997E-2</v>
      </c>
      <c r="K196">
        <f>VLOOKUP($A196,ScionOutput!$A$3:$BL$215,62,FALSE)</f>
        <v>3</v>
      </c>
      <c r="L196">
        <f>VLOOKUP($A196,ScionOutput!$A$3:$BL$215,63,FALSE)</f>
        <v>1</v>
      </c>
      <c r="M196" t="b">
        <f t="shared" si="25"/>
        <v>0</v>
      </c>
      <c r="N196">
        <f>VLOOKUP($A196,Outcomes!$B$3:$I$209,8,FALSE)</f>
        <v>13</v>
      </c>
      <c r="O196">
        <f t="shared" si="26"/>
        <v>-1</v>
      </c>
      <c r="P196">
        <f>VLOOKUP($A196,Outcomes!$B$3:$I$209,5,FALSE)</f>
        <v>4</v>
      </c>
      <c r="Q196">
        <f>VLOOKUP($A196,Outcomes!$B$3:$I$209,6,FALSE)</f>
        <v>9</v>
      </c>
      <c r="R196">
        <f>VLOOKUP($A196,Outcomes!$B$3:$I$209,7,FALSE)</f>
        <v>5</v>
      </c>
      <c r="S196" t="str">
        <f t="shared" si="27"/>
        <v>VisDog</v>
      </c>
      <c r="T196" t="str">
        <f t="shared" si="28"/>
        <v/>
      </c>
      <c r="U196" t="str">
        <f t="shared" si="24"/>
        <v/>
      </c>
      <c r="V196" t="str">
        <f t="shared" si="29"/>
        <v/>
      </c>
      <c r="W196" t="str">
        <f t="shared" si="30"/>
        <v/>
      </c>
      <c r="X196" s="2" t="str">
        <f t="shared" si="31"/>
        <v/>
      </c>
      <c r="Y196" t="str">
        <f>VLOOKUP($A196,ScionOutput!$A$3:$BL$215,64,FALSE)</f>
        <v xml:space="preserve">824908. StatOnlyEns probability points gap does not exceed threshold (no edge found)! Play determined by LineStatEns only. </v>
      </c>
    </row>
    <row r="197" spans="1:25" x14ac:dyDescent="0.2">
      <c r="A197">
        <v>825067</v>
      </c>
      <c r="B197" s="3">
        <f>VLOOKUP($A197,ScionOutput!$A$3:$BL$215,3,FALSE)</f>
        <v>46194</v>
      </c>
      <c r="C197">
        <f>VLOOKUP($A197,ScionOutput!$A$3:$BL$215,22,FALSE)</f>
        <v>1</v>
      </c>
      <c r="D197" t="str">
        <f>VLOOKUP($A197,ScionOutput!$A$3:$BL$215,23,FALSE)</f>
        <v>ARZ</v>
      </c>
      <c r="E197">
        <f>VLOOKUP($A197,ScionOutput!$A$3:$BL$215,6,FALSE)</f>
        <v>15</v>
      </c>
      <c r="F197" t="str">
        <f>VLOOKUP($A197,ScionOutput!$A$3:$BL$215,7,FALSE)</f>
        <v>MIN</v>
      </c>
      <c r="G197">
        <f>VLOOKUP($A197,ScionOutput!$A$3:$BL$215,26,FALSE)</f>
        <v>-126</v>
      </c>
      <c r="H197">
        <f>VLOOKUP($A197,ScionOutput!$A$3:$BL$215,10,FALSE)</f>
        <v>117</v>
      </c>
      <c r="I197" t="str">
        <f>VLOOKUP($A197,ScionOutput!$A$3:$BL$215,58,FALSE)</f>
        <v>No Play</v>
      </c>
      <c r="J197">
        <f>VLOOKUP($A197,ScionOutput!$A$3:$BL$215,59,FALSE)</f>
        <v>0</v>
      </c>
      <c r="K197">
        <f>VLOOKUP($A197,ScionOutput!$A$3:$BL$215,62,FALSE)</f>
        <v>0</v>
      </c>
      <c r="L197">
        <f>VLOOKUP($A197,ScionOutput!$A$3:$BL$215,63,FALSE)</f>
        <v>0</v>
      </c>
      <c r="M197" t="b">
        <f t="shared" si="25"/>
        <v>0</v>
      </c>
      <c r="N197">
        <f>VLOOKUP($A197,Outcomes!$B$3:$I$209,8,FALSE)</f>
        <v>6</v>
      </c>
      <c r="O197">
        <f t="shared" si="26"/>
        <v>-1</v>
      </c>
      <c r="P197">
        <f>VLOOKUP($A197,Outcomes!$B$3:$I$209,5,FALSE)</f>
        <v>2</v>
      </c>
      <c r="Q197">
        <f>VLOOKUP($A197,Outcomes!$B$3:$I$209,6,FALSE)</f>
        <v>4</v>
      </c>
      <c r="R197">
        <f>VLOOKUP($A197,Outcomes!$B$3:$I$209,7,FALSE)</f>
        <v>2</v>
      </c>
      <c r="S197" t="str">
        <f t="shared" si="27"/>
        <v>VisDog</v>
      </c>
      <c r="T197" t="str">
        <f t="shared" si="28"/>
        <v/>
      </c>
      <c r="U197" t="str">
        <f t="shared" si="24"/>
        <v/>
      </c>
      <c r="V197" t="str">
        <f t="shared" si="29"/>
        <v/>
      </c>
      <c r="W197" t="str">
        <f t="shared" si="30"/>
        <v/>
      </c>
      <c r="X197" s="2" t="str">
        <f t="shared" si="31"/>
        <v/>
      </c>
      <c r="Y197" t="str">
        <f>VLOOKUP($A197,ScionOutput!$A$3:$BL$215,64,FALSE)</f>
        <v xml:space="preserve">825067. H_SP is Null, team-based avg used. NoPlay as H_SP is Null. </v>
      </c>
    </row>
    <row r="198" spans="1:25" x14ac:dyDescent="0.2">
      <c r="A198">
        <v>824343</v>
      </c>
      <c r="B198" s="3">
        <f>VLOOKUP($A198,ScionOutput!$A$3:$BL$215,3,FALSE)</f>
        <v>46194</v>
      </c>
      <c r="C198">
        <f>VLOOKUP($A198,ScionOutput!$A$3:$BL$215,22,FALSE)</f>
        <v>8</v>
      </c>
      <c r="D198" t="str">
        <f>VLOOKUP($A198,ScionOutput!$A$3:$BL$215,23,FALSE)</f>
        <v>COL</v>
      </c>
      <c r="E198">
        <f>VLOOKUP($A198,ScionOutput!$A$3:$BL$215,6,FALSE)</f>
        <v>22</v>
      </c>
      <c r="F198" t="str">
        <f>VLOOKUP($A198,ScionOutput!$A$3:$BL$215,7,FALSE)</f>
        <v>PIT</v>
      </c>
      <c r="G198">
        <f>VLOOKUP($A198,ScionOutput!$A$3:$BL$215,26,FALSE)</f>
        <v>130</v>
      </c>
      <c r="H198">
        <f>VLOOKUP($A198,ScionOutput!$A$3:$BL$215,10,FALSE)</f>
        <v>-141</v>
      </c>
      <c r="I198" t="str">
        <f>VLOOKUP($A198,ScionOutput!$A$3:$BL$215,58,FALSE)</f>
        <v>No Play</v>
      </c>
      <c r="J198">
        <f>VLOOKUP($A198,ScionOutput!$A$3:$BL$215,59,FALSE)</f>
        <v>0</v>
      </c>
      <c r="K198">
        <f>VLOOKUP($A198,ScionOutput!$A$3:$BL$215,62,FALSE)</f>
        <v>0</v>
      </c>
      <c r="L198">
        <f>VLOOKUP($A198,ScionOutput!$A$3:$BL$215,63,FALSE)</f>
        <v>0</v>
      </c>
      <c r="M198" t="b">
        <f t="shared" si="25"/>
        <v>0</v>
      </c>
      <c r="N198">
        <f>VLOOKUP($A198,Outcomes!$B$3:$I$209,8,FALSE)</f>
        <v>14</v>
      </c>
      <c r="O198">
        <f t="shared" si="26"/>
        <v>-1</v>
      </c>
      <c r="P198">
        <f>VLOOKUP($A198,Outcomes!$B$3:$I$209,5,FALSE)</f>
        <v>6</v>
      </c>
      <c r="Q198">
        <f>VLOOKUP($A198,Outcomes!$B$3:$I$209,6,FALSE)</f>
        <v>8</v>
      </c>
      <c r="R198">
        <f>VLOOKUP($A198,Outcomes!$B$3:$I$209,7,FALSE)</f>
        <v>2</v>
      </c>
      <c r="S198" t="str">
        <f t="shared" si="27"/>
        <v>VisFave</v>
      </c>
      <c r="T198" t="str">
        <f t="shared" si="28"/>
        <v/>
      </c>
      <c r="U198" t="str">
        <f t="shared" si="24"/>
        <v/>
      </c>
      <c r="V198" t="str">
        <f t="shared" si="29"/>
        <v/>
      </c>
      <c r="W198" t="str">
        <f t="shared" si="30"/>
        <v/>
      </c>
      <c r="X198" s="2" t="str">
        <f t="shared" si="31"/>
        <v/>
      </c>
      <c r="Y198" t="str">
        <f>VLOOKUP($A198,ScionOutput!$A$3:$BL$215,64,FALSE)</f>
        <v xml:space="preserve">824343. VF plays are disallowed. No play due to strategy constraints. </v>
      </c>
    </row>
    <row r="199" spans="1:25" x14ac:dyDescent="0.2">
      <c r="A199">
        <v>824260</v>
      </c>
      <c r="B199" s="3">
        <f>VLOOKUP($A199,ScionOutput!$A$3:$BL$215,3,FALSE)</f>
        <v>46194</v>
      </c>
      <c r="C199">
        <f>VLOOKUP($A199,ScionOutput!$A$3:$BL$215,22,FALSE)</f>
        <v>10</v>
      </c>
      <c r="D199" t="str">
        <f>VLOOKUP($A199,ScionOutput!$A$3:$BL$215,23,FALSE)</f>
        <v>DET</v>
      </c>
      <c r="E199">
        <f>VLOOKUP($A199,ScionOutput!$A$3:$BL$215,6,FALSE)</f>
        <v>9</v>
      </c>
      <c r="F199" t="str">
        <f>VLOOKUP($A199,ScionOutput!$A$3:$BL$215,7,FALSE)</f>
        <v>CWS</v>
      </c>
      <c r="G199">
        <f>VLOOKUP($A199,ScionOutput!$A$3:$BL$215,26,FALSE)</f>
        <v>-114</v>
      </c>
      <c r="H199">
        <f>VLOOKUP($A199,ScionOutput!$A$3:$BL$215,10,FALSE)</f>
        <v>105</v>
      </c>
      <c r="I199" t="str">
        <f>VLOOKUP($A199,ScionOutput!$A$3:$BL$215,58,FALSE)</f>
        <v>HomFave</v>
      </c>
      <c r="J199">
        <f>VLOOKUP($A199,ScionOutput!$A$3:$BL$215,59,FALSE)</f>
        <v>1.7999999999999999E-2</v>
      </c>
      <c r="K199">
        <f>VLOOKUP($A199,ScionOutput!$A$3:$BL$215,62,FALSE)</f>
        <v>5</v>
      </c>
      <c r="L199">
        <f>VLOOKUP($A199,ScionOutput!$A$3:$BL$215,63,FALSE)</f>
        <v>0.98</v>
      </c>
      <c r="M199" t="b">
        <f t="shared" si="25"/>
        <v>0</v>
      </c>
      <c r="N199">
        <f>VLOOKUP($A199,Outcomes!$B$3:$I$209,8,FALSE)</f>
        <v>9</v>
      </c>
      <c r="O199">
        <f t="shared" si="26"/>
        <v>1</v>
      </c>
      <c r="P199">
        <f>VLOOKUP($A199,Outcomes!$B$3:$I$209,5,FALSE)</f>
        <v>5</v>
      </c>
      <c r="Q199">
        <f>VLOOKUP($A199,Outcomes!$B$3:$I$209,6,FALSE)</f>
        <v>4</v>
      </c>
      <c r="R199">
        <f>VLOOKUP($A199,Outcomes!$B$3:$I$209,7,FALSE)</f>
        <v>-1</v>
      </c>
      <c r="S199" t="str">
        <f t="shared" si="27"/>
        <v>HomFave</v>
      </c>
      <c r="T199" t="str">
        <f t="shared" si="28"/>
        <v/>
      </c>
      <c r="U199" t="str">
        <f t="shared" si="24"/>
        <v/>
      </c>
      <c r="V199" t="str">
        <f t="shared" si="29"/>
        <v/>
      </c>
      <c r="W199" t="str">
        <f t="shared" si="30"/>
        <v/>
      </c>
      <c r="X199" s="2" t="str">
        <f t="shared" si="31"/>
        <v/>
      </c>
      <c r="Y199" t="str">
        <f>VLOOKUP($A199,ScionOutput!$A$3:$BL$215,64,FALSE)</f>
        <v xml:space="preserve">824260. Play determined by StatOnlyEns when it disagrees with LineStatEns. </v>
      </c>
    </row>
    <row r="200" spans="1:25" x14ac:dyDescent="0.2">
      <c r="A200">
        <v>823852</v>
      </c>
      <c r="B200" s="3">
        <f>VLOOKUP($A200,ScionOutput!$A$3:$BL$215,3,FALSE)</f>
        <v>46194</v>
      </c>
      <c r="C200">
        <f>VLOOKUP($A200,ScionOutput!$A$3:$BL$215,22,FALSE)</f>
        <v>11</v>
      </c>
      <c r="D200" t="str">
        <f>VLOOKUP($A200,ScionOutput!$A$3:$BL$215,23,FALSE)</f>
        <v>FLO</v>
      </c>
      <c r="E200">
        <f>VLOOKUP($A200,ScionOutput!$A$3:$BL$215,6,FALSE)</f>
        <v>25</v>
      </c>
      <c r="F200" t="str">
        <f>VLOOKUP($A200,ScionOutput!$A$3:$BL$215,7,FALSE)</f>
        <v>SF</v>
      </c>
      <c r="G200">
        <f>VLOOKUP($A200,ScionOutput!$A$3:$BL$215,26,FALSE)</f>
        <v>124</v>
      </c>
      <c r="H200">
        <f>VLOOKUP($A200,ScionOutput!$A$3:$BL$215,10,FALSE)</f>
        <v>-134</v>
      </c>
      <c r="I200" t="str">
        <f>VLOOKUP($A200,ScionOutput!$A$3:$BL$215,58,FALSE)</f>
        <v>No Play</v>
      </c>
      <c r="J200">
        <f>VLOOKUP($A200,ScionOutput!$A$3:$BL$215,59,FALSE)</f>
        <v>0</v>
      </c>
      <c r="K200">
        <f>VLOOKUP($A200,ScionOutput!$A$3:$BL$215,62,FALSE)</f>
        <v>0</v>
      </c>
      <c r="L200">
        <f>VLOOKUP($A200,ScionOutput!$A$3:$BL$215,63,FALSE)</f>
        <v>0</v>
      </c>
      <c r="M200" t="b">
        <f t="shared" si="25"/>
        <v>0</v>
      </c>
      <c r="N200">
        <f>VLOOKUP($A200,Outcomes!$B$3:$I$209,8,FALSE)</f>
        <v>3</v>
      </c>
      <c r="O200">
        <f t="shared" si="26"/>
        <v>1</v>
      </c>
      <c r="P200">
        <f>VLOOKUP($A200,Outcomes!$B$3:$I$209,5,FALSE)</f>
        <v>2</v>
      </c>
      <c r="Q200">
        <f>VLOOKUP($A200,Outcomes!$B$3:$I$209,6,FALSE)</f>
        <v>1</v>
      </c>
      <c r="R200">
        <f>VLOOKUP($A200,Outcomes!$B$3:$I$209,7,FALSE)</f>
        <v>-1</v>
      </c>
      <c r="S200" t="str">
        <f t="shared" si="27"/>
        <v>HomDog</v>
      </c>
      <c r="T200" t="str">
        <f t="shared" si="28"/>
        <v/>
      </c>
      <c r="U200" t="str">
        <f t="shared" si="24"/>
        <v/>
      </c>
      <c r="V200" t="str">
        <f t="shared" si="29"/>
        <v/>
      </c>
      <c r="W200" t="str">
        <f t="shared" si="30"/>
        <v/>
      </c>
      <c r="X200" s="2" t="str">
        <f t="shared" si="31"/>
        <v/>
      </c>
      <c r="Y200" t="str">
        <f>VLOOKUP($A200,ScionOutput!$A$3:$BL$215,64,FALSE)</f>
        <v xml:space="preserve">823852. VF plays are disallowed. No play due to strategy constraints. </v>
      </c>
    </row>
    <row r="201" spans="1:25" x14ac:dyDescent="0.2">
      <c r="A201">
        <v>824177</v>
      </c>
      <c r="B201" s="3">
        <f>VLOOKUP($A201,ScionOutput!$A$3:$BL$215,3,FALSE)</f>
        <v>46194</v>
      </c>
      <c r="C201">
        <f>VLOOKUP($A201,ScionOutput!$A$3:$BL$215,22,FALSE)</f>
        <v>12</v>
      </c>
      <c r="D201" t="str">
        <f>VLOOKUP($A201,ScionOutput!$A$3:$BL$215,23,FALSE)</f>
        <v>HOU</v>
      </c>
      <c r="E201">
        <f>VLOOKUP($A201,ScionOutput!$A$3:$BL$215,6,FALSE)</f>
        <v>7</v>
      </c>
      <c r="F201" t="str">
        <f>VLOOKUP($A201,ScionOutput!$A$3:$BL$215,7,FALSE)</f>
        <v>CLE</v>
      </c>
      <c r="G201">
        <f>VLOOKUP($A201,ScionOutput!$A$3:$BL$215,26,FALSE)</f>
        <v>-129</v>
      </c>
      <c r="H201">
        <f>VLOOKUP($A201,ScionOutput!$A$3:$BL$215,10,FALSE)</f>
        <v>119</v>
      </c>
      <c r="I201" t="str">
        <f>VLOOKUP($A201,ScionOutput!$A$3:$BL$215,58,FALSE)</f>
        <v>No Play</v>
      </c>
      <c r="J201">
        <f>VLOOKUP($A201,ScionOutput!$A$3:$BL$215,59,FALSE)</f>
        <v>0</v>
      </c>
      <c r="K201">
        <f>VLOOKUP($A201,ScionOutput!$A$3:$BL$215,62,FALSE)</f>
        <v>0</v>
      </c>
      <c r="L201">
        <f>VLOOKUP($A201,ScionOutput!$A$3:$BL$215,63,FALSE)</f>
        <v>0</v>
      </c>
      <c r="M201" t="b">
        <f t="shared" si="25"/>
        <v>0</v>
      </c>
      <c r="N201">
        <f>VLOOKUP($A201,Outcomes!$B$3:$I$209,8,FALSE)</f>
        <v>3</v>
      </c>
      <c r="O201">
        <f t="shared" si="26"/>
        <v>1</v>
      </c>
      <c r="P201">
        <f>VLOOKUP($A201,Outcomes!$B$3:$I$209,5,FALSE)</f>
        <v>2</v>
      </c>
      <c r="Q201">
        <f>VLOOKUP($A201,Outcomes!$B$3:$I$209,6,FALSE)</f>
        <v>1</v>
      </c>
      <c r="R201">
        <f>VLOOKUP($A201,Outcomes!$B$3:$I$209,7,FALSE)</f>
        <v>-1</v>
      </c>
      <c r="S201" t="str">
        <f t="shared" si="27"/>
        <v>HomFave</v>
      </c>
      <c r="T201" t="str">
        <f t="shared" si="28"/>
        <v/>
      </c>
      <c r="U201" t="str">
        <f t="shared" si="24"/>
        <v/>
      </c>
      <c r="V201" t="str">
        <f t="shared" si="29"/>
        <v/>
      </c>
      <c r="W201" t="str">
        <f t="shared" si="30"/>
        <v/>
      </c>
      <c r="X201" s="2" t="str">
        <f t="shared" si="31"/>
        <v/>
      </c>
      <c r="Y201" t="str">
        <f>VLOOKUP($A201,ScionOutput!$A$3:$BL$215,64,FALSE)</f>
        <v xml:space="preserve">824177. LineStatEns probability points gap does not exceed threshold (no edge found)! StatOnlyEns probability points gap does not exceed threshold (no edge found)! No play due to strategy constraints. </v>
      </c>
    </row>
    <row r="202" spans="1:25" x14ac:dyDescent="0.2">
      <c r="A202">
        <v>824095</v>
      </c>
      <c r="B202" s="3">
        <f>VLOOKUP($A202,ScionOutput!$A$3:$BL$215,3,FALSE)</f>
        <v>46194</v>
      </c>
      <c r="C202">
        <f>VLOOKUP($A202,ScionOutput!$A$3:$BL$215,22,FALSE)</f>
        <v>13</v>
      </c>
      <c r="D202" t="str">
        <f>VLOOKUP($A202,ScionOutput!$A$3:$BL$215,23,FALSE)</f>
        <v>KC</v>
      </c>
      <c r="E202">
        <f>VLOOKUP($A202,ScionOutput!$A$3:$BL$215,6,FALSE)</f>
        <v>26</v>
      </c>
      <c r="F202" t="str">
        <f>VLOOKUP($A202,ScionOutput!$A$3:$BL$215,7,FALSE)</f>
        <v>STL</v>
      </c>
      <c r="G202">
        <f>VLOOKUP($A202,ScionOutput!$A$3:$BL$215,26,FALSE)</f>
        <v>112</v>
      </c>
      <c r="H202">
        <f>VLOOKUP($A202,ScionOutput!$A$3:$BL$215,10,FALSE)</f>
        <v>-121</v>
      </c>
      <c r="I202" t="str">
        <f>VLOOKUP($A202,ScionOutput!$A$3:$BL$215,58,FALSE)</f>
        <v>No Play</v>
      </c>
      <c r="J202">
        <f>VLOOKUP($A202,ScionOutput!$A$3:$BL$215,59,FALSE)</f>
        <v>0</v>
      </c>
      <c r="K202">
        <f>VLOOKUP($A202,ScionOutput!$A$3:$BL$215,62,FALSE)</f>
        <v>0</v>
      </c>
      <c r="L202">
        <f>VLOOKUP($A202,ScionOutput!$A$3:$BL$215,63,FALSE)</f>
        <v>0</v>
      </c>
      <c r="M202" t="b">
        <f t="shared" si="25"/>
        <v>0</v>
      </c>
      <c r="N202">
        <f>VLOOKUP($A202,Outcomes!$B$3:$I$209,8,FALSE)</f>
        <v>22</v>
      </c>
      <c r="O202">
        <f t="shared" si="26"/>
        <v>-1</v>
      </c>
      <c r="P202">
        <f>VLOOKUP($A202,Outcomes!$B$3:$I$209,5,FALSE)</f>
        <v>10</v>
      </c>
      <c r="Q202">
        <f>VLOOKUP($A202,Outcomes!$B$3:$I$209,6,FALSE)</f>
        <v>12</v>
      </c>
      <c r="R202">
        <f>VLOOKUP($A202,Outcomes!$B$3:$I$209,7,FALSE)</f>
        <v>2</v>
      </c>
      <c r="S202" t="str">
        <f t="shared" si="27"/>
        <v>VisFave</v>
      </c>
      <c r="T202" t="str">
        <f t="shared" si="28"/>
        <v/>
      </c>
      <c r="U202" t="str">
        <f t="shared" si="24"/>
        <v/>
      </c>
      <c r="V202" t="str">
        <f t="shared" si="29"/>
        <v/>
      </c>
      <c r="W202" t="str">
        <f t="shared" si="30"/>
        <v/>
      </c>
      <c r="X202" s="2" t="str">
        <f t="shared" si="31"/>
        <v/>
      </c>
      <c r="Y202" t="str">
        <f>VLOOKUP($A202,ScionOutput!$A$3:$BL$215,64,FALSE)</f>
        <v xml:space="preserve">824095. VF plays are disallowed. No play due to strategy constraints. </v>
      </c>
    </row>
    <row r="203" spans="1:25" x14ac:dyDescent="0.2">
      <c r="A203">
        <v>823934</v>
      </c>
      <c r="B203" s="3">
        <f>VLOOKUP($A203,ScionOutput!$A$3:$BL$215,3,FALSE)</f>
        <v>46194</v>
      </c>
      <c r="C203">
        <f>VLOOKUP($A203,ScionOutput!$A$3:$BL$215,22,FALSE)</f>
        <v>14</v>
      </c>
      <c r="D203" t="str">
        <f>VLOOKUP($A203,ScionOutput!$A$3:$BL$215,23,FALSE)</f>
        <v>LA</v>
      </c>
      <c r="E203">
        <f>VLOOKUP($A203,ScionOutput!$A$3:$BL$215,6,FALSE)</f>
        <v>2</v>
      </c>
      <c r="F203" t="str">
        <f>VLOOKUP($A203,ScionOutput!$A$3:$BL$215,7,FALSE)</f>
        <v>BAL</v>
      </c>
      <c r="G203">
        <f>VLOOKUP($A203,ScionOutput!$A$3:$BL$215,26,FALSE)</f>
        <v>-228</v>
      </c>
      <c r="H203">
        <f>VLOOKUP($A203,ScionOutput!$A$3:$BL$215,10,FALSE)</f>
        <v>206</v>
      </c>
      <c r="I203" t="str">
        <f>VLOOKUP($A203,ScionOutput!$A$3:$BL$215,58,FALSE)</f>
        <v>No Play</v>
      </c>
      <c r="J203">
        <f>VLOOKUP($A203,ScionOutput!$A$3:$BL$215,59,FALSE)</f>
        <v>0</v>
      </c>
      <c r="K203">
        <f>VLOOKUP($A203,ScionOutput!$A$3:$BL$215,62,FALSE)</f>
        <v>0</v>
      </c>
      <c r="L203">
        <f>VLOOKUP($A203,ScionOutput!$A$3:$BL$215,63,FALSE)</f>
        <v>0</v>
      </c>
      <c r="M203" t="b">
        <f t="shared" si="25"/>
        <v>0</v>
      </c>
      <c r="N203">
        <f>VLOOKUP($A203,Outcomes!$B$3:$I$209,8,FALSE)</f>
        <v>13</v>
      </c>
      <c r="O203">
        <f t="shared" si="26"/>
        <v>-1</v>
      </c>
      <c r="P203">
        <f>VLOOKUP($A203,Outcomes!$B$3:$I$209,5,FALSE)</f>
        <v>1</v>
      </c>
      <c r="Q203">
        <f>VLOOKUP($A203,Outcomes!$B$3:$I$209,6,FALSE)</f>
        <v>12</v>
      </c>
      <c r="R203">
        <f>VLOOKUP($A203,Outcomes!$B$3:$I$209,7,FALSE)</f>
        <v>11</v>
      </c>
      <c r="S203" t="str">
        <f t="shared" si="27"/>
        <v>VisDog</v>
      </c>
      <c r="T203" t="str">
        <f t="shared" si="28"/>
        <v/>
      </c>
      <c r="U203" t="str">
        <f t="shared" si="24"/>
        <v/>
      </c>
      <c r="V203" t="str">
        <f t="shared" si="29"/>
        <v/>
      </c>
      <c r="W203" t="str">
        <f t="shared" si="30"/>
        <v/>
      </c>
      <c r="X203" s="2" t="str">
        <f t="shared" si="31"/>
        <v/>
      </c>
      <c r="Y203" t="str">
        <f>VLOOKUP($A203,ScionOutput!$A$3:$BL$215,64,FALSE)</f>
        <v xml:space="preserve">823934. LineStatEns is NoPlay as bookie-line outside range. StatOnlyEns is NoPlay as bookie-line outside range. No play due to strategy constraints. </v>
      </c>
    </row>
    <row r="204" spans="1:25" x14ac:dyDescent="0.2">
      <c r="A204">
        <v>823531</v>
      </c>
      <c r="B204" s="3">
        <f>VLOOKUP($A204,ScionOutput!$A$3:$BL$215,3,FALSE)</f>
        <v>46194</v>
      </c>
      <c r="C204">
        <f>VLOOKUP($A204,ScionOutput!$A$3:$BL$215,22,FALSE)</f>
        <v>19</v>
      </c>
      <c r="D204" t="str">
        <f>VLOOKUP($A204,ScionOutput!$A$3:$BL$215,23,FALSE)</f>
        <v>NYY</v>
      </c>
      <c r="E204">
        <f>VLOOKUP($A204,ScionOutput!$A$3:$BL$215,6,FALSE)</f>
        <v>6</v>
      </c>
      <c r="F204" t="str">
        <f>VLOOKUP($A204,ScionOutput!$A$3:$BL$215,7,FALSE)</f>
        <v>CIN</v>
      </c>
      <c r="G204">
        <f>VLOOKUP($A204,ScionOutput!$A$3:$BL$215,26,FALSE)</f>
        <v>-110</v>
      </c>
      <c r="H204">
        <f>VLOOKUP($A204,ScionOutput!$A$3:$BL$215,10,FALSE)</f>
        <v>101</v>
      </c>
      <c r="I204" t="str">
        <f>VLOOKUP($A204,ScionOutput!$A$3:$BL$215,58,FALSE)</f>
        <v>HomFave</v>
      </c>
      <c r="J204">
        <f>VLOOKUP($A204,ScionOutput!$A$3:$BL$215,59,FALSE)</f>
        <v>7.1300000000000001E-3</v>
      </c>
      <c r="K204">
        <f>VLOOKUP($A204,ScionOutput!$A$3:$BL$215,62,FALSE)</f>
        <v>3</v>
      </c>
      <c r="L204">
        <f>VLOOKUP($A204,ScionOutput!$A$3:$BL$215,63,FALSE)</f>
        <v>0.93</v>
      </c>
      <c r="M204" t="b">
        <f t="shared" si="25"/>
        <v>0</v>
      </c>
      <c r="N204">
        <f>VLOOKUP($A204,Outcomes!$B$3:$I$209,8,FALSE)</f>
        <v>5</v>
      </c>
      <c r="O204">
        <f t="shared" si="26"/>
        <v>-1</v>
      </c>
      <c r="P204">
        <f>VLOOKUP($A204,Outcomes!$B$3:$I$209,5,FALSE)</f>
        <v>1</v>
      </c>
      <c r="Q204">
        <f>VLOOKUP($A204,Outcomes!$B$3:$I$209,6,FALSE)</f>
        <v>4</v>
      </c>
      <c r="R204">
        <f>VLOOKUP($A204,Outcomes!$B$3:$I$209,7,FALSE)</f>
        <v>3</v>
      </c>
      <c r="S204" t="str">
        <f t="shared" si="27"/>
        <v>VisDog</v>
      </c>
      <c r="T204" t="str">
        <f t="shared" si="28"/>
        <v/>
      </c>
      <c r="U204" t="str">
        <f t="shared" si="24"/>
        <v/>
      </c>
      <c r="V204" t="str">
        <f t="shared" si="29"/>
        <v/>
      </c>
      <c r="W204" t="str">
        <f t="shared" si="30"/>
        <v/>
      </c>
      <c r="X204" s="2" t="str">
        <f t="shared" si="31"/>
        <v/>
      </c>
      <c r="Y204" t="str">
        <f>VLOOKUP($A204,ScionOutput!$A$3:$BL$215,64,FALSE)</f>
        <v xml:space="preserve">823531. StatOnlyEns probability points gap does not exceed threshold (no edge found)! Play determined by LineStatEns only. </v>
      </c>
    </row>
    <row r="205" spans="1:25" x14ac:dyDescent="0.2">
      <c r="A205">
        <v>824987</v>
      </c>
      <c r="B205" s="3">
        <f>VLOOKUP($A205,ScionOutput!$A$3:$BL$215,3,FALSE)</f>
        <v>46194</v>
      </c>
      <c r="C205">
        <f>VLOOKUP($A205,ScionOutput!$A$3:$BL$215,22,FALSE)</f>
        <v>20</v>
      </c>
      <c r="D205" t="str">
        <f>VLOOKUP($A205,ScionOutput!$A$3:$BL$215,23,FALSE)</f>
        <v>OAK</v>
      </c>
      <c r="E205">
        <f>VLOOKUP($A205,ScionOutput!$A$3:$BL$215,6,FALSE)</f>
        <v>4</v>
      </c>
      <c r="F205" t="str">
        <f>VLOOKUP($A205,ScionOutput!$A$3:$BL$215,7,FALSE)</f>
        <v>LAA</v>
      </c>
      <c r="G205">
        <f>VLOOKUP($A205,ScionOutput!$A$3:$BL$215,26,FALSE)</f>
        <v>-126</v>
      </c>
      <c r="H205">
        <f>VLOOKUP($A205,ScionOutput!$A$3:$BL$215,10,FALSE)</f>
        <v>116</v>
      </c>
      <c r="I205" t="str">
        <f>VLOOKUP($A205,ScionOutput!$A$3:$BL$215,58,FALSE)</f>
        <v>No Play</v>
      </c>
      <c r="J205">
        <f>VLOOKUP($A205,ScionOutput!$A$3:$BL$215,59,FALSE)</f>
        <v>0</v>
      </c>
      <c r="K205">
        <f>VLOOKUP($A205,ScionOutput!$A$3:$BL$215,62,FALSE)</f>
        <v>0</v>
      </c>
      <c r="L205">
        <f>VLOOKUP($A205,ScionOutput!$A$3:$BL$215,63,FALSE)</f>
        <v>0</v>
      </c>
      <c r="M205" t="b">
        <f t="shared" si="25"/>
        <v>0</v>
      </c>
      <c r="N205">
        <f>VLOOKUP($A205,Outcomes!$B$3:$I$209,8,FALSE)</f>
        <v>16</v>
      </c>
      <c r="O205">
        <f t="shared" si="26"/>
        <v>-1</v>
      </c>
      <c r="P205">
        <f>VLOOKUP($A205,Outcomes!$B$3:$I$209,5,FALSE)</f>
        <v>7</v>
      </c>
      <c r="Q205">
        <f>VLOOKUP($A205,Outcomes!$B$3:$I$209,6,FALSE)</f>
        <v>9</v>
      </c>
      <c r="R205">
        <f>VLOOKUP($A205,Outcomes!$B$3:$I$209,7,FALSE)</f>
        <v>2</v>
      </c>
      <c r="S205" t="str">
        <f t="shared" si="27"/>
        <v>VisDog</v>
      </c>
      <c r="T205" t="str">
        <f t="shared" si="28"/>
        <v/>
      </c>
      <c r="U205" t="str">
        <f t="shared" si="24"/>
        <v/>
      </c>
      <c r="V205" t="str">
        <f t="shared" si="29"/>
        <v/>
      </c>
      <c r="W205" t="str">
        <f t="shared" si="30"/>
        <v/>
      </c>
      <c r="X205" s="2" t="str">
        <f t="shared" si="31"/>
        <v/>
      </c>
      <c r="Y205" t="str">
        <f>VLOOKUP($A205,ScionOutput!$A$3:$BL$215,64,FALSE)</f>
        <v xml:space="preserve">824987. LineStatEns probability points gap does not exceed threshold (no edge found)! No play due to strategy constraints. </v>
      </c>
    </row>
    <row r="206" spans="1:25" x14ac:dyDescent="0.2">
      <c r="A206">
        <v>823449</v>
      </c>
      <c r="B206" s="3">
        <f>VLOOKUP($A206,ScionOutput!$A$3:$BL$215,3,FALSE)</f>
        <v>46194</v>
      </c>
      <c r="C206">
        <f>VLOOKUP($A206,ScionOutput!$A$3:$BL$215,22,FALSE)</f>
        <v>21</v>
      </c>
      <c r="D206" t="str">
        <f>VLOOKUP($A206,ScionOutput!$A$3:$BL$215,23,FALSE)</f>
        <v>PHI</v>
      </c>
      <c r="E206">
        <f>VLOOKUP($A206,ScionOutput!$A$3:$BL$215,6,FALSE)</f>
        <v>18</v>
      </c>
      <c r="F206" t="str">
        <f>VLOOKUP($A206,ScionOutput!$A$3:$BL$215,7,FALSE)</f>
        <v>NYM</v>
      </c>
      <c r="G206">
        <f>VLOOKUP($A206,ScionOutput!$A$3:$BL$215,26,FALSE)</f>
        <v>-172</v>
      </c>
      <c r="H206">
        <f>VLOOKUP($A206,ScionOutput!$A$3:$BL$215,10,FALSE)</f>
        <v>157</v>
      </c>
      <c r="I206" t="str">
        <f>VLOOKUP($A206,ScionOutput!$A$3:$BL$215,58,FALSE)</f>
        <v>No Play</v>
      </c>
      <c r="J206">
        <f>VLOOKUP($A206,ScionOutput!$A$3:$BL$215,59,FALSE)</f>
        <v>0</v>
      </c>
      <c r="K206">
        <f>VLOOKUP($A206,ScionOutput!$A$3:$BL$215,62,FALSE)</f>
        <v>0</v>
      </c>
      <c r="L206">
        <f>VLOOKUP($A206,ScionOutput!$A$3:$BL$215,63,FALSE)</f>
        <v>0</v>
      </c>
      <c r="M206" t="b">
        <f t="shared" si="25"/>
        <v>0</v>
      </c>
      <c r="N206">
        <f>VLOOKUP($A206,Outcomes!$B$3:$I$209,8,FALSE)</f>
        <v>8</v>
      </c>
      <c r="O206">
        <f t="shared" si="26"/>
        <v>1</v>
      </c>
      <c r="P206">
        <f>VLOOKUP($A206,Outcomes!$B$3:$I$209,5,FALSE)</f>
        <v>6</v>
      </c>
      <c r="Q206">
        <f>VLOOKUP($A206,Outcomes!$B$3:$I$209,6,FALSE)</f>
        <v>2</v>
      </c>
      <c r="R206">
        <f>VLOOKUP($A206,Outcomes!$B$3:$I$209,7,FALSE)</f>
        <v>-4</v>
      </c>
      <c r="S206" t="str">
        <f t="shared" si="27"/>
        <v>HomFave</v>
      </c>
      <c r="T206" t="str">
        <f t="shared" si="28"/>
        <v/>
      </c>
      <c r="U206" t="str">
        <f t="shared" si="24"/>
        <v/>
      </c>
      <c r="V206" t="str">
        <f t="shared" si="29"/>
        <v/>
      </c>
      <c r="W206" t="str">
        <f t="shared" si="30"/>
        <v/>
      </c>
      <c r="X206" s="2" t="str">
        <f t="shared" si="31"/>
        <v/>
      </c>
      <c r="Y206" t="str">
        <f>VLOOKUP($A206,ScionOutput!$A$3:$BL$215,64,FALSE)</f>
        <v xml:space="preserve">823449. LineStatEns is NoPlay as bookie-line outside range. StatOnlyEns is NoPlay as bookie-line outside range. No play due to strategy constraints. </v>
      </c>
    </row>
    <row r="207" spans="1:25" x14ac:dyDescent="0.2">
      <c r="A207">
        <v>823123</v>
      </c>
      <c r="B207" s="3">
        <f>VLOOKUP($A207,ScionOutput!$A$3:$BL$215,3,FALSE)</f>
        <v>46194</v>
      </c>
      <c r="C207">
        <f>VLOOKUP($A207,ScionOutput!$A$3:$BL$215,22,FALSE)</f>
        <v>24</v>
      </c>
      <c r="D207" t="str">
        <f>VLOOKUP($A207,ScionOutput!$A$3:$BL$215,23,FALSE)</f>
        <v>SEA</v>
      </c>
      <c r="E207">
        <f>VLOOKUP($A207,ScionOutput!$A$3:$BL$215,6,FALSE)</f>
        <v>3</v>
      </c>
      <c r="F207" t="str">
        <f>VLOOKUP($A207,ScionOutput!$A$3:$BL$215,7,FALSE)</f>
        <v>BOS</v>
      </c>
      <c r="G207">
        <f>VLOOKUP($A207,ScionOutput!$A$3:$BL$215,26,FALSE)</f>
        <v>-118</v>
      </c>
      <c r="H207">
        <f>VLOOKUP($A207,ScionOutput!$A$3:$BL$215,10,FALSE)</f>
        <v>109</v>
      </c>
      <c r="I207" t="str">
        <f>VLOOKUP($A207,ScionOutput!$A$3:$BL$215,58,FALSE)</f>
        <v>No Play</v>
      </c>
      <c r="J207">
        <f>VLOOKUP($A207,ScionOutput!$A$3:$BL$215,59,FALSE)</f>
        <v>0</v>
      </c>
      <c r="K207">
        <f>VLOOKUP($A207,ScionOutput!$A$3:$BL$215,62,FALSE)</f>
        <v>0</v>
      </c>
      <c r="L207">
        <f>VLOOKUP($A207,ScionOutput!$A$3:$BL$215,63,FALSE)</f>
        <v>0</v>
      </c>
      <c r="M207" t="b">
        <f t="shared" si="25"/>
        <v>0</v>
      </c>
      <c r="N207">
        <f>VLOOKUP($A207,Outcomes!$B$3:$I$209,8,FALSE)</f>
        <v>4</v>
      </c>
      <c r="O207">
        <f t="shared" si="26"/>
        <v>1</v>
      </c>
      <c r="P207">
        <f>VLOOKUP($A207,Outcomes!$B$3:$I$209,5,FALSE)</f>
        <v>3</v>
      </c>
      <c r="Q207">
        <f>VLOOKUP($A207,Outcomes!$B$3:$I$209,6,FALSE)</f>
        <v>1</v>
      </c>
      <c r="R207">
        <f>VLOOKUP($A207,Outcomes!$B$3:$I$209,7,FALSE)</f>
        <v>-2</v>
      </c>
      <c r="S207" t="str">
        <f t="shared" si="27"/>
        <v>HomFave</v>
      </c>
      <c r="T207" t="str">
        <f t="shared" si="28"/>
        <v/>
      </c>
      <c r="U207" t="str">
        <f t="shared" si="24"/>
        <v/>
      </c>
      <c r="V207" t="str">
        <f t="shared" si="29"/>
        <v/>
      </c>
      <c r="W207" t="str">
        <f t="shared" si="30"/>
        <v/>
      </c>
      <c r="X207" s="2" t="str">
        <f t="shared" si="31"/>
        <v/>
      </c>
      <c r="Y207" t="str">
        <f>VLOOKUP($A207,ScionOutput!$A$3:$BL$215,64,FALSE)</f>
        <v xml:space="preserve">823123. LineStatEns probability points gap does not exceed threshold (no edge found)! StatOnlyEns probability points gap does not exceed threshold (no edge found)! No play due to strategy constraints. </v>
      </c>
    </row>
    <row r="208" spans="1:25" x14ac:dyDescent="0.2">
      <c r="A208">
        <v>822968</v>
      </c>
      <c r="B208" s="3">
        <f>VLOOKUP($A208,ScionOutput!$A$3:$BL$215,3,FALSE)</f>
        <v>46194</v>
      </c>
      <c r="C208">
        <f>VLOOKUP($A208,ScionOutput!$A$3:$BL$215,22,FALSE)</f>
        <v>27</v>
      </c>
      <c r="D208" t="str">
        <f>VLOOKUP($A208,ScionOutput!$A$3:$BL$215,23,FALSE)</f>
        <v>TB</v>
      </c>
      <c r="E208">
        <f>VLOOKUP($A208,ScionOutput!$A$3:$BL$215,6,FALSE)</f>
        <v>16</v>
      </c>
      <c r="F208" t="str">
        <f>VLOOKUP($A208,ScionOutput!$A$3:$BL$215,7,FALSE)</f>
        <v>WAS</v>
      </c>
      <c r="G208">
        <f>VLOOKUP($A208,ScionOutput!$A$3:$BL$215,26,FALSE)</f>
        <v>-127</v>
      </c>
      <c r="H208">
        <f>VLOOKUP($A208,ScionOutput!$A$3:$BL$215,10,FALSE)</f>
        <v>117</v>
      </c>
      <c r="I208" t="str">
        <f>VLOOKUP($A208,ScionOutput!$A$3:$BL$215,58,FALSE)</f>
        <v>No Play</v>
      </c>
      <c r="J208">
        <f>VLOOKUP($A208,ScionOutput!$A$3:$BL$215,59,FALSE)</f>
        <v>0</v>
      </c>
      <c r="K208">
        <f>VLOOKUP($A208,ScionOutput!$A$3:$BL$215,62,FALSE)</f>
        <v>0</v>
      </c>
      <c r="L208">
        <f>VLOOKUP($A208,ScionOutput!$A$3:$BL$215,63,FALSE)</f>
        <v>0</v>
      </c>
      <c r="M208" t="b">
        <f t="shared" si="25"/>
        <v>0</v>
      </c>
      <c r="N208">
        <f>VLOOKUP($A208,Outcomes!$B$3:$I$209,8,FALSE)</f>
        <v>7</v>
      </c>
      <c r="O208">
        <f t="shared" si="26"/>
        <v>1</v>
      </c>
      <c r="P208">
        <f>VLOOKUP($A208,Outcomes!$B$3:$I$209,5,FALSE)</f>
        <v>4</v>
      </c>
      <c r="Q208">
        <f>VLOOKUP($A208,Outcomes!$B$3:$I$209,6,FALSE)</f>
        <v>3</v>
      </c>
      <c r="R208">
        <f>VLOOKUP($A208,Outcomes!$B$3:$I$209,7,FALSE)</f>
        <v>-1</v>
      </c>
      <c r="S208" t="str">
        <f t="shared" si="27"/>
        <v>HomFave</v>
      </c>
      <c r="T208" t="str">
        <f t="shared" si="28"/>
        <v/>
      </c>
      <c r="U208" t="str">
        <f t="shared" si="24"/>
        <v/>
      </c>
      <c r="V208" t="str">
        <f t="shared" si="29"/>
        <v/>
      </c>
      <c r="W208" t="str">
        <f t="shared" si="30"/>
        <v/>
      </c>
      <c r="X208" s="2" t="str">
        <f t="shared" si="31"/>
        <v/>
      </c>
      <c r="Y208" t="str">
        <f>VLOOKUP($A208,ScionOutput!$A$3:$BL$215,64,FALSE)</f>
        <v xml:space="preserve">822968. LineStatEns probability points gap does not exceed threshold (no edge found)! StatOnlyEns probability points gap does not exceed threshold (no edge found)! No play due to strategy constraints. </v>
      </c>
    </row>
    <row r="209" spans="1:25" x14ac:dyDescent="0.2">
      <c r="A209">
        <v>822883</v>
      </c>
      <c r="B209" s="3">
        <f>VLOOKUP($A209,ScionOutput!$A$3:$BL$215,3,FALSE)</f>
        <v>46194</v>
      </c>
      <c r="C209">
        <f>VLOOKUP($A209,ScionOutput!$A$3:$BL$215,22,FALSE)</f>
        <v>28</v>
      </c>
      <c r="D209" t="str">
        <f>VLOOKUP($A209,ScionOutput!$A$3:$BL$215,23,FALSE)</f>
        <v>TEX</v>
      </c>
      <c r="E209">
        <f>VLOOKUP($A209,ScionOutput!$A$3:$BL$215,6,FALSE)</f>
        <v>23</v>
      </c>
      <c r="F209" t="str">
        <f>VLOOKUP($A209,ScionOutput!$A$3:$BL$215,7,FALSE)</f>
        <v>SD</v>
      </c>
      <c r="G209">
        <f>VLOOKUP($A209,ScionOutput!$A$3:$BL$215,26,FALSE)</f>
        <v>-160</v>
      </c>
      <c r="H209">
        <f>VLOOKUP($A209,ScionOutput!$A$3:$BL$215,10,FALSE)</f>
        <v>147</v>
      </c>
      <c r="I209" t="str">
        <f>VLOOKUP($A209,ScionOutput!$A$3:$BL$215,58,FALSE)</f>
        <v>No Play</v>
      </c>
      <c r="J209">
        <f>VLOOKUP($A209,ScionOutput!$A$3:$BL$215,59,FALSE)</f>
        <v>0</v>
      </c>
      <c r="K209">
        <f>VLOOKUP($A209,ScionOutput!$A$3:$BL$215,62,FALSE)</f>
        <v>0</v>
      </c>
      <c r="L209">
        <f>VLOOKUP($A209,ScionOutput!$A$3:$BL$215,63,FALSE)</f>
        <v>0</v>
      </c>
      <c r="M209" t="b">
        <f t="shared" si="25"/>
        <v>0</v>
      </c>
      <c r="N209">
        <f>VLOOKUP($A209,Outcomes!$B$3:$I$209,8,FALSE)</f>
        <v>7</v>
      </c>
      <c r="O209">
        <f t="shared" si="26"/>
        <v>1</v>
      </c>
      <c r="P209">
        <f>VLOOKUP($A209,Outcomes!$B$3:$I$209,5,FALSE)</f>
        <v>4</v>
      </c>
      <c r="Q209">
        <f>VLOOKUP($A209,Outcomes!$B$3:$I$209,6,FALSE)</f>
        <v>3</v>
      </c>
      <c r="R209">
        <f>VLOOKUP($A209,Outcomes!$B$3:$I$209,7,FALSE)</f>
        <v>-1</v>
      </c>
      <c r="S209" t="str">
        <f t="shared" si="27"/>
        <v>HomFave</v>
      </c>
      <c r="T209" t="str">
        <f t="shared" si="28"/>
        <v/>
      </c>
      <c r="U209" t="str">
        <f t="shared" si="24"/>
        <v/>
      </c>
      <c r="V209" t="str">
        <f t="shared" si="29"/>
        <v/>
      </c>
      <c r="W209" t="str">
        <f t="shared" si="30"/>
        <v/>
      </c>
      <c r="X209" s="2" t="str">
        <f t="shared" si="31"/>
        <v/>
      </c>
      <c r="Y209" t="str">
        <f>VLOOKUP($A209,ScionOutput!$A$3:$BL$215,64,FALSE)</f>
        <v xml:space="preserve">822883. LineStatEns is NoPlay as bookie-line outside range. StatOnlyEns is NoPlay as bookie-line outside range. No play due to strategy constraints. </v>
      </c>
    </row>
    <row r="210" spans="1:25" x14ac:dyDescent="0.2">
      <c r="D210" t="s">
        <v>667</v>
      </c>
      <c r="F210" t="s">
        <v>667</v>
      </c>
      <c r="G210" t="s">
        <v>667</v>
      </c>
      <c r="H210" t="s">
        <v>667</v>
      </c>
      <c r="I210" t="s">
        <v>667</v>
      </c>
      <c r="J210" t="s">
        <v>667</v>
      </c>
      <c r="K210" t="s">
        <v>667</v>
      </c>
      <c r="L210" t="s">
        <v>667</v>
      </c>
      <c r="M210" t="s">
        <v>667</v>
      </c>
      <c r="T210" t="s">
        <v>667</v>
      </c>
      <c r="U210">
        <f>SUM(U2:U209)</f>
        <v>565</v>
      </c>
      <c r="V210">
        <f>SUM(V2:V209)</f>
        <v>839</v>
      </c>
      <c r="W210">
        <f>SUM(W2:W209)</f>
        <v>274</v>
      </c>
      <c r="X210" s="2">
        <f t="shared" si="31"/>
        <v>0.4849557522123894</v>
      </c>
      <c r="Y210" t="s">
        <v>667</v>
      </c>
    </row>
    <row r="211" spans="1:25" x14ac:dyDescent="0.2">
      <c r="S211" t="s">
        <v>672</v>
      </c>
      <c r="T211">
        <f>COUNT(R2:R209)</f>
        <v>208</v>
      </c>
    </row>
    <row r="212" spans="1:25" x14ac:dyDescent="0.2">
      <c r="S212" t="s">
        <v>673</v>
      </c>
      <c r="T212">
        <f>COUNT(T2:T209)</f>
        <v>5</v>
      </c>
    </row>
    <row r="213" spans="1:25" x14ac:dyDescent="0.2">
      <c r="S213" s="1" t="s">
        <v>674</v>
      </c>
      <c r="T213" s="2">
        <f>T212/T211</f>
        <v>2.403846153846154E-2</v>
      </c>
    </row>
    <row r="214" spans="1:25" x14ac:dyDescent="0.2">
      <c r="S214" t="s">
        <v>675</v>
      </c>
      <c r="T214">
        <f>SUM(T2:T209)</f>
        <v>4</v>
      </c>
    </row>
    <row r="215" spans="1:25" x14ac:dyDescent="0.2">
      <c r="S215" t="s">
        <v>676</v>
      </c>
      <c r="T215" s="2">
        <f>T214/T212</f>
        <v>0.8</v>
      </c>
    </row>
    <row r="216" spans="1:25" x14ac:dyDescent="0.2">
      <c r="S216" t="s">
        <v>684</v>
      </c>
      <c r="T216">
        <f>U210</f>
        <v>565</v>
      </c>
    </row>
    <row r="217" spans="1:25" x14ac:dyDescent="0.2">
      <c r="S217" t="s">
        <v>685</v>
      </c>
      <c r="T217">
        <f>V210</f>
        <v>839</v>
      </c>
    </row>
    <row r="218" spans="1:25" x14ac:dyDescent="0.2">
      <c r="S218" t="s">
        <v>687</v>
      </c>
      <c r="T218">
        <f>W210</f>
        <v>274</v>
      </c>
    </row>
    <row r="219" spans="1:25" x14ac:dyDescent="0.2">
      <c r="S219" t="s">
        <v>686</v>
      </c>
      <c r="T219" s="2">
        <f>IF(T216=0,0,T218/T216)</f>
        <v>0.4849557522123894</v>
      </c>
    </row>
    <row r="221" spans="1:25" x14ac:dyDescent="0.2">
      <c r="R221" t="s">
        <v>680</v>
      </c>
      <c r="S221" t="s">
        <v>681</v>
      </c>
      <c r="T221">
        <f>COUNTIFS($I$2:$I$209,"HomFave",$T$2:$T$209,"1")+COUNTIFS($I$2:$I$209,"HomFave",$T$2:$T$209,"0")</f>
        <v>5</v>
      </c>
      <c r="V221" t="s">
        <v>688</v>
      </c>
      <c r="W221" t="s">
        <v>681</v>
      </c>
      <c r="X221">
        <f>COUNTIFS($I$2:$I$209,"VisDog",$T$2:$T$209,"1")+COUNTIFS($I$2:$I$209,"VisDog",$T$2:$T$209,"0")</f>
        <v>0</v>
      </c>
    </row>
    <row r="222" spans="1:25" x14ac:dyDescent="0.2">
      <c r="S222" t="s">
        <v>682</v>
      </c>
      <c r="T222">
        <f>COUNTIFS($I$2:$I$209,"HomFave",$T$2:$T$209,"1")</f>
        <v>4</v>
      </c>
      <c r="W222" t="s">
        <v>682</v>
      </c>
      <c r="X222">
        <f>COUNTIFS($I$2:$I$209,"VisDog",$T$2:$T$209,"1")</f>
        <v>0</v>
      </c>
    </row>
    <row r="223" spans="1:25" x14ac:dyDescent="0.2">
      <c r="S223" t="s">
        <v>683</v>
      </c>
      <c r="T223" s="2">
        <f>IF(T221=0,0,T222/T221)</f>
        <v>0.8</v>
      </c>
      <c r="W223" t="s">
        <v>683</v>
      </c>
      <c r="X223" s="2">
        <f>IF(X221=0,0,X222/X221)</f>
        <v>0</v>
      </c>
    </row>
    <row r="224" spans="1:25" x14ac:dyDescent="0.2">
      <c r="S224" t="s">
        <v>684</v>
      </c>
      <c r="T224">
        <f>SUMIFS($U$2:$U$209,$I$2:$I$209,"HomFave")</f>
        <v>565</v>
      </c>
      <c r="W224" t="s">
        <v>684</v>
      </c>
      <c r="X224">
        <f>SUMIFS($U$2:$U$209,$I$2:$I$209,"VisDog")</f>
        <v>0</v>
      </c>
    </row>
    <row r="225" spans="18:24" x14ac:dyDescent="0.2">
      <c r="S225" t="s">
        <v>685</v>
      </c>
      <c r="T225">
        <f>SUMIFS($V$2:$V$209,$I$2:$I$209,"HomFave")</f>
        <v>839</v>
      </c>
      <c r="W225" t="s">
        <v>685</v>
      </c>
      <c r="X225">
        <f>SUMIFS($V$2:$V$209,$I$2:$I$209,"VisDog")</f>
        <v>0</v>
      </c>
    </row>
    <row r="226" spans="18:24" x14ac:dyDescent="0.2">
      <c r="S226" t="s">
        <v>687</v>
      </c>
      <c r="T226">
        <f>T225-T224</f>
        <v>274</v>
      </c>
      <c r="W226" t="s">
        <v>687</v>
      </c>
      <c r="X226">
        <f>X225-X224</f>
        <v>0</v>
      </c>
    </row>
    <row r="227" spans="18:24" x14ac:dyDescent="0.2">
      <c r="S227" t="s">
        <v>686</v>
      </c>
      <c r="T227" s="2">
        <f>IF(T224=0,0,T226/T224)</f>
        <v>0.4849557522123894</v>
      </c>
      <c r="W227" t="s">
        <v>686</v>
      </c>
      <c r="X227" s="2">
        <f>IF(X224=0,0,X226/X224)</f>
        <v>0</v>
      </c>
    </row>
    <row r="229" spans="18:24" x14ac:dyDescent="0.2">
      <c r="R229" t="s">
        <v>689</v>
      </c>
      <c r="S229" t="s">
        <v>681</v>
      </c>
      <c r="T229">
        <f>COUNTIFS($I$2:$I$209,"VisFave",$T$2:$T$209,"1")+COUNTIFS($I$2:$I$209,"VisFave",$T$2:$T$209,"0")</f>
        <v>0</v>
      </c>
      <c r="V229" t="s">
        <v>690</v>
      </c>
      <c r="W229" t="s">
        <v>681</v>
      </c>
      <c r="X229">
        <f>COUNTIFS($I$2:$I$209,"HomDog",$T$2:$T$209,"1")+COUNTIFS($I$2:$I$209,"HomDog",$T$2:$T$209,"0")</f>
        <v>0</v>
      </c>
    </row>
    <row r="230" spans="18:24" x14ac:dyDescent="0.2">
      <c r="S230" t="s">
        <v>682</v>
      </c>
      <c r="T230">
        <f>COUNTIFS($I$2:$I$209,"VisFave",$T$2:$T$209,"1")</f>
        <v>0</v>
      </c>
      <c r="W230" t="s">
        <v>682</v>
      </c>
      <c r="X230">
        <f>COUNTIFS($I$2:$I$209,"HomDog",$T$2:$T$209,"1")</f>
        <v>0</v>
      </c>
    </row>
    <row r="231" spans="18:24" x14ac:dyDescent="0.2">
      <c r="S231" t="s">
        <v>683</v>
      </c>
      <c r="T231" s="2">
        <f>IF(T229=0,0,T230/T229)</f>
        <v>0</v>
      </c>
      <c r="W231" t="s">
        <v>683</v>
      </c>
      <c r="X231" s="2">
        <f>IF(X229=0,0,X230/X229)</f>
        <v>0</v>
      </c>
    </row>
    <row r="232" spans="18:24" x14ac:dyDescent="0.2">
      <c r="S232" t="s">
        <v>684</v>
      </c>
      <c r="T232">
        <f>SUMIFS($U$2:$U$209,$I$2:$I$209,"VisFave")</f>
        <v>0</v>
      </c>
      <c r="W232" t="s">
        <v>684</v>
      </c>
      <c r="X232">
        <f>SUMIFS($U$2:$U$209,$I$2:$I$209,"HomDog")</f>
        <v>0</v>
      </c>
    </row>
    <row r="233" spans="18:24" x14ac:dyDescent="0.2">
      <c r="S233" t="s">
        <v>685</v>
      </c>
      <c r="T233">
        <f>SUMIFS($V$2:$V$209,$I$2:$I$209,"VisFave")</f>
        <v>0</v>
      </c>
      <c r="W233" t="s">
        <v>685</v>
      </c>
      <c r="X233">
        <f>SUMIFS($V$2:$V$209,$I$2:$I$209,"HomDog")</f>
        <v>0</v>
      </c>
    </row>
    <row r="234" spans="18:24" x14ac:dyDescent="0.2">
      <c r="S234" t="s">
        <v>687</v>
      </c>
      <c r="T234">
        <f>T233-T232</f>
        <v>0</v>
      </c>
      <c r="W234" t="s">
        <v>687</v>
      </c>
      <c r="X234">
        <f>X233-X232</f>
        <v>0</v>
      </c>
    </row>
    <row r="235" spans="18:24" x14ac:dyDescent="0.2">
      <c r="S235" t="s">
        <v>686</v>
      </c>
      <c r="T235" s="2">
        <f>IF(T232=0,0,T234/T232)</f>
        <v>0</v>
      </c>
      <c r="W235" t="s">
        <v>686</v>
      </c>
      <c r="X235" s="2">
        <f>IF(X232=0,0,X234/X232)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F7FC-1383-C443-95BB-026914A409EC}">
  <dimension ref="A1:Y235"/>
  <sheetViews>
    <sheetView workbookViewId="0">
      <pane ySplit="1" topLeftCell="A175" activePane="bottomLeft" state="frozen"/>
      <selection pane="bottomLeft" activeCell="S216" sqref="S216:T219"/>
    </sheetView>
  </sheetViews>
  <sheetFormatPr baseColWidth="10" defaultRowHeight="16" x14ac:dyDescent="0.2"/>
  <cols>
    <col min="7" max="7" width="17.6640625" bestFit="1" customWidth="1"/>
    <col min="8" max="8" width="17.33203125" bestFit="1" customWidth="1"/>
    <col min="9" max="9" width="21.83203125" bestFit="1" customWidth="1"/>
    <col min="10" max="10" width="21.5" bestFit="1" customWidth="1"/>
    <col min="13" max="13" width="15.1640625" bestFit="1" customWidth="1"/>
  </cols>
  <sheetData>
    <row r="1" spans="1:25" x14ac:dyDescent="0.2">
      <c r="A1" t="s">
        <v>0</v>
      </c>
      <c r="B1" t="s">
        <v>1</v>
      </c>
      <c r="C1" t="s">
        <v>3</v>
      </c>
      <c r="D1" t="s">
        <v>668</v>
      </c>
      <c r="E1" t="s">
        <v>4</v>
      </c>
      <c r="F1" t="s">
        <v>669</v>
      </c>
      <c r="G1" t="s">
        <v>33</v>
      </c>
      <c r="H1" t="s">
        <v>17</v>
      </c>
      <c r="I1" t="s">
        <v>65</v>
      </c>
      <c r="J1" t="s">
        <v>66</v>
      </c>
      <c r="K1" t="s">
        <v>69</v>
      </c>
      <c r="L1" t="s">
        <v>70</v>
      </c>
      <c r="M1" t="s">
        <v>1304</v>
      </c>
      <c r="N1" t="s">
        <v>2</v>
      </c>
      <c r="O1" t="s">
        <v>5</v>
      </c>
      <c r="P1" t="s">
        <v>6</v>
      </c>
      <c r="Q1" t="s">
        <v>7</v>
      </c>
      <c r="R1" t="s">
        <v>8</v>
      </c>
      <c r="S1" t="s">
        <v>671</v>
      </c>
      <c r="T1" t="s">
        <v>670</v>
      </c>
      <c r="U1" t="s">
        <v>677</v>
      </c>
      <c r="V1" t="s">
        <v>678</v>
      </c>
      <c r="W1" t="s">
        <v>679</v>
      </c>
      <c r="X1" t="s">
        <v>686</v>
      </c>
      <c r="Y1" t="s">
        <v>71</v>
      </c>
    </row>
    <row r="2" spans="1:25" x14ac:dyDescent="0.2">
      <c r="A2">
        <v>824915</v>
      </c>
      <c r="B2" s="3">
        <f>VLOOKUP($A2,ScionOutput!$A$3:$BL$215,3,FALSE)</f>
        <v>46179</v>
      </c>
      <c r="C2">
        <f>VLOOKUP($A2,ScionOutput!$A$3:$BL$215,22,FALSE)</f>
        <v>0</v>
      </c>
      <c r="D2" t="str">
        <f>VLOOKUP($A2,ScionOutput!$A$3:$BL$215,23,FALSE)</f>
        <v>ATL</v>
      </c>
      <c r="E2">
        <f>VLOOKUP($A2,ScionOutput!$A$3:$BL$215,6,FALSE)</f>
        <v>22</v>
      </c>
      <c r="F2" t="str">
        <f>VLOOKUP($A2,ScionOutput!$A$3:$BL$215,7,FALSE)</f>
        <v>PIT</v>
      </c>
      <c r="G2">
        <f>VLOOKUP($A2,ScionOutput!$A$3:$BL$215,26,FALSE)</f>
        <v>-110</v>
      </c>
      <c r="H2">
        <f>VLOOKUP($A2,ScionOutput!$A$3:$BL$215,10,FALSE)</f>
        <v>100</v>
      </c>
      <c r="I2" t="str">
        <f>VLOOKUP($A2,ScionOutput!$A$3:$BL$215,58,FALSE)</f>
        <v>HomFave</v>
      </c>
      <c r="J2">
        <f>VLOOKUP($A2,ScionOutput!$A$3:$BL$215,59,FALSE)</f>
        <v>1.8370000000000001E-2</v>
      </c>
      <c r="K2">
        <f>VLOOKUP($A2,ScionOutput!$A$3:$BL$215,62,FALSE)</f>
        <v>1</v>
      </c>
      <c r="L2">
        <f>VLOOKUP($A2,ScionOutput!$A$3:$BL$215,63,FALSE)</f>
        <v>0.93</v>
      </c>
      <c r="M2" t="b">
        <f>ISNUMBER(SEARCH("Play determined by LineStatEns and StatOnlyEns agreement", Y2))</f>
        <v>1</v>
      </c>
      <c r="N2">
        <f>VLOOKUP($A2,Outcomes!$B$3:$I$209,8,FALSE)</f>
        <v>9</v>
      </c>
      <c r="O2">
        <f>IF(P2&gt;Q2,1,IF(P2&lt;Q2,-1,0))</f>
        <v>1</v>
      </c>
      <c r="P2">
        <f>VLOOKUP($A2,Outcomes!$B$3:$I$209,5,FALSE)</f>
        <v>6</v>
      </c>
      <c r="Q2">
        <f>VLOOKUP($A2,Outcomes!$B$3:$I$209,6,FALSE)</f>
        <v>3</v>
      </c>
      <c r="R2">
        <f>VLOOKUP($A2,Outcomes!$B$3:$I$209,7,FALSE)</f>
        <v>-3</v>
      </c>
      <c r="S2" t="str">
        <f>IF(R2=0,"Push",IF(G2&lt;H2,IF(R2&lt;0,"HomFave","VisDog"),IF(R2&gt;0,"VisFave","HomDog")))</f>
        <v>HomFave</v>
      </c>
      <c r="T2" t="str">
        <f>IF(OR(R2=0,I2="No Play",K2&lt;&gt;3),"",IF(S2=I2,1,0))</f>
        <v/>
      </c>
      <c r="U2" t="str">
        <f t="shared" ref="U2:U65" si="0">IF(T2="","",IF(G2&lt;H2,IF(I2="HomFave",ABS(G2),IF(H2&lt;0,ABS(H2),100)),IF(I2="VisFave",ABS(H2),IF(G2&lt;0,ABS(G2),100))))</f>
        <v/>
      </c>
      <c r="V2" t="str">
        <f>IF(T2="","",IF(T2=0,0,IF(G2&lt;H2,IF(I2="HomFave",U2+100,IF(H2&lt;0,100+U2,U2+ABS(H2))),IF(I2="VisFave",U2+100,IF(G2&lt;0,100+U2,U2+ABS(G2))))))</f>
        <v/>
      </c>
      <c r="W2" t="str">
        <f>IF(T2="","",V2-U2)</f>
        <v/>
      </c>
      <c r="X2" s="2" t="str">
        <f>IF(T2="","",W2/U2)</f>
        <v/>
      </c>
      <c r="Y2" t="str">
        <f>VLOOKUP($A2,ScionOutput!$A$3:$BL$215,64,FALSE)</f>
        <v xml:space="preserve">824915. Play determined by LineStatEns and StatOnlyEns agreement. </v>
      </c>
    </row>
    <row r="3" spans="1:25" x14ac:dyDescent="0.2">
      <c r="A3">
        <v>825075</v>
      </c>
      <c r="B3" s="3">
        <f>VLOOKUP($A3,ScionOutput!$A$3:$BL$215,3,FALSE)</f>
        <v>46179</v>
      </c>
      <c r="C3">
        <f>VLOOKUP($A3,ScionOutput!$A$3:$BL$215,22,FALSE)</f>
        <v>1</v>
      </c>
      <c r="D3" t="str">
        <f>VLOOKUP($A3,ScionOutput!$A$3:$BL$215,23,FALSE)</f>
        <v>ARZ</v>
      </c>
      <c r="E3">
        <f>VLOOKUP($A3,ScionOutput!$A$3:$BL$215,6,FALSE)</f>
        <v>16</v>
      </c>
      <c r="F3" t="str">
        <f>VLOOKUP($A3,ScionOutput!$A$3:$BL$215,7,FALSE)</f>
        <v>WAS</v>
      </c>
      <c r="G3">
        <f>VLOOKUP($A3,ScionOutput!$A$3:$BL$215,26,FALSE)</f>
        <v>-155</v>
      </c>
      <c r="H3">
        <f>VLOOKUP($A3,ScionOutput!$A$3:$BL$215,10,FALSE)</f>
        <v>140</v>
      </c>
      <c r="I3" t="str">
        <f>VLOOKUP($A3,ScionOutput!$A$3:$BL$215,58,FALSE)</f>
        <v>No Play</v>
      </c>
      <c r="J3">
        <f>VLOOKUP($A3,ScionOutput!$A$3:$BL$215,59,FALSE)</f>
        <v>0</v>
      </c>
      <c r="K3">
        <f>VLOOKUP($A3,ScionOutput!$A$3:$BL$215,62,FALSE)</f>
        <v>0</v>
      </c>
      <c r="L3">
        <f>VLOOKUP($A3,ScionOutput!$A$3:$BL$215,63,FALSE)</f>
        <v>0</v>
      </c>
      <c r="M3" t="b">
        <f t="shared" ref="M3:M66" si="1">ISNUMBER(SEARCH("Play determined by LineStatEns and StatOnlyEns agreement", Y3))</f>
        <v>0</v>
      </c>
      <c r="N3">
        <f>VLOOKUP($A3,Outcomes!$B$3:$I$209,8,FALSE)</f>
        <v>7</v>
      </c>
      <c r="O3">
        <f t="shared" ref="O3:O66" si="2">IF(P3&gt;Q3,1,IF(P3&lt;Q3,-1,0))</f>
        <v>-1</v>
      </c>
      <c r="P3">
        <f>VLOOKUP($A3,Outcomes!$B$3:$I$209,5,FALSE)</f>
        <v>1</v>
      </c>
      <c r="Q3">
        <f>VLOOKUP($A3,Outcomes!$B$3:$I$209,6,FALSE)</f>
        <v>6</v>
      </c>
      <c r="R3">
        <f>VLOOKUP($A3,Outcomes!$B$3:$I$209,7,FALSE)</f>
        <v>5</v>
      </c>
      <c r="S3" t="str">
        <f t="shared" ref="S3:S66" si="3">IF(R3=0,"Push",IF(G3&lt;H3,IF(R3&lt;0,"HomFave","VisDog"),IF(R3&gt;0,"VisFave","HomDog")))</f>
        <v>VisDog</v>
      </c>
      <c r="T3" t="str">
        <f t="shared" ref="T3:T66" si="4">IF(OR(R3=0,I3="No Play",K3&lt;&gt;3),"",IF(S3=I3,1,0))</f>
        <v/>
      </c>
      <c r="U3" t="str">
        <f t="shared" si="0"/>
        <v/>
      </c>
      <c r="V3" t="str">
        <f t="shared" ref="V3:V66" si="5">IF(T3="","",IF(T3=0,0,IF(G3&lt;H3,IF(I3="HomFave",U3+100,IF(H3&lt;0,100+U3,U3+ABS(H3))),IF(I3="VisFave",U3+100,IF(G3&lt;0,100+U3,U3+ABS(G3))))))</f>
        <v/>
      </c>
      <c r="W3" t="str">
        <f t="shared" ref="W3:W66" si="6">IF(T3="","",V3-U3)</f>
        <v/>
      </c>
      <c r="X3" s="2" t="str">
        <f t="shared" ref="X3:X66" si="7">IF(T3="","",W3/U3)</f>
        <v/>
      </c>
      <c r="Y3" t="str">
        <f>VLOOKUP($A3,ScionOutput!$A$3:$BL$215,64,FALSE)</f>
        <v xml:space="preserve">825075. LineStatEns is NoPlay as bookie-line outside range. StatOnlyEns is NoPlay as bookie-line outside range. No play due to strategy constraints. </v>
      </c>
    </row>
    <row r="4" spans="1:25" x14ac:dyDescent="0.2">
      <c r="A4">
        <v>824669</v>
      </c>
      <c r="B4" s="3">
        <f>VLOOKUP($A4,ScionOutput!$A$3:$BL$215,3,FALSE)</f>
        <v>46179</v>
      </c>
      <c r="C4">
        <f>VLOOKUP($A4,ScionOutput!$A$3:$BL$215,22,FALSE)</f>
        <v>5</v>
      </c>
      <c r="D4" t="str">
        <f>VLOOKUP($A4,ScionOutput!$A$3:$BL$215,23,FALSE)</f>
        <v>CHC</v>
      </c>
      <c r="E4">
        <f>VLOOKUP($A4,ScionOutput!$A$3:$BL$215,6,FALSE)</f>
        <v>25</v>
      </c>
      <c r="F4" t="str">
        <f>VLOOKUP($A4,ScionOutput!$A$3:$BL$215,7,FALSE)</f>
        <v>SF</v>
      </c>
      <c r="G4">
        <f>VLOOKUP($A4,ScionOutput!$A$3:$BL$215,26,FALSE)</f>
        <v>-140</v>
      </c>
      <c r="H4">
        <f>VLOOKUP($A4,ScionOutput!$A$3:$BL$215,10,FALSE)</f>
        <v>127</v>
      </c>
      <c r="I4" t="str">
        <f>VLOOKUP($A4,ScionOutput!$A$3:$BL$215,58,FALSE)</f>
        <v>No Play</v>
      </c>
      <c r="J4">
        <f>VLOOKUP($A4,ScionOutput!$A$3:$BL$215,59,FALSE)</f>
        <v>0</v>
      </c>
      <c r="K4">
        <f>VLOOKUP($A4,ScionOutput!$A$3:$BL$215,62,FALSE)</f>
        <v>0</v>
      </c>
      <c r="L4">
        <f>VLOOKUP($A4,ScionOutput!$A$3:$BL$215,63,FALSE)</f>
        <v>0</v>
      </c>
      <c r="M4" t="b">
        <f t="shared" si="1"/>
        <v>0</v>
      </c>
      <c r="N4">
        <f>VLOOKUP($A4,Outcomes!$B$3:$I$209,8,FALSE)</f>
        <v>5</v>
      </c>
      <c r="O4">
        <f t="shared" si="2"/>
        <v>1</v>
      </c>
      <c r="P4">
        <f>VLOOKUP($A4,Outcomes!$B$3:$I$209,5,FALSE)</f>
        <v>3</v>
      </c>
      <c r="Q4">
        <f>VLOOKUP($A4,Outcomes!$B$3:$I$209,6,FALSE)</f>
        <v>2</v>
      </c>
      <c r="R4">
        <f>VLOOKUP($A4,Outcomes!$B$3:$I$209,7,FALSE)</f>
        <v>-1</v>
      </c>
      <c r="S4" t="str">
        <f t="shared" si="3"/>
        <v>HomFave</v>
      </c>
      <c r="T4" t="str">
        <f t="shared" si="4"/>
        <v/>
      </c>
      <c r="U4" t="str">
        <f t="shared" si="0"/>
        <v/>
      </c>
      <c r="V4" t="str">
        <f t="shared" si="5"/>
        <v/>
      </c>
      <c r="W4" t="str">
        <f t="shared" si="6"/>
        <v/>
      </c>
      <c r="X4" s="2" t="str">
        <f t="shared" si="7"/>
        <v/>
      </c>
      <c r="Y4" t="str">
        <f>VLOOKUP($A4,ScionOutput!$A$3:$BL$215,64,FALSE)</f>
        <v xml:space="preserve">824669. LineStatEns probability points gap does not exceed threshold (no edge found)! StatOnlyEns probability points gap does not exceed threshold (no edge found)! No play due to strategy constraints. </v>
      </c>
    </row>
    <row r="5" spans="1:25" x14ac:dyDescent="0.2">
      <c r="A5">
        <v>824351</v>
      </c>
      <c r="B5" s="3">
        <f>VLOOKUP($A5,ScionOutput!$A$3:$BL$215,3,FALSE)</f>
        <v>46179</v>
      </c>
      <c r="C5">
        <f>VLOOKUP($A5,ScionOutput!$A$3:$BL$215,22,FALSE)</f>
        <v>8</v>
      </c>
      <c r="D5" t="str">
        <f>VLOOKUP($A5,ScionOutput!$A$3:$BL$215,23,FALSE)</f>
        <v>COL</v>
      </c>
      <c r="E5">
        <f>VLOOKUP($A5,ScionOutput!$A$3:$BL$215,6,FALSE)</f>
        <v>17</v>
      </c>
      <c r="F5" t="str">
        <f>VLOOKUP($A5,ScionOutput!$A$3:$BL$215,7,FALSE)</f>
        <v>MLW</v>
      </c>
      <c r="G5">
        <f>VLOOKUP($A5,ScionOutput!$A$3:$BL$215,26,FALSE)</f>
        <v>214</v>
      </c>
      <c r="H5">
        <f>VLOOKUP($A5,ScionOutput!$A$3:$BL$215,10,FALSE)</f>
        <v>-240</v>
      </c>
      <c r="I5" t="str">
        <f>VLOOKUP($A5,ScionOutput!$A$3:$BL$215,58,FALSE)</f>
        <v>No Play</v>
      </c>
      <c r="J5">
        <f>VLOOKUP($A5,ScionOutput!$A$3:$BL$215,59,FALSE)</f>
        <v>0</v>
      </c>
      <c r="K5">
        <f>VLOOKUP($A5,ScionOutput!$A$3:$BL$215,62,FALSE)</f>
        <v>0</v>
      </c>
      <c r="L5">
        <f>VLOOKUP($A5,ScionOutput!$A$3:$BL$215,63,FALSE)</f>
        <v>0</v>
      </c>
      <c r="M5" t="b">
        <f t="shared" si="1"/>
        <v>0</v>
      </c>
      <c r="N5">
        <f>VLOOKUP($A5,Outcomes!$B$3:$I$209,8,FALSE)</f>
        <v>8</v>
      </c>
      <c r="O5">
        <f t="shared" si="2"/>
        <v>-1</v>
      </c>
      <c r="P5">
        <f>VLOOKUP($A5,Outcomes!$B$3:$I$209,5,FALSE)</f>
        <v>1</v>
      </c>
      <c r="Q5">
        <f>VLOOKUP($A5,Outcomes!$B$3:$I$209,6,FALSE)</f>
        <v>7</v>
      </c>
      <c r="R5">
        <f>VLOOKUP($A5,Outcomes!$B$3:$I$209,7,FALSE)</f>
        <v>6</v>
      </c>
      <c r="S5" t="str">
        <f t="shared" si="3"/>
        <v>VisFave</v>
      </c>
      <c r="T5" t="str">
        <f t="shared" si="4"/>
        <v/>
      </c>
      <c r="U5" t="str">
        <f t="shared" si="0"/>
        <v/>
      </c>
      <c r="V5" t="str">
        <f t="shared" si="5"/>
        <v/>
      </c>
      <c r="W5" t="str">
        <f t="shared" si="6"/>
        <v/>
      </c>
      <c r="X5" s="2" t="str">
        <f t="shared" si="7"/>
        <v/>
      </c>
      <c r="Y5" t="str">
        <f>VLOOKUP($A5,ScionOutput!$A$3:$BL$215,64,FALSE)</f>
        <v xml:space="preserve">824351. LineStatEns is NoPlay as bookie-line outside range. StatOnlyEns is NoPlay as bookie-line outside range. No play due to strategy constraints. </v>
      </c>
    </row>
    <row r="6" spans="1:25" x14ac:dyDescent="0.2">
      <c r="A6">
        <v>824269</v>
      </c>
      <c r="B6" s="3">
        <f>VLOOKUP($A6,ScionOutput!$A$3:$BL$215,3,FALSE)</f>
        <v>46179</v>
      </c>
      <c r="C6">
        <f>VLOOKUP($A6,ScionOutput!$A$3:$BL$215,22,FALSE)</f>
        <v>10</v>
      </c>
      <c r="D6" t="str">
        <f>VLOOKUP($A6,ScionOutput!$A$3:$BL$215,23,FALSE)</f>
        <v>DET</v>
      </c>
      <c r="E6">
        <f>VLOOKUP($A6,ScionOutput!$A$3:$BL$215,6,FALSE)</f>
        <v>24</v>
      </c>
      <c r="F6" t="str">
        <f>VLOOKUP($A6,ScionOutput!$A$3:$BL$215,7,FALSE)</f>
        <v>SEA</v>
      </c>
      <c r="G6">
        <f>VLOOKUP($A6,ScionOutput!$A$3:$BL$215,26,FALSE)</f>
        <v>116</v>
      </c>
      <c r="H6">
        <f>VLOOKUP($A6,ScionOutput!$A$3:$BL$215,10,FALSE)</f>
        <v>-128</v>
      </c>
      <c r="I6" t="str">
        <f>VLOOKUP($A6,ScionOutput!$A$3:$BL$215,58,FALSE)</f>
        <v>No Play</v>
      </c>
      <c r="J6">
        <f>VLOOKUP($A6,ScionOutput!$A$3:$BL$215,59,FALSE)</f>
        <v>0</v>
      </c>
      <c r="K6">
        <f>VLOOKUP($A6,ScionOutput!$A$3:$BL$215,62,FALSE)</f>
        <v>0</v>
      </c>
      <c r="L6">
        <f>VLOOKUP($A6,ScionOutput!$A$3:$BL$215,63,FALSE)</f>
        <v>0</v>
      </c>
      <c r="M6" t="b">
        <f t="shared" si="1"/>
        <v>0</v>
      </c>
      <c r="N6">
        <f>VLOOKUP($A6,Outcomes!$B$3:$I$209,8,FALSE)</f>
        <v>4</v>
      </c>
      <c r="O6">
        <f t="shared" si="2"/>
        <v>-1</v>
      </c>
      <c r="P6">
        <f>VLOOKUP($A6,Outcomes!$B$3:$I$209,5,FALSE)</f>
        <v>0</v>
      </c>
      <c r="Q6">
        <f>VLOOKUP($A6,Outcomes!$B$3:$I$209,6,FALSE)</f>
        <v>4</v>
      </c>
      <c r="R6">
        <f>VLOOKUP($A6,Outcomes!$B$3:$I$209,7,FALSE)</f>
        <v>4</v>
      </c>
      <c r="S6" t="str">
        <f t="shared" si="3"/>
        <v>VisFave</v>
      </c>
      <c r="T6" t="str">
        <f t="shared" si="4"/>
        <v/>
      </c>
      <c r="U6" t="str">
        <f t="shared" si="0"/>
        <v/>
      </c>
      <c r="V6" t="str">
        <f t="shared" si="5"/>
        <v/>
      </c>
      <c r="W6" t="str">
        <f t="shared" si="6"/>
        <v/>
      </c>
      <c r="X6" s="2" t="str">
        <f t="shared" si="7"/>
        <v/>
      </c>
      <c r="Y6" t="str">
        <f>VLOOKUP($A6,ScionOutput!$A$3:$BL$215,64,FALSE)</f>
        <v xml:space="preserve">824269. VF plays are disallowed. No play due to strategy constraints. </v>
      </c>
    </row>
    <row r="7" spans="1:25" x14ac:dyDescent="0.2">
      <c r="A7">
        <v>823859</v>
      </c>
      <c r="B7" s="3">
        <f>VLOOKUP($A7,ScionOutput!$A$3:$BL$215,3,FALSE)</f>
        <v>46179</v>
      </c>
      <c r="C7">
        <f>VLOOKUP($A7,ScionOutput!$A$3:$BL$215,22,FALSE)</f>
        <v>11</v>
      </c>
      <c r="D7" t="str">
        <f>VLOOKUP($A7,ScionOutput!$A$3:$BL$215,23,FALSE)</f>
        <v>FLO</v>
      </c>
      <c r="E7">
        <f>VLOOKUP($A7,ScionOutput!$A$3:$BL$215,6,FALSE)</f>
        <v>27</v>
      </c>
      <c r="F7" t="str">
        <f>VLOOKUP($A7,ScionOutput!$A$3:$BL$215,7,FALSE)</f>
        <v>TB</v>
      </c>
      <c r="G7">
        <f>VLOOKUP($A7,ScionOutput!$A$3:$BL$215,26,FALSE)</f>
        <v>117</v>
      </c>
      <c r="H7">
        <f>VLOOKUP($A7,ScionOutput!$A$3:$BL$215,10,FALSE)</f>
        <v>-129</v>
      </c>
      <c r="I7" t="str">
        <f>VLOOKUP($A7,ScionOutput!$A$3:$BL$215,58,FALSE)</f>
        <v>No Play</v>
      </c>
      <c r="J7">
        <f>VLOOKUP($A7,ScionOutput!$A$3:$BL$215,59,FALSE)</f>
        <v>0</v>
      </c>
      <c r="K7">
        <f>VLOOKUP($A7,ScionOutput!$A$3:$BL$215,62,FALSE)</f>
        <v>0</v>
      </c>
      <c r="L7">
        <f>VLOOKUP($A7,ScionOutput!$A$3:$BL$215,63,FALSE)</f>
        <v>0</v>
      </c>
      <c r="M7" t="b">
        <f t="shared" si="1"/>
        <v>0</v>
      </c>
      <c r="N7">
        <f>VLOOKUP($A7,Outcomes!$B$3:$I$209,8,FALSE)</f>
        <v>7</v>
      </c>
      <c r="O7">
        <f t="shared" si="2"/>
        <v>1</v>
      </c>
      <c r="P7">
        <f>VLOOKUP($A7,Outcomes!$B$3:$I$209,5,FALSE)</f>
        <v>4</v>
      </c>
      <c r="Q7">
        <f>VLOOKUP($A7,Outcomes!$B$3:$I$209,6,FALSE)</f>
        <v>3</v>
      </c>
      <c r="R7">
        <f>VLOOKUP($A7,Outcomes!$B$3:$I$209,7,FALSE)</f>
        <v>-1</v>
      </c>
      <c r="S7" t="str">
        <f t="shared" si="3"/>
        <v>HomDog</v>
      </c>
      <c r="T7" t="str">
        <f t="shared" si="4"/>
        <v/>
      </c>
      <c r="U7" t="str">
        <f t="shared" si="0"/>
        <v/>
      </c>
      <c r="V7" t="str">
        <f t="shared" si="5"/>
        <v/>
      </c>
      <c r="W7" t="str">
        <f t="shared" si="6"/>
        <v/>
      </c>
      <c r="X7" s="2" t="str">
        <f t="shared" si="7"/>
        <v/>
      </c>
      <c r="Y7" t="str">
        <f>VLOOKUP($A7,ScionOutput!$A$3:$BL$215,64,FALSE)</f>
        <v xml:space="preserve">823859. VF plays are disallowed. No play due to strategy constraints. </v>
      </c>
    </row>
    <row r="8" spans="1:25" x14ac:dyDescent="0.2">
      <c r="A8">
        <v>824184</v>
      </c>
      <c r="B8" s="3">
        <f>VLOOKUP($A8,ScionOutput!$A$3:$BL$215,3,FALSE)</f>
        <v>46179</v>
      </c>
      <c r="C8">
        <f>VLOOKUP($A8,ScionOutput!$A$3:$BL$215,22,FALSE)</f>
        <v>12</v>
      </c>
      <c r="D8" t="str">
        <f>VLOOKUP($A8,ScionOutput!$A$3:$BL$215,23,FALSE)</f>
        <v>HOU</v>
      </c>
      <c r="E8">
        <f>VLOOKUP($A8,ScionOutput!$A$3:$BL$215,6,FALSE)</f>
        <v>20</v>
      </c>
      <c r="F8" t="str">
        <f>VLOOKUP($A8,ScionOutput!$A$3:$BL$215,7,FALSE)</f>
        <v>OAK</v>
      </c>
      <c r="G8">
        <f>VLOOKUP($A8,ScionOutput!$A$3:$BL$215,26,FALSE)</f>
        <v>-107</v>
      </c>
      <c r="H8">
        <f>VLOOKUP($A8,ScionOutput!$A$3:$BL$215,10,FALSE)</f>
        <v>-103</v>
      </c>
      <c r="I8" t="str">
        <f>VLOOKUP($A8,ScionOutput!$A$3:$BL$215,58,FALSE)</f>
        <v>No Play</v>
      </c>
      <c r="J8">
        <f>VLOOKUP($A8,ScionOutput!$A$3:$BL$215,59,FALSE)</f>
        <v>0</v>
      </c>
      <c r="K8">
        <f>VLOOKUP($A8,ScionOutput!$A$3:$BL$215,62,FALSE)</f>
        <v>0</v>
      </c>
      <c r="L8">
        <f>VLOOKUP($A8,ScionOutput!$A$3:$BL$215,63,FALSE)</f>
        <v>0</v>
      </c>
      <c r="M8" t="b">
        <f t="shared" si="1"/>
        <v>0</v>
      </c>
      <c r="N8">
        <f>VLOOKUP($A8,Outcomes!$B$3:$I$209,8,FALSE)</f>
        <v>15</v>
      </c>
      <c r="O8">
        <f t="shared" si="2"/>
        <v>1</v>
      </c>
      <c r="P8">
        <f>VLOOKUP($A8,Outcomes!$B$3:$I$209,5,FALSE)</f>
        <v>13</v>
      </c>
      <c r="Q8">
        <f>VLOOKUP($A8,Outcomes!$B$3:$I$209,6,FALSE)</f>
        <v>2</v>
      </c>
      <c r="R8">
        <f>VLOOKUP($A8,Outcomes!$B$3:$I$209,7,FALSE)</f>
        <v>-11</v>
      </c>
      <c r="S8" t="str">
        <f t="shared" si="3"/>
        <v>HomFave</v>
      </c>
      <c r="T8" t="str">
        <f t="shared" si="4"/>
        <v/>
      </c>
      <c r="U8" t="str">
        <f t="shared" si="0"/>
        <v/>
      </c>
      <c r="V8" t="str">
        <f t="shared" si="5"/>
        <v/>
      </c>
      <c r="W8" t="str">
        <f t="shared" si="6"/>
        <v/>
      </c>
      <c r="X8" s="2" t="str">
        <f t="shared" si="7"/>
        <v/>
      </c>
      <c r="Y8" t="str">
        <f>VLOOKUP($A8,ScionOutput!$A$3:$BL$215,64,FALSE)</f>
        <v xml:space="preserve">824184. V_SP is Null, team-based avg used. NoPlay as V_SP is Null. </v>
      </c>
    </row>
    <row r="9" spans="1:25" x14ac:dyDescent="0.2">
      <c r="A9">
        <v>823942</v>
      </c>
      <c r="B9" s="3">
        <f>VLOOKUP($A9,ScionOutput!$A$3:$BL$215,3,FALSE)</f>
        <v>46179</v>
      </c>
      <c r="C9">
        <f>VLOOKUP($A9,ScionOutput!$A$3:$BL$215,22,FALSE)</f>
        <v>14</v>
      </c>
      <c r="D9" t="str">
        <f>VLOOKUP($A9,ScionOutput!$A$3:$BL$215,23,FALSE)</f>
        <v>LA</v>
      </c>
      <c r="E9">
        <f>VLOOKUP($A9,ScionOutput!$A$3:$BL$215,6,FALSE)</f>
        <v>4</v>
      </c>
      <c r="F9" t="str">
        <f>VLOOKUP($A9,ScionOutput!$A$3:$BL$215,7,FALSE)</f>
        <v>LAA</v>
      </c>
      <c r="G9">
        <f>VLOOKUP($A9,ScionOutput!$A$3:$BL$215,26,FALSE)</f>
        <v>-312</v>
      </c>
      <c r="H9">
        <f>VLOOKUP($A9,ScionOutput!$A$3:$BL$215,10,FALSE)</f>
        <v>275</v>
      </c>
      <c r="I9" t="str">
        <f>VLOOKUP($A9,ScionOutput!$A$3:$BL$215,58,FALSE)</f>
        <v>No Play</v>
      </c>
      <c r="J9">
        <f>VLOOKUP($A9,ScionOutput!$A$3:$BL$215,59,FALSE)</f>
        <v>0</v>
      </c>
      <c r="K9">
        <f>VLOOKUP($A9,ScionOutput!$A$3:$BL$215,62,FALSE)</f>
        <v>0</v>
      </c>
      <c r="L9">
        <f>VLOOKUP($A9,ScionOutput!$A$3:$BL$215,63,FALSE)</f>
        <v>0</v>
      </c>
      <c r="M9" t="b">
        <f t="shared" si="1"/>
        <v>0</v>
      </c>
      <c r="N9">
        <f>VLOOKUP($A9,Outcomes!$B$3:$I$209,8,FALSE)</f>
        <v>11</v>
      </c>
      <c r="O9">
        <f t="shared" si="2"/>
        <v>1</v>
      </c>
      <c r="P9">
        <f>VLOOKUP($A9,Outcomes!$B$3:$I$209,5,FALSE)</f>
        <v>9</v>
      </c>
      <c r="Q9">
        <f>VLOOKUP($A9,Outcomes!$B$3:$I$209,6,FALSE)</f>
        <v>2</v>
      </c>
      <c r="R9">
        <f>VLOOKUP($A9,Outcomes!$B$3:$I$209,7,FALSE)</f>
        <v>-7</v>
      </c>
      <c r="S9" t="str">
        <f t="shared" si="3"/>
        <v>HomFave</v>
      </c>
      <c r="T9" t="str">
        <f t="shared" si="4"/>
        <v/>
      </c>
      <c r="U9" t="str">
        <f t="shared" si="0"/>
        <v/>
      </c>
      <c r="V9" t="str">
        <f t="shared" si="5"/>
        <v/>
      </c>
      <c r="W9" t="str">
        <f t="shared" si="6"/>
        <v/>
      </c>
      <c r="X9" s="2" t="str">
        <f t="shared" si="7"/>
        <v/>
      </c>
      <c r="Y9" t="str">
        <f>VLOOKUP($A9,ScionOutput!$A$3:$BL$215,64,FALSE)</f>
        <v xml:space="preserve">823942. LineStatEns is NoPlay as bookie-line outside range. StatOnlyEns is NoPlay as bookie-line outside range. No play due to strategy constraints. </v>
      </c>
    </row>
    <row r="10" spans="1:25" x14ac:dyDescent="0.2">
      <c r="A10">
        <v>823697</v>
      </c>
      <c r="B10" s="3">
        <f>VLOOKUP($A10,ScionOutput!$A$3:$BL$215,3,FALSE)</f>
        <v>46179</v>
      </c>
      <c r="C10">
        <f>VLOOKUP($A10,ScionOutput!$A$3:$BL$215,22,FALSE)</f>
        <v>15</v>
      </c>
      <c r="D10" t="str">
        <f>VLOOKUP($A10,ScionOutput!$A$3:$BL$215,23,FALSE)</f>
        <v>MIN</v>
      </c>
      <c r="E10">
        <f>VLOOKUP($A10,ScionOutput!$A$3:$BL$215,6,FALSE)</f>
        <v>13</v>
      </c>
      <c r="F10" t="str">
        <f>VLOOKUP($A10,ScionOutput!$A$3:$BL$215,7,FALSE)</f>
        <v>KC</v>
      </c>
      <c r="G10">
        <f>VLOOKUP($A10,ScionOutput!$A$3:$BL$215,26,FALSE)</f>
        <v>-145</v>
      </c>
      <c r="H10">
        <f>VLOOKUP($A10,ScionOutput!$A$3:$BL$215,10,FALSE)</f>
        <v>131</v>
      </c>
      <c r="I10" t="str">
        <f>VLOOKUP($A10,ScionOutput!$A$3:$BL$215,58,FALSE)</f>
        <v>No Play</v>
      </c>
      <c r="J10">
        <f>VLOOKUP($A10,ScionOutput!$A$3:$BL$215,59,FALSE)</f>
        <v>0</v>
      </c>
      <c r="K10">
        <f>VLOOKUP($A10,ScionOutput!$A$3:$BL$215,62,FALSE)</f>
        <v>0</v>
      </c>
      <c r="L10">
        <f>VLOOKUP($A10,ScionOutput!$A$3:$BL$215,63,FALSE)</f>
        <v>0</v>
      </c>
      <c r="M10" t="b">
        <f t="shared" si="1"/>
        <v>0</v>
      </c>
      <c r="N10">
        <f>VLOOKUP($A10,Outcomes!$B$3:$I$209,8,FALSE)</f>
        <v>5</v>
      </c>
      <c r="O10">
        <f t="shared" si="2"/>
        <v>-1</v>
      </c>
      <c r="P10">
        <f>VLOOKUP($A10,Outcomes!$B$3:$I$209,5,FALSE)</f>
        <v>2</v>
      </c>
      <c r="Q10">
        <f>VLOOKUP($A10,Outcomes!$B$3:$I$209,6,FALSE)</f>
        <v>3</v>
      </c>
      <c r="R10">
        <f>VLOOKUP($A10,Outcomes!$B$3:$I$209,7,FALSE)</f>
        <v>1</v>
      </c>
      <c r="S10" t="str">
        <f t="shared" si="3"/>
        <v>VisDog</v>
      </c>
      <c r="T10" t="str">
        <f t="shared" si="4"/>
        <v/>
      </c>
      <c r="U10" t="str">
        <f t="shared" si="0"/>
        <v/>
      </c>
      <c r="V10" t="str">
        <f t="shared" si="5"/>
        <v/>
      </c>
      <c r="W10" t="str">
        <f t="shared" si="6"/>
        <v/>
      </c>
      <c r="X10" s="2" t="str">
        <f t="shared" si="7"/>
        <v/>
      </c>
      <c r="Y10" t="str">
        <f>VLOOKUP($A10,ScionOutput!$A$3:$BL$215,64,FALSE)</f>
        <v xml:space="preserve">823697. LineStatEns probability points gap does not exceed threshold (no edge found)! StatOnlyEns probability points gap does not exceed threshold (no edge found)! No play due to strategy constraints. </v>
      </c>
    </row>
    <row r="11" spans="1:25" x14ac:dyDescent="0.2">
      <c r="A11">
        <v>823454</v>
      </c>
      <c r="B11" s="3">
        <f>VLOOKUP($A11,ScionOutput!$A$3:$BL$215,3,FALSE)</f>
        <v>46179</v>
      </c>
      <c r="C11">
        <f>VLOOKUP($A11,ScionOutput!$A$3:$BL$215,22,FALSE)</f>
        <v>21</v>
      </c>
      <c r="D11" t="str">
        <f>VLOOKUP($A11,ScionOutput!$A$3:$BL$215,23,FALSE)</f>
        <v>PHI</v>
      </c>
      <c r="E11">
        <f>VLOOKUP($A11,ScionOutput!$A$3:$BL$215,6,FALSE)</f>
        <v>9</v>
      </c>
      <c r="F11" t="str">
        <f>VLOOKUP($A11,ScionOutput!$A$3:$BL$215,7,FALSE)</f>
        <v>CWS</v>
      </c>
      <c r="G11">
        <f>VLOOKUP($A11,ScionOutput!$A$3:$BL$215,26,FALSE)</f>
        <v>-123</v>
      </c>
      <c r="H11">
        <f>VLOOKUP($A11,ScionOutput!$A$3:$BL$215,10,FALSE)</f>
        <v>112</v>
      </c>
      <c r="I11" t="str">
        <f>VLOOKUP($A11,ScionOutput!$A$3:$BL$215,58,FALSE)</f>
        <v>No Play</v>
      </c>
      <c r="J11">
        <f>VLOOKUP($A11,ScionOutput!$A$3:$BL$215,59,FALSE)</f>
        <v>0</v>
      </c>
      <c r="K11">
        <f>VLOOKUP($A11,ScionOutput!$A$3:$BL$215,62,FALSE)</f>
        <v>0</v>
      </c>
      <c r="L11">
        <f>VLOOKUP($A11,ScionOutput!$A$3:$BL$215,63,FALSE)</f>
        <v>0</v>
      </c>
      <c r="M11" t="b">
        <f t="shared" si="1"/>
        <v>0</v>
      </c>
      <c r="N11">
        <f>VLOOKUP($A11,Outcomes!$B$3:$I$209,8,FALSE)</f>
        <v>9</v>
      </c>
      <c r="O11">
        <f t="shared" si="2"/>
        <v>-1</v>
      </c>
      <c r="P11">
        <f>VLOOKUP($A11,Outcomes!$B$3:$I$209,5,FALSE)</f>
        <v>3</v>
      </c>
      <c r="Q11">
        <f>VLOOKUP($A11,Outcomes!$B$3:$I$209,6,FALSE)</f>
        <v>6</v>
      </c>
      <c r="R11">
        <f>VLOOKUP($A11,Outcomes!$B$3:$I$209,7,FALSE)</f>
        <v>3</v>
      </c>
      <c r="S11" t="str">
        <f t="shared" si="3"/>
        <v>VisDog</v>
      </c>
      <c r="T11" t="str">
        <f t="shared" si="4"/>
        <v/>
      </c>
      <c r="U11" t="str">
        <f t="shared" si="0"/>
        <v/>
      </c>
      <c r="V11" t="str">
        <f t="shared" si="5"/>
        <v/>
      </c>
      <c r="W11" t="str">
        <f t="shared" si="6"/>
        <v/>
      </c>
      <c r="X11" s="2" t="str">
        <f t="shared" si="7"/>
        <v/>
      </c>
      <c r="Y11" t="str">
        <f>VLOOKUP($A11,ScionOutput!$A$3:$BL$215,64,FALSE)</f>
        <v xml:space="preserve">823454. LineStatEns probability points gap does not exceed threshold (no edge found)! No play due to strategy constraints. </v>
      </c>
    </row>
    <row r="12" spans="1:25" x14ac:dyDescent="0.2">
      <c r="A12">
        <v>823292</v>
      </c>
      <c r="B12" s="3">
        <f>VLOOKUP($A12,ScionOutput!$A$3:$BL$215,3,FALSE)</f>
        <v>46179</v>
      </c>
      <c r="C12">
        <f>VLOOKUP($A12,ScionOutput!$A$3:$BL$215,22,FALSE)</f>
        <v>23</v>
      </c>
      <c r="D12" t="str">
        <f>VLOOKUP($A12,ScionOutput!$A$3:$BL$215,23,FALSE)</f>
        <v>SD</v>
      </c>
      <c r="E12">
        <f>VLOOKUP($A12,ScionOutput!$A$3:$BL$215,6,FALSE)</f>
        <v>18</v>
      </c>
      <c r="F12" t="str">
        <f>VLOOKUP($A12,ScionOutput!$A$3:$BL$215,7,FALSE)</f>
        <v>NYM</v>
      </c>
      <c r="G12">
        <f>VLOOKUP($A12,ScionOutput!$A$3:$BL$215,26,FALSE)</f>
        <v>104</v>
      </c>
      <c r="H12">
        <f>VLOOKUP($A12,ScionOutput!$A$3:$BL$215,10,FALSE)</f>
        <v>-115</v>
      </c>
      <c r="I12" t="str">
        <f>VLOOKUP($A12,ScionOutput!$A$3:$BL$215,58,FALSE)</f>
        <v>No Play</v>
      </c>
      <c r="J12">
        <f>VLOOKUP($A12,ScionOutput!$A$3:$BL$215,59,FALSE)</f>
        <v>0</v>
      </c>
      <c r="K12">
        <f>VLOOKUP($A12,ScionOutput!$A$3:$BL$215,62,FALSE)</f>
        <v>0</v>
      </c>
      <c r="L12">
        <f>VLOOKUP($A12,ScionOutput!$A$3:$BL$215,63,FALSE)</f>
        <v>0</v>
      </c>
      <c r="M12" t="b">
        <f t="shared" si="1"/>
        <v>0</v>
      </c>
      <c r="N12">
        <f>VLOOKUP($A12,Outcomes!$B$3:$I$209,8,FALSE)</f>
        <v>5</v>
      </c>
      <c r="O12">
        <f t="shared" si="2"/>
        <v>1</v>
      </c>
      <c r="P12">
        <f>VLOOKUP($A12,Outcomes!$B$3:$I$209,5,FALSE)</f>
        <v>3</v>
      </c>
      <c r="Q12">
        <f>VLOOKUP($A12,Outcomes!$B$3:$I$209,6,FALSE)</f>
        <v>2</v>
      </c>
      <c r="R12">
        <f>VLOOKUP($A12,Outcomes!$B$3:$I$209,7,FALSE)</f>
        <v>-1</v>
      </c>
      <c r="S12" t="str">
        <f t="shared" si="3"/>
        <v>HomDog</v>
      </c>
      <c r="T12" t="str">
        <f t="shared" si="4"/>
        <v/>
      </c>
      <c r="U12" t="str">
        <f t="shared" si="0"/>
        <v/>
      </c>
      <c r="V12" t="str">
        <f t="shared" si="5"/>
        <v/>
      </c>
      <c r="W12" t="str">
        <f t="shared" si="6"/>
        <v/>
      </c>
      <c r="X12" s="2" t="str">
        <f t="shared" si="7"/>
        <v/>
      </c>
      <c r="Y12" t="str">
        <f>VLOOKUP($A12,ScionOutput!$A$3:$BL$215,64,FALSE)</f>
        <v xml:space="preserve">823292. VF plays are disallowed. No play due to strategy constraints. </v>
      </c>
    </row>
    <row r="13" spans="1:25" x14ac:dyDescent="0.2">
      <c r="A13">
        <v>823048</v>
      </c>
      <c r="B13" s="3">
        <f>VLOOKUP($A13,ScionOutput!$A$3:$BL$215,3,FALSE)</f>
        <v>46179</v>
      </c>
      <c r="C13">
        <f>VLOOKUP($A13,ScionOutput!$A$3:$BL$215,22,FALSE)</f>
        <v>26</v>
      </c>
      <c r="D13" t="str">
        <f>VLOOKUP($A13,ScionOutput!$A$3:$BL$215,23,FALSE)</f>
        <v>STL</v>
      </c>
      <c r="E13">
        <f>VLOOKUP($A13,ScionOutput!$A$3:$BL$215,6,FALSE)</f>
        <v>6</v>
      </c>
      <c r="F13" t="str">
        <f>VLOOKUP($A13,ScionOutput!$A$3:$BL$215,7,FALSE)</f>
        <v>CIN</v>
      </c>
      <c r="G13">
        <f>VLOOKUP($A13,ScionOutput!$A$3:$BL$215,26,FALSE)</f>
        <v>-125</v>
      </c>
      <c r="H13">
        <f>VLOOKUP($A13,ScionOutput!$A$3:$BL$215,10,FALSE)</f>
        <v>113</v>
      </c>
      <c r="I13" t="str">
        <f>VLOOKUP($A13,ScionOutput!$A$3:$BL$215,58,FALSE)</f>
        <v>No Play</v>
      </c>
      <c r="J13">
        <f>VLOOKUP($A13,ScionOutput!$A$3:$BL$215,59,FALSE)</f>
        <v>0</v>
      </c>
      <c r="K13">
        <f>VLOOKUP($A13,ScionOutput!$A$3:$BL$215,62,FALSE)</f>
        <v>0</v>
      </c>
      <c r="L13">
        <f>VLOOKUP($A13,ScionOutput!$A$3:$BL$215,63,FALSE)</f>
        <v>0</v>
      </c>
      <c r="M13" t="b">
        <f t="shared" si="1"/>
        <v>0</v>
      </c>
      <c r="N13">
        <f>VLOOKUP($A13,Outcomes!$B$3:$I$209,8,FALSE)</f>
        <v>11</v>
      </c>
      <c r="O13">
        <f t="shared" si="2"/>
        <v>1</v>
      </c>
      <c r="P13">
        <f>VLOOKUP($A13,Outcomes!$B$3:$I$209,5,FALSE)</f>
        <v>6</v>
      </c>
      <c r="Q13">
        <f>VLOOKUP($A13,Outcomes!$B$3:$I$209,6,FALSE)</f>
        <v>5</v>
      </c>
      <c r="R13">
        <f>VLOOKUP($A13,Outcomes!$B$3:$I$209,7,FALSE)</f>
        <v>-1</v>
      </c>
      <c r="S13" t="str">
        <f t="shared" si="3"/>
        <v>HomFave</v>
      </c>
      <c r="T13" t="str">
        <f t="shared" si="4"/>
        <v/>
      </c>
      <c r="U13" t="str">
        <f t="shared" si="0"/>
        <v/>
      </c>
      <c r="V13" t="str">
        <f t="shared" si="5"/>
        <v/>
      </c>
      <c r="W13" t="str">
        <f t="shared" si="6"/>
        <v/>
      </c>
      <c r="X13" s="2" t="str">
        <f t="shared" si="7"/>
        <v/>
      </c>
      <c r="Y13" t="str">
        <f>VLOOKUP($A13,ScionOutput!$A$3:$BL$215,64,FALSE)</f>
        <v xml:space="preserve">823048. LineStatEns probability points gap does not exceed threshold (no edge found)! StatOnlyEns probability points gap does not exceed threshold (no edge found)! No play due to strategy constraints. </v>
      </c>
    </row>
    <row r="14" spans="1:25" x14ac:dyDescent="0.2">
      <c r="A14">
        <v>822891</v>
      </c>
      <c r="B14" s="3">
        <f>VLOOKUP($A14,ScionOutput!$A$3:$BL$215,3,FALSE)</f>
        <v>46179</v>
      </c>
      <c r="C14">
        <f>VLOOKUP($A14,ScionOutput!$A$3:$BL$215,22,FALSE)</f>
        <v>28</v>
      </c>
      <c r="D14" t="str">
        <f>VLOOKUP($A14,ScionOutput!$A$3:$BL$215,23,FALSE)</f>
        <v>TEX</v>
      </c>
      <c r="E14">
        <f>VLOOKUP($A14,ScionOutput!$A$3:$BL$215,6,FALSE)</f>
        <v>7</v>
      </c>
      <c r="F14" t="str">
        <f>VLOOKUP($A14,ScionOutput!$A$3:$BL$215,7,FALSE)</f>
        <v>CLE</v>
      </c>
      <c r="G14">
        <f>VLOOKUP($A14,ScionOutput!$A$3:$BL$215,26,FALSE)</f>
        <v>-107</v>
      </c>
      <c r="H14">
        <f>VLOOKUP($A14,ScionOutput!$A$3:$BL$215,10,FALSE)</f>
        <v>-103</v>
      </c>
      <c r="I14" t="str">
        <f>VLOOKUP($A14,ScionOutput!$A$3:$BL$215,58,FALSE)</f>
        <v>No Play</v>
      </c>
      <c r="J14">
        <f>VLOOKUP($A14,ScionOutput!$A$3:$BL$215,59,FALSE)</f>
        <v>0</v>
      </c>
      <c r="K14">
        <f>VLOOKUP($A14,ScionOutput!$A$3:$BL$215,62,FALSE)</f>
        <v>0</v>
      </c>
      <c r="L14">
        <f>VLOOKUP($A14,ScionOutput!$A$3:$BL$215,63,FALSE)</f>
        <v>0</v>
      </c>
      <c r="M14" t="b">
        <f t="shared" si="1"/>
        <v>0</v>
      </c>
      <c r="N14">
        <f>VLOOKUP($A14,Outcomes!$B$3:$I$209,8,FALSE)</f>
        <v>6</v>
      </c>
      <c r="O14">
        <f t="shared" si="2"/>
        <v>-1</v>
      </c>
      <c r="P14">
        <f>VLOOKUP($A14,Outcomes!$B$3:$I$209,5,FALSE)</f>
        <v>0</v>
      </c>
      <c r="Q14">
        <f>VLOOKUP($A14,Outcomes!$B$3:$I$209,6,FALSE)</f>
        <v>6</v>
      </c>
      <c r="R14">
        <f>VLOOKUP($A14,Outcomes!$B$3:$I$209,7,FALSE)</f>
        <v>6</v>
      </c>
      <c r="S14" t="str">
        <f t="shared" si="3"/>
        <v>VisDog</v>
      </c>
      <c r="T14" t="str">
        <f t="shared" si="4"/>
        <v/>
      </c>
      <c r="U14" t="str">
        <f t="shared" si="0"/>
        <v/>
      </c>
      <c r="V14" t="str">
        <f t="shared" si="5"/>
        <v/>
      </c>
      <c r="W14" t="str">
        <f t="shared" si="6"/>
        <v/>
      </c>
      <c r="X14" s="2" t="str">
        <f t="shared" si="7"/>
        <v/>
      </c>
      <c r="Y14" t="str">
        <f>VLOOKUP($A14,ScionOutput!$A$3:$BL$215,64,FALSE)</f>
        <v xml:space="preserve">822891. LineStatEns probability points gap does not exceed threshold (no edge found)! No play due to strategy constraints. </v>
      </c>
    </row>
    <row r="15" spans="1:25" x14ac:dyDescent="0.2">
      <c r="A15">
        <v>822808</v>
      </c>
      <c r="B15" s="3">
        <f>VLOOKUP($A15,ScionOutput!$A$3:$BL$215,3,FALSE)</f>
        <v>46179</v>
      </c>
      <c r="C15">
        <f>VLOOKUP($A15,ScionOutput!$A$3:$BL$215,22,FALSE)</f>
        <v>29</v>
      </c>
      <c r="D15" t="str">
        <f>VLOOKUP($A15,ScionOutput!$A$3:$BL$215,23,FALSE)</f>
        <v>TOR</v>
      </c>
      <c r="E15">
        <f>VLOOKUP($A15,ScionOutput!$A$3:$BL$215,6,FALSE)</f>
        <v>2</v>
      </c>
      <c r="F15" t="str">
        <f>VLOOKUP($A15,ScionOutput!$A$3:$BL$215,7,FALSE)</f>
        <v>BAL</v>
      </c>
      <c r="G15">
        <f>VLOOKUP($A15,ScionOutput!$A$3:$BL$215,26,FALSE)</f>
        <v>-103</v>
      </c>
      <c r="H15">
        <f>VLOOKUP($A15,ScionOutput!$A$3:$BL$215,10,FALSE)</f>
        <v>-107</v>
      </c>
      <c r="I15" t="str">
        <f>VLOOKUP($A15,ScionOutput!$A$3:$BL$215,58,FALSE)</f>
        <v>No Play</v>
      </c>
      <c r="J15">
        <f>VLOOKUP($A15,ScionOutput!$A$3:$BL$215,59,FALSE)</f>
        <v>0</v>
      </c>
      <c r="K15">
        <f>VLOOKUP($A15,ScionOutput!$A$3:$BL$215,62,FALSE)</f>
        <v>0</v>
      </c>
      <c r="L15">
        <f>VLOOKUP($A15,ScionOutput!$A$3:$BL$215,63,FALSE)</f>
        <v>0</v>
      </c>
      <c r="M15" t="b">
        <f t="shared" si="1"/>
        <v>0</v>
      </c>
      <c r="N15">
        <f>VLOOKUP($A15,Outcomes!$B$3:$I$209,8,FALSE)</f>
        <v>10</v>
      </c>
      <c r="O15">
        <f t="shared" si="2"/>
        <v>1</v>
      </c>
      <c r="P15">
        <f>VLOOKUP($A15,Outcomes!$B$3:$I$209,5,FALSE)</f>
        <v>6</v>
      </c>
      <c r="Q15">
        <f>VLOOKUP($A15,Outcomes!$B$3:$I$209,6,FALSE)</f>
        <v>4</v>
      </c>
      <c r="R15">
        <f>VLOOKUP($A15,Outcomes!$B$3:$I$209,7,FALSE)</f>
        <v>-2</v>
      </c>
      <c r="S15" t="str">
        <f t="shared" si="3"/>
        <v>HomDog</v>
      </c>
      <c r="T15" t="str">
        <f t="shared" si="4"/>
        <v/>
      </c>
      <c r="U15" t="str">
        <f t="shared" si="0"/>
        <v/>
      </c>
      <c r="V15" t="str">
        <f t="shared" si="5"/>
        <v/>
      </c>
      <c r="W15" t="str">
        <f t="shared" si="6"/>
        <v/>
      </c>
      <c r="X15" s="2" t="str">
        <f t="shared" si="7"/>
        <v/>
      </c>
      <c r="Y15" t="str">
        <f>VLOOKUP($A15,ScionOutput!$A$3:$BL$215,64,FALSE)</f>
        <v xml:space="preserve">822808. VF plays are disallowed. No play due to strategy constraints. </v>
      </c>
    </row>
    <row r="16" spans="1:25" x14ac:dyDescent="0.2">
      <c r="A16">
        <v>824916</v>
      </c>
      <c r="B16" s="3">
        <f>VLOOKUP($A16,ScionOutput!$A$3:$BL$215,3,FALSE)</f>
        <v>46180</v>
      </c>
      <c r="C16">
        <f>VLOOKUP($A16,ScionOutput!$A$3:$BL$215,22,FALSE)</f>
        <v>0</v>
      </c>
      <c r="D16" t="str">
        <f>VLOOKUP($A16,ScionOutput!$A$3:$BL$215,23,FALSE)</f>
        <v>ATL</v>
      </c>
      <c r="E16">
        <f>VLOOKUP($A16,ScionOutput!$A$3:$BL$215,6,FALSE)</f>
        <v>22</v>
      </c>
      <c r="F16" t="str">
        <f>VLOOKUP($A16,ScionOutput!$A$3:$BL$215,7,FALSE)</f>
        <v>PIT</v>
      </c>
      <c r="G16">
        <f>VLOOKUP($A16,ScionOutput!$A$3:$BL$215,26,FALSE)</f>
        <v>-145</v>
      </c>
      <c r="H16">
        <f>VLOOKUP($A16,ScionOutput!$A$3:$BL$215,10,FALSE)</f>
        <v>133</v>
      </c>
      <c r="I16" t="str">
        <f>VLOOKUP($A16,ScionOutput!$A$3:$BL$215,58,FALSE)</f>
        <v>No Play</v>
      </c>
      <c r="J16">
        <f>VLOOKUP($A16,ScionOutput!$A$3:$BL$215,59,FALSE)</f>
        <v>0</v>
      </c>
      <c r="K16">
        <f>VLOOKUP($A16,ScionOutput!$A$3:$BL$215,62,FALSE)</f>
        <v>0</v>
      </c>
      <c r="L16">
        <f>VLOOKUP($A16,ScionOutput!$A$3:$BL$215,63,FALSE)</f>
        <v>0</v>
      </c>
      <c r="M16" t="b">
        <f t="shared" si="1"/>
        <v>0</v>
      </c>
      <c r="N16">
        <f>VLOOKUP($A16,Outcomes!$B$3:$I$209,8,FALSE)</f>
        <v>5</v>
      </c>
      <c r="O16">
        <f t="shared" si="2"/>
        <v>1</v>
      </c>
      <c r="P16">
        <f>VLOOKUP($A16,Outcomes!$B$3:$I$209,5,FALSE)</f>
        <v>3</v>
      </c>
      <c r="Q16">
        <f>VLOOKUP($A16,Outcomes!$B$3:$I$209,6,FALSE)</f>
        <v>2</v>
      </c>
      <c r="R16">
        <f>VLOOKUP($A16,Outcomes!$B$3:$I$209,7,FALSE)</f>
        <v>-1</v>
      </c>
      <c r="S16" t="str">
        <f t="shared" si="3"/>
        <v>HomFave</v>
      </c>
      <c r="T16" t="str">
        <f t="shared" si="4"/>
        <v/>
      </c>
      <c r="U16" t="str">
        <f t="shared" si="0"/>
        <v/>
      </c>
      <c r="V16" t="str">
        <f t="shared" si="5"/>
        <v/>
      </c>
      <c r="W16" t="str">
        <f t="shared" si="6"/>
        <v/>
      </c>
      <c r="X16" s="2" t="str">
        <f t="shared" si="7"/>
        <v/>
      </c>
      <c r="Y16" t="str">
        <f>VLOOKUP($A16,ScionOutput!$A$3:$BL$215,64,FALSE)</f>
        <v xml:space="preserve">824916. LineStatEns probability points gap does not exceed threshold (no edge found)! StatOnlyEns probability points gap does not exceed threshold (no edge found)! No play due to strategy constraints. </v>
      </c>
    </row>
    <row r="17" spans="1:25" x14ac:dyDescent="0.2">
      <c r="A17">
        <v>825074</v>
      </c>
      <c r="B17" s="3">
        <f>VLOOKUP($A17,ScionOutput!$A$3:$BL$215,3,FALSE)</f>
        <v>46180</v>
      </c>
      <c r="C17">
        <f>VLOOKUP($A17,ScionOutput!$A$3:$BL$215,22,FALSE)</f>
        <v>1</v>
      </c>
      <c r="D17" t="str">
        <f>VLOOKUP($A17,ScionOutput!$A$3:$BL$215,23,FALSE)</f>
        <v>ARZ</v>
      </c>
      <c r="E17">
        <f>VLOOKUP($A17,ScionOutput!$A$3:$BL$215,6,FALSE)</f>
        <v>16</v>
      </c>
      <c r="F17" t="str">
        <f>VLOOKUP($A17,ScionOutput!$A$3:$BL$215,7,FALSE)</f>
        <v>WAS</v>
      </c>
      <c r="G17">
        <f>VLOOKUP($A17,ScionOutput!$A$3:$BL$215,26,FALSE)</f>
        <v>-125</v>
      </c>
      <c r="H17">
        <f>VLOOKUP($A17,ScionOutput!$A$3:$BL$215,10,FALSE)</f>
        <v>115</v>
      </c>
      <c r="I17" t="str">
        <f>VLOOKUP($A17,ScionOutput!$A$3:$BL$215,58,FALSE)</f>
        <v>No Play</v>
      </c>
      <c r="J17">
        <f>VLOOKUP($A17,ScionOutput!$A$3:$BL$215,59,FALSE)</f>
        <v>0</v>
      </c>
      <c r="K17">
        <f>VLOOKUP($A17,ScionOutput!$A$3:$BL$215,62,FALSE)</f>
        <v>0</v>
      </c>
      <c r="L17">
        <f>VLOOKUP($A17,ScionOutput!$A$3:$BL$215,63,FALSE)</f>
        <v>0</v>
      </c>
      <c r="M17" t="b">
        <f t="shared" si="1"/>
        <v>0</v>
      </c>
      <c r="N17">
        <f>VLOOKUP($A17,Outcomes!$B$3:$I$209,8,FALSE)</f>
        <v>6</v>
      </c>
      <c r="O17">
        <f t="shared" si="2"/>
        <v>1</v>
      </c>
      <c r="P17">
        <f>VLOOKUP($A17,Outcomes!$B$3:$I$209,5,FALSE)</f>
        <v>5</v>
      </c>
      <c r="Q17">
        <f>VLOOKUP($A17,Outcomes!$B$3:$I$209,6,FALSE)</f>
        <v>1</v>
      </c>
      <c r="R17">
        <f>VLOOKUP($A17,Outcomes!$B$3:$I$209,7,FALSE)</f>
        <v>-4</v>
      </c>
      <c r="S17" t="str">
        <f t="shared" si="3"/>
        <v>HomFave</v>
      </c>
      <c r="T17" t="str">
        <f t="shared" si="4"/>
        <v/>
      </c>
      <c r="U17" t="str">
        <f t="shared" si="0"/>
        <v/>
      </c>
      <c r="V17" t="str">
        <f t="shared" si="5"/>
        <v/>
      </c>
      <c r="W17" t="str">
        <f t="shared" si="6"/>
        <v/>
      </c>
      <c r="X17" s="2" t="str">
        <f t="shared" si="7"/>
        <v/>
      </c>
      <c r="Y17" t="str">
        <f>VLOOKUP($A17,ScionOutput!$A$3:$BL$215,64,FALSE)</f>
        <v xml:space="preserve">825074. LineStatEns probability points gap does not exceed threshold (no edge found)! StatOnlyEns probability points gap does not exceed threshold (no edge found)! No play due to strategy constraints. </v>
      </c>
    </row>
    <row r="18" spans="1:25" x14ac:dyDescent="0.2">
      <c r="A18">
        <v>824670</v>
      </c>
      <c r="B18" s="3">
        <f>VLOOKUP($A18,ScionOutput!$A$3:$BL$215,3,FALSE)</f>
        <v>46180</v>
      </c>
      <c r="C18">
        <f>VLOOKUP($A18,ScionOutput!$A$3:$BL$215,22,FALSE)</f>
        <v>5</v>
      </c>
      <c r="D18" t="str">
        <f>VLOOKUP($A18,ScionOutput!$A$3:$BL$215,23,FALSE)</f>
        <v>CHC</v>
      </c>
      <c r="E18">
        <f>VLOOKUP($A18,ScionOutput!$A$3:$BL$215,6,FALSE)</f>
        <v>25</v>
      </c>
      <c r="F18" t="str">
        <f>VLOOKUP($A18,ScionOutput!$A$3:$BL$215,7,FALSE)</f>
        <v>SF</v>
      </c>
      <c r="G18">
        <f>VLOOKUP($A18,ScionOutput!$A$3:$BL$215,26,FALSE)</f>
        <v>-126</v>
      </c>
      <c r="H18">
        <f>VLOOKUP($A18,ScionOutput!$A$3:$BL$215,10,FALSE)</f>
        <v>116</v>
      </c>
      <c r="I18" t="str">
        <f>VLOOKUP($A18,ScionOutput!$A$3:$BL$215,58,FALSE)</f>
        <v>No Play</v>
      </c>
      <c r="J18">
        <f>VLOOKUP($A18,ScionOutput!$A$3:$BL$215,59,FALSE)</f>
        <v>0</v>
      </c>
      <c r="K18">
        <f>VLOOKUP($A18,ScionOutput!$A$3:$BL$215,62,FALSE)</f>
        <v>0</v>
      </c>
      <c r="L18">
        <f>VLOOKUP($A18,ScionOutput!$A$3:$BL$215,63,FALSE)</f>
        <v>0</v>
      </c>
      <c r="M18" t="b">
        <f t="shared" si="1"/>
        <v>0</v>
      </c>
      <c r="N18">
        <f>VLOOKUP($A18,Outcomes!$B$3:$I$209,8,FALSE)</f>
        <v>3</v>
      </c>
      <c r="O18">
        <f t="shared" si="2"/>
        <v>-1</v>
      </c>
      <c r="P18">
        <f>VLOOKUP($A18,Outcomes!$B$3:$I$209,5,FALSE)</f>
        <v>1</v>
      </c>
      <c r="Q18">
        <f>VLOOKUP($A18,Outcomes!$B$3:$I$209,6,FALSE)</f>
        <v>2</v>
      </c>
      <c r="R18">
        <f>VLOOKUP($A18,Outcomes!$B$3:$I$209,7,FALSE)</f>
        <v>1</v>
      </c>
      <c r="S18" t="str">
        <f t="shared" si="3"/>
        <v>VisDog</v>
      </c>
      <c r="T18" t="str">
        <f t="shared" si="4"/>
        <v/>
      </c>
      <c r="U18" t="str">
        <f t="shared" si="0"/>
        <v/>
      </c>
      <c r="V18" t="str">
        <f t="shared" si="5"/>
        <v/>
      </c>
      <c r="W18" t="str">
        <f t="shared" si="6"/>
        <v/>
      </c>
      <c r="X18" s="2" t="str">
        <f t="shared" si="7"/>
        <v/>
      </c>
      <c r="Y18" t="str">
        <f>VLOOKUP($A18,ScionOutput!$A$3:$BL$215,64,FALSE)</f>
        <v xml:space="preserve">824670. LineStatEns probability points gap does not exceed threshold (no edge found)! StatOnlyEns probability points gap does not exceed threshold (no edge found)! No play due to strategy constraints. </v>
      </c>
    </row>
    <row r="19" spans="1:25" x14ac:dyDescent="0.2">
      <c r="A19">
        <v>824349</v>
      </c>
      <c r="B19" s="3">
        <f>VLOOKUP($A19,ScionOutput!$A$3:$BL$215,3,FALSE)</f>
        <v>46180</v>
      </c>
      <c r="C19">
        <f>VLOOKUP($A19,ScionOutput!$A$3:$BL$215,22,FALSE)</f>
        <v>8</v>
      </c>
      <c r="D19" t="str">
        <f>VLOOKUP($A19,ScionOutput!$A$3:$BL$215,23,FALSE)</f>
        <v>COL</v>
      </c>
      <c r="E19">
        <f>VLOOKUP($A19,ScionOutput!$A$3:$BL$215,6,FALSE)</f>
        <v>17</v>
      </c>
      <c r="F19" t="str">
        <f>VLOOKUP($A19,ScionOutput!$A$3:$BL$215,7,FALSE)</f>
        <v>MLW</v>
      </c>
      <c r="G19">
        <f>VLOOKUP($A19,ScionOutput!$A$3:$BL$215,26,FALSE)</f>
        <v>160</v>
      </c>
      <c r="H19">
        <f>VLOOKUP($A19,ScionOutput!$A$3:$BL$215,10,FALSE)</f>
        <v>-174</v>
      </c>
      <c r="I19" t="str">
        <f>VLOOKUP($A19,ScionOutput!$A$3:$BL$215,58,FALSE)</f>
        <v>No Play</v>
      </c>
      <c r="J19">
        <f>VLOOKUP($A19,ScionOutput!$A$3:$BL$215,59,FALSE)</f>
        <v>0</v>
      </c>
      <c r="K19">
        <f>VLOOKUP($A19,ScionOutput!$A$3:$BL$215,62,FALSE)</f>
        <v>0</v>
      </c>
      <c r="L19">
        <f>VLOOKUP($A19,ScionOutput!$A$3:$BL$215,63,FALSE)</f>
        <v>0</v>
      </c>
      <c r="M19" t="b">
        <f t="shared" si="1"/>
        <v>0</v>
      </c>
      <c r="N19">
        <f>VLOOKUP($A19,Outcomes!$B$3:$I$209,8,FALSE)</f>
        <v>16</v>
      </c>
      <c r="O19">
        <f t="shared" si="2"/>
        <v>-1</v>
      </c>
      <c r="P19">
        <f>VLOOKUP($A19,Outcomes!$B$3:$I$209,5,FALSE)</f>
        <v>4</v>
      </c>
      <c r="Q19">
        <f>VLOOKUP($A19,Outcomes!$B$3:$I$209,6,FALSE)</f>
        <v>12</v>
      </c>
      <c r="R19">
        <f>VLOOKUP($A19,Outcomes!$B$3:$I$209,7,FALSE)</f>
        <v>8</v>
      </c>
      <c r="S19" t="str">
        <f t="shared" si="3"/>
        <v>VisFave</v>
      </c>
      <c r="T19" t="str">
        <f t="shared" si="4"/>
        <v/>
      </c>
      <c r="U19" t="str">
        <f t="shared" si="0"/>
        <v/>
      </c>
      <c r="V19" t="str">
        <f t="shared" si="5"/>
        <v/>
      </c>
      <c r="W19" t="str">
        <f t="shared" si="6"/>
        <v/>
      </c>
      <c r="X19" s="2" t="str">
        <f t="shared" si="7"/>
        <v/>
      </c>
      <c r="Y19" t="str">
        <f>VLOOKUP($A19,ScionOutput!$A$3:$BL$215,64,FALSE)</f>
        <v xml:space="preserve">824349. LineStatEns is NoPlay as bookie-line outside range. StatOnlyEns is NoPlay as bookie-line outside range. No play due to strategy constraints. </v>
      </c>
    </row>
    <row r="20" spans="1:25" x14ac:dyDescent="0.2">
      <c r="A20">
        <v>824268</v>
      </c>
      <c r="B20" s="3">
        <f>VLOOKUP($A20,ScionOutput!$A$3:$BL$215,3,FALSE)</f>
        <v>46180</v>
      </c>
      <c r="C20">
        <f>VLOOKUP($A20,ScionOutput!$A$3:$BL$215,22,FALSE)</f>
        <v>10</v>
      </c>
      <c r="D20" t="str">
        <f>VLOOKUP($A20,ScionOutput!$A$3:$BL$215,23,FALSE)</f>
        <v>DET</v>
      </c>
      <c r="E20">
        <f>VLOOKUP($A20,ScionOutput!$A$3:$BL$215,6,FALSE)</f>
        <v>24</v>
      </c>
      <c r="F20" t="str">
        <f>VLOOKUP($A20,ScionOutput!$A$3:$BL$215,7,FALSE)</f>
        <v>SEA</v>
      </c>
      <c r="G20">
        <f>VLOOKUP($A20,ScionOutput!$A$3:$BL$215,26,FALSE)</f>
        <v>-111</v>
      </c>
      <c r="H20">
        <f>VLOOKUP($A20,ScionOutput!$A$3:$BL$215,10,FALSE)</f>
        <v>102</v>
      </c>
      <c r="I20" t="str">
        <f>VLOOKUP($A20,ScionOutput!$A$3:$BL$215,58,FALSE)</f>
        <v>VisDog</v>
      </c>
      <c r="J20">
        <f>VLOOKUP($A20,ScionOutput!$A$3:$BL$215,59,FALSE)</f>
        <v>-3.5189999999999999E-2</v>
      </c>
      <c r="K20">
        <f>VLOOKUP($A20,ScionOutput!$A$3:$BL$215,62,FALSE)</f>
        <v>5</v>
      </c>
      <c r="L20">
        <f>VLOOKUP($A20,ScionOutput!$A$3:$BL$215,63,FALSE)</f>
        <v>0.6</v>
      </c>
      <c r="M20" t="b">
        <f t="shared" si="1"/>
        <v>1</v>
      </c>
      <c r="N20">
        <f>VLOOKUP($A20,Outcomes!$B$3:$I$209,8,FALSE)</f>
        <v>9</v>
      </c>
      <c r="O20">
        <f t="shared" si="2"/>
        <v>1</v>
      </c>
      <c r="P20">
        <f>VLOOKUP($A20,Outcomes!$B$3:$I$209,5,FALSE)</f>
        <v>5</v>
      </c>
      <c r="Q20">
        <f>VLOOKUP($A20,Outcomes!$B$3:$I$209,6,FALSE)</f>
        <v>4</v>
      </c>
      <c r="R20">
        <f>VLOOKUP($A20,Outcomes!$B$3:$I$209,7,FALSE)</f>
        <v>-1</v>
      </c>
      <c r="S20" t="str">
        <f t="shared" si="3"/>
        <v>HomFave</v>
      </c>
      <c r="T20" t="str">
        <f t="shared" si="4"/>
        <v/>
      </c>
      <c r="U20" t="str">
        <f t="shared" si="0"/>
        <v/>
      </c>
      <c r="V20" t="str">
        <f t="shared" si="5"/>
        <v/>
      </c>
      <c r="W20" t="str">
        <f t="shared" si="6"/>
        <v/>
      </c>
      <c r="X20" s="2" t="str">
        <f t="shared" si="7"/>
        <v/>
      </c>
      <c r="Y20" t="str">
        <f>VLOOKUP($A20,ScionOutput!$A$3:$BL$215,64,FALSE)</f>
        <v xml:space="preserve">824268. Play determined by LineStatEns and StatOnlyEns agreement. </v>
      </c>
    </row>
    <row r="21" spans="1:25" x14ac:dyDescent="0.2">
      <c r="A21">
        <v>823857</v>
      </c>
      <c r="B21" s="3">
        <f>VLOOKUP($A21,ScionOutput!$A$3:$BL$215,3,FALSE)</f>
        <v>46180</v>
      </c>
      <c r="C21">
        <f>VLOOKUP($A21,ScionOutput!$A$3:$BL$215,22,FALSE)</f>
        <v>11</v>
      </c>
      <c r="D21" t="str">
        <f>VLOOKUP($A21,ScionOutput!$A$3:$BL$215,23,FALSE)</f>
        <v>FLO</v>
      </c>
      <c r="E21">
        <f>VLOOKUP($A21,ScionOutput!$A$3:$BL$215,6,FALSE)</f>
        <v>27</v>
      </c>
      <c r="F21" t="str">
        <f>VLOOKUP($A21,ScionOutput!$A$3:$BL$215,7,FALSE)</f>
        <v>TB</v>
      </c>
      <c r="G21">
        <f>VLOOKUP($A21,ScionOutput!$A$3:$BL$215,26,FALSE)</f>
        <v>-105</v>
      </c>
      <c r="H21">
        <f>VLOOKUP($A21,ScionOutput!$A$3:$BL$215,10,FALSE)</f>
        <v>-103</v>
      </c>
      <c r="I21" t="str">
        <f>VLOOKUP($A21,ScionOutput!$A$3:$BL$215,58,FALSE)</f>
        <v>HomFave</v>
      </c>
      <c r="J21">
        <f>VLOOKUP($A21,ScionOutput!$A$3:$BL$215,59,FALSE)</f>
        <v>7.6400000000000001E-3</v>
      </c>
      <c r="K21">
        <f>VLOOKUP($A21,ScionOutput!$A$3:$BL$215,62,FALSE)</f>
        <v>1</v>
      </c>
      <c r="L21">
        <f>VLOOKUP($A21,ScionOutput!$A$3:$BL$215,63,FALSE)</f>
        <v>0.73</v>
      </c>
      <c r="M21" t="b">
        <f t="shared" si="1"/>
        <v>1</v>
      </c>
      <c r="N21">
        <f>VLOOKUP($A21,Outcomes!$B$3:$I$209,8,FALSE)</f>
        <v>5</v>
      </c>
      <c r="O21">
        <f t="shared" si="2"/>
        <v>1</v>
      </c>
      <c r="P21">
        <f>VLOOKUP($A21,Outcomes!$B$3:$I$209,5,FALSE)</f>
        <v>4</v>
      </c>
      <c r="Q21">
        <f>VLOOKUP($A21,Outcomes!$B$3:$I$209,6,FALSE)</f>
        <v>1</v>
      </c>
      <c r="R21">
        <f>VLOOKUP($A21,Outcomes!$B$3:$I$209,7,FALSE)</f>
        <v>-3</v>
      </c>
      <c r="S21" t="str">
        <f t="shared" si="3"/>
        <v>HomFave</v>
      </c>
      <c r="T21" t="str">
        <f t="shared" si="4"/>
        <v/>
      </c>
      <c r="U21" t="str">
        <f t="shared" si="0"/>
        <v/>
      </c>
      <c r="V21" t="str">
        <f t="shared" si="5"/>
        <v/>
      </c>
      <c r="W21" t="str">
        <f t="shared" si="6"/>
        <v/>
      </c>
      <c r="X21" s="2" t="str">
        <f t="shared" si="7"/>
        <v/>
      </c>
      <c r="Y21" t="str">
        <f>VLOOKUP($A21,ScionOutput!$A$3:$BL$215,64,FALSE)</f>
        <v xml:space="preserve">823857. Play determined by LineStatEns and StatOnlyEns agreement. </v>
      </c>
    </row>
    <row r="22" spans="1:25" x14ac:dyDescent="0.2">
      <c r="A22">
        <v>824183</v>
      </c>
      <c r="B22" s="3">
        <f>VLOOKUP($A22,ScionOutput!$A$3:$BL$215,3,FALSE)</f>
        <v>46180</v>
      </c>
      <c r="C22">
        <f>VLOOKUP($A22,ScionOutput!$A$3:$BL$215,22,FALSE)</f>
        <v>12</v>
      </c>
      <c r="D22" t="str">
        <f>VLOOKUP($A22,ScionOutput!$A$3:$BL$215,23,FALSE)</f>
        <v>HOU</v>
      </c>
      <c r="E22">
        <f>VLOOKUP($A22,ScionOutput!$A$3:$BL$215,6,FALSE)</f>
        <v>20</v>
      </c>
      <c r="F22" t="str">
        <f>VLOOKUP($A22,ScionOutput!$A$3:$BL$215,7,FALSE)</f>
        <v>OAK</v>
      </c>
      <c r="G22">
        <f>VLOOKUP($A22,ScionOutput!$A$3:$BL$215,26,FALSE)</f>
        <v>-105</v>
      </c>
      <c r="H22">
        <f>VLOOKUP($A22,ScionOutput!$A$3:$BL$215,10,FALSE)</f>
        <v>-103</v>
      </c>
      <c r="I22" t="str">
        <f>VLOOKUP($A22,ScionOutput!$A$3:$BL$215,58,FALSE)</f>
        <v>VisDog</v>
      </c>
      <c r="J22">
        <f>VLOOKUP($A22,ScionOutput!$A$3:$BL$215,59,FALSE)</f>
        <v>-3.236E-2</v>
      </c>
      <c r="K22">
        <f>VLOOKUP($A22,ScionOutput!$A$3:$BL$215,62,FALSE)</f>
        <v>5</v>
      </c>
      <c r="L22">
        <f>VLOOKUP($A22,ScionOutput!$A$3:$BL$215,63,FALSE)</f>
        <v>0.87</v>
      </c>
      <c r="M22" t="b">
        <f t="shared" si="1"/>
        <v>1</v>
      </c>
      <c r="N22">
        <f>VLOOKUP($A22,Outcomes!$B$3:$I$209,8,FALSE)</f>
        <v>5</v>
      </c>
      <c r="O22">
        <f t="shared" si="2"/>
        <v>-1</v>
      </c>
      <c r="P22">
        <f>VLOOKUP($A22,Outcomes!$B$3:$I$209,5,FALSE)</f>
        <v>0</v>
      </c>
      <c r="Q22">
        <f>VLOOKUP($A22,Outcomes!$B$3:$I$209,6,FALSE)</f>
        <v>5</v>
      </c>
      <c r="R22">
        <f>VLOOKUP($A22,Outcomes!$B$3:$I$209,7,FALSE)</f>
        <v>5</v>
      </c>
      <c r="S22" t="str">
        <f t="shared" si="3"/>
        <v>VisDog</v>
      </c>
      <c r="T22" t="str">
        <f t="shared" si="4"/>
        <v/>
      </c>
      <c r="U22" t="str">
        <f t="shared" si="0"/>
        <v/>
      </c>
      <c r="V22" t="str">
        <f t="shared" si="5"/>
        <v/>
      </c>
      <c r="W22" t="str">
        <f t="shared" si="6"/>
        <v/>
      </c>
      <c r="X22" s="2" t="str">
        <f t="shared" si="7"/>
        <v/>
      </c>
      <c r="Y22" t="str">
        <f>VLOOKUP($A22,ScionOutput!$A$3:$BL$215,64,FALSE)</f>
        <v xml:space="preserve">824183. Play determined by LineStatEns and StatOnlyEns agreement. </v>
      </c>
    </row>
    <row r="23" spans="1:25" x14ac:dyDescent="0.2">
      <c r="A23">
        <v>823941</v>
      </c>
      <c r="B23" s="3">
        <f>VLOOKUP($A23,ScionOutput!$A$3:$BL$215,3,FALSE)</f>
        <v>46180</v>
      </c>
      <c r="C23">
        <f>VLOOKUP($A23,ScionOutput!$A$3:$BL$215,22,FALSE)</f>
        <v>14</v>
      </c>
      <c r="D23" t="str">
        <f>VLOOKUP($A23,ScionOutput!$A$3:$BL$215,23,FALSE)</f>
        <v>LA</v>
      </c>
      <c r="E23">
        <f>VLOOKUP($A23,ScionOutput!$A$3:$BL$215,6,FALSE)</f>
        <v>4</v>
      </c>
      <c r="F23" t="str">
        <f>VLOOKUP($A23,ScionOutput!$A$3:$BL$215,7,FALSE)</f>
        <v>LAA</v>
      </c>
      <c r="G23">
        <f>VLOOKUP($A23,ScionOutput!$A$3:$BL$215,26,FALSE)</f>
        <v>-206</v>
      </c>
      <c r="H23">
        <f>VLOOKUP($A23,ScionOutput!$A$3:$BL$215,10,FALSE)</f>
        <v>187</v>
      </c>
      <c r="I23" t="str">
        <f>VLOOKUP($A23,ScionOutput!$A$3:$BL$215,58,FALSE)</f>
        <v>No Play</v>
      </c>
      <c r="J23">
        <f>VLOOKUP($A23,ScionOutput!$A$3:$BL$215,59,FALSE)</f>
        <v>0</v>
      </c>
      <c r="K23">
        <f>VLOOKUP($A23,ScionOutput!$A$3:$BL$215,62,FALSE)</f>
        <v>0</v>
      </c>
      <c r="L23">
        <f>VLOOKUP($A23,ScionOutput!$A$3:$BL$215,63,FALSE)</f>
        <v>0</v>
      </c>
      <c r="M23" t="b">
        <f t="shared" si="1"/>
        <v>0</v>
      </c>
      <c r="N23">
        <f>VLOOKUP($A23,Outcomes!$B$3:$I$209,8,FALSE)</f>
        <v>18</v>
      </c>
      <c r="O23">
        <f t="shared" si="2"/>
        <v>-1</v>
      </c>
      <c r="P23">
        <f>VLOOKUP($A23,Outcomes!$B$3:$I$209,5,FALSE)</f>
        <v>5</v>
      </c>
      <c r="Q23">
        <f>VLOOKUP($A23,Outcomes!$B$3:$I$209,6,FALSE)</f>
        <v>13</v>
      </c>
      <c r="R23">
        <f>VLOOKUP($A23,Outcomes!$B$3:$I$209,7,FALSE)</f>
        <v>8</v>
      </c>
      <c r="S23" t="str">
        <f t="shared" si="3"/>
        <v>VisDog</v>
      </c>
      <c r="T23" t="str">
        <f t="shared" si="4"/>
        <v/>
      </c>
      <c r="U23" t="str">
        <f t="shared" si="0"/>
        <v/>
      </c>
      <c r="V23" t="str">
        <f t="shared" si="5"/>
        <v/>
      </c>
      <c r="W23" t="str">
        <f t="shared" si="6"/>
        <v/>
      </c>
      <c r="X23" s="2" t="str">
        <f t="shared" si="7"/>
        <v/>
      </c>
      <c r="Y23" t="str">
        <f>VLOOKUP($A23,ScionOutput!$A$3:$BL$215,64,FALSE)</f>
        <v xml:space="preserve">823941. LineStatEns is NoPlay as bookie-line outside range. StatOnlyEns is NoPlay as bookie-line outside range. No play due to strategy constraints. </v>
      </c>
    </row>
    <row r="24" spans="1:25" x14ac:dyDescent="0.2">
      <c r="A24">
        <v>823696</v>
      </c>
      <c r="B24" s="3">
        <f>VLOOKUP($A24,ScionOutput!$A$3:$BL$215,3,FALSE)</f>
        <v>46180</v>
      </c>
      <c r="C24">
        <f>VLOOKUP($A24,ScionOutput!$A$3:$BL$215,22,FALSE)</f>
        <v>15</v>
      </c>
      <c r="D24" t="str">
        <f>VLOOKUP($A24,ScionOutput!$A$3:$BL$215,23,FALSE)</f>
        <v>MIN</v>
      </c>
      <c r="E24">
        <f>VLOOKUP($A24,ScionOutput!$A$3:$BL$215,6,FALSE)</f>
        <v>13</v>
      </c>
      <c r="F24" t="str">
        <f>VLOOKUP($A24,ScionOutput!$A$3:$BL$215,7,FALSE)</f>
        <v>KC</v>
      </c>
      <c r="G24">
        <f>VLOOKUP($A24,ScionOutput!$A$3:$BL$215,26,FALSE)</f>
        <v>107</v>
      </c>
      <c r="H24">
        <f>VLOOKUP($A24,ScionOutput!$A$3:$BL$215,10,FALSE)</f>
        <v>-116</v>
      </c>
      <c r="I24" t="str">
        <f>VLOOKUP($A24,ScionOutput!$A$3:$BL$215,58,FALSE)</f>
        <v>No Play</v>
      </c>
      <c r="J24">
        <f>VLOOKUP($A24,ScionOutput!$A$3:$BL$215,59,FALSE)</f>
        <v>0</v>
      </c>
      <c r="K24">
        <f>VLOOKUP($A24,ScionOutput!$A$3:$BL$215,62,FALSE)</f>
        <v>0</v>
      </c>
      <c r="L24">
        <f>VLOOKUP($A24,ScionOutput!$A$3:$BL$215,63,FALSE)</f>
        <v>0</v>
      </c>
      <c r="M24" t="b">
        <f t="shared" si="1"/>
        <v>0</v>
      </c>
      <c r="N24">
        <f>VLOOKUP($A24,Outcomes!$B$3:$I$209,8,FALSE)</f>
        <v>11</v>
      </c>
      <c r="O24">
        <f t="shared" si="2"/>
        <v>-1</v>
      </c>
      <c r="P24">
        <f>VLOOKUP($A24,Outcomes!$B$3:$I$209,5,FALSE)</f>
        <v>5</v>
      </c>
      <c r="Q24">
        <f>VLOOKUP($A24,Outcomes!$B$3:$I$209,6,FALSE)</f>
        <v>6</v>
      </c>
      <c r="R24">
        <f>VLOOKUP($A24,Outcomes!$B$3:$I$209,7,FALSE)</f>
        <v>1</v>
      </c>
      <c r="S24" t="str">
        <f t="shared" si="3"/>
        <v>VisFave</v>
      </c>
      <c r="T24" t="str">
        <f t="shared" si="4"/>
        <v/>
      </c>
      <c r="U24" t="str">
        <f t="shared" si="0"/>
        <v/>
      </c>
      <c r="V24" t="str">
        <f t="shared" si="5"/>
        <v/>
      </c>
      <c r="W24" t="str">
        <f t="shared" si="6"/>
        <v/>
      </c>
      <c r="X24" s="2" t="str">
        <f t="shared" si="7"/>
        <v/>
      </c>
      <c r="Y24" t="str">
        <f>VLOOKUP($A24,ScionOutput!$A$3:$BL$215,64,FALSE)</f>
        <v xml:space="preserve">823696. VF plays are disallowed. No play due to strategy constraints. </v>
      </c>
    </row>
    <row r="25" spans="1:25" x14ac:dyDescent="0.2">
      <c r="A25">
        <v>823537</v>
      </c>
      <c r="B25" s="3">
        <f>VLOOKUP($A25,ScionOutput!$A$3:$BL$215,3,FALSE)</f>
        <v>46180</v>
      </c>
      <c r="C25">
        <f>VLOOKUP($A25,ScionOutput!$A$3:$BL$215,22,FALSE)</f>
        <v>19</v>
      </c>
      <c r="D25" t="str">
        <f>VLOOKUP($A25,ScionOutput!$A$3:$BL$215,23,FALSE)</f>
        <v>NYY</v>
      </c>
      <c r="E25">
        <f>VLOOKUP($A25,ScionOutput!$A$3:$BL$215,6,FALSE)</f>
        <v>3</v>
      </c>
      <c r="F25" t="str">
        <f>VLOOKUP($A25,ScionOutput!$A$3:$BL$215,7,FALSE)</f>
        <v>BOS</v>
      </c>
      <c r="G25">
        <f>VLOOKUP($A25,ScionOutput!$A$3:$BL$215,26,FALSE)</f>
        <v>-139</v>
      </c>
      <c r="H25">
        <f>VLOOKUP($A25,ScionOutput!$A$3:$BL$215,10,FALSE)</f>
        <v>128</v>
      </c>
      <c r="I25" t="str">
        <f>VLOOKUP($A25,ScionOutput!$A$3:$BL$215,58,FALSE)</f>
        <v>No Play</v>
      </c>
      <c r="J25">
        <f>VLOOKUP($A25,ScionOutput!$A$3:$BL$215,59,FALSE)</f>
        <v>0</v>
      </c>
      <c r="K25">
        <f>VLOOKUP($A25,ScionOutput!$A$3:$BL$215,62,FALSE)</f>
        <v>0</v>
      </c>
      <c r="L25">
        <f>VLOOKUP($A25,ScionOutput!$A$3:$BL$215,63,FALSE)</f>
        <v>0</v>
      </c>
      <c r="M25" t="b">
        <f t="shared" si="1"/>
        <v>0</v>
      </c>
      <c r="N25">
        <f>VLOOKUP($A25,Outcomes!$B$3:$I$209,8,FALSE)</f>
        <v>7</v>
      </c>
      <c r="O25">
        <f t="shared" si="2"/>
        <v>1</v>
      </c>
      <c r="P25">
        <f>VLOOKUP($A25,Outcomes!$B$3:$I$209,5,FALSE)</f>
        <v>6</v>
      </c>
      <c r="Q25">
        <f>VLOOKUP($A25,Outcomes!$B$3:$I$209,6,FALSE)</f>
        <v>1</v>
      </c>
      <c r="R25">
        <f>VLOOKUP($A25,Outcomes!$B$3:$I$209,7,FALSE)</f>
        <v>-5</v>
      </c>
      <c r="S25" t="str">
        <f t="shared" si="3"/>
        <v>HomFave</v>
      </c>
      <c r="T25" t="str">
        <f t="shared" si="4"/>
        <v/>
      </c>
      <c r="U25" t="str">
        <f t="shared" si="0"/>
        <v/>
      </c>
      <c r="V25" t="str">
        <f t="shared" si="5"/>
        <v/>
      </c>
      <c r="W25" t="str">
        <f t="shared" si="6"/>
        <v/>
      </c>
      <c r="X25" s="2" t="str">
        <f t="shared" si="7"/>
        <v/>
      </c>
      <c r="Y25" t="str">
        <f>VLOOKUP($A25,ScionOutput!$A$3:$BL$215,64,FALSE)</f>
        <v xml:space="preserve">823537. LineStatEns probability points gap does not exceed threshold (no edge found)! StatOnlyEns probability points gap does not exceed threshold (no edge found)! No play due to strategy constraints. </v>
      </c>
    </row>
    <row r="26" spans="1:25" x14ac:dyDescent="0.2">
      <c r="A26">
        <v>823453</v>
      </c>
      <c r="B26" s="3">
        <f>VLOOKUP($A26,ScionOutput!$A$3:$BL$215,3,FALSE)</f>
        <v>46180</v>
      </c>
      <c r="C26">
        <f>VLOOKUP($A26,ScionOutput!$A$3:$BL$215,22,FALSE)</f>
        <v>21</v>
      </c>
      <c r="D26" t="str">
        <f>VLOOKUP($A26,ScionOutput!$A$3:$BL$215,23,FALSE)</f>
        <v>PHI</v>
      </c>
      <c r="E26">
        <f>VLOOKUP($A26,ScionOutput!$A$3:$BL$215,6,FALSE)</f>
        <v>9</v>
      </c>
      <c r="F26" t="str">
        <f>VLOOKUP($A26,ScionOutput!$A$3:$BL$215,7,FALSE)</f>
        <v>CWS</v>
      </c>
      <c r="G26">
        <f>VLOOKUP($A26,ScionOutput!$A$3:$BL$215,26,FALSE)</f>
        <v>-163</v>
      </c>
      <c r="H26">
        <f>VLOOKUP($A26,ScionOutput!$A$3:$BL$215,10,FALSE)</f>
        <v>149</v>
      </c>
      <c r="I26" t="str">
        <f>VLOOKUP($A26,ScionOutput!$A$3:$BL$215,58,FALSE)</f>
        <v>No Play</v>
      </c>
      <c r="J26">
        <f>VLOOKUP($A26,ScionOutput!$A$3:$BL$215,59,FALSE)</f>
        <v>0</v>
      </c>
      <c r="K26">
        <f>VLOOKUP($A26,ScionOutput!$A$3:$BL$215,62,FALSE)</f>
        <v>0</v>
      </c>
      <c r="L26">
        <f>VLOOKUP($A26,ScionOutput!$A$3:$BL$215,63,FALSE)</f>
        <v>0</v>
      </c>
      <c r="M26" t="b">
        <f t="shared" si="1"/>
        <v>0</v>
      </c>
      <c r="N26">
        <f>VLOOKUP($A26,Outcomes!$B$3:$I$209,8,FALSE)</f>
        <v>14</v>
      </c>
      <c r="O26">
        <f t="shared" si="2"/>
        <v>1</v>
      </c>
      <c r="P26">
        <f>VLOOKUP($A26,Outcomes!$B$3:$I$209,5,FALSE)</f>
        <v>9</v>
      </c>
      <c r="Q26">
        <f>VLOOKUP($A26,Outcomes!$B$3:$I$209,6,FALSE)</f>
        <v>5</v>
      </c>
      <c r="R26">
        <f>VLOOKUP($A26,Outcomes!$B$3:$I$209,7,FALSE)</f>
        <v>-4</v>
      </c>
      <c r="S26" t="str">
        <f t="shared" si="3"/>
        <v>HomFave</v>
      </c>
      <c r="T26" t="str">
        <f t="shared" si="4"/>
        <v/>
      </c>
      <c r="U26" t="str">
        <f t="shared" si="0"/>
        <v/>
      </c>
      <c r="V26" t="str">
        <f t="shared" si="5"/>
        <v/>
      </c>
      <c r="W26" t="str">
        <f t="shared" si="6"/>
        <v/>
      </c>
      <c r="X26" s="2" t="str">
        <f t="shared" si="7"/>
        <v/>
      </c>
      <c r="Y26" t="str">
        <f>VLOOKUP($A26,ScionOutput!$A$3:$BL$215,64,FALSE)</f>
        <v xml:space="preserve">823453. LineStatEns is NoPlay as bookie-line outside range. StatOnlyEns is NoPlay as bookie-line outside range. No play due to strategy constraints. </v>
      </c>
    </row>
    <row r="27" spans="1:25" x14ac:dyDescent="0.2">
      <c r="A27">
        <v>823291</v>
      </c>
      <c r="B27" s="3">
        <f>VLOOKUP($A27,ScionOutput!$A$3:$BL$215,3,FALSE)</f>
        <v>46180</v>
      </c>
      <c r="C27">
        <f>VLOOKUP($A27,ScionOutput!$A$3:$BL$215,22,FALSE)</f>
        <v>23</v>
      </c>
      <c r="D27" t="str">
        <f>VLOOKUP($A27,ScionOutput!$A$3:$BL$215,23,FALSE)</f>
        <v>SD</v>
      </c>
      <c r="E27">
        <f>VLOOKUP($A27,ScionOutput!$A$3:$BL$215,6,FALSE)</f>
        <v>18</v>
      </c>
      <c r="F27" t="str">
        <f>VLOOKUP($A27,ScionOutput!$A$3:$BL$215,7,FALSE)</f>
        <v>NYM</v>
      </c>
      <c r="G27">
        <f>VLOOKUP($A27,ScionOutput!$A$3:$BL$215,26,FALSE)</f>
        <v>-103</v>
      </c>
      <c r="H27">
        <f>VLOOKUP($A27,ScionOutput!$A$3:$BL$215,10,FALSE)</f>
        <v>-105</v>
      </c>
      <c r="I27" t="str">
        <f>VLOOKUP($A27,ScionOutput!$A$3:$BL$215,58,FALSE)</f>
        <v>HomDog</v>
      </c>
      <c r="J27">
        <f>VLOOKUP($A27,ScionOutput!$A$3:$BL$215,59,FALSE)</f>
        <v>1.2359999999999999E-2</v>
      </c>
      <c r="K27">
        <f>VLOOKUP($A27,ScionOutput!$A$3:$BL$215,62,FALSE)</f>
        <v>5</v>
      </c>
      <c r="L27">
        <f>VLOOKUP($A27,ScionOutput!$A$3:$BL$215,63,FALSE)</f>
        <v>0.6</v>
      </c>
      <c r="M27" t="b">
        <f t="shared" si="1"/>
        <v>1</v>
      </c>
      <c r="N27">
        <f>VLOOKUP($A27,Outcomes!$B$3:$I$209,8,FALSE)</f>
        <v>10</v>
      </c>
      <c r="O27">
        <f t="shared" si="2"/>
        <v>-1</v>
      </c>
      <c r="P27">
        <f>VLOOKUP($A27,Outcomes!$B$3:$I$209,5,FALSE)</f>
        <v>3</v>
      </c>
      <c r="Q27">
        <f>VLOOKUP($A27,Outcomes!$B$3:$I$209,6,FALSE)</f>
        <v>7</v>
      </c>
      <c r="R27">
        <f>VLOOKUP($A27,Outcomes!$B$3:$I$209,7,FALSE)</f>
        <v>4</v>
      </c>
      <c r="S27" t="str">
        <f t="shared" si="3"/>
        <v>VisFave</v>
      </c>
      <c r="T27" t="str">
        <f t="shared" si="4"/>
        <v/>
      </c>
      <c r="U27" t="str">
        <f t="shared" si="0"/>
        <v/>
      </c>
      <c r="V27" t="str">
        <f t="shared" si="5"/>
        <v/>
      </c>
      <c r="W27" t="str">
        <f t="shared" si="6"/>
        <v/>
      </c>
      <c r="X27" s="2" t="str">
        <f t="shared" si="7"/>
        <v/>
      </c>
      <c r="Y27" t="str">
        <f>VLOOKUP($A27,ScionOutput!$A$3:$BL$215,64,FALSE)</f>
        <v xml:space="preserve">823291. Play determined by LineStatEns and StatOnlyEns agreement. </v>
      </c>
    </row>
    <row r="28" spans="1:25" x14ac:dyDescent="0.2">
      <c r="A28">
        <v>823047</v>
      </c>
      <c r="B28" s="3">
        <f>VLOOKUP($A28,ScionOutput!$A$3:$BL$215,3,FALSE)</f>
        <v>46180</v>
      </c>
      <c r="C28">
        <f>VLOOKUP($A28,ScionOutput!$A$3:$BL$215,22,FALSE)</f>
        <v>26</v>
      </c>
      <c r="D28" t="str">
        <f>VLOOKUP($A28,ScionOutput!$A$3:$BL$215,23,FALSE)</f>
        <v>STL</v>
      </c>
      <c r="E28">
        <f>VLOOKUP($A28,ScionOutput!$A$3:$BL$215,6,FALSE)</f>
        <v>6</v>
      </c>
      <c r="F28" t="str">
        <f>VLOOKUP($A28,ScionOutput!$A$3:$BL$215,7,FALSE)</f>
        <v>CIN</v>
      </c>
      <c r="G28">
        <f>VLOOKUP($A28,ScionOutput!$A$3:$BL$215,26,FALSE)</f>
        <v>-141</v>
      </c>
      <c r="H28">
        <f>VLOOKUP($A28,ScionOutput!$A$3:$BL$215,10,FALSE)</f>
        <v>130</v>
      </c>
      <c r="I28" t="str">
        <f>VLOOKUP($A28,ScionOutput!$A$3:$BL$215,58,FALSE)</f>
        <v>No Play</v>
      </c>
      <c r="J28">
        <f>VLOOKUP($A28,ScionOutput!$A$3:$BL$215,59,FALSE)</f>
        <v>0</v>
      </c>
      <c r="K28">
        <f>VLOOKUP($A28,ScionOutput!$A$3:$BL$215,62,FALSE)</f>
        <v>0</v>
      </c>
      <c r="L28">
        <f>VLOOKUP($A28,ScionOutput!$A$3:$BL$215,63,FALSE)</f>
        <v>0</v>
      </c>
      <c r="M28" t="b">
        <f t="shared" si="1"/>
        <v>0</v>
      </c>
      <c r="N28">
        <f>VLOOKUP($A28,Outcomes!$B$3:$I$209,8,FALSE)</f>
        <v>8</v>
      </c>
      <c r="O28">
        <f t="shared" si="2"/>
        <v>1</v>
      </c>
      <c r="P28">
        <f>VLOOKUP($A28,Outcomes!$B$3:$I$209,5,FALSE)</f>
        <v>5</v>
      </c>
      <c r="Q28">
        <f>VLOOKUP($A28,Outcomes!$B$3:$I$209,6,FALSE)</f>
        <v>3</v>
      </c>
      <c r="R28">
        <f>VLOOKUP($A28,Outcomes!$B$3:$I$209,7,FALSE)</f>
        <v>-2</v>
      </c>
      <c r="S28" t="str">
        <f t="shared" si="3"/>
        <v>HomFave</v>
      </c>
      <c r="T28" t="str">
        <f t="shared" si="4"/>
        <v/>
      </c>
      <c r="U28" t="str">
        <f t="shared" si="0"/>
        <v/>
      </c>
      <c r="V28" t="str">
        <f t="shared" si="5"/>
        <v/>
      </c>
      <c r="W28" t="str">
        <f t="shared" si="6"/>
        <v/>
      </c>
      <c r="X28" s="2" t="str">
        <f t="shared" si="7"/>
        <v/>
      </c>
      <c r="Y28" t="str">
        <f>VLOOKUP($A28,ScionOutput!$A$3:$BL$215,64,FALSE)</f>
        <v xml:space="preserve">823047. LineStatEns probability points gap does not exceed threshold (no edge found)! StatOnlyEns probability points gap does not exceed threshold (no edge found)! No play due to strategy constraints. </v>
      </c>
    </row>
    <row r="29" spans="1:25" x14ac:dyDescent="0.2">
      <c r="A29">
        <v>822890</v>
      </c>
      <c r="B29" s="3">
        <f>VLOOKUP($A29,ScionOutput!$A$3:$BL$215,3,FALSE)</f>
        <v>46180</v>
      </c>
      <c r="C29">
        <f>VLOOKUP($A29,ScionOutput!$A$3:$BL$215,22,FALSE)</f>
        <v>28</v>
      </c>
      <c r="D29" t="str">
        <f>VLOOKUP($A29,ScionOutput!$A$3:$BL$215,23,FALSE)</f>
        <v>TEX</v>
      </c>
      <c r="E29">
        <f>VLOOKUP($A29,ScionOutput!$A$3:$BL$215,6,FALSE)</f>
        <v>7</v>
      </c>
      <c r="F29" t="str">
        <f>VLOOKUP($A29,ScionOutput!$A$3:$BL$215,7,FALSE)</f>
        <v>CLE</v>
      </c>
      <c r="G29">
        <f>VLOOKUP($A29,ScionOutput!$A$3:$BL$215,26,FALSE)</f>
        <v>-137</v>
      </c>
      <c r="H29">
        <f>VLOOKUP($A29,ScionOutput!$A$3:$BL$215,10,FALSE)</f>
        <v>126</v>
      </c>
      <c r="I29" t="str">
        <f>VLOOKUP($A29,ScionOutput!$A$3:$BL$215,58,FALSE)</f>
        <v>No Play</v>
      </c>
      <c r="J29">
        <f>VLOOKUP($A29,ScionOutput!$A$3:$BL$215,59,FALSE)</f>
        <v>0</v>
      </c>
      <c r="K29">
        <f>VLOOKUP($A29,ScionOutput!$A$3:$BL$215,62,FALSE)</f>
        <v>0</v>
      </c>
      <c r="L29">
        <f>VLOOKUP($A29,ScionOutput!$A$3:$BL$215,63,FALSE)</f>
        <v>0</v>
      </c>
      <c r="M29" t="b">
        <f t="shared" si="1"/>
        <v>0</v>
      </c>
      <c r="N29">
        <f>VLOOKUP($A29,Outcomes!$B$3:$I$209,8,FALSE)</f>
        <v>10</v>
      </c>
      <c r="O29">
        <f t="shared" si="2"/>
        <v>1</v>
      </c>
      <c r="P29">
        <f>VLOOKUP($A29,Outcomes!$B$3:$I$209,5,FALSE)</f>
        <v>10</v>
      </c>
      <c r="Q29">
        <f>VLOOKUP($A29,Outcomes!$B$3:$I$209,6,FALSE)</f>
        <v>0</v>
      </c>
      <c r="R29">
        <f>VLOOKUP($A29,Outcomes!$B$3:$I$209,7,FALSE)</f>
        <v>-10</v>
      </c>
      <c r="S29" t="str">
        <f t="shared" si="3"/>
        <v>HomFave</v>
      </c>
      <c r="T29" t="str">
        <f t="shared" si="4"/>
        <v/>
      </c>
      <c r="U29" t="str">
        <f t="shared" si="0"/>
        <v/>
      </c>
      <c r="V29" t="str">
        <f t="shared" si="5"/>
        <v/>
      </c>
      <c r="W29" t="str">
        <f t="shared" si="6"/>
        <v/>
      </c>
      <c r="X29" s="2" t="str">
        <f t="shared" si="7"/>
        <v/>
      </c>
      <c r="Y29" t="str">
        <f>VLOOKUP($A29,ScionOutput!$A$3:$BL$215,64,FALSE)</f>
        <v xml:space="preserve">822890. LineStatEns probability points gap does not exceed threshold (no edge found)! StatOnlyEns probability points gap does not exceed threshold (no edge found)! No play due to strategy constraints. </v>
      </c>
    </row>
    <row r="30" spans="1:25" x14ac:dyDescent="0.2">
      <c r="A30">
        <v>822807</v>
      </c>
      <c r="B30" s="3">
        <f>VLOOKUP($A30,ScionOutput!$A$3:$BL$215,3,FALSE)</f>
        <v>46180</v>
      </c>
      <c r="C30">
        <f>VLOOKUP($A30,ScionOutput!$A$3:$BL$215,22,FALSE)</f>
        <v>29</v>
      </c>
      <c r="D30" t="str">
        <f>VLOOKUP($A30,ScionOutput!$A$3:$BL$215,23,FALSE)</f>
        <v>TOR</v>
      </c>
      <c r="E30">
        <f>VLOOKUP($A30,ScionOutput!$A$3:$BL$215,6,FALSE)</f>
        <v>2</v>
      </c>
      <c r="F30" t="str">
        <f>VLOOKUP($A30,ScionOutput!$A$3:$BL$215,7,FALSE)</f>
        <v>BAL</v>
      </c>
      <c r="G30">
        <f>VLOOKUP($A30,ScionOutput!$A$3:$BL$215,26,FALSE)</f>
        <v>-130</v>
      </c>
      <c r="H30">
        <f>VLOOKUP($A30,ScionOutput!$A$3:$BL$215,10,FALSE)</f>
        <v>120</v>
      </c>
      <c r="I30" t="str">
        <f>VLOOKUP($A30,ScionOutput!$A$3:$BL$215,58,FALSE)</f>
        <v>No Play</v>
      </c>
      <c r="J30">
        <f>VLOOKUP($A30,ScionOutput!$A$3:$BL$215,59,FALSE)</f>
        <v>0</v>
      </c>
      <c r="K30">
        <f>VLOOKUP($A30,ScionOutput!$A$3:$BL$215,62,FALSE)</f>
        <v>0</v>
      </c>
      <c r="L30">
        <f>VLOOKUP($A30,ScionOutput!$A$3:$BL$215,63,FALSE)</f>
        <v>0</v>
      </c>
      <c r="M30" t="b">
        <f t="shared" si="1"/>
        <v>0</v>
      </c>
      <c r="N30">
        <f>VLOOKUP($A30,Outcomes!$B$3:$I$209,8,FALSE)</f>
        <v>10</v>
      </c>
      <c r="O30">
        <f t="shared" si="2"/>
        <v>1</v>
      </c>
      <c r="P30">
        <f>VLOOKUP($A30,Outcomes!$B$3:$I$209,5,FALSE)</f>
        <v>6</v>
      </c>
      <c r="Q30">
        <f>VLOOKUP($A30,Outcomes!$B$3:$I$209,6,FALSE)</f>
        <v>4</v>
      </c>
      <c r="R30">
        <f>VLOOKUP($A30,Outcomes!$B$3:$I$209,7,FALSE)</f>
        <v>-2</v>
      </c>
      <c r="S30" t="str">
        <f t="shared" si="3"/>
        <v>HomFave</v>
      </c>
      <c r="T30" t="str">
        <f t="shared" si="4"/>
        <v/>
      </c>
      <c r="U30" t="str">
        <f t="shared" si="0"/>
        <v/>
      </c>
      <c r="V30" t="str">
        <f t="shared" si="5"/>
        <v/>
      </c>
      <c r="W30" t="str">
        <f t="shared" si="6"/>
        <v/>
      </c>
      <c r="X30" s="2" t="str">
        <f t="shared" si="7"/>
        <v/>
      </c>
      <c r="Y30" t="str">
        <f>VLOOKUP($A30,ScionOutput!$A$3:$BL$215,64,FALSE)</f>
        <v xml:space="preserve">822807. LineStatEns probability points gap does not exceed threshold (no edge found)! StatOnlyEns probability points gap does not exceed threshold (no edge found)! No play due to strategy constraints. </v>
      </c>
    </row>
    <row r="31" spans="1:25" x14ac:dyDescent="0.2">
      <c r="A31">
        <v>824829</v>
      </c>
      <c r="B31" s="3">
        <f>VLOOKUP($A31,ScionOutput!$A$3:$BL$215,3,FALSE)</f>
        <v>46181</v>
      </c>
      <c r="C31">
        <f>VLOOKUP($A31,ScionOutput!$A$3:$BL$215,22,FALSE)</f>
        <v>2</v>
      </c>
      <c r="D31" t="str">
        <f>VLOOKUP($A31,ScionOutput!$A$3:$BL$215,23,FALSE)</f>
        <v>BAL</v>
      </c>
      <c r="E31">
        <f>VLOOKUP($A31,ScionOutput!$A$3:$BL$215,6,FALSE)</f>
        <v>24</v>
      </c>
      <c r="F31" t="str">
        <f>VLOOKUP($A31,ScionOutput!$A$3:$BL$215,7,FALSE)</f>
        <v>SEA</v>
      </c>
      <c r="G31">
        <f>VLOOKUP($A31,ScionOutput!$A$3:$BL$215,26,FALSE)</f>
        <v>111</v>
      </c>
      <c r="H31">
        <f>VLOOKUP($A31,ScionOutput!$A$3:$BL$215,10,FALSE)</f>
        <v>-120</v>
      </c>
      <c r="I31" t="str">
        <f>VLOOKUP($A31,ScionOutput!$A$3:$BL$215,58,FALSE)</f>
        <v>No Play</v>
      </c>
      <c r="J31">
        <f>VLOOKUP($A31,ScionOutput!$A$3:$BL$215,59,FALSE)</f>
        <v>0</v>
      </c>
      <c r="K31">
        <f>VLOOKUP($A31,ScionOutput!$A$3:$BL$215,62,FALSE)</f>
        <v>0</v>
      </c>
      <c r="L31">
        <f>VLOOKUP($A31,ScionOutput!$A$3:$BL$215,63,FALSE)</f>
        <v>0</v>
      </c>
      <c r="M31" t="b">
        <f t="shared" si="1"/>
        <v>0</v>
      </c>
      <c r="N31">
        <f>VLOOKUP($A31,Outcomes!$B$3:$I$209,8,FALSE)</f>
        <v>9</v>
      </c>
      <c r="O31">
        <f t="shared" si="2"/>
        <v>-1</v>
      </c>
      <c r="P31">
        <f>VLOOKUP($A31,Outcomes!$B$3:$I$209,5,FALSE)</f>
        <v>3</v>
      </c>
      <c r="Q31">
        <f>VLOOKUP($A31,Outcomes!$B$3:$I$209,6,FALSE)</f>
        <v>6</v>
      </c>
      <c r="R31">
        <f>VLOOKUP($A31,Outcomes!$B$3:$I$209,7,FALSE)</f>
        <v>3</v>
      </c>
      <c r="S31" t="str">
        <f t="shared" si="3"/>
        <v>VisFave</v>
      </c>
      <c r="T31" t="str">
        <f t="shared" si="4"/>
        <v/>
      </c>
      <c r="U31" t="str">
        <f t="shared" si="0"/>
        <v/>
      </c>
      <c r="V31" t="str">
        <f t="shared" si="5"/>
        <v/>
      </c>
      <c r="W31" t="str">
        <f t="shared" si="6"/>
        <v/>
      </c>
      <c r="X31" s="2" t="str">
        <f t="shared" si="7"/>
        <v/>
      </c>
      <c r="Y31" t="str">
        <f>VLOOKUP($A31,ScionOutput!$A$3:$BL$215,64,FALSE)</f>
        <v xml:space="preserve">824829. VF plays are disallowed. No play due to strategy constraints. </v>
      </c>
    </row>
    <row r="32" spans="1:25" x14ac:dyDescent="0.2">
      <c r="A32">
        <v>824025</v>
      </c>
      <c r="B32" s="3">
        <f>VLOOKUP($A32,ScionOutput!$A$3:$BL$215,3,FALSE)</f>
        <v>46181</v>
      </c>
      <c r="C32">
        <f>VLOOKUP($A32,ScionOutput!$A$3:$BL$215,22,FALSE)</f>
        <v>4</v>
      </c>
      <c r="D32" t="str">
        <f>VLOOKUP($A32,ScionOutput!$A$3:$BL$215,23,FALSE)</f>
        <v>LAA</v>
      </c>
      <c r="E32">
        <f>VLOOKUP($A32,ScionOutput!$A$3:$BL$215,6,FALSE)</f>
        <v>12</v>
      </c>
      <c r="F32" t="str">
        <f>VLOOKUP($A32,ScionOutput!$A$3:$BL$215,7,FALSE)</f>
        <v>HOU</v>
      </c>
      <c r="G32">
        <f>VLOOKUP($A32,ScionOutput!$A$3:$BL$215,26,FALSE)</f>
        <v>112</v>
      </c>
      <c r="H32">
        <f>VLOOKUP($A32,ScionOutput!$A$3:$BL$215,10,FALSE)</f>
        <v>-121</v>
      </c>
      <c r="I32" t="str">
        <f>VLOOKUP($A32,ScionOutput!$A$3:$BL$215,58,FALSE)</f>
        <v>No Play</v>
      </c>
      <c r="J32">
        <f>VLOOKUP($A32,ScionOutput!$A$3:$BL$215,59,FALSE)</f>
        <v>0</v>
      </c>
      <c r="K32">
        <f>VLOOKUP($A32,ScionOutput!$A$3:$BL$215,62,FALSE)</f>
        <v>0</v>
      </c>
      <c r="L32">
        <f>VLOOKUP($A32,ScionOutput!$A$3:$BL$215,63,FALSE)</f>
        <v>0</v>
      </c>
      <c r="M32" t="b">
        <f t="shared" si="1"/>
        <v>0</v>
      </c>
      <c r="N32">
        <f>VLOOKUP($A32,Outcomes!$B$3:$I$209,8,FALSE)</f>
        <v>9</v>
      </c>
      <c r="O32">
        <f t="shared" si="2"/>
        <v>-1</v>
      </c>
      <c r="P32">
        <f>VLOOKUP($A32,Outcomes!$B$3:$I$209,5,FALSE)</f>
        <v>4</v>
      </c>
      <c r="Q32">
        <f>VLOOKUP($A32,Outcomes!$B$3:$I$209,6,FALSE)</f>
        <v>5</v>
      </c>
      <c r="R32">
        <f>VLOOKUP($A32,Outcomes!$B$3:$I$209,7,FALSE)</f>
        <v>1</v>
      </c>
      <c r="S32" t="str">
        <f t="shared" si="3"/>
        <v>VisFave</v>
      </c>
      <c r="T32" t="str">
        <f t="shared" si="4"/>
        <v/>
      </c>
      <c r="U32" t="str">
        <f t="shared" si="0"/>
        <v/>
      </c>
      <c r="V32" t="str">
        <f t="shared" si="5"/>
        <v/>
      </c>
      <c r="W32" t="str">
        <f t="shared" si="6"/>
        <v/>
      </c>
      <c r="X32" s="2" t="str">
        <f t="shared" si="7"/>
        <v/>
      </c>
      <c r="Y32" t="str">
        <f>VLOOKUP($A32,ScionOutput!$A$3:$BL$215,64,FALSE)</f>
        <v xml:space="preserve">824025. VF plays are disallowed. No play due to strategy constraints. </v>
      </c>
    </row>
    <row r="33" spans="1:25" x14ac:dyDescent="0.2">
      <c r="A33">
        <v>824427</v>
      </c>
      <c r="B33" s="3">
        <f>VLOOKUP($A33,ScionOutput!$A$3:$BL$215,3,FALSE)</f>
        <v>46181</v>
      </c>
      <c r="C33">
        <f>VLOOKUP($A33,ScionOutput!$A$3:$BL$215,22,FALSE)</f>
        <v>7</v>
      </c>
      <c r="D33" t="str">
        <f>VLOOKUP($A33,ScionOutput!$A$3:$BL$215,23,FALSE)</f>
        <v>CLE</v>
      </c>
      <c r="E33">
        <f>VLOOKUP($A33,ScionOutput!$A$3:$BL$215,6,FALSE)</f>
        <v>19</v>
      </c>
      <c r="F33" t="str">
        <f>VLOOKUP($A33,ScionOutput!$A$3:$BL$215,7,FALSE)</f>
        <v>NYY</v>
      </c>
      <c r="G33">
        <f>VLOOKUP($A33,ScionOutput!$A$3:$BL$215,26,FALSE)</f>
        <v>-122</v>
      </c>
      <c r="H33">
        <f>VLOOKUP($A33,ScionOutput!$A$3:$BL$215,10,FALSE)</f>
        <v>113</v>
      </c>
      <c r="I33" t="str">
        <f>VLOOKUP($A33,ScionOutput!$A$3:$BL$215,58,FALSE)</f>
        <v>No Play</v>
      </c>
      <c r="J33">
        <f>VLOOKUP($A33,ScionOutput!$A$3:$BL$215,59,FALSE)</f>
        <v>0</v>
      </c>
      <c r="K33">
        <f>VLOOKUP($A33,ScionOutput!$A$3:$BL$215,62,FALSE)</f>
        <v>0</v>
      </c>
      <c r="L33">
        <f>VLOOKUP($A33,ScionOutput!$A$3:$BL$215,63,FALSE)</f>
        <v>0</v>
      </c>
      <c r="M33" t="b">
        <f t="shared" si="1"/>
        <v>0</v>
      </c>
      <c r="N33">
        <f>VLOOKUP($A33,Outcomes!$B$3:$I$209,8,FALSE)</f>
        <v>12</v>
      </c>
      <c r="O33">
        <f t="shared" si="2"/>
        <v>-1</v>
      </c>
      <c r="P33">
        <f>VLOOKUP($A33,Outcomes!$B$3:$I$209,5,FALSE)</f>
        <v>5</v>
      </c>
      <c r="Q33">
        <f>VLOOKUP($A33,Outcomes!$B$3:$I$209,6,FALSE)</f>
        <v>7</v>
      </c>
      <c r="R33">
        <f>VLOOKUP($A33,Outcomes!$B$3:$I$209,7,FALSE)</f>
        <v>2</v>
      </c>
      <c r="S33" t="str">
        <f t="shared" si="3"/>
        <v>VisDog</v>
      </c>
      <c r="T33" t="str">
        <f t="shared" si="4"/>
        <v/>
      </c>
      <c r="U33" t="str">
        <f t="shared" si="0"/>
        <v/>
      </c>
      <c r="V33" t="str">
        <f t="shared" si="5"/>
        <v/>
      </c>
      <c r="W33" t="str">
        <f t="shared" si="6"/>
        <v/>
      </c>
      <c r="X33" s="2" t="str">
        <f t="shared" si="7"/>
        <v/>
      </c>
      <c r="Y33" t="str">
        <f>VLOOKUP($A33,ScionOutput!$A$3:$BL$215,64,FALSE)</f>
        <v xml:space="preserve">824427. LineStatEns probability points gap does not exceed threshold (no edge found)! StatOnlyEns probability points gap does not exceed threshold (no edge found)! No play due to strategy constraints. </v>
      </c>
    </row>
    <row r="34" spans="1:25" x14ac:dyDescent="0.2">
      <c r="A34">
        <v>824998</v>
      </c>
      <c r="B34" s="3">
        <f>VLOOKUP($A34,ScionOutput!$A$3:$BL$215,3,FALSE)</f>
        <v>46181</v>
      </c>
      <c r="C34">
        <f>VLOOKUP($A34,ScionOutput!$A$3:$BL$215,22,FALSE)</f>
        <v>20</v>
      </c>
      <c r="D34" t="str">
        <f>VLOOKUP($A34,ScionOutput!$A$3:$BL$215,23,FALSE)</f>
        <v>OAK</v>
      </c>
      <c r="E34">
        <f>VLOOKUP($A34,ScionOutput!$A$3:$BL$215,6,FALSE)</f>
        <v>17</v>
      </c>
      <c r="F34" t="str">
        <f>VLOOKUP($A34,ScionOutput!$A$3:$BL$215,7,FALSE)</f>
        <v>MLW</v>
      </c>
      <c r="G34">
        <f>VLOOKUP($A34,ScionOutput!$A$3:$BL$215,26,FALSE)</f>
        <v>130</v>
      </c>
      <c r="H34">
        <f>VLOOKUP($A34,ScionOutput!$A$3:$BL$215,10,FALSE)</f>
        <v>-142</v>
      </c>
      <c r="I34" t="str">
        <f>VLOOKUP($A34,ScionOutput!$A$3:$BL$215,58,FALSE)</f>
        <v>No Play</v>
      </c>
      <c r="J34">
        <f>VLOOKUP($A34,ScionOutput!$A$3:$BL$215,59,FALSE)</f>
        <v>0</v>
      </c>
      <c r="K34">
        <f>VLOOKUP($A34,ScionOutput!$A$3:$BL$215,62,FALSE)</f>
        <v>0</v>
      </c>
      <c r="L34">
        <f>VLOOKUP($A34,ScionOutput!$A$3:$BL$215,63,FALSE)</f>
        <v>0</v>
      </c>
      <c r="M34" t="b">
        <f t="shared" si="1"/>
        <v>0</v>
      </c>
      <c r="N34">
        <f>VLOOKUP($A34,Outcomes!$B$3:$I$209,8,FALSE)</f>
        <v>29</v>
      </c>
      <c r="O34">
        <f t="shared" si="2"/>
        <v>-1</v>
      </c>
      <c r="P34">
        <f>VLOOKUP($A34,Outcomes!$B$3:$I$209,5,FALSE)</f>
        <v>14</v>
      </c>
      <c r="Q34">
        <f>VLOOKUP($A34,Outcomes!$B$3:$I$209,6,FALSE)</f>
        <v>15</v>
      </c>
      <c r="R34">
        <f>VLOOKUP($A34,Outcomes!$B$3:$I$209,7,FALSE)</f>
        <v>1</v>
      </c>
      <c r="S34" t="str">
        <f t="shared" si="3"/>
        <v>VisFave</v>
      </c>
      <c r="T34" t="str">
        <f t="shared" si="4"/>
        <v/>
      </c>
      <c r="U34" t="str">
        <f t="shared" si="0"/>
        <v/>
      </c>
      <c r="V34" t="str">
        <f t="shared" si="5"/>
        <v/>
      </c>
      <c r="W34" t="str">
        <f t="shared" si="6"/>
        <v/>
      </c>
      <c r="X34" s="2" t="str">
        <f t="shared" si="7"/>
        <v/>
      </c>
      <c r="Y34" t="str">
        <f>VLOOKUP($A34,ScionOutput!$A$3:$BL$215,64,FALSE)</f>
        <v xml:space="preserve">824998. VF plays are disallowed. No play due to strategy constraints. </v>
      </c>
    </row>
    <row r="35" spans="1:25" x14ac:dyDescent="0.2">
      <c r="A35">
        <v>823289</v>
      </c>
      <c r="B35" s="3">
        <f>VLOOKUP($A35,ScionOutput!$A$3:$BL$215,3,FALSE)</f>
        <v>46181</v>
      </c>
      <c r="C35">
        <f>VLOOKUP($A35,ScionOutput!$A$3:$BL$215,22,FALSE)</f>
        <v>23</v>
      </c>
      <c r="D35" t="str">
        <f>VLOOKUP($A35,ScionOutput!$A$3:$BL$215,23,FALSE)</f>
        <v>SD</v>
      </c>
      <c r="E35">
        <f>VLOOKUP($A35,ScionOutput!$A$3:$BL$215,6,FALSE)</f>
        <v>6</v>
      </c>
      <c r="F35" t="str">
        <f>VLOOKUP($A35,ScionOutput!$A$3:$BL$215,7,FALSE)</f>
        <v>CIN</v>
      </c>
      <c r="G35">
        <f>VLOOKUP($A35,ScionOutput!$A$3:$BL$215,26,FALSE)</f>
        <v>-128</v>
      </c>
      <c r="H35">
        <f>VLOOKUP($A35,ScionOutput!$A$3:$BL$215,10,FALSE)</f>
        <v>118</v>
      </c>
      <c r="I35" t="str">
        <f>VLOOKUP($A35,ScionOutput!$A$3:$BL$215,58,FALSE)</f>
        <v>No Play</v>
      </c>
      <c r="J35">
        <f>VLOOKUP($A35,ScionOutput!$A$3:$BL$215,59,FALSE)</f>
        <v>0</v>
      </c>
      <c r="K35">
        <f>VLOOKUP($A35,ScionOutput!$A$3:$BL$215,62,FALSE)</f>
        <v>0</v>
      </c>
      <c r="L35">
        <f>VLOOKUP($A35,ScionOutput!$A$3:$BL$215,63,FALSE)</f>
        <v>0</v>
      </c>
      <c r="M35" t="b">
        <f t="shared" si="1"/>
        <v>0</v>
      </c>
      <c r="N35">
        <f>VLOOKUP($A35,Outcomes!$B$3:$I$209,8,FALSE)</f>
        <v>8</v>
      </c>
      <c r="O35">
        <f t="shared" si="2"/>
        <v>1</v>
      </c>
      <c r="P35">
        <f>VLOOKUP($A35,Outcomes!$B$3:$I$209,5,FALSE)</f>
        <v>6</v>
      </c>
      <c r="Q35">
        <f>VLOOKUP($A35,Outcomes!$B$3:$I$209,6,FALSE)</f>
        <v>2</v>
      </c>
      <c r="R35">
        <f>VLOOKUP($A35,Outcomes!$B$3:$I$209,7,FALSE)</f>
        <v>-4</v>
      </c>
      <c r="S35" t="str">
        <f t="shared" si="3"/>
        <v>HomFave</v>
      </c>
      <c r="T35" t="str">
        <f t="shared" si="4"/>
        <v/>
      </c>
      <c r="U35" t="str">
        <f t="shared" si="0"/>
        <v/>
      </c>
      <c r="V35" t="str">
        <f t="shared" si="5"/>
        <v/>
      </c>
      <c r="W35" t="str">
        <f t="shared" si="6"/>
        <v/>
      </c>
      <c r="X35" s="2" t="str">
        <f t="shared" si="7"/>
        <v/>
      </c>
      <c r="Y35" t="str">
        <f>VLOOKUP($A35,ScionOutput!$A$3:$BL$215,64,FALSE)</f>
        <v xml:space="preserve">823289. LineStatEns probability points gap does not exceed threshold (no edge found)! StatOnlyEns probability points gap does not exceed threshold (no edge found)! No play due to strategy constraints. </v>
      </c>
    </row>
    <row r="36" spans="1:25" x14ac:dyDescent="0.2">
      <c r="A36">
        <v>823218</v>
      </c>
      <c r="B36" s="3">
        <f>VLOOKUP($A36,ScionOutput!$A$3:$BL$215,3,FALSE)</f>
        <v>46181</v>
      </c>
      <c r="C36">
        <f>VLOOKUP($A36,ScionOutput!$A$3:$BL$215,22,FALSE)</f>
        <v>25</v>
      </c>
      <c r="D36" t="str">
        <f>VLOOKUP($A36,ScionOutput!$A$3:$BL$215,23,FALSE)</f>
        <v>SF</v>
      </c>
      <c r="E36">
        <f>VLOOKUP($A36,ScionOutput!$A$3:$BL$215,6,FALSE)</f>
        <v>16</v>
      </c>
      <c r="F36" t="str">
        <f>VLOOKUP($A36,ScionOutput!$A$3:$BL$215,7,FALSE)</f>
        <v>WAS</v>
      </c>
      <c r="G36">
        <f>VLOOKUP($A36,ScionOutput!$A$3:$BL$215,26,FALSE)</f>
        <v>-145</v>
      </c>
      <c r="H36">
        <f>VLOOKUP($A36,ScionOutput!$A$3:$BL$215,10,FALSE)</f>
        <v>133</v>
      </c>
      <c r="I36" t="str">
        <f>VLOOKUP($A36,ScionOutput!$A$3:$BL$215,58,FALSE)</f>
        <v>No Play</v>
      </c>
      <c r="J36">
        <f>VLOOKUP($A36,ScionOutput!$A$3:$BL$215,59,FALSE)</f>
        <v>0</v>
      </c>
      <c r="K36">
        <f>VLOOKUP($A36,ScionOutput!$A$3:$BL$215,62,FALSE)</f>
        <v>0</v>
      </c>
      <c r="L36">
        <f>VLOOKUP($A36,ScionOutput!$A$3:$BL$215,63,FALSE)</f>
        <v>0</v>
      </c>
      <c r="M36" t="b">
        <f t="shared" si="1"/>
        <v>0</v>
      </c>
      <c r="N36">
        <f>VLOOKUP($A36,Outcomes!$B$3:$I$209,8,FALSE)</f>
        <v>7</v>
      </c>
      <c r="O36">
        <f t="shared" si="2"/>
        <v>-1</v>
      </c>
      <c r="P36">
        <f>VLOOKUP($A36,Outcomes!$B$3:$I$209,5,FALSE)</f>
        <v>3</v>
      </c>
      <c r="Q36">
        <f>VLOOKUP($A36,Outcomes!$B$3:$I$209,6,FALSE)</f>
        <v>4</v>
      </c>
      <c r="R36">
        <f>VLOOKUP($A36,Outcomes!$B$3:$I$209,7,FALSE)</f>
        <v>1</v>
      </c>
      <c r="S36" t="str">
        <f t="shared" si="3"/>
        <v>VisDog</v>
      </c>
      <c r="T36" t="str">
        <f t="shared" si="4"/>
        <v/>
      </c>
      <c r="U36" t="str">
        <f t="shared" si="0"/>
        <v/>
      </c>
      <c r="V36" t="str">
        <f t="shared" si="5"/>
        <v/>
      </c>
      <c r="W36" t="str">
        <f t="shared" si="6"/>
        <v/>
      </c>
      <c r="X36" s="2" t="str">
        <f t="shared" si="7"/>
        <v/>
      </c>
      <c r="Y36" t="str">
        <f>VLOOKUP($A36,ScionOutput!$A$3:$BL$215,64,FALSE)</f>
        <v xml:space="preserve">823218. LineStatEns probability points gap does not exceed threshold (no edge found)! StatOnlyEns probability points gap does not exceed threshold (no edge found)! No play due to strategy constraints. </v>
      </c>
    </row>
    <row r="37" spans="1:25" x14ac:dyDescent="0.2">
      <c r="A37">
        <v>822972</v>
      </c>
      <c r="B37" s="3">
        <f>VLOOKUP($A37,ScionOutput!$A$3:$BL$215,3,FALSE)</f>
        <v>46181</v>
      </c>
      <c r="C37">
        <f>VLOOKUP($A37,ScionOutput!$A$3:$BL$215,22,FALSE)</f>
        <v>27</v>
      </c>
      <c r="D37" t="str">
        <f>VLOOKUP($A37,ScionOutput!$A$3:$BL$215,23,FALSE)</f>
        <v>TB</v>
      </c>
      <c r="E37">
        <f>VLOOKUP($A37,ScionOutput!$A$3:$BL$215,6,FALSE)</f>
        <v>3</v>
      </c>
      <c r="F37" t="str">
        <f>VLOOKUP($A37,ScionOutput!$A$3:$BL$215,7,FALSE)</f>
        <v>BOS</v>
      </c>
      <c r="G37">
        <f>VLOOKUP($A37,ScionOutput!$A$3:$BL$215,26,FALSE)</f>
        <v>-102</v>
      </c>
      <c r="H37">
        <f>VLOOKUP($A37,ScionOutput!$A$3:$BL$215,10,FALSE)</f>
        <v>-106</v>
      </c>
      <c r="I37" t="str">
        <f>VLOOKUP($A37,ScionOutput!$A$3:$BL$215,58,FALSE)</f>
        <v>No Play</v>
      </c>
      <c r="J37">
        <f>VLOOKUP($A37,ScionOutput!$A$3:$BL$215,59,FALSE)</f>
        <v>0</v>
      </c>
      <c r="K37">
        <f>VLOOKUP($A37,ScionOutput!$A$3:$BL$215,62,FALSE)</f>
        <v>0</v>
      </c>
      <c r="L37">
        <f>VLOOKUP($A37,ScionOutput!$A$3:$BL$215,63,FALSE)</f>
        <v>0</v>
      </c>
      <c r="M37" t="b">
        <f t="shared" si="1"/>
        <v>0</v>
      </c>
      <c r="N37">
        <f>VLOOKUP($A37,Outcomes!$B$3:$I$209,8,FALSE)</f>
        <v>4</v>
      </c>
      <c r="O37">
        <f t="shared" si="2"/>
        <v>1</v>
      </c>
      <c r="P37">
        <f>VLOOKUP($A37,Outcomes!$B$3:$I$209,5,FALSE)</f>
        <v>3</v>
      </c>
      <c r="Q37">
        <f>VLOOKUP($A37,Outcomes!$B$3:$I$209,6,FALSE)</f>
        <v>1</v>
      </c>
      <c r="R37">
        <f>VLOOKUP($A37,Outcomes!$B$3:$I$209,7,FALSE)</f>
        <v>-2</v>
      </c>
      <c r="S37" t="str">
        <f t="shared" si="3"/>
        <v>HomDog</v>
      </c>
      <c r="T37" t="str">
        <f t="shared" si="4"/>
        <v/>
      </c>
      <c r="U37" t="str">
        <f t="shared" si="0"/>
        <v/>
      </c>
      <c r="V37" t="str">
        <f t="shared" si="5"/>
        <v/>
      </c>
      <c r="W37" t="str">
        <f t="shared" si="6"/>
        <v/>
      </c>
      <c r="X37" s="2" t="str">
        <f t="shared" si="7"/>
        <v/>
      </c>
      <c r="Y37" t="str">
        <f>VLOOKUP($A37,ScionOutput!$A$3:$BL$215,64,FALSE)</f>
        <v xml:space="preserve">822972. VF plays are disallowed. No play due to strategy constraints. </v>
      </c>
    </row>
    <row r="38" spans="1:25" x14ac:dyDescent="0.2">
      <c r="A38">
        <v>822806</v>
      </c>
      <c r="B38" s="3">
        <f>VLOOKUP($A38,ScionOutput!$A$3:$BL$215,3,FALSE)</f>
        <v>46181</v>
      </c>
      <c r="C38">
        <f>VLOOKUP($A38,ScionOutput!$A$3:$BL$215,22,FALSE)</f>
        <v>29</v>
      </c>
      <c r="D38" t="str">
        <f>VLOOKUP($A38,ScionOutput!$A$3:$BL$215,23,FALSE)</f>
        <v>TOR</v>
      </c>
      <c r="E38">
        <f>VLOOKUP($A38,ScionOutput!$A$3:$BL$215,6,FALSE)</f>
        <v>21</v>
      </c>
      <c r="F38" t="str">
        <f>VLOOKUP($A38,ScionOutput!$A$3:$BL$215,7,FALSE)</f>
        <v>PHI</v>
      </c>
      <c r="G38">
        <f>VLOOKUP($A38,ScionOutput!$A$3:$BL$215,26,FALSE)</f>
        <v>154</v>
      </c>
      <c r="H38">
        <f>VLOOKUP($A38,ScionOutput!$A$3:$BL$215,10,FALSE)</f>
        <v>-168</v>
      </c>
      <c r="I38" t="str">
        <f>VLOOKUP($A38,ScionOutput!$A$3:$BL$215,58,FALSE)</f>
        <v>No Play</v>
      </c>
      <c r="J38">
        <f>VLOOKUP($A38,ScionOutput!$A$3:$BL$215,59,FALSE)</f>
        <v>0</v>
      </c>
      <c r="K38">
        <f>VLOOKUP($A38,ScionOutput!$A$3:$BL$215,62,FALSE)</f>
        <v>0</v>
      </c>
      <c r="L38">
        <f>VLOOKUP($A38,ScionOutput!$A$3:$BL$215,63,FALSE)</f>
        <v>0</v>
      </c>
      <c r="M38" t="b">
        <f t="shared" si="1"/>
        <v>0</v>
      </c>
      <c r="N38">
        <f>VLOOKUP($A38,Outcomes!$B$3:$I$209,8,FALSE)</f>
        <v>7</v>
      </c>
      <c r="O38">
        <f t="shared" si="2"/>
        <v>-1</v>
      </c>
      <c r="P38">
        <f>VLOOKUP($A38,Outcomes!$B$3:$I$209,5,FALSE)</f>
        <v>2</v>
      </c>
      <c r="Q38">
        <f>VLOOKUP($A38,Outcomes!$B$3:$I$209,6,FALSE)</f>
        <v>5</v>
      </c>
      <c r="R38">
        <f>VLOOKUP($A38,Outcomes!$B$3:$I$209,7,FALSE)</f>
        <v>3</v>
      </c>
      <c r="S38" t="str">
        <f t="shared" si="3"/>
        <v>VisFave</v>
      </c>
      <c r="T38" t="str">
        <f t="shared" si="4"/>
        <v/>
      </c>
      <c r="U38" t="str">
        <f t="shared" si="0"/>
        <v/>
      </c>
      <c r="V38" t="str">
        <f t="shared" si="5"/>
        <v/>
      </c>
      <c r="W38" t="str">
        <f t="shared" si="6"/>
        <v/>
      </c>
      <c r="X38" s="2" t="str">
        <f t="shared" si="7"/>
        <v/>
      </c>
      <c r="Y38" t="str">
        <f>VLOOKUP($A38,ScionOutput!$A$3:$BL$215,64,FALSE)</f>
        <v xml:space="preserve">822806. LineStatEns is NoPlay as bookie-line outside range. StatOnlyEns is NoPlay as bookie-line outside range. No play due to strategy constraints. </v>
      </c>
    </row>
    <row r="39" spans="1:25" x14ac:dyDescent="0.2">
      <c r="A39">
        <v>824830</v>
      </c>
      <c r="B39" s="3">
        <f>VLOOKUP($A39,ScionOutput!$A$3:$BL$215,3,FALSE)</f>
        <v>46182</v>
      </c>
      <c r="C39">
        <f>VLOOKUP($A39,ScionOutput!$A$3:$BL$215,22,FALSE)</f>
        <v>2</v>
      </c>
      <c r="D39" t="str">
        <f>VLOOKUP($A39,ScionOutput!$A$3:$BL$215,23,FALSE)</f>
        <v>BAL</v>
      </c>
      <c r="E39">
        <f>VLOOKUP($A39,ScionOutput!$A$3:$BL$215,6,FALSE)</f>
        <v>24</v>
      </c>
      <c r="F39" t="str">
        <f>VLOOKUP($A39,ScionOutput!$A$3:$BL$215,7,FALSE)</f>
        <v>SEA</v>
      </c>
      <c r="G39">
        <f>VLOOKUP($A39,ScionOutput!$A$3:$BL$215,26,FALSE)</f>
        <v>103</v>
      </c>
      <c r="H39">
        <f>VLOOKUP($A39,ScionOutput!$A$3:$BL$215,10,FALSE)</f>
        <v>-112</v>
      </c>
      <c r="I39" t="str">
        <f>VLOOKUP($A39,ScionOutput!$A$3:$BL$215,58,FALSE)</f>
        <v>No Play</v>
      </c>
      <c r="J39">
        <f>VLOOKUP($A39,ScionOutput!$A$3:$BL$215,59,FALSE)</f>
        <v>0</v>
      </c>
      <c r="K39">
        <f>VLOOKUP($A39,ScionOutput!$A$3:$BL$215,62,FALSE)</f>
        <v>0</v>
      </c>
      <c r="L39">
        <f>VLOOKUP($A39,ScionOutput!$A$3:$BL$215,63,FALSE)</f>
        <v>0</v>
      </c>
      <c r="M39" t="b">
        <f t="shared" si="1"/>
        <v>0</v>
      </c>
      <c r="N39">
        <f>VLOOKUP($A39,Outcomes!$B$3:$I$209,8,FALSE)</f>
        <v>11</v>
      </c>
      <c r="O39">
        <f t="shared" si="2"/>
        <v>-1</v>
      </c>
      <c r="P39">
        <f>VLOOKUP($A39,Outcomes!$B$3:$I$209,5,FALSE)</f>
        <v>5</v>
      </c>
      <c r="Q39">
        <f>VLOOKUP($A39,Outcomes!$B$3:$I$209,6,FALSE)</f>
        <v>6</v>
      </c>
      <c r="R39">
        <f>VLOOKUP($A39,Outcomes!$B$3:$I$209,7,FALSE)</f>
        <v>1</v>
      </c>
      <c r="S39" t="str">
        <f t="shared" si="3"/>
        <v>VisFave</v>
      </c>
      <c r="T39" t="str">
        <f t="shared" si="4"/>
        <v/>
      </c>
      <c r="U39" t="str">
        <f t="shared" si="0"/>
        <v/>
      </c>
      <c r="V39" t="str">
        <f t="shared" si="5"/>
        <v/>
      </c>
      <c r="W39" t="str">
        <f t="shared" si="6"/>
        <v/>
      </c>
      <c r="X39" s="2" t="str">
        <f t="shared" si="7"/>
        <v/>
      </c>
      <c r="Y39" t="str">
        <f>VLOOKUP($A39,ScionOutput!$A$3:$BL$215,64,FALSE)</f>
        <v xml:space="preserve">824830. VF plays are disallowed. No play due to strategy constraints. </v>
      </c>
    </row>
    <row r="40" spans="1:25" x14ac:dyDescent="0.2">
      <c r="A40">
        <v>824023</v>
      </c>
      <c r="B40" s="3">
        <f>VLOOKUP($A40,ScionOutput!$A$3:$BL$215,3,FALSE)</f>
        <v>46182</v>
      </c>
      <c r="C40">
        <f>VLOOKUP($A40,ScionOutput!$A$3:$BL$215,22,FALSE)</f>
        <v>4</v>
      </c>
      <c r="D40" t="str">
        <f>VLOOKUP($A40,ScionOutput!$A$3:$BL$215,23,FALSE)</f>
        <v>LAA</v>
      </c>
      <c r="E40">
        <f>VLOOKUP($A40,ScionOutput!$A$3:$BL$215,6,FALSE)</f>
        <v>12</v>
      </c>
      <c r="F40" t="str">
        <f>VLOOKUP($A40,ScionOutput!$A$3:$BL$215,7,FALSE)</f>
        <v>HOU</v>
      </c>
      <c r="G40">
        <f>VLOOKUP($A40,ScionOutput!$A$3:$BL$215,26,FALSE)</f>
        <v>111</v>
      </c>
      <c r="H40">
        <f>VLOOKUP($A40,ScionOutput!$A$3:$BL$215,10,FALSE)</f>
        <v>-120</v>
      </c>
      <c r="I40" t="str">
        <f>VLOOKUP($A40,ScionOutput!$A$3:$BL$215,58,FALSE)</f>
        <v>No Play</v>
      </c>
      <c r="J40">
        <f>VLOOKUP($A40,ScionOutput!$A$3:$BL$215,59,FALSE)</f>
        <v>0</v>
      </c>
      <c r="K40">
        <f>VLOOKUP($A40,ScionOutput!$A$3:$BL$215,62,FALSE)</f>
        <v>0</v>
      </c>
      <c r="L40">
        <f>VLOOKUP($A40,ScionOutput!$A$3:$BL$215,63,FALSE)</f>
        <v>0</v>
      </c>
      <c r="M40" t="b">
        <f t="shared" si="1"/>
        <v>0</v>
      </c>
      <c r="N40">
        <f>VLOOKUP($A40,Outcomes!$B$3:$I$209,8,FALSE)</f>
        <v>11</v>
      </c>
      <c r="O40">
        <f t="shared" si="2"/>
        <v>1</v>
      </c>
      <c r="P40">
        <f>VLOOKUP($A40,Outcomes!$B$3:$I$209,5,FALSE)</f>
        <v>10</v>
      </c>
      <c r="Q40">
        <f>VLOOKUP($A40,Outcomes!$B$3:$I$209,6,FALSE)</f>
        <v>1</v>
      </c>
      <c r="R40">
        <f>VLOOKUP($A40,Outcomes!$B$3:$I$209,7,FALSE)</f>
        <v>-9</v>
      </c>
      <c r="S40" t="str">
        <f t="shared" si="3"/>
        <v>HomDog</v>
      </c>
      <c r="T40" t="str">
        <f t="shared" si="4"/>
        <v/>
      </c>
      <c r="U40" t="str">
        <f t="shared" si="0"/>
        <v/>
      </c>
      <c r="V40" t="str">
        <f t="shared" si="5"/>
        <v/>
      </c>
      <c r="W40" t="str">
        <f t="shared" si="6"/>
        <v/>
      </c>
      <c r="X40" s="2" t="str">
        <f t="shared" si="7"/>
        <v/>
      </c>
      <c r="Y40" t="str">
        <f>VLOOKUP($A40,ScionOutput!$A$3:$BL$215,64,FALSE)</f>
        <v xml:space="preserve">824023. VF plays are disallowed. No play due to strategy constraints. </v>
      </c>
    </row>
    <row r="41" spans="1:25" x14ac:dyDescent="0.2">
      <c r="A41">
        <v>824429</v>
      </c>
      <c r="B41" s="3">
        <f>VLOOKUP($A41,ScionOutput!$A$3:$BL$215,3,FALSE)</f>
        <v>46182</v>
      </c>
      <c r="C41">
        <f>VLOOKUP($A41,ScionOutput!$A$3:$BL$215,22,FALSE)</f>
        <v>7</v>
      </c>
      <c r="D41" t="str">
        <f>VLOOKUP($A41,ScionOutput!$A$3:$BL$215,23,FALSE)</f>
        <v>CLE</v>
      </c>
      <c r="E41">
        <f>VLOOKUP($A41,ScionOutput!$A$3:$BL$215,6,FALSE)</f>
        <v>19</v>
      </c>
      <c r="F41" t="str">
        <f>VLOOKUP($A41,ScionOutput!$A$3:$BL$215,7,FALSE)</f>
        <v>NYY</v>
      </c>
      <c r="G41">
        <f>VLOOKUP($A41,ScionOutput!$A$3:$BL$215,26,FALSE)</f>
        <v>107</v>
      </c>
      <c r="H41">
        <f>VLOOKUP($A41,ScionOutput!$A$3:$BL$215,10,FALSE)</f>
        <v>-116</v>
      </c>
      <c r="I41" t="str">
        <f>VLOOKUP($A41,ScionOutput!$A$3:$BL$215,58,FALSE)</f>
        <v>No Play</v>
      </c>
      <c r="J41">
        <f>VLOOKUP($A41,ScionOutput!$A$3:$BL$215,59,FALSE)</f>
        <v>0</v>
      </c>
      <c r="K41">
        <f>VLOOKUP($A41,ScionOutput!$A$3:$BL$215,62,FALSE)</f>
        <v>0</v>
      </c>
      <c r="L41">
        <f>VLOOKUP($A41,ScionOutput!$A$3:$BL$215,63,FALSE)</f>
        <v>0</v>
      </c>
      <c r="M41" t="b">
        <f t="shared" si="1"/>
        <v>0</v>
      </c>
      <c r="N41">
        <f>VLOOKUP($A41,Outcomes!$B$3:$I$209,8,FALSE)</f>
        <v>5</v>
      </c>
      <c r="O41">
        <f t="shared" si="2"/>
        <v>-1</v>
      </c>
      <c r="P41">
        <f>VLOOKUP($A41,Outcomes!$B$3:$I$209,5,FALSE)</f>
        <v>2</v>
      </c>
      <c r="Q41">
        <f>VLOOKUP($A41,Outcomes!$B$3:$I$209,6,FALSE)</f>
        <v>3</v>
      </c>
      <c r="R41">
        <f>VLOOKUP($A41,Outcomes!$B$3:$I$209,7,FALSE)</f>
        <v>1</v>
      </c>
      <c r="S41" t="str">
        <f t="shared" si="3"/>
        <v>VisFave</v>
      </c>
      <c r="T41" t="str">
        <f t="shared" si="4"/>
        <v/>
      </c>
      <c r="U41" t="str">
        <f t="shared" si="0"/>
        <v/>
      </c>
      <c r="V41" t="str">
        <f t="shared" si="5"/>
        <v/>
      </c>
      <c r="W41" t="str">
        <f t="shared" si="6"/>
        <v/>
      </c>
      <c r="X41" s="2" t="str">
        <f t="shared" si="7"/>
        <v/>
      </c>
      <c r="Y41" t="str">
        <f>VLOOKUP($A41,ScionOutput!$A$3:$BL$215,64,FALSE)</f>
        <v xml:space="preserve">824429. VF plays are disallowed. No play due to strategy constraints. </v>
      </c>
    </row>
    <row r="42" spans="1:25" x14ac:dyDescent="0.2">
      <c r="A42">
        <v>824347</v>
      </c>
      <c r="B42" s="3">
        <f>VLOOKUP($A42,ScionOutput!$A$3:$BL$215,3,FALSE)</f>
        <v>46182</v>
      </c>
      <c r="C42">
        <f>VLOOKUP($A42,ScionOutput!$A$3:$BL$215,22,FALSE)</f>
        <v>8</v>
      </c>
      <c r="D42" t="str">
        <f>VLOOKUP($A42,ScionOutput!$A$3:$BL$215,23,FALSE)</f>
        <v>COL</v>
      </c>
      <c r="E42">
        <f>VLOOKUP($A42,ScionOutput!$A$3:$BL$215,6,FALSE)</f>
        <v>5</v>
      </c>
      <c r="F42" t="str">
        <f>VLOOKUP($A42,ScionOutput!$A$3:$BL$215,7,FALSE)</f>
        <v>CHC</v>
      </c>
      <c r="G42">
        <f>VLOOKUP($A42,ScionOutput!$A$3:$BL$215,26,FALSE)</f>
        <v>141</v>
      </c>
      <c r="H42">
        <f>VLOOKUP($A42,ScionOutput!$A$3:$BL$215,10,FALSE)</f>
        <v>-153</v>
      </c>
      <c r="I42" t="str">
        <f>VLOOKUP($A42,ScionOutput!$A$3:$BL$215,58,FALSE)</f>
        <v>No Play</v>
      </c>
      <c r="J42">
        <f>VLOOKUP($A42,ScionOutput!$A$3:$BL$215,59,FALSE)</f>
        <v>0</v>
      </c>
      <c r="K42">
        <f>VLOOKUP($A42,ScionOutput!$A$3:$BL$215,62,FALSE)</f>
        <v>0</v>
      </c>
      <c r="L42">
        <f>VLOOKUP($A42,ScionOutput!$A$3:$BL$215,63,FALSE)</f>
        <v>0</v>
      </c>
      <c r="M42" t="b">
        <f t="shared" si="1"/>
        <v>0</v>
      </c>
      <c r="N42">
        <f>VLOOKUP($A42,Outcomes!$B$3:$I$209,8,FALSE)</f>
        <v>10</v>
      </c>
      <c r="O42">
        <f t="shared" si="2"/>
        <v>1</v>
      </c>
      <c r="P42">
        <f>VLOOKUP($A42,Outcomes!$B$3:$I$209,5,FALSE)</f>
        <v>7</v>
      </c>
      <c r="Q42">
        <f>VLOOKUP($A42,Outcomes!$B$3:$I$209,6,FALSE)</f>
        <v>3</v>
      </c>
      <c r="R42">
        <f>VLOOKUP($A42,Outcomes!$B$3:$I$209,7,FALSE)</f>
        <v>-4</v>
      </c>
      <c r="S42" t="str">
        <f t="shared" si="3"/>
        <v>HomDog</v>
      </c>
      <c r="T42" t="str">
        <f t="shared" si="4"/>
        <v/>
      </c>
      <c r="U42" t="str">
        <f t="shared" si="0"/>
        <v/>
      </c>
      <c r="V42" t="str">
        <f t="shared" si="5"/>
        <v/>
      </c>
      <c r="W42" t="str">
        <f t="shared" si="6"/>
        <v/>
      </c>
      <c r="X42" s="2" t="str">
        <f t="shared" si="7"/>
        <v/>
      </c>
      <c r="Y42" t="str">
        <f>VLOOKUP($A42,ScionOutput!$A$3:$BL$215,64,FALSE)</f>
        <v xml:space="preserve">824347. VF plays are disallowed. No play due to strategy constraints. </v>
      </c>
    </row>
    <row r="43" spans="1:25" x14ac:dyDescent="0.2">
      <c r="A43">
        <v>824591</v>
      </c>
      <c r="B43" s="3">
        <f>VLOOKUP($A43,ScionOutput!$A$3:$BL$215,3,FALSE)</f>
        <v>46182</v>
      </c>
      <c r="C43">
        <f>VLOOKUP($A43,ScionOutput!$A$3:$BL$215,22,FALSE)</f>
        <v>9</v>
      </c>
      <c r="D43" t="str">
        <f>VLOOKUP($A43,ScionOutput!$A$3:$BL$215,23,FALSE)</f>
        <v>CWS</v>
      </c>
      <c r="E43">
        <f>VLOOKUP($A43,ScionOutput!$A$3:$BL$215,6,FALSE)</f>
        <v>0</v>
      </c>
      <c r="F43" t="str">
        <f>VLOOKUP($A43,ScionOutput!$A$3:$BL$215,7,FALSE)</f>
        <v>ATL</v>
      </c>
      <c r="G43">
        <f>VLOOKUP($A43,ScionOutput!$A$3:$BL$215,26,FALSE)</f>
        <v>139</v>
      </c>
      <c r="H43">
        <f>VLOOKUP($A43,ScionOutput!$A$3:$BL$215,10,FALSE)</f>
        <v>-152</v>
      </c>
      <c r="I43" t="str">
        <f>VLOOKUP($A43,ScionOutput!$A$3:$BL$215,58,FALSE)</f>
        <v>No Play</v>
      </c>
      <c r="J43">
        <f>VLOOKUP($A43,ScionOutput!$A$3:$BL$215,59,FALSE)</f>
        <v>0</v>
      </c>
      <c r="K43">
        <f>VLOOKUP($A43,ScionOutput!$A$3:$BL$215,62,FALSE)</f>
        <v>0</v>
      </c>
      <c r="L43">
        <f>VLOOKUP($A43,ScionOutput!$A$3:$BL$215,63,FALSE)</f>
        <v>0</v>
      </c>
      <c r="M43" t="b">
        <f t="shared" si="1"/>
        <v>0</v>
      </c>
      <c r="N43">
        <f>VLOOKUP($A43,Outcomes!$B$3:$I$209,8,FALSE)</f>
        <v>11</v>
      </c>
      <c r="O43">
        <f t="shared" si="2"/>
        <v>1</v>
      </c>
      <c r="P43">
        <f>VLOOKUP($A43,Outcomes!$B$3:$I$209,5,FALSE)</f>
        <v>6</v>
      </c>
      <c r="Q43">
        <f>VLOOKUP($A43,Outcomes!$B$3:$I$209,6,FALSE)</f>
        <v>5</v>
      </c>
      <c r="R43">
        <f>VLOOKUP($A43,Outcomes!$B$3:$I$209,7,FALSE)</f>
        <v>-1</v>
      </c>
      <c r="S43" t="str">
        <f t="shared" si="3"/>
        <v>HomDog</v>
      </c>
      <c r="T43" t="str">
        <f t="shared" si="4"/>
        <v/>
      </c>
      <c r="U43" t="str">
        <f t="shared" si="0"/>
        <v/>
      </c>
      <c r="V43" t="str">
        <f t="shared" si="5"/>
        <v/>
      </c>
      <c r="W43" t="str">
        <f t="shared" si="6"/>
        <v/>
      </c>
      <c r="X43" s="2" t="str">
        <f t="shared" si="7"/>
        <v/>
      </c>
      <c r="Y43" t="str">
        <f>VLOOKUP($A43,ScionOutput!$A$3:$BL$215,64,FALSE)</f>
        <v xml:space="preserve">824591. LineStatEns price is outside allowable range! VF plays are disallowed. No play due to strategy constraints. </v>
      </c>
    </row>
    <row r="44" spans="1:25" x14ac:dyDescent="0.2">
      <c r="A44">
        <v>824267</v>
      </c>
      <c r="B44" s="3">
        <f>VLOOKUP($A44,ScionOutput!$A$3:$BL$215,3,FALSE)</f>
        <v>46182</v>
      </c>
      <c r="C44">
        <f>VLOOKUP($A44,ScionOutput!$A$3:$BL$215,22,FALSE)</f>
        <v>10</v>
      </c>
      <c r="D44" t="str">
        <f>VLOOKUP($A44,ScionOutput!$A$3:$BL$215,23,FALSE)</f>
        <v>DET</v>
      </c>
      <c r="E44">
        <f>VLOOKUP($A44,ScionOutput!$A$3:$BL$215,6,FALSE)</f>
        <v>15</v>
      </c>
      <c r="F44" t="str">
        <f>VLOOKUP($A44,ScionOutput!$A$3:$BL$215,7,FALSE)</f>
        <v>MIN</v>
      </c>
      <c r="G44">
        <f>VLOOKUP($A44,ScionOutput!$A$3:$BL$215,26,FALSE)</f>
        <v>-122</v>
      </c>
      <c r="H44">
        <f>VLOOKUP($A44,ScionOutput!$A$3:$BL$215,10,FALSE)</f>
        <v>112</v>
      </c>
      <c r="I44" t="str">
        <f>VLOOKUP($A44,ScionOutput!$A$3:$BL$215,58,FALSE)</f>
        <v>No Play</v>
      </c>
      <c r="J44">
        <f>VLOOKUP($A44,ScionOutput!$A$3:$BL$215,59,FALSE)</f>
        <v>0</v>
      </c>
      <c r="K44">
        <f>VLOOKUP($A44,ScionOutput!$A$3:$BL$215,62,FALSE)</f>
        <v>0</v>
      </c>
      <c r="L44">
        <f>VLOOKUP($A44,ScionOutput!$A$3:$BL$215,63,FALSE)</f>
        <v>0</v>
      </c>
      <c r="M44" t="b">
        <f t="shared" si="1"/>
        <v>0</v>
      </c>
      <c r="N44">
        <f>VLOOKUP($A44,Outcomes!$B$3:$I$209,8,FALSE)</f>
        <v>14</v>
      </c>
      <c r="O44">
        <f t="shared" si="2"/>
        <v>1</v>
      </c>
      <c r="P44">
        <f>VLOOKUP($A44,Outcomes!$B$3:$I$209,5,FALSE)</f>
        <v>10</v>
      </c>
      <c r="Q44">
        <f>VLOOKUP($A44,Outcomes!$B$3:$I$209,6,FALSE)</f>
        <v>4</v>
      </c>
      <c r="R44">
        <f>VLOOKUP($A44,Outcomes!$B$3:$I$209,7,FALSE)</f>
        <v>-6</v>
      </c>
      <c r="S44" t="str">
        <f t="shared" si="3"/>
        <v>HomFave</v>
      </c>
      <c r="T44" t="str">
        <f t="shared" si="4"/>
        <v/>
      </c>
      <c r="U44" t="str">
        <f t="shared" si="0"/>
        <v/>
      </c>
      <c r="V44" t="str">
        <f t="shared" si="5"/>
        <v/>
      </c>
      <c r="W44" t="str">
        <f t="shared" si="6"/>
        <v/>
      </c>
      <c r="X44" s="2" t="str">
        <f t="shared" si="7"/>
        <v/>
      </c>
      <c r="Y44" t="str">
        <f>VLOOKUP($A44,ScionOutput!$A$3:$BL$215,64,FALSE)</f>
        <v xml:space="preserve">824267. LineStatEns probability points gap does not exceed threshold (no edge found)! StatOnlyEns probability points gap does not exceed threshold (no edge found)! No play due to strategy constraints. </v>
      </c>
    </row>
    <row r="45" spans="1:25" x14ac:dyDescent="0.2">
      <c r="A45">
        <v>823858</v>
      </c>
      <c r="B45" s="3">
        <f>VLOOKUP($A45,ScionOutput!$A$3:$BL$215,3,FALSE)</f>
        <v>46182</v>
      </c>
      <c r="C45">
        <f>VLOOKUP($A45,ScionOutput!$A$3:$BL$215,22,FALSE)</f>
        <v>11</v>
      </c>
      <c r="D45" t="str">
        <f>VLOOKUP($A45,ScionOutput!$A$3:$BL$215,23,FALSE)</f>
        <v>FLO</v>
      </c>
      <c r="E45">
        <f>VLOOKUP($A45,ScionOutput!$A$3:$BL$215,6,FALSE)</f>
        <v>1</v>
      </c>
      <c r="F45" t="str">
        <f>VLOOKUP($A45,ScionOutput!$A$3:$BL$215,7,FALSE)</f>
        <v>ARZ</v>
      </c>
      <c r="G45">
        <f>VLOOKUP($A45,ScionOutput!$A$3:$BL$215,26,FALSE)</f>
        <v>-135</v>
      </c>
      <c r="H45">
        <f>VLOOKUP($A45,ScionOutput!$A$3:$BL$215,10,FALSE)</f>
        <v>124</v>
      </c>
      <c r="I45" t="str">
        <f>VLOOKUP($A45,ScionOutput!$A$3:$BL$215,58,FALSE)</f>
        <v>No Play</v>
      </c>
      <c r="J45">
        <f>VLOOKUP($A45,ScionOutput!$A$3:$BL$215,59,FALSE)</f>
        <v>0</v>
      </c>
      <c r="K45">
        <f>VLOOKUP($A45,ScionOutput!$A$3:$BL$215,62,FALSE)</f>
        <v>0</v>
      </c>
      <c r="L45">
        <f>VLOOKUP($A45,ScionOutput!$A$3:$BL$215,63,FALSE)</f>
        <v>0</v>
      </c>
      <c r="M45" t="b">
        <f t="shared" si="1"/>
        <v>0</v>
      </c>
      <c r="N45">
        <f>VLOOKUP($A45,Outcomes!$B$3:$I$209,8,FALSE)</f>
        <v>16</v>
      </c>
      <c r="O45">
        <f t="shared" si="2"/>
        <v>1</v>
      </c>
      <c r="P45">
        <f>VLOOKUP($A45,Outcomes!$B$3:$I$209,5,FALSE)</f>
        <v>10</v>
      </c>
      <c r="Q45">
        <f>VLOOKUP($A45,Outcomes!$B$3:$I$209,6,FALSE)</f>
        <v>6</v>
      </c>
      <c r="R45">
        <f>VLOOKUP($A45,Outcomes!$B$3:$I$209,7,FALSE)</f>
        <v>-4</v>
      </c>
      <c r="S45" t="str">
        <f t="shared" si="3"/>
        <v>HomFave</v>
      </c>
      <c r="T45" t="str">
        <f t="shared" si="4"/>
        <v/>
      </c>
      <c r="U45" t="str">
        <f t="shared" si="0"/>
        <v/>
      </c>
      <c r="V45" t="str">
        <f t="shared" si="5"/>
        <v/>
      </c>
      <c r="W45" t="str">
        <f t="shared" si="6"/>
        <v/>
      </c>
      <c r="X45" s="2" t="str">
        <f t="shared" si="7"/>
        <v/>
      </c>
      <c r="Y45" t="str">
        <f>VLOOKUP($A45,ScionOutput!$A$3:$BL$215,64,FALSE)</f>
        <v xml:space="preserve">823858. LineStatEns probability points gap does not exceed threshold (no edge found)! StatOnlyEns probability points gap does not exceed threshold (no edge found)! No play due to strategy constraints. </v>
      </c>
    </row>
    <row r="46" spans="1:25" x14ac:dyDescent="0.2">
      <c r="A46">
        <v>824105</v>
      </c>
      <c r="B46" s="3">
        <f>VLOOKUP($A46,ScionOutput!$A$3:$BL$215,3,FALSE)</f>
        <v>46182</v>
      </c>
      <c r="C46">
        <f>VLOOKUP($A46,ScionOutput!$A$3:$BL$215,22,FALSE)</f>
        <v>13</v>
      </c>
      <c r="D46" t="str">
        <f>VLOOKUP($A46,ScionOutput!$A$3:$BL$215,23,FALSE)</f>
        <v>KC</v>
      </c>
      <c r="E46">
        <f>VLOOKUP($A46,ScionOutput!$A$3:$BL$215,6,FALSE)</f>
        <v>28</v>
      </c>
      <c r="F46" t="str">
        <f>VLOOKUP($A46,ScionOutput!$A$3:$BL$215,7,FALSE)</f>
        <v>TEX</v>
      </c>
      <c r="G46">
        <f>VLOOKUP($A46,ScionOutput!$A$3:$BL$215,26,FALSE)</f>
        <v>110</v>
      </c>
      <c r="H46">
        <f>VLOOKUP($A46,ScionOutput!$A$3:$BL$215,10,FALSE)</f>
        <v>-120</v>
      </c>
      <c r="I46" t="str">
        <f>VLOOKUP($A46,ScionOutput!$A$3:$BL$215,58,FALSE)</f>
        <v>No Play</v>
      </c>
      <c r="J46">
        <f>VLOOKUP($A46,ScionOutput!$A$3:$BL$215,59,FALSE)</f>
        <v>0</v>
      </c>
      <c r="K46">
        <f>VLOOKUP($A46,ScionOutput!$A$3:$BL$215,62,FALSE)</f>
        <v>0</v>
      </c>
      <c r="L46">
        <f>VLOOKUP($A46,ScionOutput!$A$3:$BL$215,63,FALSE)</f>
        <v>0</v>
      </c>
      <c r="M46" t="b">
        <f t="shared" si="1"/>
        <v>0</v>
      </c>
      <c r="N46">
        <f>VLOOKUP($A46,Outcomes!$B$3:$I$209,8,FALSE)</f>
        <v>8</v>
      </c>
      <c r="O46">
        <f t="shared" si="2"/>
        <v>1</v>
      </c>
      <c r="P46">
        <f>VLOOKUP($A46,Outcomes!$B$3:$I$209,5,FALSE)</f>
        <v>5</v>
      </c>
      <c r="Q46">
        <f>VLOOKUP($A46,Outcomes!$B$3:$I$209,6,FALSE)</f>
        <v>3</v>
      </c>
      <c r="R46">
        <f>VLOOKUP($A46,Outcomes!$B$3:$I$209,7,FALSE)</f>
        <v>-2</v>
      </c>
      <c r="S46" t="str">
        <f t="shared" si="3"/>
        <v>HomDog</v>
      </c>
      <c r="T46" t="str">
        <f t="shared" si="4"/>
        <v/>
      </c>
      <c r="U46" t="str">
        <f t="shared" si="0"/>
        <v/>
      </c>
      <c r="V46" t="str">
        <f t="shared" si="5"/>
        <v/>
      </c>
      <c r="W46" t="str">
        <f t="shared" si="6"/>
        <v/>
      </c>
      <c r="X46" s="2" t="str">
        <f t="shared" si="7"/>
        <v/>
      </c>
      <c r="Y46" t="str">
        <f>VLOOKUP($A46,ScionOutput!$A$3:$BL$215,64,FALSE)</f>
        <v xml:space="preserve">824105. VF plays are disallowed. No play due to strategy constraints. </v>
      </c>
    </row>
    <row r="47" spans="1:25" x14ac:dyDescent="0.2">
      <c r="A47">
        <v>823620</v>
      </c>
      <c r="B47" s="3">
        <f>VLOOKUP($A47,ScionOutput!$A$3:$BL$215,3,FALSE)</f>
        <v>46182</v>
      </c>
      <c r="C47">
        <f>VLOOKUP($A47,ScionOutput!$A$3:$BL$215,22,FALSE)</f>
        <v>18</v>
      </c>
      <c r="D47" t="str">
        <f>VLOOKUP($A47,ScionOutput!$A$3:$BL$215,23,FALSE)</f>
        <v>NYM</v>
      </c>
      <c r="E47">
        <f>VLOOKUP($A47,ScionOutput!$A$3:$BL$215,6,FALSE)</f>
        <v>26</v>
      </c>
      <c r="F47" t="str">
        <f>VLOOKUP($A47,ScionOutput!$A$3:$BL$215,7,FALSE)</f>
        <v>STL</v>
      </c>
      <c r="G47">
        <f>VLOOKUP($A47,ScionOutput!$A$3:$BL$215,26,FALSE)</f>
        <v>-125</v>
      </c>
      <c r="H47">
        <f>VLOOKUP($A47,ScionOutput!$A$3:$BL$215,10,FALSE)</f>
        <v>115</v>
      </c>
      <c r="I47" t="str">
        <f>VLOOKUP($A47,ScionOutput!$A$3:$BL$215,58,FALSE)</f>
        <v>No Play</v>
      </c>
      <c r="J47">
        <f>VLOOKUP($A47,ScionOutput!$A$3:$BL$215,59,FALSE)</f>
        <v>0</v>
      </c>
      <c r="K47">
        <f>VLOOKUP($A47,ScionOutput!$A$3:$BL$215,62,FALSE)</f>
        <v>0</v>
      </c>
      <c r="L47">
        <f>VLOOKUP($A47,ScionOutput!$A$3:$BL$215,63,FALSE)</f>
        <v>0</v>
      </c>
      <c r="M47" t="b">
        <f t="shared" si="1"/>
        <v>0</v>
      </c>
      <c r="N47">
        <f>VLOOKUP($A47,Outcomes!$B$3:$I$209,8,FALSE)</f>
        <v>7</v>
      </c>
      <c r="O47">
        <f t="shared" si="2"/>
        <v>-1</v>
      </c>
      <c r="P47">
        <f>VLOOKUP($A47,Outcomes!$B$3:$I$209,5,FALSE)</f>
        <v>0</v>
      </c>
      <c r="Q47">
        <f>VLOOKUP($A47,Outcomes!$B$3:$I$209,6,FALSE)</f>
        <v>7</v>
      </c>
      <c r="R47">
        <f>VLOOKUP($A47,Outcomes!$B$3:$I$209,7,FALSE)</f>
        <v>7</v>
      </c>
      <c r="S47" t="str">
        <f t="shared" si="3"/>
        <v>VisDog</v>
      </c>
      <c r="T47" t="str">
        <f t="shared" si="4"/>
        <v/>
      </c>
      <c r="U47" t="str">
        <f t="shared" si="0"/>
        <v/>
      </c>
      <c r="V47" t="str">
        <f t="shared" si="5"/>
        <v/>
      </c>
      <c r="W47" t="str">
        <f t="shared" si="6"/>
        <v/>
      </c>
      <c r="X47" s="2" t="str">
        <f t="shared" si="7"/>
        <v/>
      </c>
      <c r="Y47" t="str">
        <f>VLOOKUP($A47,ScionOutput!$A$3:$BL$215,64,FALSE)</f>
        <v xml:space="preserve">823620. LineStatEns probability points gap does not exceed threshold (no edge found)! StatOnlyEns probability points gap does not exceed threshold (no edge found)! No play due to strategy constraints. </v>
      </c>
    </row>
    <row r="48" spans="1:25" x14ac:dyDescent="0.2">
      <c r="A48">
        <v>824999</v>
      </c>
      <c r="B48" s="3">
        <f>VLOOKUP($A48,ScionOutput!$A$3:$BL$215,3,FALSE)</f>
        <v>46182</v>
      </c>
      <c r="C48">
        <f>VLOOKUP($A48,ScionOutput!$A$3:$BL$215,22,FALSE)</f>
        <v>20</v>
      </c>
      <c r="D48" t="str">
        <f>VLOOKUP($A48,ScionOutput!$A$3:$BL$215,23,FALSE)</f>
        <v>OAK</v>
      </c>
      <c r="E48">
        <f>VLOOKUP($A48,ScionOutput!$A$3:$BL$215,6,FALSE)</f>
        <v>17</v>
      </c>
      <c r="F48" t="str">
        <f>VLOOKUP($A48,ScionOutput!$A$3:$BL$215,7,FALSE)</f>
        <v>MLW</v>
      </c>
      <c r="G48">
        <f>VLOOKUP($A48,ScionOutput!$A$3:$BL$215,26,FALSE)</f>
        <v>-106</v>
      </c>
      <c r="H48">
        <f>VLOOKUP($A48,ScionOutput!$A$3:$BL$215,10,FALSE)</f>
        <v>-102</v>
      </c>
      <c r="I48" t="str">
        <f>VLOOKUP($A48,ScionOutput!$A$3:$BL$215,58,FALSE)</f>
        <v>No Play</v>
      </c>
      <c r="J48">
        <f>VLOOKUP($A48,ScionOutput!$A$3:$BL$215,59,FALSE)</f>
        <v>0</v>
      </c>
      <c r="K48">
        <f>VLOOKUP($A48,ScionOutput!$A$3:$BL$215,62,FALSE)</f>
        <v>0</v>
      </c>
      <c r="L48">
        <f>VLOOKUP($A48,ScionOutput!$A$3:$BL$215,63,FALSE)</f>
        <v>0</v>
      </c>
      <c r="M48" t="b">
        <f t="shared" si="1"/>
        <v>0</v>
      </c>
      <c r="N48">
        <f>VLOOKUP($A48,Outcomes!$B$3:$I$209,8,FALSE)</f>
        <v>12</v>
      </c>
      <c r="O48">
        <f t="shared" si="2"/>
        <v>1</v>
      </c>
      <c r="P48">
        <f>VLOOKUP($A48,Outcomes!$B$3:$I$209,5,FALSE)</f>
        <v>7</v>
      </c>
      <c r="Q48">
        <f>VLOOKUP($A48,Outcomes!$B$3:$I$209,6,FALSE)</f>
        <v>5</v>
      </c>
      <c r="R48">
        <f>VLOOKUP($A48,Outcomes!$B$3:$I$209,7,FALSE)</f>
        <v>-2</v>
      </c>
      <c r="S48" t="str">
        <f t="shared" si="3"/>
        <v>HomFave</v>
      </c>
      <c r="T48" t="str">
        <f t="shared" si="4"/>
        <v/>
      </c>
      <c r="U48" t="str">
        <f t="shared" si="0"/>
        <v/>
      </c>
      <c r="V48" t="str">
        <f t="shared" si="5"/>
        <v/>
      </c>
      <c r="W48" t="str">
        <f t="shared" si="6"/>
        <v/>
      </c>
      <c r="X48" s="2" t="str">
        <f t="shared" si="7"/>
        <v/>
      </c>
      <c r="Y48" t="str">
        <f>VLOOKUP($A48,ScionOutput!$A$3:$BL$215,64,FALSE)</f>
        <v xml:space="preserve">824999. LineStatEns probability points gap does not exceed threshold (no edge found)! No play due to strategy constraints. </v>
      </c>
    </row>
    <row r="49" spans="1:25" x14ac:dyDescent="0.2">
      <c r="A49">
        <v>823374</v>
      </c>
      <c r="B49" s="3">
        <f>VLOOKUP($A49,ScionOutput!$A$3:$BL$215,3,FALSE)</f>
        <v>46182</v>
      </c>
      <c r="C49">
        <f>VLOOKUP($A49,ScionOutput!$A$3:$BL$215,22,FALSE)</f>
        <v>22</v>
      </c>
      <c r="D49" t="str">
        <f>VLOOKUP($A49,ScionOutput!$A$3:$BL$215,23,FALSE)</f>
        <v>PIT</v>
      </c>
      <c r="E49">
        <f>VLOOKUP($A49,ScionOutput!$A$3:$BL$215,6,FALSE)</f>
        <v>14</v>
      </c>
      <c r="F49" t="str">
        <f>VLOOKUP($A49,ScionOutput!$A$3:$BL$215,7,FALSE)</f>
        <v>LA</v>
      </c>
      <c r="G49">
        <f>VLOOKUP($A49,ScionOutput!$A$3:$BL$215,26,FALSE)</f>
        <v>-112</v>
      </c>
      <c r="H49">
        <f>VLOOKUP($A49,ScionOutput!$A$3:$BL$215,10,FALSE)</f>
        <v>104</v>
      </c>
      <c r="I49" t="str">
        <f>VLOOKUP($A49,ScionOutput!$A$3:$BL$215,58,FALSE)</f>
        <v>No Play</v>
      </c>
      <c r="J49">
        <f>VLOOKUP($A49,ScionOutput!$A$3:$BL$215,59,FALSE)</f>
        <v>0</v>
      </c>
      <c r="K49">
        <f>VLOOKUP($A49,ScionOutput!$A$3:$BL$215,62,FALSE)</f>
        <v>0</v>
      </c>
      <c r="L49">
        <f>VLOOKUP($A49,ScionOutput!$A$3:$BL$215,63,FALSE)</f>
        <v>0</v>
      </c>
      <c r="M49" t="b">
        <f t="shared" si="1"/>
        <v>0</v>
      </c>
      <c r="N49">
        <f>VLOOKUP($A49,Outcomes!$B$3:$I$209,8,FALSE)</f>
        <v>15</v>
      </c>
      <c r="O49">
        <f t="shared" si="2"/>
        <v>-1</v>
      </c>
      <c r="P49">
        <f>VLOOKUP($A49,Outcomes!$B$3:$I$209,5,FALSE)</f>
        <v>3</v>
      </c>
      <c r="Q49">
        <f>VLOOKUP($A49,Outcomes!$B$3:$I$209,6,FALSE)</f>
        <v>12</v>
      </c>
      <c r="R49">
        <f>VLOOKUP($A49,Outcomes!$B$3:$I$209,7,FALSE)</f>
        <v>9</v>
      </c>
      <c r="S49" t="str">
        <f t="shared" si="3"/>
        <v>VisDog</v>
      </c>
      <c r="T49" t="str">
        <f t="shared" si="4"/>
        <v/>
      </c>
      <c r="U49" t="str">
        <f t="shared" si="0"/>
        <v/>
      </c>
      <c r="V49" t="str">
        <f t="shared" si="5"/>
        <v/>
      </c>
      <c r="W49" t="str">
        <f t="shared" si="6"/>
        <v/>
      </c>
      <c r="X49" s="2" t="str">
        <f t="shared" si="7"/>
        <v/>
      </c>
      <c r="Y49" t="str">
        <f>VLOOKUP($A49,ScionOutput!$A$3:$BL$215,64,FALSE)</f>
        <v xml:space="preserve">823374. LineStatEns probability points gap does not exceed threshold (no edge found)! No play due to strategy constraints. </v>
      </c>
    </row>
    <row r="50" spans="1:25" x14ac:dyDescent="0.2">
      <c r="A50">
        <v>823290</v>
      </c>
      <c r="B50" s="3">
        <f>VLOOKUP($A50,ScionOutput!$A$3:$BL$215,3,FALSE)</f>
        <v>46182</v>
      </c>
      <c r="C50">
        <f>VLOOKUP($A50,ScionOutput!$A$3:$BL$215,22,FALSE)</f>
        <v>23</v>
      </c>
      <c r="D50" t="str">
        <f>VLOOKUP($A50,ScionOutput!$A$3:$BL$215,23,FALSE)</f>
        <v>SD</v>
      </c>
      <c r="E50">
        <f>VLOOKUP($A50,ScionOutput!$A$3:$BL$215,6,FALSE)</f>
        <v>6</v>
      </c>
      <c r="F50" t="str">
        <f>VLOOKUP($A50,ScionOutput!$A$3:$BL$215,7,FALSE)</f>
        <v>CIN</v>
      </c>
      <c r="G50">
        <f>VLOOKUP($A50,ScionOutput!$A$3:$BL$215,26,FALSE)</f>
        <v>114</v>
      </c>
      <c r="H50">
        <f>VLOOKUP($A50,ScionOutput!$A$3:$BL$215,10,FALSE)</f>
        <v>-123</v>
      </c>
      <c r="I50" t="str">
        <f>VLOOKUP($A50,ScionOutput!$A$3:$BL$215,58,FALSE)</f>
        <v>No Play</v>
      </c>
      <c r="J50">
        <f>VLOOKUP($A50,ScionOutput!$A$3:$BL$215,59,FALSE)</f>
        <v>0</v>
      </c>
      <c r="K50">
        <f>VLOOKUP($A50,ScionOutput!$A$3:$BL$215,62,FALSE)</f>
        <v>0</v>
      </c>
      <c r="L50">
        <f>VLOOKUP($A50,ScionOutput!$A$3:$BL$215,63,FALSE)</f>
        <v>0</v>
      </c>
      <c r="M50" t="b">
        <f t="shared" si="1"/>
        <v>0</v>
      </c>
      <c r="N50">
        <f>VLOOKUP($A50,Outcomes!$B$3:$I$209,8,FALSE)</f>
        <v>8</v>
      </c>
      <c r="O50">
        <f t="shared" si="2"/>
        <v>-1</v>
      </c>
      <c r="P50">
        <f>VLOOKUP($A50,Outcomes!$B$3:$I$209,5,FALSE)</f>
        <v>3</v>
      </c>
      <c r="Q50">
        <f>VLOOKUP($A50,Outcomes!$B$3:$I$209,6,FALSE)</f>
        <v>5</v>
      </c>
      <c r="R50">
        <f>VLOOKUP($A50,Outcomes!$B$3:$I$209,7,FALSE)</f>
        <v>2</v>
      </c>
      <c r="S50" t="str">
        <f t="shared" si="3"/>
        <v>VisFave</v>
      </c>
      <c r="T50" t="str">
        <f t="shared" si="4"/>
        <v/>
      </c>
      <c r="U50" t="str">
        <f t="shared" si="0"/>
        <v/>
      </c>
      <c r="V50" t="str">
        <f t="shared" si="5"/>
        <v/>
      </c>
      <c r="W50" t="str">
        <f t="shared" si="6"/>
        <v/>
      </c>
      <c r="X50" s="2" t="str">
        <f t="shared" si="7"/>
        <v/>
      </c>
      <c r="Y50" t="str">
        <f>VLOOKUP($A50,ScionOutput!$A$3:$BL$215,64,FALSE)</f>
        <v xml:space="preserve">823290. VF plays are disallowed. No play due to strategy constraints. </v>
      </c>
    </row>
    <row r="51" spans="1:25" x14ac:dyDescent="0.2">
      <c r="A51">
        <v>823214</v>
      </c>
      <c r="B51" s="3">
        <f>VLOOKUP($A51,ScionOutput!$A$3:$BL$215,3,FALSE)</f>
        <v>46182</v>
      </c>
      <c r="C51">
        <f>VLOOKUP($A51,ScionOutput!$A$3:$BL$215,22,FALSE)</f>
        <v>25</v>
      </c>
      <c r="D51" t="str">
        <f>VLOOKUP($A51,ScionOutput!$A$3:$BL$215,23,FALSE)</f>
        <v>SF</v>
      </c>
      <c r="E51">
        <f>VLOOKUP($A51,ScionOutput!$A$3:$BL$215,6,FALSE)</f>
        <v>16</v>
      </c>
      <c r="F51" t="str">
        <f>VLOOKUP($A51,ScionOutput!$A$3:$BL$215,7,FALSE)</f>
        <v>WAS</v>
      </c>
      <c r="G51">
        <f>VLOOKUP($A51,ScionOutput!$A$3:$BL$215,26,FALSE)</f>
        <v>-104</v>
      </c>
      <c r="H51">
        <f>VLOOKUP($A51,ScionOutput!$A$3:$BL$215,10,FALSE)</f>
        <v>-105</v>
      </c>
      <c r="I51" t="str">
        <f>VLOOKUP($A51,ScionOutput!$A$3:$BL$215,58,FALSE)</f>
        <v>No Play</v>
      </c>
      <c r="J51">
        <f>VLOOKUP($A51,ScionOutput!$A$3:$BL$215,59,FALSE)</f>
        <v>0</v>
      </c>
      <c r="K51">
        <f>VLOOKUP($A51,ScionOutput!$A$3:$BL$215,62,FALSE)</f>
        <v>0</v>
      </c>
      <c r="L51">
        <f>VLOOKUP($A51,ScionOutput!$A$3:$BL$215,63,FALSE)</f>
        <v>0</v>
      </c>
      <c r="M51" t="b">
        <f t="shared" si="1"/>
        <v>0</v>
      </c>
      <c r="N51">
        <f>VLOOKUP($A51,Outcomes!$B$3:$I$209,8,FALSE)</f>
        <v>9</v>
      </c>
      <c r="O51">
        <f t="shared" si="2"/>
        <v>-1</v>
      </c>
      <c r="P51">
        <f>VLOOKUP($A51,Outcomes!$B$3:$I$209,5,FALSE)</f>
        <v>3</v>
      </c>
      <c r="Q51">
        <f>VLOOKUP($A51,Outcomes!$B$3:$I$209,6,FALSE)</f>
        <v>6</v>
      </c>
      <c r="R51">
        <f>VLOOKUP($A51,Outcomes!$B$3:$I$209,7,FALSE)</f>
        <v>3</v>
      </c>
      <c r="S51" t="str">
        <f t="shared" si="3"/>
        <v>VisFave</v>
      </c>
      <c r="T51" t="str">
        <f t="shared" si="4"/>
        <v/>
      </c>
      <c r="U51" t="str">
        <f t="shared" si="0"/>
        <v/>
      </c>
      <c r="V51" t="str">
        <f t="shared" si="5"/>
        <v/>
      </c>
      <c r="W51" t="str">
        <f t="shared" si="6"/>
        <v/>
      </c>
      <c r="X51" s="2" t="str">
        <f t="shared" si="7"/>
        <v/>
      </c>
      <c r="Y51" t="str">
        <f>VLOOKUP($A51,ScionOutput!$A$3:$BL$215,64,FALSE)</f>
        <v xml:space="preserve">823214. VF plays are disallowed. No play due to strategy constraints. </v>
      </c>
    </row>
    <row r="52" spans="1:25" x14ac:dyDescent="0.2">
      <c r="A52">
        <v>822969</v>
      </c>
      <c r="B52" s="3">
        <f>VLOOKUP($A52,ScionOutput!$A$3:$BL$215,3,FALSE)</f>
        <v>46182</v>
      </c>
      <c r="C52">
        <f>VLOOKUP($A52,ScionOutput!$A$3:$BL$215,22,FALSE)</f>
        <v>27</v>
      </c>
      <c r="D52" t="str">
        <f>VLOOKUP($A52,ScionOutput!$A$3:$BL$215,23,FALSE)</f>
        <v>TB</v>
      </c>
      <c r="E52">
        <f>VLOOKUP($A52,ScionOutput!$A$3:$BL$215,6,FALSE)</f>
        <v>3</v>
      </c>
      <c r="F52" t="str">
        <f>VLOOKUP($A52,ScionOutput!$A$3:$BL$215,7,FALSE)</f>
        <v>BOS</v>
      </c>
      <c r="G52">
        <f>VLOOKUP($A52,ScionOutput!$A$3:$BL$215,26,FALSE)</f>
        <v>107</v>
      </c>
      <c r="H52">
        <f>VLOOKUP($A52,ScionOutput!$A$3:$BL$215,10,FALSE)</f>
        <v>-115</v>
      </c>
      <c r="I52" t="str">
        <f>VLOOKUP($A52,ScionOutput!$A$3:$BL$215,58,FALSE)</f>
        <v>No Play</v>
      </c>
      <c r="J52">
        <f>VLOOKUP($A52,ScionOutput!$A$3:$BL$215,59,FALSE)</f>
        <v>0</v>
      </c>
      <c r="K52">
        <f>VLOOKUP($A52,ScionOutput!$A$3:$BL$215,62,FALSE)</f>
        <v>0</v>
      </c>
      <c r="L52">
        <f>VLOOKUP($A52,ScionOutput!$A$3:$BL$215,63,FALSE)</f>
        <v>0</v>
      </c>
      <c r="M52" t="b">
        <f t="shared" si="1"/>
        <v>0</v>
      </c>
      <c r="N52">
        <f>VLOOKUP($A52,Outcomes!$B$3:$I$209,8,FALSE)</f>
        <v>7</v>
      </c>
      <c r="O52">
        <f t="shared" si="2"/>
        <v>1</v>
      </c>
      <c r="P52">
        <f>VLOOKUP($A52,Outcomes!$B$3:$I$209,5,FALSE)</f>
        <v>4</v>
      </c>
      <c r="Q52">
        <f>VLOOKUP($A52,Outcomes!$B$3:$I$209,6,FALSE)</f>
        <v>3</v>
      </c>
      <c r="R52">
        <f>VLOOKUP($A52,Outcomes!$B$3:$I$209,7,FALSE)</f>
        <v>-1</v>
      </c>
      <c r="S52" t="str">
        <f t="shared" si="3"/>
        <v>HomDog</v>
      </c>
      <c r="T52" t="str">
        <f t="shared" si="4"/>
        <v/>
      </c>
      <c r="U52" t="str">
        <f t="shared" si="0"/>
        <v/>
      </c>
      <c r="V52" t="str">
        <f t="shared" si="5"/>
        <v/>
      </c>
      <c r="W52" t="str">
        <f t="shared" si="6"/>
        <v/>
      </c>
      <c r="X52" s="2" t="str">
        <f t="shared" si="7"/>
        <v/>
      </c>
      <c r="Y52" t="str">
        <f>VLOOKUP($A52,ScionOutput!$A$3:$BL$215,64,FALSE)</f>
        <v xml:space="preserve">822969. VF plays are disallowed. No play due to strategy constraints. </v>
      </c>
    </row>
    <row r="53" spans="1:25" x14ac:dyDescent="0.2">
      <c r="A53">
        <v>822805</v>
      </c>
      <c r="B53" s="3">
        <f>VLOOKUP($A53,ScionOutput!$A$3:$BL$215,3,FALSE)</f>
        <v>46182</v>
      </c>
      <c r="C53">
        <f>VLOOKUP($A53,ScionOutput!$A$3:$BL$215,22,FALSE)</f>
        <v>29</v>
      </c>
      <c r="D53" t="str">
        <f>VLOOKUP($A53,ScionOutput!$A$3:$BL$215,23,FALSE)</f>
        <v>TOR</v>
      </c>
      <c r="E53">
        <f>VLOOKUP($A53,ScionOutput!$A$3:$BL$215,6,FALSE)</f>
        <v>21</v>
      </c>
      <c r="F53" t="str">
        <f>VLOOKUP($A53,ScionOutput!$A$3:$BL$215,7,FALSE)</f>
        <v>PHI</v>
      </c>
      <c r="G53">
        <f>VLOOKUP($A53,ScionOutput!$A$3:$BL$215,26,FALSE)</f>
        <v>-107</v>
      </c>
      <c r="H53">
        <f>VLOOKUP($A53,ScionOutput!$A$3:$BL$215,10,FALSE)</f>
        <v>-101</v>
      </c>
      <c r="I53" t="str">
        <f>VLOOKUP($A53,ScionOutput!$A$3:$BL$215,58,FALSE)</f>
        <v>HomFave</v>
      </c>
      <c r="J53">
        <f>VLOOKUP($A53,ScionOutput!$A$3:$BL$215,59,FALSE)</f>
        <v>2.2929999999999999E-2</v>
      </c>
      <c r="K53">
        <f>VLOOKUP($A53,ScionOutput!$A$3:$BL$215,62,FALSE)</f>
        <v>3</v>
      </c>
      <c r="L53">
        <f>VLOOKUP($A53,ScionOutput!$A$3:$BL$215,63,FALSE)</f>
        <v>0.8</v>
      </c>
      <c r="M53" t="b">
        <f t="shared" si="1"/>
        <v>0</v>
      </c>
      <c r="N53">
        <f>VLOOKUP($A53,Outcomes!$B$3:$I$209,8,FALSE)</f>
        <v>5</v>
      </c>
      <c r="O53">
        <f t="shared" si="2"/>
        <v>1</v>
      </c>
      <c r="P53">
        <f>VLOOKUP($A53,Outcomes!$B$3:$I$209,5,FALSE)</f>
        <v>3</v>
      </c>
      <c r="Q53">
        <f>VLOOKUP($A53,Outcomes!$B$3:$I$209,6,FALSE)</f>
        <v>2</v>
      </c>
      <c r="R53">
        <f>VLOOKUP($A53,Outcomes!$B$3:$I$209,7,FALSE)</f>
        <v>-1</v>
      </c>
      <c r="S53" t="str">
        <f t="shared" si="3"/>
        <v>HomFave</v>
      </c>
      <c r="T53">
        <f t="shared" si="4"/>
        <v>1</v>
      </c>
      <c r="U53">
        <f t="shared" si="0"/>
        <v>107</v>
      </c>
      <c r="V53">
        <f t="shared" si="5"/>
        <v>207</v>
      </c>
      <c r="W53">
        <f t="shared" si="6"/>
        <v>100</v>
      </c>
      <c r="X53" s="2">
        <f t="shared" si="7"/>
        <v>0.93457943925233644</v>
      </c>
      <c r="Y53" t="str">
        <f>VLOOKUP($A53,ScionOutput!$A$3:$BL$215,64,FALSE)</f>
        <v xml:space="preserve">822805. StatOnlyEns probability points gap does not exceed threshold (no edge found)! Play determined by LineStatEns only. </v>
      </c>
    </row>
    <row r="54" spans="1:25" x14ac:dyDescent="0.2">
      <c r="A54">
        <v>824831</v>
      </c>
      <c r="B54" s="3">
        <f>VLOOKUP($A54,ScionOutput!$A$3:$BL$215,3,FALSE)</f>
        <v>46183</v>
      </c>
      <c r="C54">
        <f>VLOOKUP($A54,ScionOutput!$A$3:$BL$215,22,FALSE)</f>
        <v>2</v>
      </c>
      <c r="D54" t="str">
        <f>VLOOKUP($A54,ScionOutput!$A$3:$BL$215,23,FALSE)</f>
        <v>BAL</v>
      </c>
      <c r="E54">
        <f>VLOOKUP($A54,ScionOutput!$A$3:$BL$215,6,FALSE)</f>
        <v>24</v>
      </c>
      <c r="F54" t="str">
        <f>VLOOKUP($A54,ScionOutput!$A$3:$BL$215,7,FALSE)</f>
        <v>SEA</v>
      </c>
      <c r="G54">
        <f>VLOOKUP($A54,ScionOutput!$A$3:$BL$215,26,FALSE)</f>
        <v>-104</v>
      </c>
      <c r="H54">
        <f>VLOOKUP($A54,ScionOutput!$A$3:$BL$215,10,FALSE)</f>
        <v>-104</v>
      </c>
      <c r="I54" t="str">
        <f>VLOOKUP($A54,ScionOutput!$A$3:$BL$215,58,FALSE)</f>
        <v>No Play</v>
      </c>
      <c r="J54">
        <f>VLOOKUP($A54,ScionOutput!$A$3:$BL$215,59,FALSE)</f>
        <v>0</v>
      </c>
      <c r="K54">
        <f>VLOOKUP($A54,ScionOutput!$A$3:$BL$215,62,FALSE)</f>
        <v>0</v>
      </c>
      <c r="L54">
        <f>VLOOKUP($A54,ScionOutput!$A$3:$BL$215,63,FALSE)</f>
        <v>0</v>
      </c>
      <c r="M54" t="b">
        <f t="shared" si="1"/>
        <v>0</v>
      </c>
      <c r="N54">
        <f>VLOOKUP($A54,Outcomes!$B$3:$I$209,8,FALSE)</f>
        <v>9</v>
      </c>
      <c r="O54">
        <f t="shared" si="2"/>
        <v>1</v>
      </c>
      <c r="P54">
        <f>VLOOKUP($A54,Outcomes!$B$3:$I$209,5,FALSE)</f>
        <v>7</v>
      </c>
      <c r="Q54">
        <f>VLOOKUP($A54,Outcomes!$B$3:$I$209,6,FALSE)</f>
        <v>2</v>
      </c>
      <c r="R54">
        <f>VLOOKUP($A54,Outcomes!$B$3:$I$209,7,FALSE)</f>
        <v>-5</v>
      </c>
      <c r="S54" t="str">
        <f t="shared" si="3"/>
        <v>HomDog</v>
      </c>
      <c r="T54" t="str">
        <f t="shared" si="4"/>
        <v/>
      </c>
      <c r="U54" t="str">
        <f t="shared" si="0"/>
        <v/>
      </c>
      <c r="V54" t="str">
        <f t="shared" si="5"/>
        <v/>
      </c>
      <c r="W54" t="str">
        <f t="shared" si="6"/>
        <v/>
      </c>
      <c r="X54" s="2" t="str">
        <f t="shared" si="7"/>
        <v/>
      </c>
      <c r="Y54" t="str">
        <f>VLOOKUP($A54,ScionOutput!$A$3:$BL$215,64,FALSE)</f>
        <v xml:space="preserve">824831. VF plays are disallowed. No play due to strategy constraints. </v>
      </c>
    </row>
    <row r="55" spans="1:25" x14ac:dyDescent="0.2">
      <c r="A55">
        <v>824022</v>
      </c>
      <c r="B55" s="3">
        <f>VLOOKUP($A55,ScionOutput!$A$3:$BL$215,3,FALSE)</f>
        <v>46183</v>
      </c>
      <c r="C55">
        <f>VLOOKUP($A55,ScionOutput!$A$3:$BL$215,22,FALSE)</f>
        <v>4</v>
      </c>
      <c r="D55" t="str">
        <f>VLOOKUP($A55,ScionOutput!$A$3:$BL$215,23,FALSE)</f>
        <v>LAA</v>
      </c>
      <c r="E55">
        <f>VLOOKUP($A55,ScionOutput!$A$3:$BL$215,6,FALSE)</f>
        <v>12</v>
      </c>
      <c r="F55" t="str">
        <f>VLOOKUP($A55,ScionOutput!$A$3:$BL$215,7,FALSE)</f>
        <v>HOU</v>
      </c>
      <c r="G55">
        <f>VLOOKUP($A55,ScionOutput!$A$3:$BL$215,26,FALSE)</f>
        <v>-111</v>
      </c>
      <c r="H55">
        <f>VLOOKUP($A55,ScionOutput!$A$3:$BL$215,10,FALSE)</f>
        <v>102</v>
      </c>
      <c r="I55" t="str">
        <f>VLOOKUP($A55,ScionOutput!$A$3:$BL$215,58,FALSE)</f>
        <v>No Play</v>
      </c>
      <c r="J55">
        <f>VLOOKUP($A55,ScionOutput!$A$3:$BL$215,59,FALSE)</f>
        <v>0</v>
      </c>
      <c r="K55">
        <f>VLOOKUP($A55,ScionOutput!$A$3:$BL$215,62,FALSE)</f>
        <v>0</v>
      </c>
      <c r="L55">
        <f>VLOOKUP($A55,ScionOutput!$A$3:$BL$215,63,FALSE)</f>
        <v>0</v>
      </c>
      <c r="M55" t="b">
        <f t="shared" si="1"/>
        <v>0</v>
      </c>
      <c r="N55">
        <f>VLOOKUP($A55,Outcomes!$B$3:$I$209,8,FALSE)</f>
        <v>5</v>
      </c>
      <c r="O55">
        <f t="shared" si="2"/>
        <v>1</v>
      </c>
      <c r="P55">
        <f>VLOOKUP($A55,Outcomes!$B$3:$I$209,5,FALSE)</f>
        <v>3</v>
      </c>
      <c r="Q55">
        <f>VLOOKUP($A55,Outcomes!$B$3:$I$209,6,FALSE)</f>
        <v>2</v>
      </c>
      <c r="R55">
        <f>VLOOKUP($A55,Outcomes!$B$3:$I$209,7,FALSE)</f>
        <v>-1</v>
      </c>
      <c r="S55" t="str">
        <f t="shared" si="3"/>
        <v>HomFave</v>
      </c>
      <c r="T55" t="str">
        <f t="shared" si="4"/>
        <v/>
      </c>
      <c r="U55" t="str">
        <f t="shared" si="0"/>
        <v/>
      </c>
      <c r="V55" t="str">
        <f t="shared" si="5"/>
        <v/>
      </c>
      <c r="W55" t="str">
        <f t="shared" si="6"/>
        <v/>
      </c>
      <c r="X55" s="2" t="str">
        <f t="shared" si="7"/>
        <v/>
      </c>
      <c r="Y55" t="str">
        <f>VLOOKUP($A55,ScionOutput!$A$3:$BL$215,64,FALSE)</f>
        <v xml:space="preserve">824022. LineStatEns probability points gap does not exceed threshold (no edge found)! StatOnlyEns probability points gap does not exceed threshold (no edge found)! No play due to strategy constraints. </v>
      </c>
    </row>
    <row r="56" spans="1:25" x14ac:dyDescent="0.2">
      <c r="A56">
        <v>824428</v>
      </c>
      <c r="B56" s="3">
        <f>VLOOKUP($A56,ScionOutput!$A$3:$BL$215,3,FALSE)</f>
        <v>46183</v>
      </c>
      <c r="C56">
        <f>VLOOKUP($A56,ScionOutput!$A$3:$BL$215,22,FALSE)</f>
        <v>7</v>
      </c>
      <c r="D56" t="str">
        <f>VLOOKUP($A56,ScionOutput!$A$3:$BL$215,23,FALSE)</f>
        <v>CLE</v>
      </c>
      <c r="E56">
        <f>VLOOKUP($A56,ScionOutput!$A$3:$BL$215,6,FALSE)</f>
        <v>19</v>
      </c>
      <c r="F56" t="str">
        <f>VLOOKUP($A56,ScionOutput!$A$3:$BL$215,7,FALSE)</f>
        <v>NYY</v>
      </c>
      <c r="G56">
        <f>VLOOKUP($A56,ScionOutput!$A$3:$BL$215,26,FALSE)</f>
        <v>-115</v>
      </c>
      <c r="H56">
        <f>VLOOKUP($A56,ScionOutput!$A$3:$BL$215,10,FALSE)</f>
        <v>106</v>
      </c>
      <c r="I56" t="str">
        <f>VLOOKUP($A56,ScionOutput!$A$3:$BL$215,58,FALSE)</f>
        <v>No Play</v>
      </c>
      <c r="J56">
        <f>VLOOKUP($A56,ScionOutput!$A$3:$BL$215,59,FALSE)</f>
        <v>0</v>
      </c>
      <c r="K56">
        <f>VLOOKUP($A56,ScionOutput!$A$3:$BL$215,62,FALSE)</f>
        <v>0</v>
      </c>
      <c r="L56">
        <f>VLOOKUP($A56,ScionOutput!$A$3:$BL$215,63,FALSE)</f>
        <v>0</v>
      </c>
      <c r="M56" t="b">
        <f t="shared" si="1"/>
        <v>0</v>
      </c>
      <c r="N56">
        <f>VLOOKUP($A56,Outcomes!$B$3:$I$209,8,FALSE)</f>
        <v>12</v>
      </c>
      <c r="O56">
        <f t="shared" si="2"/>
        <v>-1</v>
      </c>
      <c r="P56">
        <f>VLOOKUP($A56,Outcomes!$B$3:$I$209,5,FALSE)</f>
        <v>4</v>
      </c>
      <c r="Q56">
        <f>VLOOKUP($A56,Outcomes!$B$3:$I$209,6,FALSE)</f>
        <v>8</v>
      </c>
      <c r="R56">
        <f>VLOOKUP($A56,Outcomes!$B$3:$I$209,7,FALSE)</f>
        <v>4</v>
      </c>
      <c r="S56" t="str">
        <f t="shared" si="3"/>
        <v>VisDog</v>
      </c>
      <c r="T56" t="str">
        <f t="shared" si="4"/>
        <v/>
      </c>
      <c r="U56" t="str">
        <f t="shared" si="0"/>
        <v/>
      </c>
      <c r="V56" t="str">
        <f t="shared" si="5"/>
        <v/>
      </c>
      <c r="W56" t="str">
        <f t="shared" si="6"/>
        <v/>
      </c>
      <c r="X56" s="2" t="str">
        <f t="shared" si="7"/>
        <v/>
      </c>
      <c r="Y56" t="str">
        <f>VLOOKUP($A56,ScionOutput!$A$3:$BL$215,64,FALSE)</f>
        <v xml:space="preserve">824428. LineStatEns probability points gap does not exceed threshold (no edge found)! StatOnlyEns probability points gap does not exceed threshold (no edge found)! No play due to strategy constraints. </v>
      </c>
    </row>
    <row r="57" spans="1:25" x14ac:dyDescent="0.2">
      <c r="A57">
        <v>824348</v>
      </c>
      <c r="B57" s="3">
        <f>VLOOKUP($A57,ScionOutput!$A$3:$BL$215,3,FALSE)</f>
        <v>46183</v>
      </c>
      <c r="C57">
        <f>VLOOKUP($A57,ScionOutput!$A$3:$BL$215,22,FALSE)</f>
        <v>8</v>
      </c>
      <c r="D57" t="str">
        <f>VLOOKUP($A57,ScionOutput!$A$3:$BL$215,23,FALSE)</f>
        <v>COL</v>
      </c>
      <c r="E57">
        <f>VLOOKUP($A57,ScionOutput!$A$3:$BL$215,6,FALSE)</f>
        <v>5</v>
      </c>
      <c r="F57" t="str">
        <f>VLOOKUP($A57,ScionOutput!$A$3:$BL$215,7,FALSE)</f>
        <v>CHC</v>
      </c>
      <c r="G57">
        <f>VLOOKUP($A57,ScionOutput!$A$3:$BL$215,26,FALSE)</f>
        <v>149</v>
      </c>
      <c r="H57">
        <f>VLOOKUP($A57,ScionOutput!$A$3:$BL$215,10,FALSE)</f>
        <v>-162</v>
      </c>
      <c r="I57" t="str">
        <f>VLOOKUP($A57,ScionOutput!$A$3:$BL$215,58,FALSE)</f>
        <v>No Play</v>
      </c>
      <c r="J57">
        <f>VLOOKUP($A57,ScionOutput!$A$3:$BL$215,59,FALSE)</f>
        <v>0</v>
      </c>
      <c r="K57">
        <f>VLOOKUP($A57,ScionOutput!$A$3:$BL$215,62,FALSE)</f>
        <v>0</v>
      </c>
      <c r="L57">
        <f>VLOOKUP($A57,ScionOutput!$A$3:$BL$215,63,FALSE)</f>
        <v>0</v>
      </c>
      <c r="M57" t="b">
        <f t="shared" si="1"/>
        <v>0</v>
      </c>
      <c r="N57">
        <f>VLOOKUP($A57,Outcomes!$B$3:$I$209,8,FALSE)</f>
        <v>5</v>
      </c>
      <c r="O57">
        <f t="shared" si="2"/>
        <v>1</v>
      </c>
      <c r="P57">
        <f>VLOOKUP($A57,Outcomes!$B$3:$I$209,5,FALSE)</f>
        <v>3</v>
      </c>
      <c r="Q57">
        <f>VLOOKUP($A57,Outcomes!$B$3:$I$209,6,FALSE)</f>
        <v>2</v>
      </c>
      <c r="R57">
        <f>VLOOKUP($A57,Outcomes!$B$3:$I$209,7,FALSE)</f>
        <v>-1</v>
      </c>
      <c r="S57" t="str">
        <f t="shared" si="3"/>
        <v>HomDog</v>
      </c>
      <c r="T57" t="str">
        <f t="shared" si="4"/>
        <v/>
      </c>
      <c r="U57" t="str">
        <f t="shared" si="0"/>
        <v/>
      </c>
      <c r="V57" t="str">
        <f t="shared" si="5"/>
        <v/>
      </c>
      <c r="W57" t="str">
        <f t="shared" si="6"/>
        <v/>
      </c>
      <c r="X57" s="2" t="str">
        <f t="shared" si="7"/>
        <v/>
      </c>
      <c r="Y57" t="str">
        <f>VLOOKUP($A57,ScionOutput!$A$3:$BL$215,64,FALSE)</f>
        <v xml:space="preserve">824348. VF plays are disallowed. No play due to strategy constraints. </v>
      </c>
    </row>
    <row r="58" spans="1:25" x14ac:dyDescent="0.2">
      <c r="A58">
        <v>824590</v>
      </c>
      <c r="B58" s="3">
        <f>VLOOKUP($A58,ScionOutput!$A$3:$BL$215,3,FALSE)</f>
        <v>46183</v>
      </c>
      <c r="C58">
        <f>VLOOKUP($A58,ScionOutput!$A$3:$BL$215,22,FALSE)</f>
        <v>9</v>
      </c>
      <c r="D58" t="str">
        <f>VLOOKUP($A58,ScionOutput!$A$3:$BL$215,23,FALSE)</f>
        <v>CWS</v>
      </c>
      <c r="E58">
        <f>VLOOKUP($A58,ScionOutput!$A$3:$BL$215,6,FALSE)</f>
        <v>0</v>
      </c>
      <c r="F58" t="str">
        <f>VLOOKUP($A58,ScionOutput!$A$3:$BL$215,7,FALSE)</f>
        <v>ATL</v>
      </c>
      <c r="G58">
        <f>VLOOKUP($A58,ScionOutput!$A$3:$BL$215,26,FALSE)</f>
        <v>132</v>
      </c>
      <c r="H58">
        <f>VLOOKUP($A58,ScionOutput!$A$3:$BL$215,10,FALSE)</f>
        <v>-143</v>
      </c>
      <c r="I58" t="str">
        <f>VLOOKUP($A58,ScionOutput!$A$3:$BL$215,58,FALSE)</f>
        <v>No Play</v>
      </c>
      <c r="J58">
        <f>VLOOKUP($A58,ScionOutput!$A$3:$BL$215,59,FALSE)</f>
        <v>0</v>
      </c>
      <c r="K58">
        <f>VLOOKUP($A58,ScionOutput!$A$3:$BL$215,62,FALSE)</f>
        <v>0</v>
      </c>
      <c r="L58">
        <f>VLOOKUP($A58,ScionOutput!$A$3:$BL$215,63,FALSE)</f>
        <v>0</v>
      </c>
      <c r="M58" t="b">
        <f t="shared" si="1"/>
        <v>0</v>
      </c>
      <c r="N58">
        <f>VLOOKUP($A58,Outcomes!$B$3:$I$209,8,FALSE)</f>
        <v>3</v>
      </c>
      <c r="O58">
        <f t="shared" si="2"/>
        <v>1</v>
      </c>
      <c r="P58">
        <f>VLOOKUP($A58,Outcomes!$B$3:$I$209,5,FALSE)</f>
        <v>2</v>
      </c>
      <c r="Q58">
        <f>VLOOKUP($A58,Outcomes!$B$3:$I$209,6,FALSE)</f>
        <v>1</v>
      </c>
      <c r="R58">
        <f>VLOOKUP($A58,Outcomes!$B$3:$I$209,7,FALSE)</f>
        <v>-1</v>
      </c>
      <c r="S58" t="str">
        <f t="shared" si="3"/>
        <v>HomDog</v>
      </c>
      <c r="T58" t="str">
        <f t="shared" si="4"/>
        <v/>
      </c>
      <c r="U58" t="str">
        <f t="shared" si="0"/>
        <v/>
      </c>
      <c r="V58" t="str">
        <f t="shared" si="5"/>
        <v/>
      </c>
      <c r="W58" t="str">
        <f t="shared" si="6"/>
        <v/>
      </c>
      <c r="X58" s="2" t="str">
        <f t="shared" si="7"/>
        <v/>
      </c>
      <c r="Y58" t="str">
        <f>VLOOKUP($A58,ScionOutput!$A$3:$BL$215,64,FALSE)</f>
        <v xml:space="preserve">824590. LineStatEns price is outside allowable range! StatOnlyEns price is outside allowable range! No play due to strategy constraints. </v>
      </c>
    </row>
    <row r="59" spans="1:25" x14ac:dyDescent="0.2">
      <c r="A59">
        <v>824266</v>
      </c>
      <c r="B59" s="3">
        <f>VLOOKUP($A59,ScionOutput!$A$3:$BL$215,3,FALSE)</f>
        <v>46183</v>
      </c>
      <c r="C59">
        <f>VLOOKUP($A59,ScionOutput!$A$3:$BL$215,22,FALSE)</f>
        <v>10</v>
      </c>
      <c r="D59" t="str">
        <f>VLOOKUP($A59,ScionOutput!$A$3:$BL$215,23,FALSE)</f>
        <v>DET</v>
      </c>
      <c r="E59">
        <f>VLOOKUP($A59,ScionOutput!$A$3:$BL$215,6,FALSE)</f>
        <v>15</v>
      </c>
      <c r="F59" t="str">
        <f>VLOOKUP($A59,ScionOutput!$A$3:$BL$215,7,FALSE)</f>
        <v>MIN</v>
      </c>
      <c r="G59">
        <f>VLOOKUP($A59,ScionOutput!$A$3:$BL$215,26,FALSE)</f>
        <v>-164</v>
      </c>
      <c r="H59">
        <f>VLOOKUP($A59,ScionOutput!$A$3:$BL$215,10,FALSE)</f>
        <v>150</v>
      </c>
      <c r="I59" t="str">
        <f>VLOOKUP($A59,ScionOutput!$A$3:$BL$215,58,FALSE)</f>
        <v>No Play</v>
      </c>
      <c r="J59">
        <f>VLOOKUP($A59,ScionOutput!$A$3:$BL$215,59,FALSE)</f>
        <v>0</v>
      </c>
      <c r="K59">
        <f>VLOOKUP($A59,ScionOutput!$A$3:$BL$215,62,FALSE)</f>
        <v>0</v>
      </c>
      <c r="L59">
        <f>VLOOKUP($A59,ScionOutput!$A$3:$BL$215,63,FALSE)</f>
        <v>0</v>
      </c>
      <c r="M59" t="b">
        <f t="shared" si="1"/>
        <v>0</v>
      </c>
      <c r="N59">
        <f>VLOOKUP($A59,Outcomes!$B$3:$I$209,8,FALSE)</f>
        <v>10</v>
      </c>
      <c r="O59">
        <f t="shared" si="2"/>
        <v>-1</v>
      </c>
      <c r="P59">
        <f>VLOOKUP($A59,Outcomes!$B$3:$I$209,5,FALSE)</f>
        <v>4</v>
      </c>
      <c r="Q59">
        <f>VLOOKUP($A59,Outcomes!$B$3:$I$209,6,FALSE)</f>
        <v>6</v>
      </c>
      <c r="R59">
        <f>VLOOKUP($A59,Outcomes!$B$3:$I$209,7,FALSE)</f>
        <v>2</v>
      </c>
      <c r="S59" t="str">
        <f t="shared" si="3"/>
        <v>VisDog</v>
      </c>
      <c r="T59" t="str">
        <f t="shared" si="4"/>
        <v/>
      </c>
      <c r="U59" t="str">
        <f t="shared" si="0"/>
        <v/>
      </c>
      <c r="V59" t="str">
        <f t="shared" si="5"/>
        <v/>
      </c>
      <c r="W59" t="str">
        <f t="shared" si="6"/>
        <v/>
      </c>
      <c r="X59" s="2" t="str">
        <f t="shared" si="7"/>
        <v/>
      </c>
      <c r="Y59" t="str">
        <f>VLOOKUP($A59,ScionOutput!$A$3:$BL$215,64,FALSE)</f>
        <v xml:space="preserve">824266. V_SP is Null, team-based avg used. NoPlay as V_SP is Null. </v>
      </c>
    </row>
    <row r="60" spans="1:25" x14ac:dyDescent="0.2">
      <c r="A60">
        <v>823856</v>
      </c>
      <c r="B60" s="3">
        <f>VLOOKUP($A60,ScionOutput!$A$3:$BL$215,3,FALSE)</f>
        <v>46183</v>
      </c>
      <c r="C60">
        <f>VLOOKUP($A60,ScionOutput!$A$3:$BL$215,22,FALSE)</f>
        <v>11</v>
      </c>
      <c r="D60" t="str">
        <f>VLOOKUP($A60,ScionOutput!$A$3:$BL$215,23,FALSE)</f>
        <v>FLO</v>
      </c>
      <c r="E60">
        <f>VLOOKUP($A60,ScionOutput!$A$3:$BL$215,6,FALSE)</f>
        <v>1</v>
      </c>
      <c r="F60" t="str">
        <f>VLOOKUP($A60,ScionOutput!$A$3:$BL$215,7,FALSE)</f>
        <v>ARZ</v>
      </c>
      <c r="G60">
        <f>VLOOKUP($A60,ScionOutput!$A$3:$BL$215,26,FALSE)</f>
        <v>102</v>
      </c>
      <c r="H60">
        <f>VLOOKUP($A60,ScionOutput!$A$3:$BL$215,10,FALSE)</f>
        <v>-111</v>
      </c>
      <c r="I60" t="str">
        <f>VLOOKUP($A60,ScionOutput!$A$3:$BL$215,58,FALSE)</f>
        <v>HomDog</v>
      </c>
      <c r="J60">
        <f>VLOOKUP($A60,ScionOutput!$A$3:$BL$215,59,FALSE)</f>
        <v>1.519E-2</v>
      </c>
      <c r="K60">
        <f>VLOOKUP($A60,ScionOutput!$A$3:$BL$215,62,FALSE)</f>
        <v>5</v>
      </c>
      <c r="L60">
        <f>VLOOKUP($A60,ScionOutput!$A$3:$BL$215,63,FALSE)</f>
        <v>0.6</v>
      </c>
      <c r="M60" t="b">
        <f t="shared" si="1"/>
        <v>1</v>
      </c>
      <c r="N60">
        <f>VLOOKUP($A60,Outcomes!$B$3:$I$209,8,FALSE)</f>
        <v>8</v>
      </c>
      <c r="O60">
        <f t="shared" si="2"/>
        <v>1</v>
      </c>
      <c r="P60">
        <f>VLOOKUP($A60,Outcomes!$B$3:$I$209,5,FALSE)</f>
        <v>8</v>
      </c>
      <c r="Q60">
        <f>VLOOKUP($A60,Outcomes!$B$3:$I$209,6,FALSE)</f>
        <v>0</v>
      </c>
      <c r="R60">
        <f>VLOOKUP($A60,Outcomes!$B$3:$I$209,7,FALSE)</f>
        <v>-8</v>
      </c>
      <c r="S60" t="str">
        <f t="shared" si="3"/>
        <v>HomDog</v>
      </c>
      <c r="T60" t="str">
        <f t="shared" si="4"/>
        <v/>
      </c>
      <c r="U60" t="str">
        <f t="shared" si="0"/>
        <v/>
      </c>
      <c r="V60" t="str">
        <f t="shared" si="5"/>
        <v/>
      </c>
      <c r="W60" t="str">
        <f t="shared" si="6"/>
        <v/>
      </c>
      <c r="X60" s="2" t="str">
        <f t="shared" si="7"/>
        <v/>
      </c>
      <c r="Y60" t="str">
        <f>VLOOKUP($A60,ScionOutput!$A$3:$BL$215,64,FALSE)</f>
        <v xml:space="preserve">823856. Play determined by LineStatEns and StatOnlyEns agreement. </v>
      </c>
    </row>
    <row r="61" spans="1:25" x14ac:dyDescent="0.2">
      <c r="A61">
        <v>824103</v>
      </c>
      <c r="B61" s="3">
        <f>VLOOKUP($A61,ScionOutput!$A$3:$BL$215,3,FALSE)</f>
        <v>46183</v>
      </c>
      <c r="C61">
        <f>VLOOKUP($A61,ScionOutput!$A$3:$BL$215,22,FALSE)</f>
        <v>13</v>
      </c>
      <c r="D61" t="str">
        <f>VLOOKUP($A61,ScionOutput!$A$3:$BL$215,23,FALSE)</f>
        <v>KC</v>
      </c>
      <c r="E61">
        <f>VLOOKUP($A61,ScionOutput!$A$3:$BL$215,6,FALSE)</f>
        <v>28</v>
      </c>
      <c r="F61" t="str">
        <f>VLOOKUP($A61,ScionOutput!$A$3:$BL$215,7,FALSE)</f>
        <v>TEX</v>
      </c>
      <c r="G61">
        <f>VLOOKUP($A61,ScionOutput!$A$3:$BL$215,26,FALSE)</f>
        <v>108</v>
      </c>
      <c r="H61">
        <f>VLOOKUP($A61,ScionOutput!$A$3:$BL$215,10,FALSE)</f>
        <v>-117</v>
      </c>
      <c r="I61" t="str">
        <f>VLOOKUP($A61,ScionOutput!$A$3:$BL$215,58,FALSE)</f>
        <v>No Play</v>
      </c>
      <c r="J61">
        <f>VLOOKUP($A61,ScionOutput!$A$3:$BL$215,59,FALSE)</f>
        <v>0</v>
      </c>
      <c r="K61">
        <f>VLOOKUP($A61,ScionOutput!$A$3:$BL$215,62,FALSE)</f>
        <v>0</v>
      </c>
      <c r="L61">
        <f>VLOOKUP($A61,ScionOutput!$A$3:$BL$215,63,FALSE)</f>
        <v>0</v>
      </c>
      <c r="M61" t="b">
        <f t="shared" si="1"/>
        <v>0</v>
      </c>
      <c r="N61">
        <f>VLOOKUP($A61,Outcomes!$B$3:$I$209,8,FALSE)</f>
        <v>10</v>
      </c>
      <c r="O61">
        <f t="shared" si="2"/>
        <v>-1</v>
      </c>
      <c r="P61">
        <f>VLOOKUP($A61,Outcomes!$B$3:$I$209,5,FALSE)</f>
        <v>4</v>
      </c>
      <c r="Q61">
        <f>VLOOKUP($A61,Outcomes!$B$3:$I$209,6,FALSE)</f>
        <v>6</v>
      </c>
      <c r="R61">
        <f>VLOOKUP($A61,Outcomes!$B$3:$I$209,7,FALSE)</f>
        <v>2</v>
      </c>
      <c r="S61" t="str">
        <f t="shared" si="3"/>
        <v>VisFave</v>
      </c>
      <c r="T61" t="str">
        <f t="shared" si="4"/>
        <v/>
      </c>
      <c r="U61" t="str">
        <f t="shared" si="0"/>
        <v/>
      </c>
      <c r="V61" t="str">
        <f t="shared" si="5"/>
        <v/>
      </c>
      <c r="W61" t="str">
        <f t="shared" si="6"/>
        <v/>
      </c>
      <c r="X61" s="2" t="str">
        <f t="shared" si="7"/>
        <v/>
      </c>
      <c r="Y61" t="str">
        <f>VLOOKUP($A61,ScionOutput!$A$3:$BL$215,64,FALSE)</f>
        <v xml:space="preserve">824103. VF plays are disallowed. No play due to strategy constraints. </v>
      </c>
    </row>
    <row r="62" spans="1:25" x14ac:dyDescent="0.2">
      <c r="A62">
        <v>823618</v>
      </c>
      <c r="B62" s="3">
        <f>VLOOKUP($A62,ScionOutput!$A$3:$BL$215,3,FALSE)</f>
        <v>46183</v>
      </c>
      <c r="C62">
        <f>VLOOKUP($A62,ScionOutput!$A$3:$BL$215,22,FALSE)</f>
        <v>18</v>
      </c>
      <c r="D62" t="str">
        <f>VLOOKUP($A62,ScionOutput!$A$3:$BL$215,23,FALSE)</f>
        <v>NYM</v>
      </c>
      <c r="E62">
        <f>VLOOKUP($A62,ScionOutput!$A$3:$BL$215,6,FALSE)</f>
        <v>26</v>
      </c>
      <c r="F62" t="str">
        <f>VLOOKUP($A62,ScionOutput!$A$3:$BL$215,7,FALSE)</f>
        <v>STL</v>
      </c>
      <c r="G62">
        <f>VLOOKUP($A62,ScionOutput!$A$3:$BL$215,26,FALSE)</f>
        <v>-128</v>
      </c>
      <c r="H62">
        <f>VLOOKUP($A62,ScionOutput!$A$3:$BL$215,10,FALSE)</f>
        <v>118</v>
      </c>
      <c r="I62" t="str">
        <f>VLOOKUP($A62,ScionOutput!$A$3:$BL$215,58,FALSE)</f>
        <v>No Play</v>
      </c>
      <c r="J62">
        <f>VLOOKUP($A62,ScionOutput!$A$3:$BL$215,59,FALSE)</f>
        <v>0</v>
      </c>
      <c r="K62">
        <f>VLOOKUP($A62,ScionOutput!$A$3:$BL$215,62,FALSE)</f>
        <v>0</v>
      </c>
      <c r="L62">
        <f>VLOOKUP($A62,ScionOutput!$A$3:$BL$215,63,FALSE)</f>
        <v>0</v>
      </c>
      <c r="M62" t="b">
        <f t="shared" si="1"/>
        <v>0</v>
      </c>
      <c r="N62">
        <f>VLOOKUP($A62,Outcomes!$B$3:$I$209,8,FALSE)</f>
        <v>11</v>
      </c>
      <c r="O62">
        <f t="shared" si="2"/>
        <v>-1</v>
      </c>
      <c r="P62">
        <f>VLOOKUP($A62,Outcomes!$B$3:$I$209,5,FALSE)</f>
        <v>2</v>
      </c>
      <c r="Q62">
        <f>VLOOKUP($A62,Outcomes!$B$3:$I$209,6,FALSE)</f>
        <v>9</v>
      </c>
      <c r="R62">
        <f>VLOOKUP($A62,Outcomes!$B$3:$I$209,7,FALSE)</f>
        <v>7</v>
      </c>
      <c r="S62" t="str">
        <f t="shared" si="3"/>
        <v>VisDog</v>
      </c>
      <c r="T62" t="str">
        <f t="shared" si="4"/>
        <v/>
      </c>
      <c r="U62" t="str">
        <f t="shared" si="0"/>
        <v/>
      </c>
      <c r="V62" t="str">
        <f t="shared" si="5"/>
        <v/>
      </c>
      <c r="W62" t="str">
        <f t="shared" si="6"/>
        <v/>
      </c>
      <c r="X62" s="2" t="str">
        <f t="shared" si="7"/>
        <v/>
      </c>
      <c r="Y62" t="str">
        <f>VLOOKUP($A62,ScionOutput!$A$3:$BL$215,64,FALSE)</f>
        <v xml:space="preserve">823618. LineStatEns probability points gap does not exceed threshold (no edge found)! StatOnlyEns probability points gap does not exceed threshold (no edge found)! No play due to strategy constraints. </v>
      </c>
    </row>
    <row r="63" spans="1:25" x14ac:dyDescent="0.2">
      <c r="A63">
        <v>824996</v>
      </c>
      <c r="B63" s="3">
        <f>VLOOKUP($A63,ScionOutput!$A$3:$BL$215,3,FALSE)</f>
        <v>46183</v>
      </c>
      <c r="C63">
        <f>VLOOKUP($A63,ScionOutput!$A$3:$BL$215,22,FALSE)</f>
        <v>20</v>
      </c>
      <c r="D63" t="str">
        <f>VLOOKUP($A63,ScionOutput!$A$3:$BL$215,23,FALSE)</f>
        <v>OAK</v>
      </c>
      <c r="E63">
        <f>VLOOKUP($A63,ScionOutput!$A$3:$BL$215,6,FALSE)</f>
        <v>17</v>
      </c>
      <c r="F63" t="str">
        <f>VLOOKUP($A63,ScionOutput!$A$3:$BL$215,7,FALSE)</f>
        <v>MLW</v>
      </c>
      <c r="G63">
        <f>VLOOKUP($A63,ScionOutput!$A$3:$BL$215,26,FALSE)</f>
        <v>-105</v>
      </c>
      <c r="H63">
        <f>VLOOKUP($A63,ScionOutput!$A$3:$BL$215,10,FALSE)</f>
        <v>-103</v>
      </c>
      <c r="I63" t="str">
        <f>VLOOKUP($A63,ScionOutput!$A$3:$BL$215,58,FALSE)</f>
        <v>VisDog</v>
      </c>
      <c r="J63">
        <f>VLOOKUP($A63,ScionOutput!$A$3:$BL$215,59,FALSE)</f>
        <v>-6.2359999999999999E-2</v>
      </c>
      <c r="K63">
        <f>VLOOKUP($A63,ScionOutput!$A$3:$BL$215,62,FALSE)</f>
        <v>5</v>
      </c>
      <c r="L63">
        <f>VLOOKUP($A63,ScionOutput!$A$3:$BL$215,63,FALSE)</f>
        <v>0.98</v>
      </c>
      <c r="M63" t="b">
        <f t="shared" si="1"/>
        <v>0</v>
      </c>
      <c r="N63">
        <f>VLOOKUP($A63,Outcomes!$B$3:$I$209,8,FALSE)</f>
        <v>7</v>
      </c>
      <c r="O63">
        <f t="shared" si="2"/>
        <v>1</v>
      </c>
      <c r="P63">
        <f>VLOOKUP($A63,Outcomes!$B$3:$I$209,5,FALSE)</f>
        <v>4</v>
      </c>
      <c r="Q63">
        <f>VLOOKUP($A63,Outcomes!$B$3:$I$209,6,FALSE)</f>
        <v>3</v>
      </c>
      <c r="R63">
        <f>VLOOKUP($A63,Outcomes!$B$3:$I$209,7,FALSE)</f>
        <v>-1</v>
      </c>
      <c r="S63" t="str">
        <f t="shared" si="3"/>
        <v>HomFave</v>
      </c>
      <c r="T63" t="str">
        <f t="shared" si="4"/>
        <v/>
      </c>
      <c r="U63" t="str">
        <f t="shared" si="0"/>
        <v/>
      </c>
      <c r="V63" t="str">
        <f t="shared" si="5"/>
        <v/>
      </c>
      <c r="W63" t="str">
        <f t="shared" si="6"/>
        <v/>
      </c>
      <c r="X63" s="2" t="str">
        <f t="shared" si="7"/>
        <v/>
      </c>
      <c r="Y63" t="str">
        <f>VLOOKUP($A63,ScionOutput!$A$3:$BL$215,64,FALSE)</f>
        <v xml:space="preserve">824996. Play determined by StatOnlyEns when it disagrees with LineStatEns. </v>
      </c>
    </row>
    <row r="64" spans="1:25" x14ac:dyDescent="0.2">
      <c r="A64">
        <v>823372</v>
      </c>
      <c r="B64" s="3">
        <f>VLOOKUP($A64,ScionOutput!$A$3:$BL$215,3,FALSE)</f>
        <v>46183</v>
      </c>
      <c r="C64">
        <f>VLOOKUP($A64,ScionOutput!$A$3:$BL$215,22,FALSE)</f>
        <v>22</v>
      </c>
      <c r="D64" t="str">
        <f>VLOOKUP($A64,ScionOutput!$A$3:$BL$215,23,FALSE)</f>
        <v>PIT</v>
      </c>
      <c r="E64">
        <f>VLOOKUP($A64,ScionOutput!$A$3:$BL$215,6,FALSE)</f>
        <v>14</v>
      </c>
      <c r="F64" t="str">
        <f>VLOOKUP($A64,ScionOutput!$A$3:$BL$215,7,FALSE)</f>
        <v>LA</v>
      </c>
      <c r="G64">
        <f>VLOOKUP($A64,ScionOutput!$A$3:$BL$215,26,FALSE)</f>
        <v>175</v>
      </c>
      <c r="H64">
        <f>VLOOKUP($A64,ScionOutput!$A$3:$BL$215,10,FALSE)</f>
        <v>-193</v>
      </c>
      <c r="I64" t="str">
        <f>VLOOKUP($A64,ScionOutput!$A$3:$BL$215,58,FALSE)</f>
        <v>No Play</v>
      </c>
      <c r="J64">
        <f>VLOOKUP($A64,ScionOutput!$A$3:$BL$215,59,FALSE)</f>
        <v>0</v>
      </c>
      <c r="K64">
        <f>VLOOKUP($A64,ScionOutput!$A$3:$BL$215,62,FALSE)</f>
        <v>0</v>
      </c>
      <c r="L64">
        <f>VLOOKUP($A64,ScionOutput!$A$3:$BL$215,63,FALSE)</f>
        <v>0</v>
      </c>
      <c r="M64" t="b">
        <f t="shared" si="1"/>
        <v>0</v>
      </c>
      <c r="N64">
        <f>VLOOKUP($A64,Outcomes!$B$3:$I$209,8,FALSE)</f>
        <v>17</v>
      </c>
      <c r="O64">
        <f t="shared" si="2"/>
        <v>1</v>
      </c>
      <c r="P64">
        <f>VLOOKUP($A64,Outcomes!$B$3:$I$209,5,FALSE)</f>
        <v>9</v>
      </c>
      <c r="Q64">
        <f>VLOOKUP($A64,Outcomes!$B$3:$I$209,6,FALSE)</f>
        <v>8</v>
      </c>
      <c r="R64">
        <f>VLOOKUP($A64,Outcomes!$B$3:$I$209,7,FALSE)</f>
        <v>-1</v>
      </c>
      <c r="S64" t="str">
        <f t="shared" si="3"/>
        <v>HomDog</v>
      </c>
      <c r="T64" t="str">
        <f t="shared" si="4"/>
        <v/>
      </c>
      <c r="U64" t="str">
        <f t="shared" si="0"/>
        <v/>
      </c>
      <c r="V64" t="str">
        <f t="shared" si="5"/>
        <v/>
      </c>
      <c r="W64" t="str">
        <f t="shared" si="6"/>
        <v/>
      </c>
      <c r="X64" s="2" t="str">
        <f t="shared" si="7"/>
        <v/>
      </c>
      <c r="Y64" t="str">
        <f>VLOOKUP($A64,ScionOutput!$A$3:$BL$215,64,FALSE)</f>
        <v xml:space="preserve">823372. LineStatEns is NoPlay as bookie-line outside range. StatOnlyEns is NoPlay as bookie-line outside range. No play due to strategy constraints. </v>
      </c>
    </row>
    <row r="65" spans="1:25" x14ac:dyDescent="0.2">
      <c r="A65">
        <v>823287</v>
      </c>
      <c r="B65" s="3">
        <f>VLOOKUP($A65,ScionOutput!$A$3:$BL$215,3,FALSE)</f>
        <v>46183</v>
      </c>
      <c r="C65">
        <f>VLOOKUP($A65,ScionOutput!$A$3:$BL$215,22,FALSE)</f>
        <v>23</v>
      </c>
      <c r="D65" t="str">
        <f>VLOOKUP($A65,ScionOutput!$A$3:$BL$215,23,FALSE)</f>
        <v>SD</v>
      </c>
      <c r="E65">
        <f>VLOOKUP($A65,ScionOutput!$A$3:$BL$215,6,FALSE)</f>
        <v>6</v>
      </c>
      <c r="F65" t="str">
        <f>VLOOKUP($A65,ScionOutput!$A$3:$BL$215,7,FALSE)</f>
        <v>CIN</v>
      </c>
      <c r="G65">
        <f>VLOOKUP($A65,ScionOutput!$A$3:$BL$215,26,FALSE)</f>
        <v>-158</v>
      </c>
      <c r="H65">
        <f>VLOOKUP($A65,ScionOutput!$A$3:$BL$215,10,FALSE)</f>
        <v>145</v>
      </c>
      <c r="I65" t="str">
        <f>VLOOKUP($A65,ScionOutput!$A$3:$BL$215,58,FALSE)</f>
        <v>No Play</v>
      </c>
      <c r="J65">
        <f>VLOOKUP($A65,ScionOutput!$A$3:$BL$215,59,FALSE)</f>
        <v>0</v>
      </c>
      <c r="K65">
        <f>VLOOKUP($A65,ScionOutput!$A$3:$BL$215,62,FALSE)</f>
        <v>0</v>
      </c>
      <c r="L65">
        <f>VLOOKUP($A65,ScionOutput!$A$3:$BL$215,63,FALSE)</f>
        <v>0</v>
      </c>
      <c r="M65" t="b">
        <f t="shared" si="1"/>
        <v>0</v>
      </c>
      <c r="N65">
        <f>VLOOKUP($A65,Outcomes!$B$3:$I$209,8,FALSE)</f>
        <v>9</v>
      </c>
      <c r="O65">
        <f t="shared" si="2"/>
        <v>1</v>
      </c>
      <c r="P65">
        <f>VLOOKUP($A65,Outcomes!$B$3:$I$209,5,FALSE)</f>
        <v>5</v>
      </c>
      <c r="Q65">
        <f>VLOOKUP($A65,Outcomes!$B$3:$I$209,6,FALSE)</f>
        <v>4</v>
      </c>
      <c r="R65">
        <f>VLOOKUP($A65,Outcomes!$B$3:$I$209,7,FALSE)</f>
        <v>-1</v>
      </c>
      <c r="S65" t="str">
        <f t="shared" si="3"/>
        <v>HomFave</v>
      </c>
      <c r="T65" t="str">
        <f t="shared" si="4"/>
        <v/>
      </c>
      <c r="U65" t="str">
        <f t="shared" si="0"/>
        <v/>
      </c>
      <c r="V65" t="str">
        <f t="shared" si="5"/>
        <v/>
      </c>
      <c r="W65" t="str">
        <f t="shared" si="6"/>
        <v/>
      </c>
      <c r="X65" s="2" t="str">
        <f t="shared" si="7"/>
        <v/>
      </c>
      <c r="Y65" t="str">
        <f>VLOOKUP($A65,ScionOutput!$A$3:$BL$215,64,FALSE)</f>
        <v xml:space="preserve">823287. LineStatEns is NoPlay as bookie-line outside range. StatOnlyEns is NoPlay as bookie-line outside range. No play due to strategy constraints. </v>
      </c>
    </row>
    <row r="66" spans="1:25" x14ac:dyDescent="0.2">
      <c r="A66">
        <v>823215</v>
      </c>
      <c r="B66" s="3">
        <f>VLOOKUP($A66,ScionOutput!$A$3:$BL$215,3,FALSE)</f>
        <v>46183</v>
      </c>
      <c r="C66">
        <f>VLOOKUP($A66,ScionOutput!$A$3:$BL$215,22,FALSE)</f>
        <v>25</v>
      </c>
      <c r="D66" t="str">
        <f>VLOOKUP($A66,ScionOutput!$A$3:$BL$215,23,FALSE)</f>
        <v>SF</v>
      </c>
      <c r="E66">
        <f>VLOOKUP($A66,ScionOutput!$A$3:$BL$215,6,FALSE)</f>
        <v>16</v>
      </c>
      <c r="F66" t="str">
        <f>VLOOKUP($A66,ScionOutput!$A$3:$BL$215,7,FALSE)</f>
        <v>WAS</v>
      </c>
      <c r="G66">
        <f>VLOOKUP($A66,ScionOutput!$A$3:$BL$215,26,FALSE)</f>
        <v>-105</v>
      </c>
      <c r="H66">
        <f>VLOOKUP($A66,ScionOutput!$A$3:$BL$215,10,FALSE)</f>
        <v>-103</v>
      </c>
      <c r="I66" t="str">
        <f>VLOOKUP($A66,ScionOutput!$A$3:$BL$215,58,FALSE)</f>
        <v>VisDog</v>
      </c>
      <c r="J66">
        <f>VLOOKUP($A66,ScionOutput!$A$3:$BL$215,59,FALSE)</f>
        <v>-3.236E-2</v>
      </c>
      <c r="K66">
        <f>VLOOKUP($A66,ScionOutput!$A$3:$BL$215,62,FALSE)</f>
        <v>3</v>
      </c>
      <c r="L66">
        <f>VLOOKUP($A66,ScionOutput!$A$3:$BL$215,63,FALSE)</f>
        <v>0.93</v>
      </c>
      <c r="M66" t="b">
        <f t="shared" si="1"/>
        <v>0</v>
      </c>
      <c r="N66">
        <f>VLOOKUP($A66,Outcomes!$B$3:$I$209,8,FALSE)</f>
        <v>21</v>
      </c>
      <c r="O66">
        <f t="shared" si="2"/>
        <v>1</v>
      </c>
      <c r="P66">
        <f>VLOOKUP($A66,Outcomes!$B$3:$I$209,5,FALSE)</f>
        <v>11</v>
      </c>
      <c r="Q66">
        <f>VLOOKUP($A66,Outcomes!$B$3:$I$209,6,FALSE)</f>
        <v>10</v>
      </c>
      <c r="R66">
        <f>VLOOKUP($A66,Outcomes!$B$3:$I$209,7,FALSE)</f>
        <v>-1</v>
      </c>
      <c r="S66" t="str">
        <f t="shared" si="3"/>
        <v>HomFave</v>
      </c>
      <c r="T66">
        <f t="shared" si="4"/>
        <v>0</v>
      </c>
      <c r="U66">
        <f t="shared" ref="U66:U129" si="8">IF(T66="","",IF(G66&lt;H66,IF(I66="HomFave",ABS(G66),IF(H66&lt;0,ABS(H66),100)),IF(I66="VisFave",ABS(H66),IF(G66&lt;0,ABS(G66),100))))</f>
        <v>103</v>
      </c>
      <c r="V66">
        <f t="shared" si="5"/>
        <v>0</v>
      </c>
      <c r="W66">
        <f t="shared" si="6"/>
        <v>-103</v>
      </c>
      <c r="X66" s="2">
        <f t="shared" si="7"/>
        <v>-1</v>
      </c>
      <c r="Y66" t="str">
        <f>VLOOKUP($A66,ScionOutput!$A$3:$BL$215,64,FALSE)</f>
        <v xml:space="preserve">823215. StatOnlyEns probability points gap does not exceed threshold (no edge found)! Play determined by LineStatEns only. </v>
      </c>
    </row>
    <row r="67" spans="1:25" x14ac:dyDescent="0.2">
      <c r="A67">
        <v>822970</v>
      </c>
      <c r="B67" s="3">
        <f>VLOOKUP($A67,ScionOutput!$A$3:$BL$215,3,FALSE)</f>
        <v>46183</v>
      </c>
      <c r="C67">
        <f>VLOOKUP($A67,ScionOutput!$A$3:$BL$215,22,FALSE)</f>
        <v>27</v>
      </c>
      <c r="D67" t="str">
        <f>VLOOKUP($A67,ScionOutput!$A$3:$BL$215,23,FALSE)</f>
        <v>TB</v>
      </c>
      <c r="E67">
        <f>VLOOKUP($A67,ScionOutput!$A$3:$BL$215,6,FALSE)</f>
        <v>3</v>
      </c>
      <c r="F67" t="str">
        <f>VLOOKUP($A67,ScionOutput!$A$3:$BL$215,7,FALSE)</f>
        <v>BOS</v>
      </c>
      <c r="G67">
        <f>VLOOKUP($A67,ScionOutput!$A$3:$BL$215,26,FALSE)</f>
        <v>-154</v>
      </c>
      <c r="H67">
        <f>VLOOKUP($A67,ScionOutput!$A$3:$BL$215,10,FALSE)</f>
        <v>142</v>
      </c>
      <c r="I67" t="str">
        <f>VLOOKUP($A67,ScionOutput!$A$3:$BL$215,58,FALSE)</f>
        <v>No Play</v>
      </c>
      <c r="J67">
        <f>VLOOKUP($A67,ScionOutput!$A$3:$BL$215,59,FALSE)</f>
        <v>0</v>
      </c>
      <c r="K67">
        <f>VLOOKUP($A67,ScionOutput!$A$3:$BL$215,62,FALSE)</f>
        <v>0</v>
      </c>
      <c r="L67">
        <f>VLOOKUP($A67,ScionOutput!$A$3:$BL$215,63,FALSE)</f>
        <v>0</v>
      </c>
      <c r="M67" t="b">
        <f t="shared" ref="M67:M130" si="9">ISNUMBER(SEARCH("Play determined by LineStatEns and StatOnlyEns agreement", Y67))</f>
        <v>0</v>
      </c>
      <c r="N67">
        <f>VLOOKUP($A67,Outcomes!$B$3:$I$209,8,FALSE)</f>
        <v>12</v>
      </c>
      <c r="O67">
        <f t="shared" ref="O67:O130" si="10">IF(P67&gt;Q67,1,IF(P67&lt;Q67,-1,0))</f>
        <v>1</v>
      </c>
      <c r="P67">
        <f>VLOOKUP($A67,Outcomes!$B$3:$I$209,5,FALSE)</f>
        <v>7</v>
      </c>
      <c r="Q67">
        <f>VLOOKUP($A67,Outcomes!$B$3:$I$209,6,FALSE)</f>
        <v>5</v>
      </c>
      <c r="R67">
        <f>VLOOKUP($A67,Outcomes!$B$3:$I$209,7,FALSE)</f>
        <v>-2</v>
      </c>
      <c r="S67" t="str">
        <f t="shared" ref="S67:S130" si="11">IF(R67=0,"Push",IF(G67&lt;H67,IF(R67&lt;0,"HomFave","VisDog"),IF(R67&gt;0,"VisFave","HomDog")))</f>
        <v>HomFave</v>
      </c>
      <c r="T67" t="str">
        <f t="shared" ref="T67:T130" si="12">IF(OR(R67=0,I67="No Play",K67&lt;&gt;3),"",IF(S67=I67,1,0))</f>
        <v/>
      </c>
      <c r="U67" t="str">
        <f t="shared" si="8"/>
        <v/>
      </c>
      <c r="V67" t="str">
        <f t="shared" ref="V67:V130" si="13">IF(T67="","",IF(T67=0,0,IF(G67&lt;H67,IF(I67="HomFave",U67+100,IF(H67&lt;0,100+U67,U67+ABS(H67))),IF(I67="VisFave",U67+100,IF(G67&lt;0,100+U67,U67+ABS(G67))))))</f>
        <v/>
      </c>
      <c r="W67" t="str">
        <f t="shared" ref="W67:W130" si="14">IF(T67="","",V67-U67)</f>
        <v/>
      </c>
      <c r="X67" s="2" t="str">
        <f t="shared" ref="X67:X130" si="15">IF(T67="","",W67/U67)</f>
        <v/>
      </c>
      <c r="Y67" t="str">
        <f>VLOOKUP($A67,ScionOutput!$A$3:$BL$215,64,FALSE)</f>
        <v xml:space="preserve">822970. LineStatEns is NoPlay as bookie-line outside range. StatOnlyEns is NoPlay as bookie-line outside range. No play due to strategy constraints. </v>
      </c>
    </row>
    <row r="68" spans="1:25" x14ac:dyDescent="0.2">
      <c r="A68">
        <v>822804</v>
      </c>
      <c r="B68" s="3">
        <f>VLOOKUP($A68,ScionOutput!$A$3:$BL$215,3,FALSE)</f>
        <v>46183</v>
      </c>
      <c r="C68">
        <f>VLOOKUP($A68,ScionOutput!$A$3:$BL$215,22,FALSE)</f>
        <v>29</v>
      </c>
      <c r="D68" t="str">
        <f>VLOOKUP($A68,ScionOutput!$A$3:$BL$215,23,FALSE)</f>
        <v>TOR</v>
      </c>
      <c r="E68">
        <f>VLOOKUP($A68,ScionOutput!$A$3:$BL$215,6,FALSE)</f>
        <v>21</v>
      </c>
      <c r="F68" t="str">
        <f>VLOOKUP($A68,ScionOutput!$A$3:$BL$215,7,FALSE)</f>
        <v>PHI</v>
      </c>
      <c r="G68">
        <f>VLOOKUP($A68,ScionOutput!$A$3:$BL$215,26,FALSE)</f>
        <v>114</v>
      </c>
      <c r="H68">
        <f>VLOOKUP($A68,ScionOutput!$A$3:$BL$215,10,FALSE)</f>
        <v>-124</v>
      </c>
      <c r="I68" t="str">
        <f>VLOOKUP($A68,ScionOutput!$A$3:$BL$215,58,FALSE)</f>
        <v>No Play</v>
      </c>
      <c r="J68">
        <f>VLOOKUP($A68,ScionOutput!$A$3:$BL$215,59,FALSE)</f>
        <v>0</v>
      </c>
      <c r="K68">
        <f>VLOOKUP($A68,ScionOutput!$A$3:$BL$215,62,FALSE)</f>
        <v>0</v>
      </c>
      <c r="L68">
        <f>VLOOKUP($A68,ScionOutput!$A$3:$BL$215,63,FALSE)</f>
        <v>0</v>
      </c>
      <c r="M68" t="b">
        <f t="shared" si="9"/>
        <v>0</v>
      </c>
      <c r="N68">
        <f>VLOOKUP($A68,Outcomes!$B$3:$I$209,8,FALSE)</f>
        <v>11</v>
      </c>
      <c r="O68">
        <f t="shared" si="10"/>
        <v>-1</v>
      </c>
      <c r="P68">
        <f>VLOOKUP($A68,Outcomes!$B$3:$I$209,5,FALSE)</f>
        <v>4</v>
      </c>
      <c r="Q68">
        <f>VLOOKUP($A68,Outcomes!$B$3:$I$209,6,FALSE)</f>
        <v>7</v>
      </c>
      <c r="R68">
        <f>VLOOKUP($A68,Outcomes!$B$3:$I$209,7,FALSE)</f>
        <v>3</v>
      </c>
      <c r="S68" t="str">
        <f t="shared" si="11"/>
        <v>VisFave</v>
      </c>
      <c r="T68" t="str">
        <f t="shared" si="12"/>
        <v/>
      </c>
      <c r="U68" t="str">
        <f t="shared" si="8"/>
        <v/>
      </c>
      <c r="V68" t="str">
        <f t="shared" si="13"/>
        <v/>
      </c>
      <c r="W68" t="str">
        <f t="shared" si="14"/>
        <v/>
      </c>
      <c r="X68" s="2" t="str">
        <f t="shared" si="15"/>
        <v/>
      </c>
      <c r="Y68" t="str">
        <f>VLOOKUP($A68,ScionOutput!$A$3:$BL$215,64,FALSE)</f>
        <v xml:space="preserve">822804. VF plays are disallowed. No play due to strategy constraints. </v>
      </c>
    </row>
    <row r="69" spans="1:25" x14ac:dyDescent="0.2">
      <c r="A69">
        <v>824827</v>
      </c>
      <c r="B69" s="3">
        <f>VLOOKUP($A69,ScionOutput!$A$3:$BL$215,3,FALSE)</f>
        <v>46184</v>
      </c>
      <c r="C69">
        <f>VLOOKUP($A69,ScionOutput!$A$3:$BL$215,22,FALSE)</f>
        <v>2</v>
      </c>
      <c r="D69" t="str">
        <f>VLOOKUP($A69,ScionOutput!$A$3:$BL$215,23,FALSE)</f>
        <v>BAL</v>
      </c>
      <c r="E69">
        <f>VLOOKUP($A69,ScionOutput!$A$3:$BL$215,6,FALSE)</f>
        <v>24</v>
      </c>
      <c r="F69" t="str">
        <f>VLOOKUP($A69,ScionOutput!$A$3:$BL$215,7,FALSE)</f>
        <v>SEA</v>
      </c>
      <c r="G69">
        <f>VLOOKUP($A69,ScionOutput!$A$3:$BL$215,26,FALSE)</f>
        <v>100</v>
      </c>
      <c r="H69">
        <f>VLOOKUP($A69,ScionOutput!$A$3:$BL$215,10,FALSE)</f>
        <v>-110</v>
      </c>
      <c r="I69" t="str">
        <f>VLOOKUP($A69,ScionOutput!$A$3:$BL$215,58,FALSE)</f>
        <v>No Play</v>
      </c>
      <c r="J69">
        <f>VLOOKUP($A69,ScionOutput!$A$3:$BL$215,59,FALSE)</f>
        <v>0</v>
      </c>
      <c r="K69">
        <f>VLOOKUP($A69,ScionOutput!$A$3:$BL$215,62,FALSE)</f>
        <v>0</v>
      </c>
      <c r="L69">
        <f>VLOOKUP($A69,ScionOutput!$A$3:$BL$215,63,FALSE)</f>
        <v>0</v>
      </c>
      <c r="M69" t="b">
        <f t="shared" si="9"/>
        <v>0</v>
      </c>
      <c r="N69">
        <f>VLOOKUP($A69,Outcomes!$B$3:$I$209,8,FALSE)</f>
        <v>12</v>
      </c>
      <c r="O69">
        <f t="shared" si="10"/>
        <v>1</v>
      </c>
      <c r="P69">
        <f>VLOOKUP($A69,Outcomes!$B$3:$I$209,5,FALSE)</f>
        <v>7</v>
      </c>
      <c r="Q69">
        <f>VLOOKUP($A69,Outcomes!$B$3:$I$209,6,FALSE)</f>
        <v>5</v>
      </c>
      <c r="R69">
        <f>VLOOKUP($A69,Outcomes!$B$3:$I$209,7,FALSE)</f>
        <v>-2</v>
      </c>
      <c r="S69" t="str">
        <f t="shared" si="11"/>
        <v>HomDog</v>
      </c>
      <c r="T69" t="str">
        <f t="shared" si="12"/>
        <v/>
      </c>
      <c r="U69" t="str">
        <f t="shared" si="8"/>
        <v/>
      </c>
      <c r="V69" t="str">
        <f t="shared" si="13"/>
        <v/>
      </c>
      <c r="W69" t="str">
        <f t="shared" si="14"/>
        <v/>
      </c>
      <c r="X69" s="2" t="str">
        <f t="shared" si="15"/>
        <v/>
      </c>
      <c r="Y69" t="str">
        <f>VLOOKUP($A69,ScionOutput!$A$3:$BL$215,64,FALSE)</f>
        <v xml:space="preserve">824827. VF plays are disallowed. No play due to strategy constraints. </v>
      </c>
    </row>
    <row r="70" spans="1:25" x14ac:dyDescent="0.2">
      <c r="A70">
        <v>824346</v>
      </c>
      <c r="B70" s="3">
        <f>VLOOKUP($A70,ScionOutput!$A$3:$BL$215,3,FALSE)</f>
        <v>46184</v>
      </c>
      <c r="C70">
        <f>VLOOKUP($A70,ScionOutput!$A$3:$BL$215,22,FALSE)</f>
        <v>8</v>
      </c>
      <c r="D70" t="str">
        <f>VLOOKUP($A70,ScionOutput!$A$3:$BL$215,23,FALSE)</f>
        <v>COL</v>
      </c>
      <c r="E70">
        <f>VLOOKUP($A70,ScionOutput!$A$3:$BL$215,6,FALSE)</f>
        <v>5</v>
      </c>
      <c r="F70" t="str">
        <f>VLOOKUP($A70,ScionOutput!$A$3:$BL$215,7,FALSE)</f>
        <v>CHC</v>
      </c>
      <c r="G70">
        <f>VLOOKUP($A70,ScionOutput!$A$3:$BL$215,26,FALSE)</f>
        <v>132</v>
      </c>
      <c r="H70">
        <f>VLOOKUP($A70,ScionOutput!$A$3:$BL$215,10,FALSE)</f>
        <v>-146</v>
      </c>
      <c r="I70" t="str">
        <f>VLOOKUP($A70,ScionOutput!$A$3:$BL$215,58,FALSE)</f>
        <v>No Play</v>
      </c>
      <c r="J70">
        <f>VLOOKUP($A70,ScionOutput!$A$3:$BL$215,59,FALSE)</f>
        <v>0</v>
      </c>
      <c r="K70">
        <f>VLOOKUP($A70,ScionOutput!$A$3:$BL$215,62,FALSE)</f>
        <v>0</v>
      </c>
      <c r="L70">
        <f>VLOOKUP($A70,ScionOutput!$A$3:$BL$215,63,FALSE)</f>
        <v>0</v>
      </c>
      <c r="M70" t="b">
        <f t="shared" si="9"/>
        <v>0</v>
      </c>
      <c r="N70">
        <f>VLOOKUP($A70,Outcomes!$B$3:$I$209,8,FALSE)</f>
        <v>12</v>
      </c>
      <c r="O70">
        <f t="shared" si="10"/>
        <v>-1</v>
      </c>
      <c r="P70">
        <f>VLOOKUP($A70,Outcomes!$B$3:$I$209,5,FALSE)</f>
        <v>3</v>
      </c>
      <c r="Q70">
        <f>VLOOKUP($A70,Outcomes!$B$3:$I$209,6,FALSE)</f>
        <v>9</v>
      </c>
      <c r="R70">
        <f>VLOOKUP($A70,Outcomes!$B$3:$I$209,7,FALSE)</f>
        <v>6</v>
      </c>
      <c r="S70" t="str">
        <f t="shared" si="11"/>
        <v>VisFave</v>
      </c>
      <c r="T70" t="str">
        <f t="shared" si="12"/>
        <v/>
      </c>
      <c r="U70" t="str">
        <f t="shared" si="8"/>
        <v/>
      </c>
      <c r="V70" t="str">
        <f t="shared" si="13"/>
        <v/>
      </c>
      <c r="W70" t="str">
        <f t="shared" si="14"/>
        <v/>
      </c>
      <c r="X70" s="2" t="str">
        <f t="shared" si="15"/>
        <v/>
      </c>
      <c r="Y70" t="str">
        <f>VLOOKUP($A70,ScionOutput!$A$3:$BL$215,64,FALSE)</f>
        <v xml:space="preserve">824346. LineStatEns price is outside allowable range! VF plays are disallowed. No play due to strategy constraints. </v>
      </c>
    </row>
    <row r="71" spans="1:25" x14ac:dyDescent="0.2">
      <c r="A71">
        <v>824265</v>
      </c>
      <c r="B71" s="3">
        <f>VLOOKUP($A71,ScionOutput!$A$3:$BL$215,3,FALSE)</f>
        <v>46184</v>
      </c>
      <c r="C71">
        <f>VLOOKUP($A71,ScionOutput!$A$3:$BL$215,22,FALSE)</f>
        <v>10</v>
      </c>
      <c r="D71" t="str">
        <f>VLOOKUP($A71,ScionOutput!$A$3:$BL$215,23,FALSE)</f>
        <v>DET</v>
      </c>
      <c r="E71">
        <f>VLOOKUP($A71,ScionOutput!$A$3:$BL$215,6,FALSE)</f>
        <v>15</v>
      </c>
      <c r="F71" t="str">
        <f>VLOOKUP($A71,ScionOutput!$A$3:$BL$215,7,FALSE)</f>
        <v>MIN</v>
      </c>
      <c r="G71">
        <f>VLOOKUP($A71,ScionOutput!$A$3:$BL$215,26,FALSE)</f>
        <v>-120</v>
      </c>
      <c r="H71">
        <f>VLOOKUP($A71,ScionOutput!$A$3:$BL$215,10,FALSE)</f>
        <v>109</v>
      </c>
      <c r="I71" t="str">
        <f>VLOOKUP($A71,ScionOutput!$A$3:$BL$215,58,FALSE)</f>
        <v>No Play</v>
      </c>
      <c r="J71">
        <f>VLOOKUP($A71,ScionOutput!$A$3:$BL$215,59,FALSE)</f>
        <v>0</v>
      </c>
      <c r="K71">
        <f>VLOOKUP($A71,ScionOutput!$A$3:$BL$215,62,FALSE)</f>
        <v>0</v>
      </c>
      <c r="L71">
        <f>VLOOKUP($A71,ScionOutput!$A$3:$BL$215,63,FALSE)</f>
        <v>0</v>
      </c>
      <c r="M71" t="b">
        <f t="shared" si="9"/>
        <v>0</v>
      </c>
      <c r="N71">
        <f>VLOOKUP($A71,Outcomes!$B$3:$I$209,8,FALSE)</f>
        <v>11</v>
      </c>
      <c r="O71">
        <f t="shared" si="10"/>
        <v>1</v>
      </c>
      <c r="P71">
        <f>VLOOKUP($A71,Outcomes!$B$3:$I$209,5,FALSE)</f>
        <v>11</v>
      </c>
      <c r="Q71">
        <f>VLOOKUP($A71,Outcomes!$B$3:$I$209,6,FALSE)</f>
        <v>0</v>
      </c>
      <c r="R71">
        <f>VLOOKUP($A71,Outcomes!$B$3:$I$209,7,FALSE)</f>
        <v>-11</v>
      </c>
      <c r="S71" t="str">
        <f t="shared" si="11"/>
        <v>HomFave</v>
      </c>
      <c r="T71" t="str">
        <f t="shared" si="12"/>
        <v/>
      </c>
      <c r="U71" t="str">
        <f t="shared" si="8"/>
        <v/>
      </c>
      <c r="V71" t="str">
        <f t="shared" si="13"/>
        <v/>
      </c>
      <c r="W71" t="str">
        <f t="shared" si="14"/>
        <v/>
      </c>
      <c r="X71" s="2" t="str">
        <f t="shared" si="15"/>
        <v/>
      </c>
      <c r="Y71" t="str">
        <f>VLOOKUP($A71,ScionOutput!$A$3:$BL$215,64,FALSE)</f>
        <v xml:space="preserve">824265. LineStatEns probability points gap does not exceed threshold (no edge found)! StatOnlyEns probability points gap does not exceed threshold (no edge found)! No play due to strategy constraints. </v>
      </c>
    </row>
    <row r="72" spans="1:25" x14ac:dyDescent="0.2">
      <c r="A72">
        <v>823855</v>
      </c>
      <c r="B72" s="3">
        <f>VLOOKUP($A72,ScionOutput!$A$3:$BL$215,3,FALSE)</f>
        <v>46184</v>
      </c>
      <c r="C72">
        <f>VLOOKUP($A72,ScionOutput!$A$3:$BL$215,22,FALSE)</f>
        <v>11</v>
      </c>
      <c r="D72" t="str">
        <f>VLOOKUP($A72,ScionOutput!$A$3:$BL$215,23,FALSE)</f>
        <v>FLO</v>
      </c>
      <c r="E72">
        <f>VLOOKUP($A72,ScionOutput!$A$3:$BL$215,6,FALSE)</f>
        <v>1</v>
      </c>
      <c r="F72" t="str">
        <f>VLOOKUP($A72,ScionOutput!$A$3:$BL$215,7,FALSE)</f>
        <v>ARZ</v>
      </c>
      <c r="G72">
        <f>VLOOKUP($A72,ScionOutput!$A$3:$BL$215,26,FALSE)</f>
        <v>-108</v>
      </c>
      <c r="H72">
        <f>VLOOKUP($A72,ScionOutput!$A$3:$BL$215,10,FALSE)</f>
        <v>-102</v>
      </c>
      <c r="I72" t="str">
        <f>VLOOKUP($A72,ScionOutput!$A$3:$BL$215,58,FALSE)</f>
        <v>HomFave</v>
      </c>
      <c r="J72">
        <f>VLOOKUP($A72,ScionOutput!$A$3:$BL$215,59,FALSE)</f>
        <v>2.3029999999999998E-2</v>
      </c>
      <c r="K72">
        <f>VLOOKUP($A72,ScionOutput!$A$3:$BL$215,62,FALSE)</f>
        <v>1</v>
      </c>
      <c r="L72">
        <f>VLOOKUP($A72,ScionOutput!$A$3:$BL$215,63,FALSE)</f>
        <v>0.93</v>
      </c>
      <c r="M72" t="b">
        <f t="shared" si="9"/>
        <v>1</v>
      </c>
      <c r="N72">
        <f>VLOOKUP($A72,Outcomes!$B$3:$I$209,8,FALSE)</f>
        <v>2</v>
      </c>
      <c r="O72">
        <f t="shared" si="10"/>
        <v>1</v>
      </c>
      <c r="P72">
        <f>VLOOKUP($A72,Outcomes!$B$3:$I$209,5,FALSE)</f>
        <v>2</v>
      </c>
      <c r="Q72">
        <f>VLOOKUP($A72,Outcomes!$B$3:$I$209,6,FALSE)</f>
        <v>0</v>
      </c>
      <c r="R72">
        <f>VLOOKUP($A72,Outcomes!$B$3:$I$209,7,FALSE)</f>
        <v>-2</v>
      </c>
      <c r="S72" t="str">
        <f t="shared" si="11"/>
        <v>HomFave</v>
      </c>
      <c r="T72" t="str">
        <f t="shared" si="12"/>
        <v/>
      </c>
      <c r="U72" t="str">
        <f t="shared" si="8"/>
        <v/>
      </c>
      <c r="V72" t="str">
        <f t="shared" si="13"/>
        <v/>
      </c>
      <c r="W72" t="str">
        <f t="shared" si="14"/>
        <v/>
      </c>
      <c r="X72" s="2" t="str">
        <f t="shared" si="15"/>
        <v/>
      </c>
      <c r="Y72" t="str">
        <f>VLOOKUP($A72,ScionOutput!$A$3:$BL$215,64,FALSE)</f>
        <v xml:space="preserve">823855. Play determined by LineStatEns and StatOnlyEns agreement. </v>
      </c>
    </row>
    <row r="73" spans="1:25" x14ac:dyDescent="0.2">
      <c r="A73">
        <v>824101</v>
      </c>
      <c r="B73" s="3">
        <f>VLOOKUP($A73,ScionOutput!$A$3:$BL$215,3,FALSE)</f>
        <v>46184</v>
      </c>
      <c r="C73">
        <f>VLOOKUP($A73,ScionOutput!$A$3:$BL$215,22,FALSE)</f>
        <v>13</v>
      </c>
      <c r="D73" t="str">
        <f>VLOOKUP($A73,ScionOutput!$A$3:$BL$215,23,FALSE)</f>
        <v>KC</v>
      </c>
      <c r="E73">
        <f>VLOOKUP($A73,ScionOutput!$A$3:$BL$215,6,FALSE)</f>
        <v>28</v>
      </c>
      <c r="F73" t="str">
        <f>VLOOKUP($A73,ScionOutput!$A$3:$BL$215,7,FALSE)</f>
        <v>TEX</v>
      </c>
      <c r="G73">
        <f>VLOOKUP($A73,ScionOutput!$A$3:$BL$215,26,FALSE)</f>
        <v>-115</v>
      </c>
      <c r="H73">
        <f>VLOOKUP($A73,ScionOutput!$A$3:$BL$215,10,FALSE)</f>
        <v>104</v>
      </c>
      <c r="I73" t="str">
        <f>VLOOKUP($A73,ScionOutput!$A$3:$BL$215,58,FALSE)</f>
        <v>HomFave</v>
      </c>
      <c r="J73">
        <f>VLOOKUP($A73,ScionOutput!$A$3:$BL$215,59,FALSE)</f>
        <v>8.2000000000000007E-3</v>
      </c>
      <c r="K73">
        <f>VLOOKUP($A73,ScionOutput!$A$3:$BL$215,62,FALSE)</f>
        <v>3</v>
      </c>
      <c r="L73">
        <f>VLOOKUP($A73,ScionOutput!$A$3:$BL$215,63,FALSE)</f>
        <v>0.87</v>
      </c>
      <c r="M73" t="b">
        <f t="shared" si="9"/>
        <v>0</v>
      </c>
      <c r="N73">
        <f>VLOOKUP($A73,Outcomes!$B$3:$I$209,8,FALSE)</f>
        <v>6</v>
      </c>
      <c r="O73">
        <f t="shared" si="10"/>
        <v>-1</v>
      </c>
      <c r="P73">
        <f>VLOOKUP($A73,Outcomes!$B$3:$I$209,5,FALSE)</f>
        <v>2</v>
      </c>
      <c r="Q73">
        <f>VLOOKUP($A73,Outcomes!$B$3:$I$209,6,FALSE)</f>
        <v>4</v>
      </c>
      <c r="R73">
        <f>VLOOKUP($A73,Outcomes!$B$3:$I$209,7,FALSE)</f>
        <v>2</v>
      </c>
      <c r="S73" t="str">
        <f t="shared" si="11"/>
        <v>VisDog</v>
      </c>
      <c r="T73">
        <f t="shared" si="12"/>
        <v>0</v>
      </c>
      <c r="U73">
        <f t="shared" si="8"/>
        <v>115</v>
      </c>
      <c r="V73">
        <f t="shared" si="13"/>
        <v>0</v>
      </c>
      <c r="W73">
        <f t="shared" si="14"/>
        <v>-115</v>
      </c>
      <c r="X73" s="2">
        <f t="shared" si="15"/>
        <v>-1</v>
      </c>
      <c r="Y73" t="str">
        <f>VLOOKUP($A73,ScionOutput!$A$3:$BL$215,64,FALSE)</f>
        <v xml:space="preserve">824101. StatOnlyEns probability points gap does not exceed threshold (no edge found)! Play determined by LineStatEns only. </v>
      </c>
    </row>
    <row r="74" spans="1:25" x14ac:dyDescent="0.2">
      <c r="A74">
        <v>823619</v>
      </c>
      <c r="B74" s="3">
        <f>VLOOKUP($A74,ScionOutput!$A$3:$BL$215,3,FALSE)</f>
        <v>46184</v>
      </c>
      <c r="C74">
        <f>VLOOKUP($A74,ScionOutput!$A$3:$BL$215,22,FALSE)</f>
        <v>18</v>
      </c>
      <c r="D74" t="str">
        <f>VLOOKUP($A74,ScionOutput!$A$3:$BL$215,23,FALSE)</f>
        <v>NYM</v>
      </c>
      <c r="E74">
        <f>VLOOKUP($A74,ScionOutput!$A$3:$BL$215,6,FALSE)</f>
        <v>26</v>
      </c>
      <c r="F74" t="str">
        <f>VLOOKUP($A74,ScionOutput!$A$3:$BL$215,7,FALSE)</f>
        <v>STL</v>
      </c>
      <c r="G74">
        <f>VLOOKUP($A74,ScionOutput!$A$3:$BL$215,26,FALSE)</f>
        <v>-135</v>
      </c>
      <c r="H74">
        <f>VLOOKUP($A74,ScionOutput!$A$3:$BL$215,10,FALSE)</f>
        <v>122</v>
      </c>
      <c r="I74" t="str">
        <f>VLOOKUP($A74,ScionOutput!$A$3:$BL$215,58,FALSE)</f>
        <v>No Play</v>
      </c>
      <c r="J74">
        <f>VLOOKUP($A74,ScionOutput!$A$3:$BL$215,59,FALSE)</f>
        <v>0</v>
      </c>
      <c r="K74">
        <f>VLOOKUP($A74,ScionOutput!$A$3:$BL$215,62,FALSE)</f>
        <v>0</v>
      </c>
      <c r="L74">
        <f>VLOOKUP($A74,ScionOutput!$A$3:$BL$215,63,FALSE)</f>
        <v>0</v>
      </c>
      <c r="M74" t="b">
        <f t="shared" si="9"/>
        <v>0</v>
      </c>
      <c r="N74">
        <f>VLOOKUP($A74,Outcomes!$B$3:$I$209,8,FALSE)</f>
        <v>9</v>
      </c>
      <c r="O74">
        <f t="shared" si="10"/>
        <v>1</v>
      </c>
      <c r="P74">
        <f>VLOOKUP($A74,Outcomes!$B$3:$I$209,5,FALSE)</f>
        <v>5</v>
      </c>
      <c r="Q74">
        <f>VLOOKUP($A74,Outcomes!$B$3:$I$209,6,FALSE)</f>
        <v>4</v>
      </c>
      <c r="R74">
        <f>VLOOKUP($A74,Outcomes!$B$3:$I$209,7,FALSE)</f>
        <v>-1</v>
      </c>
      <c r="S74" t="str">
        <f t="shared" si="11"/>
        <v>HomFave</v>
      </c>
      <c r="T74" t="str">
        <f t="shared" si="12"/>
        <v/>
      </c>
      <c r="U74" t="str">
        <f t="shared" si="8"/>
        <v/>
      </c>
      <c r="V74" t="str">
        <f t="shared" si="13"/>
        <v/>
      </c>
      <c r="W74" t="str">
        <f t="shared" si="14"/>
        <v/>
      </c>
      <c r="X74" s="2" t="str">
        <f t="shared" si="15"/>
        <v/>
      </c>
      <c r="Y74" t="str">
        <f>VLOOKUP($A74,ScionOutput!$A$3:$BL$215,64,FALSE)</f>
        <v xml:space="preserve">823619. LineStatEns probability points gap does not exceed threshold (no edge found)! StatOnlyEns probability points gap does not exceed threshold (no edge found)! No play due to strategy constraints. </v>
      </c>
    </row>
    <row r="75" spans="1:25" x14ac:dyDescent="0.2">
      <c r="A75">
        <v>823371</v>
      </c>
      <c r="B75" s="3">
        <f>VLOOKUP($A75,ScionOutput!$A$3:$BL$215,3,FALSE)</f>
        <v>46184</v>
      </c>
      <c r="C75">
        <f>VLOOKUP($A75,ScionOutput!$A$3:$BL$215,22,FALSE)</f>
        <v>22</v>
      </c>
      <c r="D75" t="str">
        <f>VLOOKUP($A75,ScionOutput!$A$3:$BL$215,23,FALSE)</f>
        <v>PIT</v>
      </c>
      <c r="E75">
        <f>VLOOKUP($A75,ScionOutput!$A$3:$BL$215,6,FALSE)</f>
        <v>14</v>
      </c>
      <c r="F75" t="str">
        <f>VLOOKUP($A75,ScionOutput!$A$3:$BL$215,7,FALSE)</f>
        <v>LA</v>
      </c>
      <c r="G75">
        <f>VLOOKUP($A75,ScionOutput!$A$3:$BL$215,26,FALSE)</f>
        <v>137</v>
      </c>
      <c r="H75">
        <f>VLOOKUP($A75,ScionOutput!$A$3:$BL$215,10,FALSE)</f>
        <v>-152</v>
      </c>
      <c r="I75" t="str">
        <f>VLOOKUP($A75,ScionOutput!$A$3:$BL$215,58,FALSE)</f>
        <v>No Play</v>
      </c>
      <c r="J75">
        <f>VLOOKUP($A75,ScionOutput!$A$3:$BL$215,59,FALSE)</f>
        <v>0</v>
      </c>
      <c r="K75">
        <f>VLOOKUP($A75,ScionOutput!$A$3:$BL$215,62,FALSE)</f>
        <v>0</v>
      </c>
      <c r="L75">
        <f>VLOOKUP($A75,ScionOutput!$A$3:$BL$215,63,FALSE)</f>
        <v>0</v>
      </c>
      <c r="M75" t="b">
        <f t="shared" si="9"/>
        <v>0</v>
      </c>
      <c r="N75">
        <f>VLOOKUP($A75,Outcomes!$B$3:$I$209,8,FALSE)</f>
        <v>14</v>
      </c>
      <c r="O75">
        <f t="shared" si="10"/>
        <v>-1</v>
      </c>
      <c r="P75">
        <f>VLOOKUP($A75,Outcomes!$B$3:$I$209,5,FALSE)</f>
        <v>6</v>
      </c>
      <c r="Q75">
        <f>VLOOKUP($A75,Outcomes!$B$3:$I$209,6,FALSE)</f>
        <v>8</v>
      </c>
      <c r="R75">
        <f>VLOOKUP($A75,Outcomes!$B$3:$I$209,7,FALSE)</f>
        <v>2</v>
      </c>
      <c r="S75" t="str">
        <f t="shared" si="11"/>
        <v>VisFave</v>
      </c>
      <c r="T75" t="str">
        <f t="shared" si="12"/>
        <v/>
      </c>
      <c r="U75" t="str">
        <f t="shared" si="8"/>
        <v/>
      </c>
      <c r="V75" t="str">
        <f t="shared" si="13"/>
        <v/>
      </c>
      <c r="W75" t="str">
        <f t="shared" si="14"/>
        <v/>
      </c>
      <c r="X75" s="2" t="str">
        <f t="shared" si="15"/>
        <v/>
      </c>
      <c r="Y75" t="str">
        <f>VLOOKUP($A75,ScionOutput!$A$3:$BL$215,64,FALSE)</f>
        <v xml:space="preserve">823371. VF plays are disallowed. No play due to strategy constraints. </v>
      </c>
    </row>
    <row r="76" spans="1:25" x14ac:dyDescent="0.2">
      <c r="A76">
        <v>824826</v>
      </c>
      <c r="B76" s="3">
        <f>VLOOKUP($A76,ScionOutput!$A$3:$BL$215,3,FALSE)</f>
        <v>46185</v>
      </c>
      <c r="C76">
        <f>VLOOKUP($A76,ScionOutput!$A$3:$BL$215,22,FALSE)</f>
        <v>2</v>
      </c>
      <c r="D76" t="str">
        <f>VLOOKUP($A76,ScionOutput!$A$3:$BL$215,23,FALSE)</f>
        <v>BAL</v>
      </c>
      <c r="E76">
        <f>VLOOKUP($A76,ScionOutput!$A$3:$BL$215,6,FALSE)</f>
        <v>23</v>
      </c>
      <c r="F76" t="str">
        <f>VLOOKUP($A76,ScionOutput!$A$3:$BL$215,7,FALSE)</f>
        <v>SD</v>
      </c>
      <c r="G76">
        <f>VLOOKUP($A76,ScionOutput!$A$3:$BL$215,26,FALSE)</f>
        <v>-122</v>
      </c>
      <c r="H76">
        <f>VLOOKUP($A76,ScionOutput!$A$3:$BL$215,10,FALSE)</f>
        <v>113</v>
      </c>
      <c r="I76" t="str">
        <f>VLOOKUP($A76,ScionOutput!$A$3:$BL$215,58,FALSE)</f>
        <v>No Play</v>
      </c>
      <c r="J76">
        <f>VLOOKUP($A76,ScionOutput!$A$3:$BL$215,59,FALSE)</f>
        <v>0</v>
      </c>
      <c r="K76">
        <f>VLOOKUP($A76,ScionOutput!$A$3:$BL$215,62,FALSE)</f>
        <v>0</v>
      </c>
      <c r="L76">
        <f>VLOOKUP($A76,ScionOutput!$A$3:$BL$215,63,FALSE)</f>
        <v>0</v>
      </c>
      <c r="M76" t="b">
        <f t="shared" si="9"/>
        <v>0</v>
      </c>
      <c r="N76">
        <f>VLOOKUP($A76,Outcomes!$B$3:$I$209,8,FALSE)</f>
        <v>10</v>
      </c>
      <c r="O76">
        <f t="shared" si="10"/>
        <v>1</v>
      </c>
      <c r="P76">
        <f>VLOOKUP($A76,Outcomes!$B$3:$I$209,5,FALSE)</f>
        <v>7</v>
      </c>
      <c r="Q76">
        <f>VLOOKUP($A76,Outcomes!$B$3:$I$209,6,FALSE)</f>
        <v>3</v>
      </c>
      <c r="R76">
        <f>VLOOKUP($A76,Outcomes!$B$3:$I$209,7,FALSE)</f>
        <v>-4</v>
      </c>
      <c r="S76" t="str">
        <f t="shared" si="11"/>
        <v>HomFave</v>
      </c>
      <c r="T76" t="str">
        <f t="shared" si="12"/>
        <v/>
      </c>
      <c r="U76" t="str">
        <f t="shared" si="8"/>
        <v/>
      </c>
      <c r="V76" t="str">
        <f t="shared" si="13"/>
        <v/>
      </c>
      <c r="W76" t="str">
        <f t="shared" si="14"/>
        <v/>
      </c>
      <c r="X76" s="2" t="str">
        <f t="shared" si="15"/>
        <v/>
      </c>
      <c r="Y76" t="str">
        <f>VLOOKUP($A76,ScionOutput!$A$3:$BL$215,64,FALSE)</f>
        <v xml:space="preserve">824826. LineStatEns probability points gap does not exceed threshold (no edge found)! StatOnlyEns probability points gap does not exceed threshold (no edge found)! No play due to strategy constraints. </v>
      </c>
    </row>
    <row r="77" spans="1:25" x14ac:dyDescent="0.2">
      <c r="A77">
        <v>824752</v>
      </c>
      <c r="B77" s="3">
        <f>VLOOKUP($A77,ScionOutput!$A$3:$BL$215,3,FALSE)</f>
        <v>46185</v>
      </c>
      <c r="C77">
        <f>VLOOKUP($A77,ScionOutput!$A$3:$BL$215,22,FALSE)</f>
        <v>3</v>
      </c>
      <c r="D77" t="str">
        <f>VLOOKUP($A77,ScionOutput!$A$3:$BL$215,23,FALSE)</f>
        <v>BOS</v>
      </c>
      <c r="E77">
        <f>VLOOKUP($A77,ScionOutput!$A$3:$BL$215,6,FALSE)</f>
        <v>28</v>
      </c>
      <c r="F77" t="str">
        <f>VLOOKUP($A77,ScionOutput!$A$3:$BL$215,7,FALSE)</f>
        <v>TEX</v>
      </c>
      <c r="G77">
        <f>VLOOKUP($A77,ScionOutput!$A$3:$BL$215,26,FALSE)</f>
        <v>-126</v>
      </c>
      <c r="H77">
        <f>VLOOKUP($A77,ScionOutput!$A$3:$BL$215,10,FALSE)</f>
        <v>117</v>
      </c>
      <c r="I77" t="str">
        <f>VLOOKUP($A77,ScionOutput!$A$3:$BL$215,58,FALSE)</f>
        <v>No Play</v>
      </c>
      <c r="J77">
        <f>VLOOKUP($A77,ScionOutput!$A$3:$BL$215,59,FALSE)</f>
        <v>0</v>
      </c>
      <c r="K77">
        <f>VLOOKUP($A77,ScionOutput!$A$3:$BL$215,62,FALSE)</f>
        <v>0</v>
      </c>
      <c r="L77">
        <f>VLOOKUP($A77,ScionOutput!$A$3:$BL$215,63,FALSE)</f>
        <v>0</v>
      </c>
      <c r="M77" t="b">
        <f t="shared" si="9"/>
        <v>0</v>
      </c>
      <c r="N77">
        <f>VLOOKUP($A77,Outcomes!$B$3:$I$209,8,FALSE)</f>
        <v>11</v>
      </c>
      <c r="O77">
        <f t="shared" si="10"/>
        <v>1</v>
      </c>
      <c r="P77">
        <f>VLOOKUP($A77,Outcomes!$B$3:$I$209,5,FALSE)</f>
        <v>10</v>
      </c>
      <c r="Q77">
        <f>VLOOKUP($A77,Outcomes!$B$3:$I$209,6,FALSE)</f>
        <v>1</v>
      </c>
      <c r="R77">
        <f>VLOOKUP($A77,Outcomes!$B$3:$I$209,7,FALSE)</f>
        <v>-9</v>
      </c>
      <c r="S77" t="str">
        <f t="shared" si="11"/>
        <v>HomFave</v>
      </c>
      <c r="T77" t="str">
        <f t="shared" si="12"/>
        <v/>
      </c>
      <c r="U77" t="str">
        <f t="shared" si="8"/>
        <v/>
      </c>
      <c r="V77" t="str">
        <f t="shared" si="13"/>
        <v/>
      </c>
      <c r="W77" t="str">
        <f t="shared" si="14"/>
        <v/>
      </c>
      <c r="X77" s="2" t="str">
        <f t="shared" si="15"/>
        <v/>
      </c>
      <c r="Y77" t="str">
        <f>VLOOKUP($A77,ScionOutput!$A$3:$BL$215,64,FALSE)</f>
        <v xml:space="preserve">824752. LineStatEns probability points gap does not exceed threshold (no edge found)! StatOnlyEns probability points gap does not exceed threshold (no edge found)! No play due to strategy constraints. </v>
      </c>
    </row>
    <row r="78" spans="1:25" x14ac:dyDescent="0.2">
      <c r="A78">
        <v>824020</v>
      </c>
      <c r="B78" s="3">
        <f>VLOOKUP($A78,ScionOutput!$A$3:$BL$215,3,FALSE)</f>
        <v>46185</v>
      </c>
      <c r="C78">
        <f>VLOOKUP($A78,ScionOutput!$A$3:$BL$215,22,FALSE)</f>
        <v>4</v>
      </c>
      <c r="D78" t="str">
        <f>VLOOKUP($A78,ScionOutput!$A$3:$BL$215,23,FALSE)</f>
        <v>LAA</v>
      </c>
      <c r="E78">
        <f>VLOOKUP($A78,ScionOutput!$A$3:$BL$215,6,FALSE)</f>
        <v>27</v>
      </c>
      <c r="F78" t="str">
        <f>VLOOKUP($A78,ScionOutput!$A$3:$BL$215,7,FALSE)</f>
        <v>TB</v>
      </c>
      <c r="G78">
        <f>VLOOKUP($A78,ScionOutput!$A$3:$BL$215,26,FALSE)</f>
        <v>148</v>
      </c>
      <c r="H78">
        <f>VLOOKUP($A78,ScionOutput!$A$3:$BL$215,10,FALSE)</f>
        <v>-162</v>
      </c>
      <c r="I78" t="str">
        <f>VLOOKUP($A78,ScionOutput!$A$3:$BL$215,58,FALSE)</f>
        <v>No Play</v>
      </c>
      <c r="J78">
        <f>VLOOKUP($A78,ScionOutput!$A$3:$BL$215,59,FALSE)</f>
        <v>0</v>
      </c>
      <c r="K78">
        <f>VLOOKUP($A78,ScionOutput!$A$3:$BL$215,62,FALSE)</f>
        <v>0</v>
      </c>
      <c r="L78">
        <f>VLOOKUP($A78,ScionOutput!$A$3:$BL$215,63,FALSE)</f>
        <v>0</v>
      </c>
      <c r="M78" t="b">
        <f t="shared" si="9"/>
        <v>0</v>
      </c>
      <c r="N78">
        <f>VLOOKUP($A78,Outcomes!$B$3:$I$209,8,FALSE)</f>
        <v>7</v>
      </c>
      <c r="O78">
        <f t="shared" si="10"/>
        <v>1</v>
      </c>
      <c r="P78">
        <f>VLOOKUP($A78,Outcomes!$B$3:$I$209,5,FALSE)</f>
        <v>4</v>
      </c>
      <c r="Q78">
        <f>VLOOKUP($A78,Outcomes!$B$3:$I$209,6,FALSE)</f>
        <v>3</v>
      </c>
      <c r="R78">
        <f>VLOOKUP($A78,Outcomes!$B$3:$I$209,7,FALSE)</f>
        <v>-1</v>
      </c>
      <c r="S78" t="str">
        <f t="shared" si="11"/>
        <v>HomDog</v>
      </c>
      <c r="T78" t="str">
        <f t="shared" si="12"/>
        <v/>
      </c>
      <c r="U78" t="str">
        <f t="shared" si="8"/>
        <v/>
      </c>
      <c r="V78" t="str">
        <f t="shared" si="13"/>
        <v/>
      </c>
      <c r="W78" t="str">
        <f t="shared" si="14"/>
        <v/>
      </c>
      <c r="X78" s="2" t="str">
        <f t="shared" si="15"/>
        <v/>
      </c>
      <c r="Y78" t="str">
        <f>VLOOKUP($A78,ScionOutput!$A$3:$BL$215,64,FALSE)</f>
        <v xml:space="preserve">824020. VF plays are disallowed. No play due to strategy constraints. </v>
      </c>
    </row>
    <row r="79" spans="1:25" x14ac:dyDescent="0.2">
      <c r="A79">
        <v>824507</v>
      </c>
      <c r="B79" s="3">
        <f>VLOOKUP($A79,ScionOutput!$A$3:$BL$215,3,FALSE)</f>
        <v>46185</v>
      </c>
      <c r="C79">
        <f>VLOOKUP($A79,ScionOutput!$A$3:$BL$215,22,FALSE)</f>
        <v>6</v>
      </c>
      <c r="D79" t="str">
        <f>VLOOKUP($A79,ScionOutput!$A$3:$BL$215,23,FALSE)</f>
        <v>CIN</v>
      </c>
      <c r="E79">
        <f>VLOOKUP($A79,ScionOutput!$A$3:$BL$215,6,FALSE)</f>
        <v>1</v>
      </c>
      <c r="F79" t="str">
        <f>VLOOKUP($A79,ScionOutput!$A$3:$BL$215,7,FALSE)</f>
        <v>ARZ</v>
      </c>
      <c r="G79">
        <f>VLOOKUP($A79,ScionOutput!$A$3:$BL$215,26,FALSE)</f>
        <v>-110</v>
      </c>
      <c r="H79">
        <f>VLOOKUP($A79,ScionOutput!$A$3:$BL$215,10,FALSE)</f>
        <v>101</v>
      </c>
      <c r="I79" t="str">
        <f>VLOOKUP($A79,ScionOutput!$A$3:$BL$215,58,FALSE)</f>
        <v>VisDog</v>
      </c>
      <c r="J79">
        <f>VLOOKUP($A79,ScionOutput!$A$3:$BL$215,59,FALSE)</f>
        <v>-3.2870000000000003E-2</v>
      </c>
      <c r="K79">
        <f>VLOOKUP($A79,ScionOutput!$A$3:$BL$215,62,FALSE)</f>
        <v>3</v>
      </c>
      <c r="L79">
        <f>VLOOKUP($A79,ScionOutput!$A$3:$BL$215,63,FALSE)</f>
        <v>0.73</v>
      </c>
      <c r="M79" t="b">
        <f t="shared" si="9"/>
        <v>0</v>
      </c>
      <c r="N79">
        <f>VLOOKUP($A79,Outcomes!$B$3:$I$209,8,FALSE)</f>
        <v>7</v>
      </c>
      <c r="O79">
        <f t="shared" si="10"/>
        <v>-1</v>
      </c>
      <c r="P79">
        <f>VLOOKUP($A79,Outcomes!$B$3:$I$209,5,FALSE)</f>
        <v>2</v>
      </c>
      <c r="Q79">
        <f>VLOOKUP($A79,Outcomes!$B$3:$I$209,6,FALSE)</f>
        <v>5</v>
      </c>
      <c r="R79">
        <f>VLOOKUP($A79,Outcomes!$B$3:$I$209,7,FALSE)</f>
        <v>3</v>
      </c>
      <c r="S79" t="str">
        <f t="shared" si="11"/>
        <v>VisDog</v>
      </c>
      <c r="T79">
        <f t="shared" si="12"/>
        <v>1</v>
      </c>
      <c r="U79">
        <f t="shared" si="8"/>
        <v>100</v>
      </c>
      <c r="V79">
        <f t="shared" si="13"/>
        <v>201</v>
      </c>
      <c r="W79">
        <f t="shared" si="14"/>
        <v>101</v>
      </c>
      <c r="X79" s="2">
        <f t="shared" si="15"/>
        <v>1.01</v>
      </c>
      <c r="Y79" t="str">
        <f>VLOOKUP($A79,ScionOutput!$A$3:$BL$215,64,FALSE)</f>
        <v xml:space="preserve">824507. StatOnlyEns probability points gap does not exceed threshold (no edge found)! Play determined by LineStatEns only. </v>
      </c>
    </row>
    <row r="80" spans="1:25" x14ac:dyDescent="0.2">
      <c r="A80">
        <v>824425</v>
      </c>
      <c r="B80" s="3">
        <f>VLOOKUP($A80,ScionOutput!$A$3:$BL$215,3,FALSE)</f>
        <v>46185</v>
      </c>
      <c r="C80">
        <f>VLOOKUP($A80,ScionOutput!$A$3:$BL$215,22,FALSE)</f>
        <v>7</v>
      </c>
      <c r="D80" t="str">
        <f>VLOOKUP($A80,ScionOutput!$A$3:$BL$215,23,FALSE)</f>
        <v>CLE</v>
      </c>
      <c r="E80">
        <f>VLOOKUP($A80,ScionOutput!$A$3:$BL$215,6,FALSE)</f>
        <v>10</v>
      </c>
      <c r="F80" t="str">
        <f>VLOOKUP($A80,ScionOutput!$A$3:$BL$215,7,FALSE)</f>
        <v>DET</v>
      </c>
      <c r="G80">
        <f>VLOOKUP($A80,ScionOutput!$A$3:$BL$215,26,FALSE)</f>
        <v>-116</v>
      </c>
      <c r="H80">
        <f>VLOOKUP($A80,ScionOutput!$A$3:$BL$215,10,FALSE)</f>
        <v>107</v>
      </c>
      <c r="I80" t="str">
        <f>VLOOKUP($A80,ScionOutput!$A$3:$BL$215,58,FALSE)</f>
        <v>VisDog</v>
      </c>
      <c r="J80">
        <f>VLOOKUP($A80,ScionOutput!$A$3:$BL$215,59,FALSE)</f>
        <v>-3.644E-2</v>
      </c>
      <c r="K80">
        <f>VLOOKUP($A80,ScionOutput!$A$3:$BL$215,62,FALSE)</f>
        <v>3</v>
      </c>
      <c r="L80">
        <f>VLOOKUP($A80,ScionOutput!$A$3:$BL$215,63,FALSE)</f>
        <v>0.73</v>
      </c>
      <c r="M80" t="b">
        <f t="shared" si="9"/>
        <v>0</v>
      </c>
      <c r="N80">
        <f>VLOOKUP($A80,Outcomes!$B$3:$I$209,8,FALSE)</f>
        <v>5</v>
      </c>
      <c r="O80">
        <f t="shared" si="10"/>
        <v>1</v>
      </c>
      <c r="P80">
        <f>VLOOKUP($A80,Outcomes!$B$3:$I$209,5,FALSE)</f>
        <v>3</v>
      </c>
      <c r="Q80">
        <f>VLOOKUP($A80,Outcomes!$B$3:$I$209,6,FALSE)</f>
        <v>2</v>
      </c>
      <c r="R80">
        <f>VLOOKUP($A80,Outcomes!$B$3:$I$209,7,FALSE)</f>
        <v>-1</v>
      </c>
      <c r="S80" t="str">
        <f t="shared" si="11"/>
        <v>HomFave</v>
      </c>
      <c r="T80">
        <f t="shared" si="12"/>
        <v>0</v>
      </c>
      <c r="U80">
        <f t="shared" si="8"/>
        <v>100</v>
      </c>
      <c r="V80">
        <f t="shared" si="13"/>
        <v>0</v>
      </c>
      <c r="W80">
        <f t="shared" si="14"/>
        <v>-100</v>
      </c>
      <c r="X80" s="2">
        <f t="shared" si="15"/>
        <v>-1</v>
      </c>
      <c r="Y80" t="str">
        <f>VLOOKUP($A80,ScionOutput!$A$3:$BL$215,64,FALSE)</f>
        <v xml:space="preserve">824425. StatOnlyEns probability points gap does not exceed threshold (no edge found)! Play determined by LineStatEns only. </v>
      </c>
    </row>
    <row r="81" spans="1:25" x14ac:dyDescent="0.2">
      <c r="A81">
        <v>824588</v>
      </c>
      <c r="B81" s="3">
        <f>VLOOKUP($A81,ScionOutput!$A$3:$BL$215,3,FALSE)</f>
        <v>46185</v>
      </c>
      <c r="C81">
        <f>VLOOKUP($A81,ScionOutput!$A$3:$BL$215,22,FALSE)</f>
        <v>9</v>
      </c>
      <c r="D81" t="str">
        <f>VLOOKUP($A81,ScionOutput!$A$3:$BL$215,23,FALSE)</f>
        <v>CWS</v>
      </c>
      <c r="E81">
        <f>VLOOKUP($A81,ScionOutput!$A$3:$BL$215,6,FALSE)</f>
        <v>14</v>
      </c>
      <c r="F81" t="str">
        <f>VLOOKUP($A81,ScionOutput!$A$3:$BL$215,7,FALSE)</f>
        <v>LA</v>
      </c>
      <c r="G81">
        <f>VLOOKUP($A81,ScionOutput!$A$3:$BL$215,26,FALSE)</f>
        <v>134</v>
      </c>
      <c r="H81">
        <f>VLOOKUP($A81,ScionOutput!$A$3:$BL$215,10,FALSE)</f>
        <v>-146</v>
      </c>
      <c r="I81" t="str">
        <f>VLOOKUP($A81,ScionOutput!$A$3:$BL$215,58,FALSE)</f>
        <v>No Play</v>
      </c>
      <c r="J81">
        <f>VLOOKUP($A81,ScionOutput!$A$3:$BL$215,59,FALSE)</f>
        <v>0</v>
      </c>
      <c r="K81">
        <f>VLOOKUP($A81,ScionOutput!$A$3:$BL$215,62,FALSE)</f>
        <v>0</v>
      </c>
      <c r="L81">
        <f>VLOOKUP($A81,ScionOutput!$A$3:$BL$215,63,FALSE)</f>
        <v>0</v>
      </c>
      <c r="M81" t="b">
        <f t="shared" si="9"/>
        <v>0</v>
      </c>
      <c r="N81">
        <f>VLOOKUP($A81,Outcomes!$B$3:$I$209,8,FALSE)</f>
        <v>10</v>
      </c>
      <c r="O81">
        <f t="shared" si="10"/>
        <v>1</v>
      </c>
      <c r="P81">
        <f>VLOOKUP($A81,Outcomes!$B$3:$I$209,5,FALSE)</f>
        <v>8</v>
      </c>
      <c r="Q81">
        <f>VLOOKUP($A81,Outcomes!$B$3:$I$209,6,FALSE)</f>
        <v>2</v>
      </c>
      <c r="R81">
        <f>VLOOKUP($A81,Outcomes!$B$3:$I$209,7,FALSE)</f>
        <v>-6</v>
      </c>
      <c r="S81" t="str">
        <f t="shared" si="11"/>
        <v>HomDog</v>
      </c>
      <c r="T81" t="str">
        <f t="shared" si="12"/>
        <v/>
      </c>
      <c r="U81" t="str">
        <f t="shared" si="8"/>
        <v/>
      </c>
      <c r="V81" t="str">
        <f t="shared" si="13"/>
        <v/>
      </c>
      <c r="W81" t="str">
        <f t="shared" si="14"/>
        <v/>
      </c>
      <c r="X81" s="2" t="str">
        <f t="shared" si="15"/>
        <v/>
      </c>
      <c r="Y81" t="str">
        <f>VLOOKUP($A81,ScionOutput!$A$3:$BL$215,64,FALSE)</f>
        <v xml:space="preserve">824588. LineStatEns price is outside allowable range! VF plays are disallowed. No play due to strategy constraints. </v>
      </c>
    </row>
    <row r="82" spans="1:25" x14ac:dyDescent="0.2">
      <c r="A82">
        <v>824102</v>
      </c>
      <c r="B82" s="3">
        <f>VLOOKUP($A82,ScionOutput!$A$3:$BL$215,3,FALSE)</f>
        <v>46185</v>
      </c>
      <c r="C82">
        <f>VLOOKUP($A82,ScionOutput!$A$3:$BL$215,22,FALSE)</f>
        <v>13</v>
      </c>
      <c r="D82" t="str">
        <f>VLOOKUP($A82,ScionOutput!$A$3:$BL$215,23,FALSE)</f>
        <v>KC</v>
      </c>
      <c r="E82">
        <f>VLOOKUP($A82,ScionOutput!$A$3:$BL$215,6,FALSE)</f>
        <v>12</v>
      </c>
      <c r="F82" t="str">
        <f>VLOOKUP($A82,ScionOutput!$A$3:$BL$215,7,FALSE)</f>
        <v>HOU</v>
      </c>
      <c r="G82">
        <f>VLOOKUP($A82,ScionOutput!$A$3:$BL$215,26,FALSE)</f>
        <v>100</v>
      </c>
      <c r="H82">
        <f>VLOOKUP($A82,ScionOutput!$A$3:$BL$215,10,FALSE)</f>
        <v>-109</v>
      </c>
      <c r="I82" t="str">
        <f>VLOOKUP($A82,ScionOutput!$A$3:$BL$215,58,FALSE)</f>
        <v>No Play</v>
      </c>
      <c r="J82">
        <f>VLOOKUP($A82,ScionOutput!$A$3:$BL$215,59,FALSE)</f>
        <v>0</v>
      </c>
      <c r="K82">
        <f>VLOOKUP($A82,ScionOutput!$A$3:$BL$215,62,FALSE)</f>
        <v>0</v>
      </c>
      <c r="L82">
        <f>VLOOKUP($A82,ScionOutput!$A$3:$BL$215,63,FALSE)</f>
        <v>0</v>
      </c>
      <c r="M82" t="b">
        <f t="shared" si="9"/>
        <v>0</v>
      </c>
      <c r="N82">
        <f>VLOOKUP($A82,Outcomes!$B$3:$I$209,8,FALSE)</f>
        <v>18</v>
      </c>
      <c r="O82">
        <f t="shared" si="10"/>
        <v>-1</v>
      </c>
      <c r="P82">
        <f>VLOOKUP($A82,Outcomes!$B$3:$I$209,5,FALSE)</f>
        <v>8</v>
      </c>
      <c r="Q82">
        <f>VLOOKUP($A82,Outcomes!$B$3:$I$209,6,FALSE)</f>
        <v>10</v>
      </c>
      <c r="R82">
        <f>VLOOKUP($A82,Outcomes!$B$3:$I$209,7,FALSE)</f>
        <v>2</v>
      </c>
      <c r="S82" t="str">
        <f t="shared" si="11"/>
        <v>VisFave</v>
      </c>
      <c r="T82" t="str">
        <f t="shared" si="12"/>
        <v/>
      </c>
      <c r="U82" t="str">
        <f t="shared" si="8"/>
        <v/>
      </c>
      <c r="V82" t="str">
        <f t="shared" si="13"/>
        <v/>
      </c>
      <c r="W82" t="str">
        <f t="shared" si="14"/>
        <v/>
      </c>
      <c r="X82" s="2" t="str">
        <f t="shared" si="15"/>
        <v/>
      </c>
      <c r="Y82" t="str">
        <f>VLOOKUP($A82,ScionOutput!$A$3:$BL$215,64,FALSE)</f>
        <v xml:space="preserve">824102. VF plays are disallowed. No play due to strategy constraints. </v>
      </c>
    </row>
    <row r="83" spans="1:25" x14ac:dyDescent="0.2">
      <c r="A83">
        <v>823695</v>
      </c>
      <c r="B83" s="3">
        <f>VLOOKUP($A83,ScionOutput!$A$3:$BL$215,3,FALSE)</f>
        <v>46185</v>
      </c>
      <c r="C83">
        <f>VLOOKUP($A83,ScionOutput!$A$3:$BL$215,22,FALSE)</f>
        <v>15</v>
      </c>
      <c r="D83" t="str">
        <f>VLOOKUP($A83,ScionOutput!$A$3:$BL$215,23,FALSE)</f>
        <v>MIN</v>
      </c>
      <c r="E83">
        <f>VLOOKUP($A83,ScionOutput!$A$3:$BL$215,6,FALSE)</f>
        <v>26</v>
      </c>
      <c r="F83" t="str">
        <f>VLOOKUP($A83,ScionOutput!$A$3:$BL$215,7,FALSE)</f>
        <v>STL</v>
      </c>
      <c r="G83">
        <f>VLOOKUP($A83,ScionOutput!$A$3:$BL$215,26,FALSE)</f>
        <v>-130</v>
      </c>
      <c r="H83">
        <f>VLOOKUP($A83,ScionOutput!$A$3:$BL$215,10,FALSE)</f>
        <v>120</v>
      </c>
      <c r="I83" t="str">
        <f>VLOOKUP($A83,ScionOutput!$A$3:$BL$215,58,FALSE)</f>
        <v>No Play</v>
      </c>
      <c r="J83">
        <f>VLOOKUP($A83,ScionOutput!$A$3:$BL$215,59,FALSE)</f>
        <v>0</v>
      </c>
      <c r="K83">
        <f>VLOOKUP($A83,ScionOutput!$A$3:$BL$215,62,FALSE)</f>
        <v>0</v>
      </c>
      <c r="L83">
        <f>VLOOKUP($A83,ScionOutput!$A$3:$BL$215,63,FALSE)</f>
        <v>0</v>
      </c>
      <c r="M83" t="b">
        <f t="shared" si="9"/>
        <v>0</v>
      </c>
      <c r="N83">
        <f>VLOOKUP($A83,Outcomes!$B$3:$I$209,8,FALSE)</f>
        <v>17</v>
      </c>
      <c r="O83">
        <f t="shared" si="10"/>
        <v>1</v>
      </c>
      <c r="P83">
        <f>VLOOKUP($A83,Outcomes!$B$3:$I$209,5,FALSE)</f>
        <v>9</v>
      </c>
      <c r="Q83">
        <f>VLOOKUP($A83,Outcomes!$B$3:$I$209,6,FALSE)</f>
        <v>8</v>
      </c>
      <c r="R83">
        <f>VLOOKUP($A83,Outcomes!$B$3:$I$209,7,FALSE)</f>
        <v>-1</v>
      </c>
      <c r="S83" t="str">
        <f t="shared" si="11"/>
        <v>HomFave</v>
      </c>
      <c r="T83" t="str">
        <f t="shared" si="12"/>
        <v/>
      </c>
      <c r="U83" t="str">
        <f t="shared" si="8"/>
        <v/>
      </c>
      <c r="V83" t="str">
        <f t="shared" si="13"/>
        <v/>
      </c>
      <c r="W83" t="str">
        <f t="shared" si="14"/>
        <v/>
      </c>
      <c r="X83" s="2" t="str">
        <f t="shared" si="15"/>
        <v/>
      </c>
      <c r="Y83" t="str">
        <f>VLOOKUP($A83,ScionOutput!$A$3:$BL$215,64,FALSE)</f>
        <v xml:space="preserve">823695. LineStatEns probability points gap does not exceed threshold (no edge found)! StatOnlyEns probability points gap does not exceed threshold (no edge found)! No play due to strategy constraints. </v>
      </c>
    </row>
    <row r="84" spans="1:25" x14ac:dyDescent="0.2">
      <c r="A84">
        <v>822726</v>
      </c>
      <c r="B84" s="3">
        <f>VLOOKUP($A84,ScionOutput!$A$3:$BL$215,3,FALSE)</f>
        <v>46185</v>
      </c>
      <c r="C84">
        <f>VLOOKUP($A84,ScionOutput!$A$3:$BL$215,22,FALSE)</f>
        <v>16</v>
      </c>
      <c r="D84" t="str">
        <f>VLOOKUP($A84,ScionOutput!$A$3:$BL$215,23,FALSE)</f>
        <v>WAS</v>
      </c>
      <c r="E84">
        <f>VLOOKUP($A84,ScionOutput!$A$3:$BL$215,6,FALSE)</f>
        <v>24</v>
      </c>
      <c r="F84" t="str">
        <f>VLOOKUP($A84,ScionOutput!$A$3:$BL$215,7,FALSE)</f>
        <v>SEA</v>
      </c>
      <c r="G84">
        <f>VLOOKUP($A84,ScionOutput!$A$3:$BL$215,26,FALSE)</f>
        <v>126</v>
      </c>
      <c r="H84">
        <f>VLOOKUP($A84,ScionOutput!$A$3:$BL$215,10,FALSE)</f>
        <v>-137</v>
      </c>
      <c r="I84" t="str">
        <f>VLOOKUP($A84,ScionOutput!$A$3:$BL$215,58,FALSE)</f>
        <v>No Play</v>
      </c>
      <c r="J84">
        <f>VLOOKUP($A84,ScionOutput!$A$3:$BL$215,59,FALSE)</f>
        <v>0</v>
      </c>
      <c r="K84">
        <f>VLOOKUP($A84,ScionOutput!$A$3:$BL$215,62,FALSE)</f>
        <v>0</v>
      </c>
      <c r="L84">
        <f>VLOOKUP($A84,ScionOutput!$A$3:$BL$215,63,FALSE)</f>
        <v>0</v>
      </c>
      <c r="M84" t="b">
        <f t="shared" si="9"/>
        <v>0</v>
      </c>
      <c r="N84">
        <f>VLOOKUP($A84,Outcomes!$B$3:$I$209,8,FALSE)</f>
        <v>12</v>
      </c>
      <c r="O84">
        <f t="shared" si="10"/>
        <v>-1</v>
      </c>
      <c r="P84">
        <f>VLOOKUP($A84,Outcomes!$B$3:$I$209,5,FALSE)</f>
        <v>2</v>
      </c>
      <c r="Q84">
        <f>VLOOKUP($A84,Outcomes!$B$3:$I$209,6,FALSE)</f>
        <v>10</v>
      </c>
      <c r="R84">
        <f>VLOOKUP($A84,Outcomes!$B$3:$I$209,7,FALSE)</f>
        <v>8</v>
      </c>
      <c r="S84" t="str">
        <f t="shared" si="11"/>
        <v>VisFave</v>
      </c>
      <c r="T84" t="str">
        <f t="shared" si="12"/>
        <v/>
      </c>
      <c r="U84" t="str">
        <f t="shared" si="8"/>
        <v/>
      </c>
      <c r="V84" t="str">
        <f t="shared" si="13"/>
        <v/>
      </c>
      <c r="W84" t="str">
        <f t="shared" si="14"/>
        <v/>
      </c>
      <c r="X84" s="2" t="str">
        <f t="shared" si="15"/>
        <v/>
      </c>
      <c r="Y84" t="str">
        <f>VLOOKUP($A84,ScionOutput!$A$3:$BL$215,64,FALSE)</f>
        <v xml:space="preserve">822726. VF plays are disallowed. No play due to strategy constraints. </v>
      </c>
    </row>
    <row r="85" spans="1:25" x14ac:dyDescent="0.2">
      <c r="A85">
        <v>823778</v>
      </c>
      <c r="B85" s="3">
        <f>VLOOKUP($A85,ScionOutput!$A$3:$BL$215,3,FALSE)</f>
        <v>46185</v>
      </c>
      <c r="C85">
        <f>VLOOKUP($A85,ScionOutput!$A$3:$BL$215,22,FALSE)</f>
        <v>17</v>
      </c>
      <c r="D85" t="str">
        <f>VLOOKUP($A85,ScionOutput!$A$3:$BL$215,23,FALSE)</f>
        <v>MLW</v>
      </c>
      <c r="E85">
        <f>VLOOKUP($A85,ScionOutput!$A$3:$BL$215,6,FALSE)</f>
        <v>21</v>
      </c>
      <c r="F85" t="str">
        <f>VLOOKUP($A85,ScionOutput!$A$3:$BL$215,7,FALSE)</f>
        <v>PHI</v>
      </c>
      <c r="G85">
        <f>VLOOKUP($A85,ScionOutput!$A$3:$BL$215,26,FALSE)</f>
        <v>-236</v>
      </c>
      <c r="H85">
        <f>VLOOKUP($A85,ScionOutput!$A$3:$BL$215,10,FALSE)</f>
        <v>213</v>
      </c>
      <c r="I85" t="str">
        <f>VLOOKUP($A85,ScionOutput!$A$3:$BL$215,58,FALSE)</f>
        <v>No Play</v>
      </c>
      <c r="J85">
        <f>VLOOKUP($A85,ScionOutput!$A$3:$BL$215,59,FALSE)</f>
        <v>0</v>
      </c>
      <c r="K85">
        <f>VLOOKUP($A85,ScionOutput!$A$3:$BL$215,62,FALSE)</f>
        <v>0</v>
      </c>
      <c r="L85">
        <f>VLOOKUP($A85,ScionOutput!$A$3:$BL$215,63,FALSE)</f>
        <v>0</v>
      </c>
      <c r="M85" t="b">
        <f t="shared" si="9"/>
        <v>0</v>
      </c>
      <c r="N85">
        <f>VLOOKUP($A85,Outcomes!$B$3:$I$209,8,FALSE)</f>
        <v>6</v>
      </c>
      <c r="O85">
        <f t="shared" si="10"/>
        <v>1</v>
      </c>
      <c r="P85">
        <f>VLOOKUP($A85,Outcomes!$B$3:$I$209,5,FALSE)</f>
        <v>6</v>
      </c>
      <c r="Q85">
        <f>VLOOKUP($A85,Outcomes!$B$3:$I$209,6,FALSE)</f>
        <v>0</v>
      </c>
      <c r="R85">
        <f>VLOOKUP($A85,Outcomes!$B$3:$I$209,7,FALSE)</f>
        <v>-6</v>
      </c>
      <c r="S85" t="str">
        <f t="shared" si="11"/>
        <v>HomFave</v>
      </c>
      <c r="T85" t="str">
        <f t="shared" si="12"/>
        <v/>
      </c>
      <c r="U85" t="str">
        <f t="shared" si="8"/>
        <v/>
      </c>
      <c r="V85" t="str">
        <f t="shared" si="13"/>
        <v/>
      </c>
      <c r="W85" t="str">
        <f t="shared" si="14"/>
        <v/>
      </c>
      <c r="X85" s="2" t="str">
        <f t="shared" si="15"/>
        <v/>
      </c>
      <c r="Y85" t="str">
        <f>VLOOKUP($A85,ScionOutput!$A$3:$BL$215,64,FALSE)</f>
        <v xml:space="preserve">823778. V_SP is Null, team-based avg used. NoPlay as V_SP is Null. </v>
      </c>
    </row>
    <row r="86" spans="1:25" x14ac:dyDescent="0.2">
      <c r="A86">
        <v>823617</v>
      </c>
      <c r="B86" s="3">
        <f>VLOOKUP($A86,ScionOutput!$A$3:$BL$215,3,FALSE)</f>
        <v>46185</v>
      </c>
      <c r="C86">
        <f>VLOOKUP($A86,ScionOutput!$A$3:$BL$215,22,FALSE)</f>
        <v>18</v>
      </c>
      <c r="D86" t="str">
        <f>VLOOKUP($A86,ScionOutput!$A$3:$BL$215,23,FALSE)</f>
        <v>NYM</v>
      </c>
      <c r="E86">
        <f>VLOOKUP($A86,ScionOutput!$A$3:$BL$215,6,FALSE)</f>
        <v>0</v>
      </c>
      <c r="F86" t="str">
        <f>VLOOKUP($A86,ScionOutput!$A$3:$BL$215,7,FALSE)</f>
        <v>ATL</v>
      </c>
      <c r="G86">
        <f>VLOOKUP($A86,ScionOutput!$A$3:$BL$215,26,FALSE)</f>
        <v>-123</v>
      </c>
      <c r="H86">
        <f>VLOOKUP($A86,ScionOutput!$A$3:$BL$215,10,FALSE)</f>
        <v>113</v>
      </c>
      <c r="I86" t="str">
        <f>VLOOKUP($A86,ScionOutput!$A$3:$BL$215,58,FALSE)</f>
        <v>VisDog</v>
      </c>
      <c r="J86">
        <f>VLOOKUP($A86,ScionOutput!$A$3:$BL$215,59,FALSE)</f>
        <v>-6.0199999999999997E-2</v>
      </c>
      <c r="K86">
        <f>VLOOKUP($A86,ScionOutput!$A$3:$BL$215,62,FALSE)</f>
        <v>5</v>
      </c>
      <c r="L86">
        <f>VLOOKUP($A86,ScionOutput!$A$3:$BL$215,63,FALSE)</f>
        <v>0.73</v>
      </c>
      <c r="M86" t="b">
        <f t="shared" si="9"/>
        <v>1</v>
      </c>
      <c r="N86">
        <f>VLOOKUP($A86,Outcomes!$B$3:$I$209,8,FALSE)</f>
        <v>12</v>
      </c>
      <c r="O86">
        <f t="shared" si="10"/>
        <v>1</v>
      </c>
      <c r="P86">
        <f>VLOOKUP($A86,Outcomes!$B$3:$I$209,5,FALSE)</f>
        <v>7</v>
      </c>
      <c r="Q86">
        <f>VLOOKUP($A86,Outcomes!$B$3:$I$209,6,FALSE)</f>
        <v>5</v>
      </c>
      <c r="R86">
        <f>VLOOKUP($A86,Outcomes!$B$3:$I$209,7,FALSE)</f>
        <v>-2</v>
      </c>
      <c r="S86" t="str">
        <f t="shared" si="11"/>
        <v>HomFave</v>
      </c>
      <c r="T86" t="str">
        <f t="shared" si="12"/>
        <v/>
      </c>
      <c r="U86" t="str">
        <f t="shared" si="8"/>
        <v/>
      </c>
      <c r="V86" t="str">
        <f t="shared" si="13"/>
        <v/>
      </c>
      <c r="W86" t="str">
        <f t="shared" si="14"/>
        <v/>
      </c>
      <c r="X86" s="2" t="str">
        <f t="shared" si="15"/>
        <v/>
      </c>
      <c r="Y86" t="str">
        <f>VLOOKUP($A86,ScionOutput!$A$3:$BL$215,64,FALSE)</f>
        <v xml:space="preserve">823617. Play determined by LineStatEns and StatOnlyEns agreement. </v>
      </c>
    </row>
    <row r="87" spans="1:25" x14ac:dyDescent="0.2">
      <c r="A87">
        <v>824997</v>
      </c>
      <c r="B87" s="3">
        <f>VLOOKUP($A87,ScionOutput!$A$3:$BL$215,3,FALSE)</f>
        <v>46185</v>
      </c>
      <c r="C87">
        <f>VLOOKUP($A87,ScionOutput!$A$3:$BL$215,22,FALSE)</f>
        <v>20</v>
      </c>
      <c r="D87" t="str">
        <f>VLOOKUP($A87,ScionOutput!$A$3:$BL$215,23,FALSE)</f>
        <v>OAK</v>
      </c>
      <c r="E87">
        <f>VLOOKUP($A87,ScionOutput!$A$3:$BL$215,6,FALSE)</f>
        <v>8</v>
      </c>
      <c r="F87" t="str">
        <f>VLOOKUP($A87,ScionOutput!$A$3:$BL$215,7,FALSE)</f>
        <v>COL</v>
      </c>
      <c r="G87">
        <f>VLOOKUP($A87,ScionOutput!$A$3:$BL$215,26,FALSE)</f>
        <v>-207</v>
      </c>
      <c r="H87">
        <f>VLOOKUP($A87,ScionOutput!$A$3:$BL$215,10,FALSE)</f>
        <v>188</v>
      </c>
      <c r="I87" t="str">
        <f>VLOOKUP($A87,ScionOutput!$A$3:$BL$215,58,FALSE)</f>
        <v>No Play</v>
      </c>
      <c r="J87">
        <f>VLOOKUP($A87,ScionOutput!$A$3:$BL$215,59,FALSE)</f>
        <v>0</v>
      </c>
      <c r="K87">
        <f>VLOOKUP($A87,ScionOutput!$A$3:$BL$215,62,FALSE)</f>
        <v>0</v>
      </c>
      <c r="L87">
        <f>VLOOKUP($A87,ScionOutput!$A$3:$BL$215,63,FALSE)</f>
        <v>0</v>
      </c>
      <c r="M87" t="b">
        <f t="shared" si="9"/>
        <v>0</v>
      </c>
      <c r="N87">
        <f>VLOOKUP($A87,Outcomes!$B$3:$I$209,8,FALSE)</f>
        <v>10</v>
      </c>
      <c r="O87">
        <f t="shared" si="10"/>
        <v>1</v>
      </c>
      <c r="P87">
        <f>VLOOKUP($A87,Outcomes!$B$3:$I$209,5,FALSE)</f>
        <v>6</v>
      </c>
      <c r="Q87">
        <f>VLOOKUP($A87,Outcomes!$B$3:$I$209,6,FALSE)</f>
        <v>4</v>
      </c>
      <c r="R87">
        <f>VLOOKUP($A87,Outcomes!$B$3:$I$209,7,FALSE)</f>
        <v>-2</v>
      </c>
      <c r="S87" t="str">
        <f t="shared" si="11"/>
        <v>HomFave</v>
      </c>
      <c r="T87" t="str">
        <f t="shared" si="12"/>
        <v/>
      </c>
      <c r="U87" t="str">
        <f t="shared" si="8"/>
        <v/>
      </c>
      <c r="V87" t="str">
        <f t="shared" si="13"/>
        <v/>
      </c>
      <c r="W87" t="str">
        <f t="shared" si="14"/>
        <v/>
      </c>
      <c r="X87" s="2" t="str">
        <f t="shared" si="15"/>
        <v/>
      </c>
      <c r="Y87" t="str">
        <f>VLOOKUP($A87,ScionOutput!$A$3:$BL$215,64,FALSE)</f>
        <v xml:space="preserve">824997. V_SP is Null, team-based avg used. NoPlay as V_SP is Null. </v>
      </c>
    </row>
    <row r="88" spans="1:25" x14ac:dyDescent="0.2">
      <c r="A88">
        <v>823370</v>
      </c>
      <c r="B88" s="3">
        <f>VLOOKUP($A88,ScionOutput!$A$3:$BL$215,3,FALSE)</f>
        <v>46185</v>
      </c>
      <c r="C88">
        <f>VLOOKUP($A88,ScionOutput!$A$3:$BL$215,22,FALSE)</f>
        <v>22</v>
      </c>
      <c r="D88" t="str">
        <f>VLOOKUP($A88,ScionOutput!$A$3:$BL$215,23,FALSE)</f>
        <v>PIT</v>
      </c>
      <c r="E88">
        <f>VLOOKUP($A88,ScionOutput!$A$3:$BL$215,6,FALSE)</f>
        <v>11</v>
      </c>
      <c r="F88" t="str">
        <f>VLOOKUP($A88,ScionOutput!$A$3:$BL$215,7,FALSE)</f>
        <v>FLO</v>
      </c>
      <c r="G88">
        <f>VLOOKUP($A88,ScionOutput!$A$3:$BL$215,26,FALSE)</f>
        <v>-137</v>
      </c>
      <c r="H88">
        <f>VLOOKUP($A88,ScionOutput!$A$3:$BL$215,10,FALSE)</f>
        <v>127</v>
      </c>
      <c r="I88" t="str">
        <f>VLOOKUP($A88,ScionOutput!$A$3:$BL$215,58,FALSE)</f>
        <v>No Play</v>
      </c>
      <c r="J88">
        <f>VLOOKUP($A88,ScionOutput!$A$3:$BL$215,59,FALSE)</f>
        <v>0</v>
      </c>
      <c r="K88">
        <f>VLOOKUP($A88,ScionOutput!$A$3:$BL$215,62,FALSE)</f>
        <v>0</v>
      </c>
      <c r="L88">
        <f>VLOOKUP($A88,ScionOutput!$A$3:$BL$215,63,FALSE)</f>
        <v>0</v>
      </c>
      <c r="M88" t="b">
        <f t="shared" si="9"/>
        <v>0</v>
      </c>
      <c r="N88">
        <f>VLOOKUP($A88,Outcomes!$B$3:$I$209,8,FALSE)</f>
        <v>11</v>
      </c>
      <c r="O88">
        <f t="shared" si="10"/>
        <v>-1</v>
      </c>
      <c r="P88">
        <f>VLOOKUP($A88,Outcomes!$B$3:$I$209,5,FALSE)</f>
        <v>3</v>
      </c>
      <c r="Q88">
        <f>VLOOKUP($A88,Outcomes!$B$3:$I$209,6,FALSE)</f>
        <v>8</v>
      </c>
      <c r="R88">
        <f>VLOOKUP($A88,Outcomes!$B$3:$I$209,7,FALSE)</f>
        <v>5</v>
      </c>
      <c r="S88" t="str">
        <f t="shared" si="11"/>
        <v>VisDog</v>
      </c>
      <c r="T88" t="str">
        <f t="shared" si="12"/>
        <v/>
      </c>
      <c r="U88" t="str">
        <f t="shared" si="8"/>
        <v/>
      </c>
      <c r="V88" t="str">
        <f t="shared" si="13"/>
        <v/>
      </c>
      <c r="W88" t="str">
        <f t="shared" si="14"/>
        <v/>
      </c>
      <c r="X88" s="2" t="str">
        <f t="shared" si="15"/>
        <v/>
      </c>
      <c r="Y88" t="str">
        <f>VLOOKUP($A88,ScionOutput!$A$3:$BL$215,64,FALSE)</f>
        <v xml:space="preserve">823370. LineStatEns probability points gap does not exceed threshold (no edge found)! StatOnlyEns probability points gap does not exceed threshold (no edge found)! No play due to strategy constraints. </v>
      </c>
    </row>
    <row r="89" spans="1:25" x14ac:dyDescent="0.2">
      <c r="A89">
        <v>823211</v>
      </c>
      <c r="B89" s="3">
        <f>VLOOKUP($A89,ScionOutput!$A$3:$BL$215,3,FALSE)</f>
        <v>46185</v>
      </c>
      <c r="C89">
        <f>VLOOKUP($A89,ScionOutput!$A$3:$BL$215,22,FALSE)</f>
        <v>25</v>
      </c>
      <c r="D89" t="str">
        <f>VLOOKUP($A89,ScionOutput!$A$3:$BL$215,23,FALSE)</f>
        <v>SF</v>
      </c>
      <c r="E89">
        <f>VLOOKUP($A89,ScionOutput!$A$3:$BL$215,6,FALSE)</f>
        <v>5</v>
      </c>
      <c r="F89" t="str">
        <f>VLOOKUP($A89,ScionOutput!$A$3:$BL$215,7,FALSE)</f>
        <v>CHC</v>
      </c>
      <c r="G89">
        <f>VLOOKUP($A89,ScionOutput!$A$3:$BL$215,26,FALSE)</f>
        <v>-120</v>
      </c>
      <c r="H89">
        <f>VLOOKUP($A89,ScionOutput!$A$3:$BL$215,10,FALSE)</f>
        <v>111</v>
      </c>
      <c r="I89" t="str">
        <f>VLOOKUP($A89,ScionOutput!$A$3:$BL$215,58,FALSE)</f>
        <v>No Play</v>
      </c>
      <c r="J89">
        <f>VLOOKUP($A89,ScionOutput!$A$3:$BL$215,59,FALSE)</f>
        <v>0</v>
      </c>
      <c r="K89">
        <f>VLOOKUP($A89,ScionOutput!$A$3:$BL$215,62,FALSE)</f>
        <v>0</v>
      </c>
      <c r="L89">
        <f>VLOOKUP($A89,ScionOutput!$A$3:$BL$215,63,FALSE)</f>
        <v>0</v>
      </c>
      <c r="M89" t="b">
        <f t="shared" si="9"/>
        <v>0</v>
      </c>
      <c r="N89">
        <f>VLOOKUP($A89,Outcomes!$B$3:$I$209,8,FALSE)</f>
        <v>6</v>
      </c>
      <c r="O89">
        <f t="shared" si="10"/>
        <v>-1</v>
      </c>
      <c r="P89">
        <f>VLOOKUP($A89,Outcomes!$B$3:$I$209,5,FALSE)</f>
        <v>1</v>
      </c>
      <c r="Q89">
        <f>VLOOKUP($A89,Outcomes!$B$3:$I$209,6,FALSE)</f>
        <v>5</v>
      </c>
      <c r="R89">
        <f>VLOOKUP($A89,Outcomes!$B$3:$I$209,7,FALSE)</f>
        <v>4</v>
      </c>
      <c r="S89" t="str">
        <f t="shared" si="11"/>
        <v>VisDog</v>
      </c>
      <c r="T89" t="str">
        <f t="shared" si="12"/>
        <v/>
      </c>
      <c r="U89" t="str">
        <f t="shared" si="8"/>
        <v/>
      </c>
      <c r="V89" t="str">
        <f t="shared" si="13"/>
        <v/>
      </c>
      <c r="W89" t="str">
        <f t="shared" si="14"/>
        <v/>
      </c>
      <c r="X89" s="2" t="str">
        <f t="shared" si="15"/>
        <v/>
      </c>
      <c r="Y89" t="str">
        <f>VLOOKUP($A89,ScionOutput!$A$3:$BL$215,64,FALSE)</f>
        <v xml:space="preserve">823211. LineStatEns probability points gap does not exceed threshold (no edge found)! No play due to strategy constraints. </v>
      </c>
    </row>
    <row r="90" spans="1:25" x14ac:dyDescent="0.2">
      <c r="A90">
        <v>822803</v>
      </c>
      <c r="B90" s="3">
        <f>VLOOKUP($A90,ScionOutput!$A$3:$BL$215,3,FALSE)</f>
        <v>46185</v>
      </c>
      <c r="C90">
        <f>VLOOKUP($A90,ScionOutput!$A$3:$BL$215,22,FALSE)</f>
        <v>29</v>
      </c>
      <c r="D90" t="str">
        <f>VLOOKUP($A90,ScionOutput!$A$3:$BL$215,23,FALSE)</f>
        <v>TOR</v>
      </c>
      <c r="E90">
        <f>VLOOKUP($A90,ScionOutput!$A$3:$BL$215,6,FALSE)</f>
        <v>19</v>
      </c>
      <c r="F90" t="str">
        <f>VLOOKUP($A90,ScionOutput!$A$3:$BL$215,7,FALSE)</f>
        <v>NYY</v>
      </c>
      <c r="G90">
        <f>VLOOKUP($A90,ScionOutput!$A$3:$BL$215,26,FALSE)</f>
        <v>-108</v>
      </c>
      <c r="H90">
        <f>VLOOKUP($A90,ScionOutput!$A$3:$BL$215,10,FALSE)</f>
        <v>100</v>
      </c>
      <c r="I90" t="str">
        <f>VLOOKUP($A90,ScionOutput!$A$3:$BL$215,58,FALSE)</f>
        <v>VisDog</v>
      </c>
      <c r="J90">
        <f>VLOOKUP($A90,ScionOutput!$A$3:$BL$215,59,FALSE)</f>
        <v>-2.9430000000000001E-2</v>
      </c>
      <c r="K90">
        <f>VLOOKUP($A90,ScionOutput!$A$3:$BL$215,62,FALSE)</f>
        <v>5</v>
      </c>
      <c r="L90">
        <f>VLOOKUP($A90,ScionOutput!$A$3:$BL$215,63,FALSE)</f>
        <v>0.8</v>
      </c>
      <c r="M90" t="b">
        <f t="shared" si="9"/>
        <v>1</v>
      </c>
      <c r="N90">
        <f>VLOOKUP($A90,Outcomes!$B$3:$I$209,8,FALSE)</f>
        <v>13</v>
      </c>
      <c r="O90">
        <f t="shared" si="10"/>
        <v>1</v>
      </c>
      <c r="P90">
        <f>VLOOKUP($A90,Outcomes!$B$3:$I$209,5,FALSE)</f>
        <v>8</v>
      </c>
      <c r="Q90">
        <f>VLOOKUP($A90,Outcomes!$B$3:$I$209,6,FALSE)</f>
        <v>5</v>
      </c>
      <c r="R90">
        <f>VLOOKUP($A90,Outcomes!$B$3:$I$209,7,FALSE)</f>
        <v>-3</v>
      </c>
      <c r="S90" t="str">
        <f t="shared" si="11"/>
        <v>HomFave</v>
      </c>
      <c r="T90" t="str">
        <f t="shared" si="12"/>
        <v/>
      </c>
      <c r="U90" t="str">
        <f t="shared" si="8"/>
        <v/>
      </c>
      <c r="V90" t="str">
        <f t="shared" si="13"/>
        <v/>
      </c>
      <c r="W90" t="str">
        <f t="shared" si="14"/>
        <v/>
      </c>
      <c r="X90" s="2" t="str">
        <f t="shared" si="15"/>
        <v/>
      </c>
      <c r="Y90" t="str">
        <f>VLOOKUP($A90,ScionOutput!$A$3:$BL$215,64,FALSE)</f>
        <v xml:space="preserve">822803. Play determined by LineStatEns and StatOnlyEns agreement. </v>
      </c>
    </row>
    <row r="91" spans="1:25" x14ac:dyDescent="0.2">
      <c r="A91">
        <v>824828</v>
      </c>
      <c r="B91" s="3">
        <f>VLOOKUP($A91,ScionOutput!$A$3:$BL$215,3,FALSE)</f>
        <v>46186</v>
      </c>
      <c r="C91">
        <f>VLOOKUP($A91,ScionOutput!$A$3:$BL$215,22,FALSE)</f>
        <v>2</v>
      </c>
      <c r="D91" t="str">
        <f>VLOOKUP($A91,ScionOutput!$A$3:$BL$215,23,FALSE)</f>
        <v>BAL</v>
      </c>
      <c r="E91">
        <f>VLOOKUP($A91,ScionOutput!$A$3:$BL$215,6,FALSE)</f>
        <v>23</v>
      </c>
      <c r="F91" t="str">
        <f>VLOOKUP($A91,ScionOutput!$A$3:$BL$215,7,FALSE)</f>
        <v>SD</v>
      </c>
      <c r="G91">
        <f>VLOOKUP($A91,ScionOutput!$A$3:$BL$215,26,FALSE)</f>
        <v>-116</v>
      </c>
      <c r="H91">
        <f>VLOOKUP($A91,ScionOutput!$A$3:$BL$215,10,FALSE)</f>
        <v>107</v>
      </c>
      <c r="I91" t="str">
        <f>VLOOKUP($A91,ScionOutput!$A$3:$BL$215,58,FALSE)</f>
        <v>No Play</v>
      </c>
      <c r="J91">
        <f>VLOOKUP($A91,ScionOutput!$A$3:$BL$215,59,FALSE)</f>
        <v>0</v>
      </c>
      <c r="K91">
        <f>VLOOKUP($A91,ScionOutput!$A$3:$BL$215,62,FALSE)</f>
        <v>0</v>
      </c>
      <c r="L91">
        <f>VLOOKUP($A91,ScionOutput!$A$3:$BL$215,63,FALSE)</f>
        <v>0</v>
      </c>
      <c r="M91" t="b">
        <f t="shared" si="9"/>
        <v>0</v>
      </c>
      <c r="N91">
        <f>VLOOKUP($A91,Outcomes!$B$3:$I$209,8,FALSE)</f>
        <v>12</v>
      </c>
      <c r="O91">
        <f t="shared" si="10"/>
        <v>-1</v>
      </c>
      <c r="P91">
        <f>VLOOKUP($A91,Outcomes!$B$3:$I$209,5,FALSE)</f>
        <v>3</v>
      </c>
      <c r="Q91">
        <f>VLOOKUP($A91,Outcomes!$B$3:$I$209,6,FALSE)</f>
        <v>9</v>
      </c>
      <c r="R91">
        <f>VLOOKUP($A91,Outcomes!$B$3:$I$209,7,FALSE)</f>
        <v>6</v>
      </c>
      <c r="S91" t="str">
        <f t="shared" si="11"/>
        <v>VisDog</v>
      </c>
      <c r="T91" t="str">
        <f t="shared" si="12"/>
        <v/>
      </c>
      <c r="U91" t="str">
        <f t="shared" si="8"/>
        <v/>
      </c>
      <c r="V91" t="str">
        <f t="shared" si="13"/>
        <v/>
      </c>
      <c r="W91" t="str">
        <f t="shared" si="14"/>
        <v/>
      </c>
      <c r="X91" s="2" t="str">
        <f t="shared" si="15"/>
        <v/>
      </c>
      <c r="Y91" t="str">
        <f>VLOOKUP($A91,ScionOutput!$A$3:$BL$215,64,FALSE)</f>
        <v xml:space="preserve">824828. LineStatEns probability points gap does not exceed threshold (no edge found)! StatOnlyEns probability points gap does not exceed threshold (no edge found)! No play due to strategy constraints. </v>
      </c>
    </row>
    <row r="92" spans="1:25" x14ac:dyDescent="0.2">
      <c r="A92">
        <v>824749</v>
      </c>
      <c r="B92" s="3">
        <f>VLOOKUP($A92,ScionOutput!$A$3:$BL$215,3,FALSE)</f>
        <v>46186</v>
      </c>
      <c r="C92">
        <f>VLOOKUP($A92,ScionOutput!$A$3:$BL$215,22,FALSE)</f>
        <v>3</v>
      </c>
      <c r="D92" t="str">
        <f>VLOOKUP($A92,ScionOutput!$A$3:$BL$215,23,FALSE)</f>
        <v>BOS</v>
      </c>
      <c r="E92">
        <f>VLOOKUP($A92,ScionOutput!$A$3:$BL$215,6,FALSE)</f>
        <v>28</v>
      </c>
      <c r="F92" t="str">
        <f>VLOOKUP($A92,ScionOutput!$A$3:$BL$215,7,FALSE)</f>
        <v>TEX</v>
      </c>
      <c r="G92">
        <f>VLOOKUP($A92,ScionOutput!$A$3:$BL$215,26,FALSE)</f>
        <v>-111</v>
      </c>
      <c r="H92">
        <f>VLOOKUP($A92,ScionOutput!$A$3:$BL$215,10,FALSE)</f>
        <v>102</v>
      </c>
      <c r="I92" t="str">
        <f>VLOOKUP($A92,ScionOutput!$A$3:$BL$215,58,FALSE)</f>
        <v>No Play</v>
      </c>
      <c r="J92">
        <f>VLOOKUP($A92,ScionOutput!$A$3:$BL$215,59,FALSE)</f>
        <v>0</v>
      </c>
      <c r="K92">
        <f>VLOOKUP($A92,ScionOutput!$A$3:$BL$215,62,FALSE)</f>
        <v>0</v>
      </c>
      <c r="L92">
        <f>VLOOKUP($A92,ScionOutput!$A$3:$BL$215,63,FALSE)</f>
        <v>0</v>
      </c>
      <c r="M92" t="b">
        <f t="shared" si="9"/>
        <v>0</v>
      </c>
      <c r="N92">
        <f>VLOOKUP($A92,Outcomes!$B$3:$I$209,8,FALSE)</f>
        <v>9</v>
      </c>
      <c r="O92">
        <f t="shared" si="10"/>
        <v>1</v>
      </c>
      <c r="P92">
        <f>VLOOKUP($A92,Outcomes!$B$3:$I$209,5,FALSE)</f>
        <v>6</v>
      </c>
      <c r="Q92">
        <f>VLOOKUP($A92,Outcomes!$B$3:$I$209,6,FALSE)</f>
        <v>3</v>
      </c>
      <c r="R92">
        <f>VLOOKUP($A92,Outcomes!$B$3:$I$209,7,FALSE)</f>
        <v>-3</v>
      </c>
      <c r="S92" t="str">
        <f t="shared" si="11"/>
        <v>HomFave</v>
      </c>
      <c r="T92" t="str">
        <f t="shared" si="12"/>
        <v/>
      </c>
      <c r="U92" t="str">
        <f t="shared" si="8"/>
        <v/>
      </c>
      <c r="V92" t="str">
        <f t="shared" si="13"/>
        <v/>
      </c>
      <c r="W92" t="str">
        <f t="shared" si="14"/>
        <v/>
      </c>
      <c r="X92" s="2" t="str">
        <f t="shared" si="15"/>
        <v/>
      </c>
      <c r="Y92" t="str">
        <f>VLOOKUP($A92,ScionOutput!$A$3:$BL$215,64,FALSE)</f>
        <v xml:space="preserve">824749. LineStatEns probability points gap does not exceed threshold (no edge found)! StatOnlyEns probability points gap does not exceed threshold (no edge found)! No play due to strategy constraints. </v>
      </c>
    </row>
    <row r="93" spans="1:25" x14ac:dyDescent="0.2">
      <c r="A93">
        <v>824019</v>
      </c>
      <c r="B93" s="3">
        <f>VLOOKUP($A93,ScionOutput!$A$3:$BL$215,3,FALSE)</f>
        <v>46186</v>
      </c>
      <c r="C93">
        <f>VLOOKUP($A93,ScionOutput!$A$3:$BL$215,22,FALSE)</f>
        <v>4</v>
      </c>
      <c r="D93" t="str">
        <f>VLOOKUP($A93,ScionOutput!$A$3:$BL$215,23,FALSE)</f>
        <v>LAA</v>
      </c>
      <c r="E93">
        <f>VLOOKUP($A93,ScionOutput!$A$3:$BL$215,6,FALSE)</f>
        <v>27</v>
      </c>
      <c r="F93" t="str">
        <f>VLOOKUP($A93,ScionOutput!$A$3:$BL$215,7,FALSE)</f>
        <v>TB</v>
      </c>
      <c r="G93">
        <f>VLOOKUP($A93,ScionOutput!$A$3:$BL$215,26,FALSE)</f>
        <v>102</v>
      </c>
      <c r="H93">
        <f>VLOOKUP($A93,ScionOutput!$A$3:$BL$215,10,FALSE)</f>
        <v>-110</v>
      </c>
      <c r="I93" t="str">
        <f>VLOOKUP($A93,ScionOutput!$A$3:$BL$215,58,FALSE)</f>
        <v>No Play</v>
      </c>
      <c r="J93">
        <f>VLOOKUP($A93,ScionOutput!$A$3:$BL$215,59,FALSE)</f>
        <v>0</v>
      </c>
      <c r="K93">
        <f>VLOOKUP($A93,ScionOutput!$A$3:$BL$215,62,FALSE)</f>
        <v>0</v>
      </c>
      <c r="L93">
        <f>VLOOKUP($A93,ScionOutput!$A$3:$BL$215,63,FALSE)</f>
        <v>0</v>
      </c>
      <c r="M93" t="b">
        <f t="shared" si="9"/>
        <v>0</v>
      </c>
      <c r="N93">
        <f>VLOOKUP($A93,Outcomes!$B$3:$I$209,8,FALSE)</f>
        <v>8</v>
      </c>
      <c r="O93">
        <f t="shared" si="10"/>
        <v>1</v>
      </c>
      <c r="P93">
        <f>VLOOKUP($A93,Outcomes!$B$3:$I$209,5,FALSE)</f>
        <v>8</v>
      </c>
      <c r="Q93">
        <f>VLOOKUP($A93,Outcomes!$B$3:$I$209,6,FALSE)</f>
        <v>0</v>
      </c>
      <c r="R93">
        <f>VLOOKUP($A93,Outcomes!$B$3:$I$209,7,FALSE)</f>
        <v>-8</v>
      </c>
      <c r="S93" t="str">
        <f t="shared" si="11"/>
        <v>HomDog</v>
      </c>
      <c r="T93" t="str">
        <f t="shared" si="12"/>
        <v/>
      </c>
      <c r="U93" t="str">
        <f t="shared" si="8"/>
        <v/>
      </c>
      <c r="V93" t="str">
        <f t="shared" si="13"/>
        <v/>
      </c>
      <c r="W93" t="str">
        <f t="shared" si="14"/>
        <v/>
      </c>
      <c r="X93" s="2" t="str">
        <f t="shared" si="15"/>
        <v/>
      </c>
      <c r="Y93" t="str">
        <f>VLOOKUP($A93,ScionOutput!$A$3:$BL$215,64,FALSE)</f>
        <v xml:space="preserve">824019. VF plays are disallowed. No play due to strategy constraints. </v>
      </c>
    </row>
    <row r="94" spans="1:25" x14ac:dyDescent="0.2">
      <c r="A94">
        <v>824508</v>
      </c>
      <c r="B94" s="3">
        <f>VLOOKUP($A94,ScionOutput!$A$3:$BL$215,3,FALSE)</f>
        <v>46186</v>
      </c>
      <c r="C94">
        <f>VLOOKUP($A94,ScionOutput!$A$3:$BL$215,22,FALSE)</f>
        <v>6</v>
      </c>
      <c r="D94" t="str">
        <f>VLOOKUP($A94,ScionOutput!$A$3:$BL$215,23,FALSE)</f>
        <v>CIN</v>
      </c>
      <c r="E94">
        <f>VLOOKUP($A94,ScionOutput!$A$3:$BL$215,6,FALSE)</f>
        <v>1</v>
      </c>
      <c r="F94" t="str">
        <f>VLOOKUP($A94,ScionOutput!$A$3:$BL$215,7,FALSE)</f>
        <v>ARZ</v>
      </c>
      <c r="G94">
        <f>VLOOKUP($A94,ScionOutput!$A$3:$BL$215,26,FALSE)</f>
        <v>136</v>
      </c>
      <c r="H94">
        <f>VLOOKUP($A94,ScionOutput!$A$3:$BL$215,10,FALSE)</f>
        <v>-148</v>
      </c>
      <c r="I94" t="str">
        <f>VLOOKUP($A94,ScionOutput!$A$3:$BL$215,58,FALSE)</f>
        <v>No Play</v>
      </c>
      <c r="J94">
        <f>VLOOKUP($A94,ScionOutput!$A$3:$BL$215,59,FALSE)</f>
        <v>0</v>
      </c>
      <c r="K94">
        <f>VLOOKUP($A94,ScionOutput!$A$3:$BL$215,62,FALSE)</f>
        <v>0</v>
      </c>
      <c r="L94">
        <f>VLOOKUP($A94,ScionOutput!$A$3:$BL$215,63,FALSE)</f>
        <v>0</v>
      </c>
      <c r="M94" t="b">
        <f t="shared" si="9"/>
        <v>0</v>
      </c>
      <c r="N94">
        <f>VLOOKUP($A94,Outcomes!$B$3:$I$209,8,FALSE)</f>
        <v>3</v>
      </c>
      <c r="O94">
        <f t="shared" si="10"/>
        <v>1</v>
      </c>
      <c r="P94">
        <f>VLOOKUP($A94,Outcomes!$B$3:$I$209,5,FALSE)</f>
        <v>2</v>
      </c>
      <c r="Q94">
        <f>VLOOKUP($A94,Outcomes!$B$3:$I$209,6,FALSE)</f>
        <v>1</v>
      </c>
      <c r="R94">
        <f>VLOOKUP($A94,Outcomes!$B$3:$I$209,7,FALSE)</f>
        <v>-1</v>
      </c>
      <c r="S94" t="str">
        <f t="shared" si="11"/>
        <v>HomDog</v>
      </c>
      <c r="T94" t="str">
        <f t="shared" si="12"/>
        <v/>
      </c>
      <c r="U94" t="str">
        <f t="shared" si="8"/>
        <v/>
      </c>
      <c r="V94" t="str">
        <f t="shared" si="13"/>
        <v/>
      </c>
      <c r="W94" t="str">
        <f t="shared" si="14"/>
        <v/>
      </c>
      <c r="X94" s="2" t="str">
        <f t="shared" si="15"/>
        <v/>
      </c>
      <c r="Y94" t="str">
        <f>VLOOKUP($A94,ScionOutput!$A$3:$BL$215,64,FALSE)</f>
        <v xml:space="preserve">824508. VF plays are disallowed. No play due to strategy constraints. </v>
      </c>
    </row>
    <row r="95" spans="1:25" x14ac:dyDescent="0.2">
      <c r="A95">
        <v>824426</v>
      </c>
      <c r="B95" s="3">
        <f>VLOOKUP($A95,ScionOutput!$A$3:$BL$215,3,FALSE)</f>
        <v>46186</v>
      </c>
      <c r="C95">
        <f>VLOOKUP($A95,ScionOutput!$A$3:$BL$215,22,FALSE)</f>
        <v>7</v>
      </c>
      <c r="D95" t="str">
        <f>VLOOKUP($A95,ScionOutput!$A$3:$BL$215,23,FALSE)</f>
        <v>CLE</v>
      </c>
      <c r="E95">
        <f>VLOOKUP($A95,ScionOutput!$A$3:$BL$215,6,FALSE)</f>
        <v>10</v>
      </c>
      <c r="F95" t="str">
        <f>VLOOKUP($A95,ScionOutput!$A$3:$BL$215,7,FALSE)</f>
        <v>DET</v>
      </c>
      <c r="G95">
        <f>VLOOKUP($A95,ScionOutput!$A$3:$BL$215,26,FALSE)</f>
        <v>121</v>
      </c>
      <c r="H95">
        <f>VLOOKUP($A95,ScionOutput!$A$3:$BL$215,10,FALSE)</f>
        <v>-131</v>
      </c>
      <c r="I95" t="str">
        <f>VLOOKUP($A95,ScionOutput!$A$3:$BL$215,58,FALSE)</f>
        <v>No Play</v>
      </c>
      <c r="J95">
        <f>VLOOKUP($A95,ScionOutput!$A$3:$BL$215,59,FALSE)</f>
        <v>0</v>
      </c>
      <c r="K95">
        <f>VLOOKUP($A95,ScionOutput!$A$3:$BL$215,62,FALSE)</f>
        <v>0</v>
      </c>
      <c r="L95">
        <f>VLOOKUP($A95,ScionOutput!$A$3:$BL$215,63,FALSE)</f>
        <v>0</v>
      </c>
      <c r="M95" t="b">
        <f t="shared" si="9"/>
        <v>0</v>
      </c>
      <c r="N95">
        <f>VLOOKUP($A95,Outcomes!$B$3:$I$209,8,FALSE)</f>
        <v>4</v>
      </c>
      <c r="O95">
        <f t="shared" si="10"/>
        <v>1</v>
      </c>
      <c r="P95">
        <f>VLOOKUP($A95,Outcomes!$B$3:$I$209,5,FALSE)</f>
        <v>3</v>
      </c>
      <c r="Q95">
        <f>VLOOKUP($A95,Outcomes!$B$3:$I$209,6,FALSE)</f>
        <v>1</v>
      </c>
      <c r="R95">
        <f>VLOOKUP($A95,Outcomes!$B$3:$I$209,7,FALSE)</f>
        <v>-2</v>
      </c>
      <c r="S95" t="str">
        <f t="shared" si="11"/>
        <v>HomDog</v>
      </c>
      <c r="T95" t="str">
        <f t="shared" si="12"/>
        <v/>
      </c>
      <c r="U95" t="str">
        <f t="shared" si="8"/>
        <v/>
      </c>
      <c r="V95" t="str">
        <f t="shared" si="13"/>
        <v/>
      </c>
      <c r="W95" t="str">
        <f t="shared" si="14"/>
        <v/>
      </c>
      <c r="X95" s="2" t="str">
        <f t="shared" si="15"/>
        <v/>
      </c>
      <c r="Y95" t="str">
        <f>VLOOKUP($A95,ScionOutput!$A$3:$BL$215,64,FALSE)</f>
        <v xml:space="preserve">824426. VF plays are disallowed. No play due to strategy constraints. </v>
      </c>
    </row>
    <row r="96" spans="1:25" x14ac:dyDescent="0.2">
      <c r="A96">
        <v>824587</v>
      </c>
      <c r="B96" s="3">
        <f>VLOOKUP($A96,ScionOutput!$A$3:$BL$215,3,FALSE)</f>
        <v>46186</v>
      </c>
      <c r="C96">
        <f>VLOOKUP($A96,ScionOutput!$A$3:$BL$215,22,FALSE)</f>
        <v>9</v>
      </c>
      <c r="D96" t="str">
        <f>VLOOKUP($A96,ScionOutput!$A$3:$BL$215,23,FALSE)</f>
        <v>CWS</v>
      </c>
      <c r="E96">
        <f>VLOOKUP($A96,ScionOutput!$A$3:$BL$215,6,FALSE)</f>
        <v>14</v>
      </c>
      <c r="F96" t="str">
        <f>VLOOKUP($A96,ScionOutput!$A$3:$BL$215,7,FALSE)</f>
        <v>LA</v>
      </c>
      <c r="G96">
        <f>VLOOKUP($A96,ScionOutput!$A$3:$BL$215,26,FALSE)</f>
        <v>185</v>
      </c>
      <c r="H96">
        <f>VLOOKUP($A96,ScionOutput!$A$3:$BL$215,10,FALSE)</f>
        <v>-203</v>
      </c>
      <c r="I96" t="str">
        <f>VLOOKUP($A96,ScionOutput!$A$3:$BL$215,58,FALSE)</f>
        <v>No Play</v>
      </c>
      <c r="J96">
        <f>VLOOKUP($A96,ScionOutput!$A$3:$BL$215,59,FALSE)</f>
        <v>0</v>
      </c>
      <c r="K96">
        <f>VLOOKUP($A96,ScionOutput!$A$3:$BL$215,62,FALSE)</f>
        <v>0</v>
      </c>
      <c r="L96">
        <f>VLOOKUP($A96,ScionOutput!$A$3:$BL$215,63,FALSE)</f>
        <v>0</v>
      </c>
      <c r="M96" t="b">
        <f t="shared" si="9"/>
        <v>0</v>
      </c>
      <c r="N96">
        <f>VLOOKUP($A96,Outcomes!$B$3:$I$209,8,FALSE)</f>
        <v>8</v>
      </c>
      <c r="O96">
        <f t="shared" si="10"/>
        <v>-1</v>
      </c>
      <c r="P96">
        <f>VLOOKUP($A96,Outcomes!$B$3:$I$209,5,FALSE)</f>
        <v>1</v>
      </c>
      <c r="Q96">
        <f>VLOOKUP($A96,Outcomes!$B$3:$I$209,6,FALSE)</f>
        <v>7</v>
      </c>
      <c r="R96">
        <f>VLOOKUP($A96,Outcomes!$B$3:$I$209,7,FALSE)</f>
        <v>6</v>
      </c>
      <c r="S96" t="str">
        <f t="shared" si="11"/>
        <v>VisFave</v>
      </c>
      <c r="T96" t="str">
        <f t="shared" si="12"/>
        <v/>
      </c>
      <c r="U96" t="str">
        <f t="shared" si="8"/>
        <v/>
      </c>
      <c r="V96" t="str">
        <f t="shared" si="13"/>
        <v/>
      </c>
      <c r="W96" t="str">
        <f t="shared" si="14"/>
        <v/>
      </c>
      <c r="X96" s="2" t="str">
        <f t="shared" si="15"/>
        <v/>
      </c>
      <c r="Y96" t="str">
        <f>VLOOKUP($A96,ScionOutput!$A$3:$BL$215,64,FALSE)</f>
        <v xml:space="preserve">824587. LineStatEns is NoPlay as bookie-line outside range. StatOnlyEns is NoPlay as bookie-line outside range. No play due to strategy constraints. </v>
      </c>
    </row>
    <row r="97" spans="1:25" x14ac:dyDescent="0.2">
      <c r="A97">
        <v>824100</v>
      </c>
      <c r="B97" s="3">
        <f>VLOOKUP($A97,ScionOutput!$A$3:$BL$215,3,FALSE)</f>
        <v>46186</v>
      </c>
      <c r="C97">
        <f>VLOOKUP($A97,ScionOutput!$A$3:$BL$215,22,FALSE)</f>
        <v>13</v>
      </c>
      <c r="D97" t="str">
        <f>VLOOKUP($A97,ScionOutput!$A$3:$BL$215,23,FALSE)</f>
        <v>KC</v>
      </c>
      <c r="E97">
        <f>VLOOKUP($A97,ScionOutput!$A$3:$BL$215,6,FALSE)</f>
        <v>12</v>
      </c>
      <c r="F97" t="str">
        <f>VLOOKUP($A97,ScionOutput!$A$3:$BL$215,7,FALSE)</f>
        <v>HOU</v>
      </c>
      <c r="G97">
        <f>VLOOKUP($A97,ScionOutput!$A$3:$BL$215,26,FALSE)</f>
        <v>-121</v>
      </c>
      <c r="H97">
        <f>VLOOKUP($A97,ScionOutput!$A$3:$BL$215,10,FALSE)</f>
        <v>112</v>
      </c>
      <c r="I97" t="str">
        <f>VLOOKUP($A97,ScionOutput!$A$3:$BL$215,58,FALSE)</f>
        <v>VisDog</v>
      </c>
      <c r="J97">
        <f>VLOOKUP($A97,ScionOutput!$A$3:$BL$215,59,FALSE)</f>
        <v>-5.7189999999999998E-2</v>
      </c>
      <c r="K97">
        <f>VLOOKUP($A97,ScionOutput!$A$3:$BL$215,62,FALSE)</f>
        <v>5</v>
      </c>
      <c r="L97">
        <f>VLOOKUP($A97,ScionOutput!$A$3:$BL$215,63,FALSE)</f>
        <v>0.67</v>
      </c>
      <c r="M97" t="b">
        <f t="shared" si="9"/>
        <v>1</v>
      </c>
      <c r="N97">
        <f>VLOOKUP($A97,Outcomes!$B$3:$I$209,8,FALSE)</f>
        <v>15</v>
      </c>
      <c r="O97">
        <f t="shared" si="10"/>
        <v>-1</v>
      </c>
      <c r="P97">
        <f>VLOOKUP($A97,Outcomes!$B$3:$I$209,5,FALSE)</f>
        <v>7</v>
      </c>
      <c r="Q97">
        <f>VLOOKUP($A97,Outcomes!$B$3:$I$209,6,FALSE)</f>
        <v>8</v>
      </c>
      <c r="R97">
        <f>VLOOKUP($A97,Outcomes!$B$3:$I$209,7,FALSE)</f>
        <v>1</v>
      </c>
      <c r="S97" t="str">
        <f t="shared" si="11"/>
        <v>VisDog</v>
      </c>
      <c r="T97" t="str">
        <f t="shared" si="12"/>
        <v/>
      </c>
      <c r="U97" t="str">
        <f t="shared" si="8"/>
        <v/>
      </c>
      <c r="V97" t="str">
        <f t="shared" si="13"/>
        <v/>
      </c>
      <c r="W97" t="str">
        <f t="shared" si="14"/>
        <v/>
      </c>
      <c r="X97" s="2" t="str">
        <f t="shared" si="15"/>
        <v/>
      </c>
      <c r="Y97" t="str">
        <f>VLOOKUP($A97,ScionOutput!$A$3:$BL$215,64,FALSE)</f>
        <v xml:space="preserve">824100. Play determined by LineStatEns and StatOnlyEns agreement. </v>
      </c>
    </row>
    <row r="98" spans="1:25" x14ac:dyDescent="0.2">
      <c r="A98">
        <v>823694</v>
      </c>
      <c r="B98" s="3">
        <f>VLOOKUP($A98,ScionOutput!$A$3:$BL$215,3,FALSE)</f>
        <v>46186</v>
      </c>
      <c r="C98">
        <f>VLOOKUP($A98,ScionOutput!$A$3:$BL$215,22,FALSE)</f>
        <v>15</v>
      </c>
      <c r="D98" t="str">
        <f>VLOOKUP($A98,ScionOutput!$A$3:$BL$215,23,FALSE)</f>
        <v>MIN</v>
      </c>
      <c r="E98">
        <f>VLOOKUP($A98,ScionOutput!$A$3:$BL$215,6,FALSE)</f>
        <v>26</v>
      </c>
      <c r="F98" t="str">
        <f>VLOOKUP($A98,ScionOutput!$A$3:$BL$215,7,FALSE)</f>
        <v>STL</v>
      </c>
      <c r="G98">
        <f>VLOOKUP($A98,ScionOutput!$A$3:$BL$215,26,FALSE)</f>
        <v>102</v>
      </c>
      <c r="H98">
        <f>VLOOKUP($A98,ScionOutput!$A$3:$BL$215,10,FALSE)</f>
        <v>-110</v>
      </c>
      <c r="I98" t="str">
        <f>VLOOKUP($A98,ScionOutput!$A$3:$BL$215,58,FALSE)</f>
        <v>HomDog</v>
      </c>
      <c r="J98">
        <f>VLOOKUP($A98,ScionOutput!$A$3:$BL$215,59,FALSE)</f>
        <v>1.4109999999999999E-2</v>
      </c>
      <c r="K98">
        <f>VLOOKUP($A98,ScionOutput!$A$3:$BL$215,62,FALSE)</f>
        <v>5</v>
      </c>
      <c r="L98">
        <f>VLOOKUP($A98,ScionOutput!$A$3:$BL$215,63,FALSE)</f>
        <v>0.53</v>
      </c>
      <c r="M98" t="b">
        <f t="shared" si="9"/>
        <v>1</v>
      </c>
      <c r="N98">
        <f>VLOOKUP($A98,Outcomes!$B$3:$I$209,8,FALSE)</f>
        <v>15</v>
      </c>
      <c r="O98">
        <f t="shared" si="10"/>
        <v>-1</v>
      </c>
      <c r="P98">
        <f>VLOOKUP($A98,Outcomes!$B$3:$I$209,5,FALSE)</f>
        <v>6</v>
      </c>
      <c r="Q98">
        <f>VLOOKUP($A98,Outcomes!$B$3:$I$209,6,FALSE)</f>
        <v>9</v>
      </c>
      <c r="R98">
        <f>VLOOKUP($A98,Outcomes!$B$3:$I$209,7,FALSE)</f>
        <v>3</v>
      </c>
      <c r="S98" t="str">
        <f t="shared" si="11"/>
        <v>VisFave</v>
      </c>
      <c r="T98" t="str">
        <f t="shared" si="12"/>
        <v/>
      </c>
      <c r="U98" t="str">
        <f t="shared" si="8"/>
        <v/>
      </c>
      <c r="V98" t="str">
        <f t="shared" si="13"/>
        <v/>
      </c>
      <c r="W98" t="str">
        <f t="shared" si="14"/>
        <v/>
      </c>
      <c r="X98" s="2" t="str">
        <f t="shared" si="15"/>
        <v/>
      </c>
      <c r="Y98" t="str">
        <f>VLOOKUP($A98,ScionOutput!$A$3:$BL$215,64,FALSE)</f>
        <v xml:space="preserve">823694. Play determined by LineStatEns and StatOnlyEns agreement. </v>
      </c>
    </row>
    <row r="99" spans="1:25" x14ac:dyDescent="0.2">
      <c r="A99">
        <v>822725</v>
      </c>
      <c r="B99" s="3">
        <f>VLOOKUP($A99,ScionOutput!$A$3:$BL$215,3,FALSE)</f>
        <v>46186</v>
      </c>
      <c r="C99">
        <f>VLOOKUP($A99,ScionOutput!$A$3:$BL$215,22,FALSE)</f>
        <v>16</v>
      </c>
      <c r="D99" t="str">
        <f>VLOOKUP($A99,ScionOutput!$A$3:$BL$215,23,FALSE)</f>
        <v>WAS</v>
      </c>
      <c r="E99">
        <f>VLOOKUP($A99,ScionOutput!$A$3:$BL$215,6,FALSE)</f>
        <v>24</v>
      </c>
      <c r="F99" t="str">
        <f>VLOOKUP($A99,ScionOutput!$A$3:$BL$215,7,FALSE)</f>
        <v>SEA</v>
      </c>
      <c r="G99">
        <f>VLOOKUP($A99,ScionOutput!$A$3:$BL$215,26,FALSE)</f>
        <v>-116</v>
      </c>
      <c r="H99">
        <f>VLOOKUP($A99,ScionOutput!$A$3:$BL$215,10,FALSE)</f>
        <v>108</v>
      </c>
      <c r="I99" t="str">
        <f>VLOOKUP($A99,ScionOutput!$A$3:$BL$215,58,FALSE)</f>
        <v>VisDog</v>
      </c>
      <c r="J99">
        <f>VLOOKUP($A99,ScionOutput!$A$3:$BL$215,59,FALSE)</f>
        <v>-4.7640000000000002E-2</v>
      </c>
      <c r="K99">
        <f>VLOOKUP($A99,ScionOutput!$A$3:$BL$215,62,FALSE)</f>
        <v>5</v>
      </c>
      <c r="L99">
        <f>VLOOKUP($A99,ScionOutput!$A$3:$BL$215,63,FALSE)</f>
        <v>0.73</v>
      </c>
      <c r="M99" t="b">
        <f t="shared" si="9"/>
        <v>1</v>
      </c>
      <c r="N99">
        <f>VLOOKUP($A99,Outcomes!$B$3:$I$209,8,FALSE)</f>
        <v>11</v>
      </c>
      <c r="O99">
        <f t="shared" si="10"/>
        <v>1</v>
      </c>
      <c r="P99">
        <f>VLOOKUP($A99,Outcomes!$B$3:$I$209,5,FALSE)</f>
        <v>8</v>
      </c>
      <c r="Q99">
        <f>VLOOKUP($A99,Outcomes!$B$3:$I$209,6,FALSE)</f>
        <v>3</v>
      </c>
      <c r="R99">
        <f>VLOOKUP($A99,Outcomes!$B$3:$I$209,7,FALSE)</f>
        <v>-5</v>
      </c>
      <c r="S99" t="str">
        <f t="shared" si="11"/>
        <v>HomFave</v>
      </c>
      <c r="T99" t="str">
        <f t="shared" si="12"/>
        <v/>
      </c>
      <c r="U99" t="str">
        <f t="shared" si="8"/>
        <v/>
      </c>
      <c r="V99" t="str">
        <f t="shared" si="13"/>
        <v/>
      </c>
      <c r="W99" t="str">
        <f t="shared" si="14"/>
        <v/>
      </c>
      <c r="X99" s="2" t="str">
        <f t="shared" si="15"/>
        <v/>
      </c>
      <c r="Y99" t="str">
        <f>VLOOKUP($A99,ScionOutput!$A$3:$BL$215,64,FALSE)</f>
        <v xml:space="preserve">822725. Play determined by LineStatEns and StatOnlyEns agreement. </v>
      </c>
    </row>
    <row r="100" spans="1:25" x14ac:dyDescent="0.2">
      <c r="A100">
        <v>823776</v>
      </c>
      <c r="B100" s="3">
        <f>VLOOKUP($A100,ScionOutput!$A$3:$BL$215,3,FALSE)</f>
        <v>46186</v>
      </c>
      <c r="C100">
        <f>VLOOKUP($A100,ScionOutput!$A$3:$BL$215,22,FALSE)</f>
        <v>17</v>
      </c>
      <c r="D100" t="str">
        <f>VLOOKUP($A100,ScionOutput!$A$3:$BL$215,23,FALSE)</f>
        <v>MLW</v>
      </c>
      <c r="E100">
        <f>VLOOKUP($A100,ScionOutput!$A$3:$BL$215,6,FALSE)</f>
        <v>21</v>
      </c>
      <c r="F100" t="str">
        <f>VLOOKUP($A100,ScionOutput!$A$3:$BL$215,7,FALSE)</f>
        <v>PHI</v>
      </c>
      <c r="G100">
        <f>VLOOKUP($A100,ScionOutput!$A$3:$BL$215,26,FALSE)</f>
        <v>-163</v>
      </c>
      <c r="H100">
        <f>VLOOKUP($A100,ScionOutput!$A$3:$BL$215,10,FALSE)</f>
        <v>150</v>
      </c>
      <c r="I100" t="str">
        <f>VLOOKUP($A100,ScionOutput!$A$3:$BL$215,58,FALSE)</f>
        <v>No Play</v>
      </c>
      <c r="J100">
        <f>VLOOKUP($A100,ScionOutput!$A$3:$BL$215,59,FALSE)</f>
        <v>0</v>
      </c>
      <c r="K100">
        <f>VLOOKUP($A100,ScionOutput!$A$3:$BL$215,62,FALSE)</f>
        <v>0</v>
      </c>
      <c r="L100">
        <f>VLOOKUP($A100,ScionOutput!$A$3:$BL$215,63,FALSE)</f>
        <v>0</v>
      </c>
      <c r="M100" t="b">
        <f t="shared" si="9"/>
        <v>0</v>
      </c>
      <c r="N100">
        <f>VLOOKUP($A100,Outcomes!$B$3:$I$209,8,FALSE)</f>
        <v>17</v>
      </c>
      <c r="O100">
        <f t="shared" si="10"/>
        <v>-1</v>
      </c>
      <c r="P100">
        <f>VLOOKUP($A100,Outcomes!$B$3:$I$209,5,FALSE)</f>
        <v>8</v>
      </c>
      <c r="Q100">
        <f>VLOOKUP($A100,Outcomes!$B$3:$I$209,6,FALSE)</f>
        <v>9</v>
      </c>
      <c r="R100">
        <f>VLOOKUP($A100,Outcomes!$B$3:$I$209,7,FALSE)</f>
        <v>1</v>
      </c>
      <c r="S100" t="str">
        <f t="shared" si="11"/>
        <v>VisDog</v>
      </c>
      <c r="T100" t="str">
        <f t="shared" si="12"/>
        <v/>
      </c>
      <c r="U100" t="str">
        <f t="shared" si="8"/>
        <v/>
      </c>
      <c r="V100" t="str">
        <f t="shared" si="13"/>
        <v/>
      </c>
      <c r="W100" t="str">
        <f t="shared" si="14"/>
        <v/>
      </c>
      <c r="X100" s="2" t="str">
        <f t="shared" si="15"/>
        <v/>
      </c>
      <c r="Y100" t="str">
        <f>VLOOKUP($A100,ScionOutput!$A$3:$BL$215,64,FALSE)</f>
        <v xml:space="preserve">823776. LineStatEns is NoPlay as bookie-line outside range. StatOnlyEns is NoPlay as bookie-line outside range. No play due to strategy constraints. </v>
      </c>
    </row>
    <row r="101" spans="1:25" x14ac:dyDescent="0.2">
      <c r="A101">
        <v>823616</v>
      </c>
      <c r="B101" s="3">
        <f>VLOOKUP($A101,ScionOutput!$A$3:$BL$215,3,FALSE)</f>
        <v>46186</v>
      </c>
      <c r="C101">
        <f>VLOOKUP($A101,ScionOutput!$A$3:$BL$215,22,FALSE)</f>
        <v>18</v>
      </c>
      <c r="D101" t="str">
        <f>VLOOKUP($A101,ScionOutput!$A$3:$BL$215,23,FALSE)</f>
        <v>NYM</v>
      </c>
      <c r="E101">
        <f>VLOOKUP($A101,ScionOutput!$A$3:$BL$215,6,FALSE)</f>
        <v>0</v>
      </c>
      <c r="F101" t="str">
        <f>VLOOKUP($A101,ScionOutput!$A$3:$BL$215,7,FALSE)</f>
        <v>ATL</v>
      </c>
      <c r="G101">
        <f>VLOOKUP($A101,ScionOutput!$A$3:$BL$215,26,FALSE)</f>
        <v>-114</v>
      </c>
      <c r="H101">
        <f>VLOOKUP($A101,ScionOutput!$A$3:$BL$215,10,FALSE)</f>
        <v>105</v>
      </c>
      <c r="I101" t="str">
        <f>VLOOKUP($A101,ScionOutput!$A$3:$BL$215,58,FALSE)</f>
        <v>No Play</v>
      </c>
      <c r="J101">
        <f>VLOOKUP($A101,ScionOutput!$A$3:$BL$215,59,FALSE)</f>
        <v>0</v>
      </c>
      <c r="K101">
        <f>VLOOKUP($A101,ScionOutput!$A$3:$BL$215,62,FALSE)</f>
        <v>0</v>
      </c>
      <c r="L101">
        <f>VLOOKUP($A101,ScionOutput!$A$3:$BL$215,63,FALSE)</f>
        <v>0</v>
      </c>
      <c r="M101" t="b">
        <f t="shared" si="9"/>
        <v>0</v>
      </c>
      <c r="N101">
        <f>VLOOKUP($A101,Outcomes!$B$3:$I$209,8,FALSE)</f>
        <v>4</v>
      </c>
      <c r="O101">
        <f t="shared" si="10"/>
        <v>-1</v>
      </c>
      <c r="P101">
        <f>VLOOKUP($A101,Outcomes!$B$3:$I$209,5,FALSE)</f>
        <v>1</v>
      </c>
      <c r="Q101">
        <f>VLOOKUP($A101,Outcomes!$B$3:$I$209,6,FALSE)</f>
        <v>3</v>
      </c>
      <c r="R101">
        <f>VLOOKUP($A101,Outcomes!$B$3:$I$209,7,FALSE)</f>
        <v>2</v>
      </c>
      <c r="S101" t="str">
        <f t="shared" si="11"/>
        <v>VisDog</v>
      </c>
      <c r="T101" t="str">
        <f t="shared" si="12"/>
        <v/>
      </c>
      <c r="U101" t="str">
        <f t="shared" si="8"/>
        <v/>
      </c>
      <c r="V101" t="str">
        <f t="shared" si="13"/>
        <v/>
      </c>
      <c r="W101" t="str">
        <f t="shared" si="14"/>
        <v/>
      </c>
      <c r="X101" s="2" t="str">
        <f t="shared" si="15"/>
        <v/>
      </c>
      <c r="Y101" t="str">
        <f>VLOOKUP($A101,ScionOutput!$A$3:$BL$215,64,FALSE)</f>
        <v xml:space="preserve">823616. LineStatEns probability points gap does not exceed threshold (no edge found)! No play due to strategy constraints. </v>
      </c>
    </row>
    <row r="102" spans="1:25" x14ac:dyDescent="0.2">
      <c r="A102">
        <v>824995</v>
      </c>
      <c r="B102" s="3">
        <f>VLOOKUP($A102,ScionOutput!$A$3:$BL$215,3,FALSE)</f>
        <v>46186</v>
      </c>
      <c r="C102">
        <f>VLOOKUP($A102,ScionOutput!$A$3:$BL$215,22,FALSE)</f>
        <v>20</v>
      </c>
      <c r="D102" t="str">
        <f>VLOOKUP($A102,ScionOutput!$A$3:$BL$215,23,FALSE)</f>
        <v>OAK</v>
      </c>
      <c r="E102">
        <f>VLOOKUP($A102,ScionOutput!$A$3:$BL$215,6,FALSE)</f>
        <v>8</v>
      </c>
      <c r="F102" t="str">
        <f>VLOOKUP($A102,ScionOutput!$A$3:$BL$215,7,FALSE)</f>
        <v>COL</v>
      </c>
      <c r="G102">
        <f>VLOOKUP($A102,ScionOutput!$A$3:$BL$215,26,FALSE)</f>
        <v>-148</v>
      </c>
      <c r="H102">
        <f>VLOOKUP($A102,ScionOutput!$A$3:$BL$215,10,FALSE)</f>
        <v>136</v>
      </c>
      <c r="I102" t="str">
        <f>VLOOKUP($A102,ScionOutput!$A$3:$BL$215,58,FALSE)</f>
        <v>No Play</v>
      </c>
      <c r="J102">
        <f>VLOOKUP($A102,ScionOutput!$A$3:$BL$215,59,FALSE)</f>
        <v>0</v>
      </c>
      <c r="K102">
        <f>VLOOKUP($A102,ScionOutput!$A$3:$BL$215,62,FALSE)</f>
        <v>0</v>
      </c>
      <c r="L102">
        <f>VLOOKUP($A102,ScionOutput!$A$3:$BL$215,63,FALSE)</f>
        <v>0</v>
      </c>
      <c r="M102" t="b">
        <f t="shared" si="9"/>
        <v>0</v>
      </c>
      <c r="N102">
        <f>VLOOKUP($A102,Outcomes!$B$3:$I$209,8,FALSE)</f>
        <v>12</v>
      </c>
      <c r="O102">
        <f t="shared" si="10"/>
        <v>1</v>
      </c>
      <c r="P102">
        <f>VLOOKUP($A102,Outcomes!$B$3:$I$209,5,FALSE)</f>
        <v>7</v>
      </c>
      <c r="Q102">
        <f>VLOOKUP($A102,Outcomes!$B$3:$I$209,6,FALSE)</f>
        <v>5</v>
      </c>
      <c r="R102">
        <f>VLOOKUP($A102,Outcomes!$B$3:$I$209,7,FALSE)</f>
        <v>-2</v>
      </c>
      <c r="S102" t="str">
        <f t="shared" si="11"/>
        <v>HomFave</v>
      </c>
      <c r="T102" t="str">
        <f t="shared" si="12"/>
        <v/>
      </c>
      <c r="U102" t="str">
        <f t="shared" si="8"/>
        <v/>
      </c>
      <c r="V102" t="str">
        <f t="shared" si="13"/>
        <v/>
      </c>
      <c r="W102" t="str">
        <f t="shared" si="14"/>
        <v/>
      </c>
      <c r="X102" s="2" t="str">
        <f t="shared" si="15"/>
        <v/>
      </c>
      <c r="Y102" t="str">
        <f>VLOOKUP($A102,ScionOutput!$A$3:$BL$215,64,FALSE)</f>
        <v xml:space="preserve">824995. H_SP is Null, team-based avg used. NoPlay as H_SP is Null. </v>
      </c>
    </row>
    <row r="103" spans="1:25" x14ac:dyDescent="0.2">
      <c r="A103">
        <v>823369</v>
      </c>
      <c r="B103" s="3">
        <f>VLOOKUP($A103,ScionOutput!$A$3:$BL$215,3,FALSE)</f>
        <v>46186</v>
      </c>
      <c r="C103">
        <f>VLOOKUP($A103,ScionOutput!$A$3:$BL$215,22,FALSE)</f>
        <v>22</v>
      </c>
      <c r="D103" t="str">
        <f>VLOOKUP($A103,ScionOutput!$A$3:$BL$215,23,FALSE)</f>
        <v>PIT</v>
      </c>
      <c r="E103">
        <f>VLOOKUP($A103,ScionOutput!$A$3:$BL$215,6,FALSE)</f>
        <v>11</v>
      </c>
      <c r="F103" t="str">
        <f>VLOOKUP($A103,ScionOutput!$A$3:$BL$215,7,FALSE)</f>
        <v>FLO</v>
      </c>
      <c r="G103">
        <f>VLOOKUP($A103,ScionOutput!$A$3:$BL$215,26,FALSE)</f>
        <v>-110</v>
      </c>
      <c r="H103">
        <f>VLOOKUP($A103,ScionOutput!$A$3:$BL$215,10,FALSE)</f>
        <v>102</v>
      </c>
      <c r="I103" t="str">
        <f>VLOOKUP($A103,ScionOutput!$A$3:$BL$215,58,FALSE)</f>
        <v>VisDog</v>
      </c>
      <c r="J103">
        <f>VLOOKUP($A103,ScionOutput!$A$3:$BL$215,59,FALSE)</f>
        <v>-2.4109999999999999E-2</v>
      </c>
      <c r="K103">
        <f>VLOOKUP($A103,ScionOutput!$A$3:$BL$215,62,FALSE)</f>
        <v>5</v>
      </c>
      <c r="L103">
        <f>VLOOKUP($A103,ScionOutput!$A$3:$BL$215,63,FALSE)</f>
        <v>0.6</v>
      </c>
      <c r="M103" t="b">
        <f t="shared" si="9"/>
        <v>1</v>
      </c>
      <c r="N103">
        <f>VLOOKUP($A103,Outcomes!$B$3:$I$209,8,FALSE)</f>
        <v>5</v>
      </c>
      <c r="O103">
        <f t="shared" si="10"/>
        <v>1</v>
      </c>
      <c r="P103">
        <f>VLOOKUP($A103,Outcomes!$B$3:$I$209,5,FALSE)</f>
        <v>3</v>
      </c>
      <c r="Q103">
        <f>VLOOKUP($A103,Outcomes!$B$3:$I$209,6,FALSE)</f>
        <v>2</v>
      </c>
      <c r="R103">
        <f>VLOOKUP($A103,Outcomes!$B$3:$I$209,7,FALSE)</f>
        <v>-1</v>
      </c>
      <c r="S103" t="str">
        <f t="shared" si="11"/>
        <v>HomFave</v>
      </c>
      <c r="T103" t="str">
        <f t="shared" si="12"/>
        <v/>
      </c>
      <c r="U103" t="str">
        <f t="shared" si="8"/>
        <v/>
      </c>
      <c r="V103" t="str">
        <f t="shared" si="13"/>
        <v/>
      </c>
      <c r="W103" t="str">
        <f t="shared" si="14"/>
        <v/>
      </c>
      <c r="X103" s="2" t="str">
        <f t="shared" si="15"/>
        <v/>
      </c>
      <c r="Y103" t="str">
        <f>VLOOKUP($A103,ScionOutput!$A$3:$BL$215,64,FALSE)</f>
        <v xml:space="preserve">823369. Play determined by LineStatEns and StatOnlyEns agreement. </v>
      </c>
    </row>
    <row r="104" spans="1:25" x14ac:dyDescent="0.2">
      <c r="A104">
        <v>823213</v>
      </c>
      <c r="B104" s="3">
        <f>VLOOKUP($A104,ScionOutput!$A$3:$BL$215,3,FALSE)</f>
        <v>46186</v>
      </c>
      <c r="C104">
        <f>VLOOKUP($A104,ScionOutput!$A$3:$BL$215,22,FALSE)</f>
        <v>25</v>
      </c>
      <c r="D104" t="str">
        <f>VLOOKUP($A104,ScionOutput!$A$3:$BL$215,23,FALSE)</f>
        <v>SF</v>
      </c>
      <c r="E104">
        <f>VLOOKUP($A104,ScionOutput!$A$3:$BL$215,6,FALSE)</f>
        <v>5</v>
      </c>
      <c r="F104" t="str">
        <f>VLOOKUP($A104,ScionOutput!$A$3:$BL$215,7,FALSE)</f>
        <v>CHC</v>
      </c>
      <c r="G104">
        <f>VLOOKUP($A104,ScionOutput!$A$3:$BL$215,26,FALSE)</f>
        <v>105</v>
      </c>
      <c r="H104">
        <f>VLOOKUP($A104,ScionOutput!$A$3:$BL$215,10,FALSE)</f>
        <v>-114</v>
      </c>
      <c r="I104" t="str">
        <f>VLOOKUP($A104,ScionOutput!$A$3:$BL$215,58,FALSE)</f>
        <v>No Play</v>
      </c>
      <c r="J104">
        <f>VLOOKUP($A104,ScionOutput!$A$3:$BL$215,59,FALSE)</f>
        <v>0</v>
      </c>
      <c r="K104">
        <f>VLOOKUP($A104,ScionOutput!$A$3:$BL$215,62,FALSE)</f>
        <v>0</v>
      </c>
      <c r="L104">
        <f>VLOOKUP($A104,ScionOutput!$A$3:$BL$215,63,FALSE)</f>
        <v>0</v>
      </c>
      <c r="M104" t="b">
        <f t="shared" si="9"/>
        <v>0</v>
      </c>
      <c r="N104">
        <f>VLOOKUP($A104,Outcomes!$B$3:$I$209,8,FALSE)</f>
        <v>7</v>
      </c>
      <c r="O104">
        <f t="shared" si="10"/>
        <v>-1</v>
      </c>
      <c r="P104">
        <f>VLOOKUP($A104,Outcomes!$B$3:$I$209,5,FALSE)</f>
        <v>1</v>
      </c>
      <c r="Q104">
        <f>VLOOKUP($A104,Outcomes!$B$3:$I$209,6,FALSE)</f>
        <v>6</v>
      </c>
      <c r="R104">
        <f>VLOOKUP($A104,Outcomes!$B$3:$I$209,7,FALSE)</f>
        <v>5</v>
      </c>
      <c r="S104" t="str">
        <f t="shared" si="11"/>
        <v>VisFave</v>
      </c>
      <c r="T104" t="str">
        <f t="shared" si="12"/>
        <v/>
      </c>
      <c r="U104" t="str">
        <f t="shared" si="8"/>
        <v/>
      </c>
      <c r="V104" t="str">
        <f t="shared" si="13"/>
        <v/>
      </c>
      <c r="W104" t="str">
        <f t="shared" si="14"/>
        <v/>
      </c>
      <c r="X104" s="2" t="str">
        <f t="shared" si="15"/>
        <v/>
      </c>
      <c r="Y104" t="str">
        <f>VLOOKUP($A104,ScionOutput!$A$3:$BL$215,64,FALSE)</f>
        <v xml:space="preserve">823213. VF plays are disallowed. No play due to strategy constraints. </v>
      </c>
    </row>
    <row r="105" spans="1:25" x14ac:dyDescent="0.2">
      <c r="A105">
        <v>822802</v>
      </c>
      <c r="B105" s="3">
        <f>VLOOKUP($A105,ScionOutput!$A$3:$BL$215,3,FALSE)</f>
        <v>46186</v>
      </c>
      <c r="C105">
        <f>VLOOKUP($A105,ScionOutput!$A$3:$BL$215,22,FALSE)</f>
        <v>29</v>
      </c>
      <c r="D105" t="str">
        <f>VLOOKUP($A105,ScionOutput!$A$3:$BL$215,23,FALSE)</f>
        <v>TOR</v>
      </c>
      <c r="E105">
        <f>VLOOKUP($A105,ScionOutput!$A$3:$BL$215,6,FALSE)</f>
        <v>19</v>
      </c>
      <c r="F105" t="str">
        <f>VLOOKUP($A105,ScionOutput!$A$3:$BL$215,7,FALSE)</f>
        <v>NYY</v>
      </c>
      <c r="G105">
        <f>VLOOKUP($A105,ScionOutput!$A$3:$BL$215,26,FALSE)</f>
        <v>105</v>
      </c>
      <c r="H105">
        <f>VLOOKUP($A105,ScionOutput!$A$3:$BL$215,10,FALSE)</f>
        <v>-114</v>
      </c>
      <c r="I105" t="str">
        <f>VLOOKUP($A105,ScionOutput!$A$3:$BL$215,58,FALSE)</f>
        <v>No Play</v>
      </c>
      <c r="J105">
        <f>VLOOKUP($A105,ScionOutput!$A$3:$BL$215,59,FALSE)</f>
        <v>0</v>
      </c>
      <c r="K105">
        <f>VLOOKUP($A105,ScionOutput!$A$3:$BL$215,62,FALSE)</f>
        <v>0</v>
      </c>
      <c r="L105">
        <f>VLOOKUP($A105,ScionOutput!$A$3:$BL$215,63,FALSE)</f>
        <v>0</v>
      </c>
      <c r="M105" t="b">
        <f t="shared" si="9"/>
        <v>0</v>
      </c>
      <c r="N105">
        <f>VLOOKUP($A105,Outcomes!$B$3:$I$209,8,FALSE)</f>
        <v>4</v>
      </c>
      <c r="O105">
        <f t="shared" si="10"/>
        <v>-1</v>
      </c>
      <c r="P105">
        <f>VLOOKUP($A105,Outcomes!$B$3:$I$209,5,FALSE)</f>
        <v>1</v>
      </c>
      <c r="Q105">
        <f>VLOOKUP($A105,Outcomes!$B$3:$I$209,6,FALSE)</f>
        <v>3</v>
      </c>
      <c r="R105">
        <f>VLOOKUP($A105,Outcomes!$B$3:$I$209,7,FALSE)</f>
        <v>2</v>
      </c>
      <c r="S105" t="str">
        <f t="shared" si="11"/>
        <v>VisFave</v>
      </c>
      <c r="T105" t="str">
        <f t="shared" si="12"/>
        <v/>
      </c>
      <c r="U105" t="str">
        <f t="shared" si="8"/>
        <v/>
      </c>
      <c r="V105" t="str">
        <f t="shared" si="13"/>
        <v/>
      </c>
      <c r="W105" t="str">
        <f t="shared" si="14"/>
        <v/>
      </c>
      <c r="X105" s="2" t="str">
        <f t="shared" si="15"/>
        <v/>
      </c>
      <c r="Y105" t="str">
        <f>VLOOKUP($A105,ScionOutput!$A$3:$BL$215,64,FALSE)</f>
        <v xml:space="preserve">822802. VF plays are disallowed. No play due to strategy constraints. </v>
      </c>
    </row>
    <row r="106" spans="1:25" x14ac:dyDescent="0.2">
      <c r="A106">
        <v>824823</v>
      </c>
      <c r="B106" s="3">
        <f>VLOOKUP($A106,ScionOutput!$A$3:$BL$215,3,FALSE)</f>
        <v>46187</v>
      </c>
      <c r="C106">
        <f>VLOOKUP($A106,ScionOutput!$A$3:$BL$215,22,FALSE)</f>
        <v>2</v>
      </c>
      <c r="D106" t="str">
        <f>VLOOKUP($A106,ScionOutput!$A$3:$BL$215,23,FALSE)</f>
        <v>BAL</v>
      </c>
      <c r="E106">
        <f>VLOOKUP($A106,ScionOutput!$A$3:$BL$215,6,FALSE)</f>
        <v>23</v>
      </c>
      <c r="F106" t="str">
        <f>VLOOKUP($A106,ScionOutput!$A$3:$BL$215,7,FALSE)</f>
        <v>SD</v>
      </c>
      <c r="G106">
        <f>VLOOKUP($A106,ScionOutput!$A$3:$BL$215,26,FALSE)</f>
        <v>-134</v>
      </c>
      <c r="H106">
        <f>VLOOKUP($A106,ScionOutput!$A$3:$BL$215,10,FALSE)</f>
        <v>123</v>
      </c>
      <c r="I106" t="str">
        <f>VLOOKUP($A106,ScionOutput!$A$3:$BL$215,58,FALSE)</f>
        <v>No Play</v>
      </c>
      <c r="J106">
        <f>VLOOKUP($A106,ScionOutput!$A$3:$BL$215,59,FALSE)</f>
        <v>0</v>
      </c>
      <c r="K106">
        <f>VLOOKUP($A106,ScionOutput!$A$3:$BL$215,62,FALSE)</f>
        <v>0</v>
      </c>
      <c r="L106">
        <f>VLOOKUP($A106,ScionOutput!$A$3:$BL$215,63,FALSE)</f>
        <v>0</v>
      </c>
      <c r="M106" t="b">
        <f t="shared" si="9"/>
        <v>0</v>
      </c>
      <c r="N106">
        <f>VLOOKUP($A106,Outcomes!$B$3:$I$209,8,FALSE)</f>
        <v>7</v>
      </c>
      <c r="O106">
        <f t="shared" si="10"/>
        <v>-1</v>
      </c>
      <c r="P106">
        <f>VLOOKUP($A106,Outcomes!$B$3:$I$209,5,FALSE)</f>
        <v>2</v>
      </c>
      <c r="Q106">
        <f>VLOOKUP($A106,Outcomes!$B$3:$I$209,6,FALSE)</f>
        <v>5</v>
      </c>
      <c r="R106">
        <f>VLOOKUP($A106,Outcomes!$B$3:$I$209,7,FALSE)</f>
        <v>3</v>
      </c>
      <c r="S106" t="str">
        <f t="shared" si="11"/>
        <v>VisDog</v>
      </c>
      <c r="T106" t="str">
        <f t="shared" si="12"/>
        <v/>
      </c>
      <c r="U106" t="str">
        <f t="shared" si="8"/>
        <v/>
      </c>
      <c r="V106" t="str">
        <f t="shared" si="13"/>
        <v/>
      </c>
      <c r="W106" t="str">
        <f t="shared" si="14"/>
        <v/>
      </c>
      <c r="X106" s="2" t="str">
        <f t="shared" si="15"/>
        <v/>
      </c>
      <c r="Y106" t="str">
        <f>VLOOKUP($A106,ScionOutput!$A$3:$BL$215,64,FALSE)</f>
        <v xml:space="preserve">824823. LineStatEns probability points gap does not exceed threshold (no edge found)! StatOnlyEns probability points gap does not exceed threshold (no edge found)! No play due to strategy constraints. </v>
      </c>
    </row>
    <row r="107" spans="1:25" x14ac:dyDescent="0.2">
      <c r="A107">
        <v>824751</v>
      </c>
      <c r="B107" s="3">
        <f>VLOOKUP($A107,ScionOutput!$A$3:$BL$215,3,FALSE)</f>
        <v>46187</v>
      </c>
      <c r="C107">
        <f>VLOOKUP($A107,ScionOutput!$A$3:$BL$215,22,FALSE)</f>
        <v>3</v>
      </c>
      <c r="D107" t="str">
        <f>VLOOKUP($A107,ScionOutput!$A$3:$BL$215,23,FALSE)</f>
        <v>BOS</v>
      </c>
      <c r="E107">
        <f>VLOOKUP($A107,ScionOutput!$A$3:$BL$215,6,FALSE)</f>
        <v>28</v>
      </c>
      <c r="F107" t="str">
        <f>VLOOKUP($A107,ScionOutput!$A$3:$BL$215,7,FALSE)</f>
        <v>TEX</v>
      </c>
      <c r="G107">
        <f>VLOOKUP($A107,ScionOutput!$A$3:$BL$215,26,FALSE)</f>
        <v>-107</v>
      </c>
      <c r="H107">
        <f>VLOOKUP($A107,ScionOutput!$A$3:$BL$215,10,FALSE)</f>
        <v>-101</v>
      </c>
      <c r="I107" t="str">
        <f>VLOOKUP($A107,ScionOutput!$A$3:$BL$215,58,FALSE)</f>
        <v>VisDog</v>
      </c>
      <c r="J107">
        <f>VLOOKUP($A107,ScionOutput!$A$3:$BL$215,59,FALSE)</f>
        <v>-1.7069999999999998E-2</v>
      </c>
      <c r="K107">
        <f>VLOOKUP($A107,ScionOutput!$A$3:$BL$215,62,FALSE)</f>
        <v>3</v>
      </c>
      <c r="L107">
        <f>VLOOKUP($A107,ScionOutput!$A$3:$BL$215,63,FALSE)</f>
        <v>0.6</v>
      </c>
      <c r="M107" t="b">
        <f t="shared" si="9"/>
        <v>0</v>
      </c>
      <c r="N107">
        <f>VLOOKUP($A107,Outcomes!$B$3:$I$209,8,FALSE)</f>
        <v>10</v>
      </c>
      <c r="O107">
        <f t="shared" si="10"/>
        <v>-1</v>
      </c>
      <c r="P107">
        <f>VLOOKUP($A107,Outcomes!$B$3:$I$209,5,FALSE)</f>
        <v>4</v>
      </c>
      <c r="Q107">
        <f>VLOOKUP($A107,Outcomes!$B$3:$I$209,6,FALSE)</f>
        <v>6</v>
      </c>
      <c r="R107">
        <f>VLOOKUP($A107,Outcomes!$B$3:$I$209,7,FALSE)</f>
        <v>2</v>
      </c>
      <c r="S107" t="str">
        <f t="shared" si="11"/>
        <v>VisDog</v>
      </c>
      <c r="T107">
        <f t="shared" si="12"/>
        <v>1</v>
      </c>
      <c r="U107">
        <f t="shared" si="8"/>
        <v>101</v>
      </c>
      <c r="V107">
        <f t="shared" si="13"/>
        <v>201</v>
      </c>
      <c r="W107">
        <f t="shared" si="14"/>
        <v>100</v>
      </c>
      <c r="X107" s="2">
        <f t="shared" si="15"/>
        <v>0.99009900990099009</v>
      </c>
      <c r="Y107" t="str">
        <f>VLOOKUP($A107,ScionOutput!$A$3:$BL$215,64,FALSE)</f>
        <v xml:space="preserve">824751. StatOnlyEns probability points gap does not exceed threshold (no edge found)! Play determined by LineStatEns only. </v>
      </c>
    </row>
    <row r="108" spans="1:25" x14ac:dyDescent="0.2">
      <c r="A108">
        <v>824021</v>
      </c>
      <c r="B108" s="3">
        <f>VLOOKUP($A108,ScionOutput!$A$3:$BL$215,3,FALSE)</f>
        <v>46187</v>
      </c>
      <c r="C108">
        <f>VLOOKUP($A108,ScionOutput!$A$3:$BL$215,22,FALSE)</f>
        <v>4</v>
      </c>
      <c r="D108" t="str">
        <f>VLOOKUP($A108,ScionOutput!$A$3:$BL$215,23,FALSE)</f>
        <v>LAA</v>
      </c>
      <c r="E108">
        <f>VLOOKUP($A108,ScionOutput!$A$3:$BL$215,6,FALSE)</f>
        <v>27</v>
      </c>
      <c r="F108" t="str">
        <f>VLOOKUP($A108,ScionOutput!$A$3:$BL$215,7,FALSE)</f>
        <v>TB</v>
      </c>
      <c r="G108">
        <f>VLOOKUP($A108,ScionOutput!$A$3:$BL$215,26,FALSE)</f>
        <v>106</v>
      </c>
      <c r="H108">
        <f>VLOOKUP($A108,ScionOutput!$A$3:$BL$215,10,FALSE)</f>
        <v>-115</v>
      </c>
      <c r="I108" t="str">
        <f>VLOOKUP($A108,ScionOutput!$A$3:$BL$215,58,FALSE)</f>
        <v>No Play</v>
      </c>
      <c r="J108">
        <f>VLOOKUP($A108,ScionOutput!$A$3:$BL$215,59,FALSE)</f>
        <v>0</v>
      </c>
      <c r="K108">
        <f>VLOOKUP($A108,ScionOutput!$A$3:$BL$215,62,FALSE)</f>
        <v>0</v>
      </c>
      <c r="L108">
        <f>VLOOKUP($A108,ScionOutput!$A$3:$BL$215,63,FALSE)</f>
        <v>0</v>
      </c>
      <c r="M108" t="b">
        <f t="shared" si="9"/>
        <v>0</v>
      </c>
      <c r="N108">
        <f>VLOOKUP($A108,Outcomes!$B$3:$I$209,8,FALSE)</f>
        <v>11</v>
      </c>
      <c r="O108">
        <f t="shared" si="10"/>
        <v>-1</v>
      </c>
      <c r="P108">
        <f>VLOOKUP($A108,Outcomes!$B$3:$I$209,5,FALSE)</f>
        <v>3</v>
      </c>
      <c r="Q108">
        <f>VLOOKUP($A108,Outcomes!$B$3:$I$209,6,FALSE)</f>
        <v>8</v>
      </c>
      <c r="R108">
        <f>VLOOKUP($A108,Outcomes!$B$3:$I$209,7,FALSE)</f>
        <v>5</v>
      </c>
      <c r="S108" t="str">
        <f t="shared" si="11"/>
        <v>VisFave</v>
      </c>
      <c r="T108" t="str">
        <f t="shared" si="12"/>
        <v/>
      </c>
      <c r="U108" t="str">
        <f t="shared" si="8"/>
        <v/>
      </c>
      <c r="V108" t="str">
        <f t="shared" si="13"/>
        <v/>
      </c>
      <c r="W108" t="str">
        <f t="shared" si="14"/>
        <v/>
      </c>
      <c r="X108" s="2" t="str">
        <f t="shared" si="15"/>
        <v/>
      </c>
      <c r="Y108" t="str">
        <f>VLOOKUP($A108,ScionOutput!$A$3:$BL$215,64,FALSE)</f>
        <v xml:space="preserve">824021. V_SP is Null, team-based avg used. NoPlay as V_SP is Null. </v>
      </c>
    </row>
    <row r="109" spans="1:25" x14ac:dyDescent="0.2">
      <c r="A109">
        <v>824506</v>
      </c>
      <c r="B109" s="3">
        <f>VLOOKUP($A109,ScionOutput!$A$3:$BL$215,3,FALSE)</f>
        <v>46187</v>
      </c>
      <c r="C109">
        <f>VLOOKUP($A109,ScionOutput!$A$3:$BL$215,22,FALSE)</f>
        <v>6</v>
      </c>
      <c r="D109" t="str">
        <f>VLOOKUP($A109,ScionOutput!$A$3:$BL$215,23,FALSE)</f>
        <v>CIN</v>
      </c>
      <c r="E109">
        <f>VLOOKUP($A109,ScionOutput!$A$3:$BL$215,6,FALSE)</f>
        <v>1</v>
      </c>
      <c r="F109" t="str">
        <f>VLOOKUP($A109,ScionOutput!$A$3:$BL$215,7,FALSE)</f>
        <v>ARZ</v>
      </c>
      <c r="G109">
        <f>VLOOKUP($A109,ScionOutput!$A$3:$BL$215,26,FALSE)</f>
        <v>-101</v>
      </c>
      <c r="H109">
        <f>VLOOKUP($A109,ScionOutput!$A$3:$BL$215,10,FALSE)</f>
        <v>-107</v>
      </c>
      <c r="I109" t="str">
        <f>VLOOKUP($A109,ScionOutput!$A$3:$BL$215,58,FALSE)</f>
        <v>No Play</v>
      </c>
      <c r="J109">
        <f>VLOOKUP($A109,ScionOutput!$A$3:$BL$215,59,FALSE)</f>
        <v>0</v>
      </c>
      <c r="K109">
        <f>VLOOKUP($A109,ScionOutput!$A$3:$BL$215,62,FALSE)</f>
        <v>0</v>
      </c>
      <c r="L109">
        <f>VLOOKUP($A109,ScionOutput!$A$3:$BL$215,63,FALSE)</f>
        <v>0</v>
      </c>
      <c r="M109" t="b">
        <f t="shared" si="9"/>
        <v>0</v>
      </c>
      <c r="N109">
        <f>VLOOKUP($A109,Outcomes!$B$3:$I$209,8,FALSE)</f>
        <v>8</v>
      </c>
      <c r="O109">
        <f t="shared" si="10"/>
        <v>-1</v>
      </c>
      <c r="P109">
        <f>VLOOKUP($A109,Outcomes!$B$3:$I$209,5,FALSE)</f>
        <v>3</v>
      </c>
      <c r="Q109">
        <f>VLOOKUP($A109,Outcomes!$B$3:$I$209,6,FALSE)</f>
        <v>5</v>
      </c>
      <c r="R109">
        <f>VLOOKUP($A109,Outcomes!$B$3:$I$209,7,FALSE)</f>
        <v>2</v>
      </c>
      <c r="S109" t="str">
        <f t="shared" si="11"/>
        <v>VisFave</v>
      </c>
      <c r="T109" t="str">
        <f t="shared" si="12"/>
        <v/>
      </c>
      <c r="U109" t="str">
        <f t="shared" si="8"/>
        <v/>
      </c>
      <c r="V109" t="str">
        <f t="shared" si="13"/>
        <v/>
      </c>
      <c r="W109" t="str">
        <f t="shared" si="14"/>
        <v/>
      </c>
      <c r="X109" s="2" t="str">
        <f t="shared" si="15"/>
        <v/>
      </c>
      <c r="Y109" t="str">
        <f>VLOOKUP($A109,ScionOutput!$A$3:$BL$215,64,FALSE)</f>
        <v xml:space="preserve">824506. VF plays are disallowed. No play due to strategy constraints. </v>
      </c>
    </row>
    <row r="110" spans="1:25" x14ac:dyDescent="0.2">
      <c r="A110">
        <v>824586</v>
      </c>
      <c r="B110" s="3">
        <f>VLOOKUP($A110,ScionOutput!$A$3:$BL$215,3,FALSE)</f>
        <v>46187</v>
      </c>
      <c r="C110">
        <f>VLOOKUP($A110,ScionOutput!$A$3:$BL$215,22,FALSE)</f>
        <v>9</v>
      </c>
      <c r="D110" t="str">
        <f>VLOOKUP($A110,ScionOutput!$A$3:$BL$215,23,FALSE)</f>
        <v>CWS</v>
      </c>
      <c r="E110">
        <f>VLOOKUP($A110,ScionOutput!$A$3:$BL$215,6,FALSE)</f>
        <v>14</v>
      </c>
      <c r="F110" t="str">
        <f>VLOOKUP($A110,ScionOutput!$A$3:$BL$215,7,FALSE)</f>
        <v>LA</v>
      </c>
      <c r="G110">
        <f>VLOOKUP($A110,ScionOutput!$A$3:$BL$215,26,FALSE)</f>
        <v>171</v>
      </c>
      <c r="H110">
        <f>VLOOKUP($A110,ScionOutput!$A$3:$BL$215,10,FALSE)</f>
        <v>-188</v>
      </c>
      <c r="I110" t="str">
        <f>VLOOKUP($A110,ScionOutput!$A$3:$BL$215,58,FALSE)</f>
        <v>No Play</v>
      </c>
      <c r="J110">
        <f>VLOOKUP($A110,ScionOutput!$A$3:$BL$215,59,FALSE)</f>
        <v>0</v>
      </c>
      <c r="K110">
        <f>VLOOKUP($A110,ScionOutput!$A$3:$BL$215,62,FALSE)</f>
        <v>0</v>
      </c>
      <c r="L110">
        <f>VLOOKUP($A110,ScionOutput!$A$3:$BL$215,63,FALSE)</f>
        <v>0</v>
      </c>
      <c r="M110" t="b">
        <f t="shared" si="9"/>
        <v>0</v>
      </c>
      <c r="N110">
        <f>VLOOKUP($A110,Outcomes!$B$3:$I$209,8,FALSE)</f>
        <v>10</v>
      </c>
      <c r="O110">
        <f t="shared" si="10"/>
        <v>1</v>
      </c>
      <c r="P110">
        <f>VLOOKUP($A110,Outcomes!$B$3:$I$209,5,FALSE)</f>
        <v>6</v>
      </c>
      <c r="Q110">
        <f>VLOOKUP($A110,Outcomes!$B$3:$I$209,6,FALSE)</f>
        <v>4</v>
      </c>
      <c r="R110">
        <f>VLOOKUP($A110,Outcomes!$B$3:$I$209,7,FALSE)</f>
        <v>-2</v>
      </c>
      <c r="S110" t="str">
        <f t="shared" si="11"/>
        <v>HomDog</v>
      </c>
      <c r="T110" t="str">
        <f t="shared" si="12"/>
        <v/>
      </c>
      <c r="U110" t="str">
        <f t="shared" si="8"/>
        <v/>
      </c>
      <c r="V110" t="str">
        <f t="shared" si="13"/>
        <v/>
      </c>
      <c r="W110" t="str">
        <f t="shared" si="14"/>
        <v/>
      </c>
      <c r="X110" s="2" t="str">
        <f t="shared" si="15"/>
        <v/>
      </c>
      <c r="Y110" t="str">
        <f>VLOOKUP($A110,ScionOutput!$A$3:$BL$215,64,FALSE)</f>
        <v xml:space="preserve">824586. LineStatEns is NoPlay as bookie-line outside range. StatOnlyEns is NoPlay as bookie-line outside range. No play due to strategy constraints. </v>
      </c>
    </row>
    <row r="111" spans="1:25" x14ac:dyDescent="0.2">
      <c r="A111">
        <v>824099</v>
      </c>
      <c r="B111" s="3">
        <f>VLOOKUP($A111,ScionOutput!$A$3:$BL$215,3,FALSE)</f>
        <v>46187</v>
      </c>
      <c r="C111">
        <f>VLOOKUP($A111,ScionOutput!$A$3:$BL$215,22,FALSE)</f>
        <v>13</v>
      </c>
      <c r="D111" t="str">
        <f>VLOOKUP($A111,ScionOutput!$A$3:$BL$215,23,FALSE)</f>
        <v>KC</v>
      </c>
      <c r="E111">
        <f>VLOOKUP($A111,ScionOutput!$A$3:$BL$215,6,FALSE)</f>
        <v>12</v>
      </c>
      <c r="F111" t="str">
        <f>VLOOKUP($A111,ScionOutput!$A$3:$BL$215,7,FALSE)</f>
        <v>HOU</v>
      </c>
      <c r="G111">
        <f>VLOOKUP($A111,ScionOutput!$A$3:$BL$215,26,FALSE)</f>
        <v>-116</v>
      </c>
      <c r="H111">
        <f>VLOOKUP($A111,ScionOutput!$A$3:$BL$215,10,FALSE)</f>
        <v>107</v>
      </c>
      <c r="I111" t="str">
        <f>VLOOKUP($A111,ScionOutput!$A$3:$BL$215,58,FALSE)</f>
        <v>VisDog</v>
      </c>
      <c r="J111">
        <f>VLOOKUP($A111,ScionOutput!$A$3:$BL$215,59,FALSE)</f>
        <v>-4.6440000000000002E-2</v>
      </c>
      <c r="K111">
        <f>VLOOKUP($A111,ScionOutput!$A$3:$BL$215,62,FALSE)</f>
        <v>3</v>
      </c>
      <c r="L111">
        <f>VLOOKUP($A111,ScionOutput!$A$3:$BL$215,63,FALSE)</f>
        <v>0.73</v>
      </c>
      <c r="M111" t="b">
        <f t="shared" si="9"/>
        <v>0</v>
      </c>
      <c r="N111">
        <f>VLOOKUP($A111,Outcomes!$B$3:$I$209,8,FALSE)</f>
        <v>4</v>
      </c>
      <c r="O111">
        <f t="shared" si="10"/>
        <v>1</v>
      </c>
      <c r="P111">
        <f>VLOOKUP($A111,Outcomes!$B$3:$I$209,5,FALSE)</f>
        <v>4</v>
      </c>
      <c r="Q111">
        <f>VLOOKUP($A111,Outcomes!$B$3:$I$209,6,FALSE)</f>
        <v>0</v>
      </c>
      <c r="R111">
        <f>VLOOKUP($A111,Outcomes!$B$3:$I$209,7,FALSE)</f>
        <v>-4</v>
      </c>
      <c r="S111" t="str">
        <f t="shared" si="11"/>
        <v>HomFave</v>
      </c>
      <c r="T111">
        <f t="shared" si="12"/>
        <v>0</v>
      </c>
      <c r="U111">
        <f t="shared" si="8"/>
        <v>100</v>
      </c>
      <c r="V111">
        <f t="shared" si="13"/>
        <v>0</v>
      </c>
      <c r="W111">
        <f t="shared" si="14"/>
        <v>-100</v>
      </c>
      <c r="X111" s="2">
        <f t="shared" si="15"/>
        <v>-1</v>
      </c>
      <c r="Y111" t="str">
        <f>VLOOKUP($A111,ScionOutput!$A$3:$BL$215,64,FALSE)</f>
        <v xml:space="preserve">824099. StatOnlyEns probability points gap does not exceed threshold (no edge found)! Play determined by LineStatEns only. </v>
      </c>
    </row>
    <row r="112" spans="1:25" x14ac:dyDescent="0.2">
      <c r="A112">
        <v>823693</v>
      </c>
      <c r="B112" s="3">
        <f>VLOOKUP($A112,ScionOutput!$A$3:$BL$215,3,FALSE)</f>
        <v>46187</v>
      </c>
      <c r="C112">
        <f>VLOOKUP($A112,ScionOutput!$A$3:$BL$215,22,FALSE)</f>
        <v>15</v>
      </c>
      <c r="D112" t="str">
        <f>VLOOKUP($A112,ScionOutput!$A$3:$BL$215,23,FALSE)</f>
        <v>MIN</v>
      </c>
      <c r="E112">
        <f>VLOOKUP($A112,ScionOutput!$A$3:$BL$215,6,FALSE)</f>
        <v>26</v>
      </c>
      <c r="F112" t="str">
        <f>VLOOKUP($A112,ScionOutput!$A$3:$BL$215,7,FALSE)</f>
        <v>STL</v>
      </c>
      <c r="G112">
        <f>VLOOKUP($A112,ScionOutput!$A$3:$BL$215,26,FALSE)</f>
        <v>-108</v>
      </c>
      <c r="H112">
        <f>VLOOKUP($A112,ScionOutput!$A$3:$BL$215,10,FALSE)</f>
        <v>100</v>
      </c>
      <c r="I112" t="str">
        <f>VLOOKUP($A112,ScionOutput!$A$3:$BL$215,58,FALSE)</f>
        <v>No Play</v>
      </c>
      <c r="J112">
        <f>VLOOKUP($A112,ScionOutput!$A$3:$BL$215,59,FALSE)</f>
        <v>0</v>
      </c>
      <c r="K112">
        <f>VLOOKUP($A112,ScionOutput!$A$3:$BL$215,62,FALSE)</f>
        <v>0</v>
      </c>
      <c r="L112">
        <f>VLOOKUP($A112,ScionOutput!$A$3:$BL$215,63,FALSE)</f>
        <v>0</v>
      </c>
      <c r="M112" t="b">
        <f t="shared" si="9"/>
        <v>0</v>
      </c>
      <c r="N112">
        <f>VLOOKUP($A112,Outcomes!$B$3:$I$209,8,FALSE)</f>
        <v>9</v>
      </c>
      <c r="O112">
        <f t="shared" si="10"/>
        <v>1</v>
      </c>
      <c r="P112">
        <f>VLOOKUP($A112,Outcomes!$B$3:$I$209,5,FALSE)</f>
        <v>5</v>
      </c>
      <c r="Q112">
        <f>VLOOKUP($A112,Outcomes!$B$3:$I$209,6,FALSE)</f>
        <v>4</v>
      </c>
      <c r="R112">
        <f>VLOOKUP($A112,Outcomes!$B$3:$I$209,7,FALSE)</f>
        <v>-1</v>
      </c>
      <c r="S112" t="str">
        <f t="shared" si="11"/>
        <v>HomFave</v>
      </c>
      <c r="T112" t="str">
        <f t="shared" si="12"/>
        <v/>
      </c>
      <c r="U112" t="str">
        <f t="shared" si="8"/>
        <v/>
      </c>
      <c r="V112" t="str">
        <f t="shared" si="13"/>
        <v/>
      </c>
      <c r="W112" t="str">
        <f t="shared" si="14"/>
        <v/>
      </c>
      <c r="X112" s="2" t="str">
        <f t="shared" si="15"/>
        <v/>
      </c>
      <c r="Y112" t="str">
        <f>VLOOKUP($A112,ScionOutput!$A$3:$BL$215,64,FALSE)</f>
        <v xml:space="preserve">823693. LineStatEns probability points gap does not exceed threshold (no edge found)! StatOnlyEns probability points gap does not exceed threshold (no edge found)! No play due to strategy constraints. </v>
      </c>
    </row>
    <row r="113" spans="1:25" x14ac:dyDescent="0.2">
      <c r="A113">
        <v>822722</v>
      </c>
      <c r="B113" s="3">
        <f>VLOOKUP($A113,ScionOutput!$A$3:$BL$215,3,FALSE)</f>
        <v>46187</v>
      </c>
      <c r="C113">
        <f>VLOOKUP($A113,ScionOutput!$A$3:$BL$215,22,FALSE)</f>
        <v>16</v>
      </c>
      <c r="D113" t="str">
        <f>VLOOKUP($A113,ScionOutput!$A$3:$BL$215,23,FALSE)</f>
        <v>WAS</v>
      </c>
      <c r="E113">
        <f>VLOOKUP($A113,ScionOutput!$A$3:$BL$215,6,FALSE)</f>
        <v>24</v>
      </c>
      <c r="F113" t="str">
        <f>VLOOKUP($A113,ScionOutput!$A$3:$BL$215,7,FALSE)</f>
        <v>SEA</v>
      </c>
      <c r="G113">
        <f>VLOOKUP($A113,ScionOutput!$A$3:$BL$215,26,FALSE)</f>
        <v>119</v>
      </c>
      <c r="H113">
        <f>VLOOKUP($A113,ScionOutput!$A$3:$BL$215,10,FALSE)</f>
        <v>-129</v>
      </c>
      <c r="I113" t="str">
        <f>VLOOKUP($A113,ScionOutput!$A$3:$BL$215,58,FALSE)</f>
        <v>No Play</v>
      </c>
      <c r="J113">
        <f>VLOOKUP($A113,ScionOutput!$A$3:$BL$215,59,FALSE)</f>
        <v>0</v>
      </c>
      <c r="K113">
        <f>VLOOKUP($A113,ScionOutput!$A$3:$BL$215,62,FALSE)</f>
        <v>0</v>
      </c>
      <c r="L113">
        <f>VLOOKUP($A113,ScionOutput!$A$3:$BL$215,63,FALSE)</f>
        <v>0</v>
      </c>
      <c r="M113" t="b">
        <f t="shared" si="9"/>
        <v>0</v>
      </c>
      <c r="N113">
        <f>VLOOKUP($A113,Outcomes!$B$3:$I$209,8,FALSE)</f>
        <v>11</v>
      </c>
      <c r="O113">
        <f t="shared" si="10"/>
        <v>1</v>
      </c>
      <c r="P113">
        <f>VLOOKUP($A113,Outcomes!$B$3:$I$209,5,FALSE)</f>
        <v>10</v>
      </c>
      <c r="Q113">
        <f>VLOOKUP($A113,Outcomes!$B$3:$I$209,6,FALSE)</f>
        <v>1</v>
      </c>
      <c r="R113">
        <f>VLOOKUP($A113,Outcomes!$B$3:$I$209,7,FALSE)</f>
        <v>-9</v>
      </c>
      <c r="S113" t="str">
        <f t="shared" si="11"/>
        <v>HomDog</v>
      </c>
      <c r="T113" t="str">
        <f t="shared" si="12"/>
        <v/>
      </c>
      <c r="U113" t="str">
        <f t="shared" si="8"/>
        <v/>
      </c>
      <c r="V113" t="str">
        <f t="shared" si="13"/>
        <v/>
      </c>
      <c r="W113" t="str">
        <f t="shared" si="14"/>
        <v/>
      </c>
      <c r="X113" s="2" t="str">
        <f t="shared" si="15"/>
        <v/>
      </c>
      <c r="Y113" t="str">
        <f>VLOOKUP($A113,ScionOutput!$A$3:$BL$215,64,FALSE)</f>
        <v xml:space="preserve">822722. VF plays are disallowed. No play due to strategy constraints. </v>
      </c>
    </row>
    <row r="114" spans="1:25" x14ac:dyDescent="0.2">
      <c r="A114">
        <v>823777</v>
      </c>
      <c r="B114" s="3">
        <f>VLOOKUP($A114,ScionOutput!$A$3:$BL$215,3,FALSE)</f>
        <v>46187</v>
      </c>
      <c r="C114">
        <f>VLOOKUP($A114,ScionOutput!$A$3:$BL$215,22,FALSE)</f>
        <v>17</v>
      </c>
      <c r="D114" t="str">
        <f>VLOOKUP($A114,ScionOutput!$A$3:$BL$215,23,FALSE)</f>
        <v>MLW</v>
      </c>
      <c r="E114">
        <f>VLOOKUP($A114,ScionOutput!$A$3:$BL$215,6,FALSE)</f>
        <v>21</v>
      </c>
      <c r="F114" t="str">
        <f>VLOOKUP($A114,ScionOutput!$A$3:$BL$215,7,FALSE)</f>
        <v>PHI</v>
      </c>
      <c r="G114">
        <f>VLOOKUP($A114,ScionOutput!$A$3:$BL$215,26,FALSE)</f>
        <v>113</v>
      </c>
      <c r="H114">
        <f>VLOOKUP($A114,ScionOutput!$A$3:$BL$215,10,FALSE)</f>
        <v>-122</v>
      </c>
      <c r="I114" t="str">
        <f>VLOOKUP($A114,ScionOutput!$A$3:$BL$215,58,FALSE)</f>
        <v>No Play</v>
      </c>
      <c r="J114">
        <f>VLOOKUP($A114,ScionOutput!$A$3:$BL$215,59,FALSE)</f>
        <v>0</v>
      </c>
      <c r="K114">
        <f>VLOOKUP($A114,ScionOutput!$A$3:$BL$215,62,FALSE)</f>
        <v>0</v>
      </c>
      <c r="L114">
        <f>VLOOKUP($A114,ScionOutput!$A$3:$BL$215,63,FALSE)</f>
        <v>0</v>
      </c>
      <c r="M114" t="b">
        <f t="shared" si="9"/>
        <v>0</v>
      </c>
      <c r="N114">
        <f>VLOOKUP($A114,Outcomes!$B$3:$I$209,8,FALSE)</f>
        <v>4</v>
      </c>
      <c r="O114">
        <f t="shared" si="10"/>
        <v>1</v>
      </c>
      <c r="P114">
        <f>VLOOKUP($A114,Outcomes!$B$3:$I$209,5,FALSE)</f>
        <v>4</v>
      </c>
      <c r="Q114">
        <f>VLOOKUP($A114,Outcomes!$B$3:$I$209,6,FALSE)</f>
        <v>0</v>
      </c>
      <c r="R114">
        <f>VLOOKUP($A114,Outcomes!$B$3:$I$209,7,FALSE)</f>
        <v>-4</v>
      </c>
      <c r="S114" t="str">
        <f t="shared" si="11"/>
        <v>HomDog</v>
      </c>
      <c r="T114" t="str">
        <f t="shared" si="12"/>
        <v/>
      </c>
      <c r="U114" t="str">
        <f t="shared" si="8"/>
        <v/>
      </c>
      <c r="V114" t="str">
        <f t="shared" si="13"/>
        <v/>
      </c>
      <c r="W114" t="str">
        <f t="shared" si="14"/>
        <v/>
      </c>
      <c r="X114" s="2" t="str">
        <f t="shared" si="15"/>
        <v/>
      </c>
      <c r="Y114" t="str">
        <f>VLOOKUP($A114,ScionOutput!$A$3:$BL$215,64,FALSE)</f>
        <v xml:space="preserve">823777. VF plays are disallowed. No play due to strategy constraints. </v>
      </c>
    </row>
    <row r="115" spans="1:25" x14ac:dyDescent="0.2">
      <c r="A115">
        <v>823615</v>
      </c>
      <c r="B115" s="3">
        <f>VLOOKUP($A115,ScionOutput!$A$3:$BL$215,3,FALSE)</f>
        <v>46187</v>
      </c>
      <c r="C115">
        <f>VLOOKUP($A115,ScionOutput!$A$3:$BL$215,22,FALSE)</f>
        <v>18</v>
      </c>
      <c r="D115" t="str">
        <f>VLOOKUP($A115,ScionOutput!$A$3:$BL$215,23,FALSE)</f>
        <v>NYM</v>
      </c>
      <c r="E115">
        <f>VLOOKUP($A115,ScionOutput!$A$3:$BL$215,6,FALSE)</f>
        <v>0</v>
      </c>
      <c r="F115" t="str">
        <f>VLOOKUP($A115,ScionOutput!$A$3:$BL$215,7,FALSE)</f>
        <v>ATL</v>
      </c>
      <c r="G115">
        <f>VLOOKUP($A115,ScionOutput!$A$3:$BL$215,26,FALSE)</f>
        <v>-122</v>
      </c>
      <c r="H115">
        <f>VLOOKUP($A115,ScionOutput!$A$3:$BL$215,10,FALSE)</f>
        <v>113</v>
      </c>
      <c r="I115" t="str">
        <f>VLOOKUP($A115,ScionOutput!$A$3:$BL$215,58,FALSE)</f>
        <v>No Play</v>
      </c>
      <c r="J115">
        <f>VLOOKUP($A115,ScionOutput!$A$3:$BL$215,59,FALSE)</f>
        <v>0</v>
      </c>
      <c r="K115">
        <f>VLOOKUP($A115,ScionOutput!$A$3:$BL$215,62,FALSE)</f>
        <v>0</v>
      </c>
      <c r="L115">
        <f>VLOOKUP($A115,ScionOutput!$A$3:$BL$215,63,FALSE)</f>
        <v>0</v>
      </c>
      <c r="M115" t="b">
        <f t="shared" si="9"/>
        <v>0</v>
      </c>
      <c r="N115">
        <f>VLOOKUP($A115,Outcomes!$B$3:$I$209,8,FALSE)</f>
        <v>9</v>
      </c>
      <c r="O115">
        <f t="shared" si="10"/>
        <v>1</v>
      </c>
      <c r="P115">
        <f>VLOOKUP($A115,Outcomes!$B$3:$I$209,5,FALSE)</f>
        <v>8</v>
      </c>
      <c r="Q115">
        <f>VLOOKUP($A115,Outcomes!$B$3:$I$209,6,FALSE)</f>
        <v>1</v>
      </c>
      <c r="R115">
        <f>VLOOKUP($A115,Outcomes!$B$3:$I$209,7,FALSE)</f>
        <v>-7</v>
      </c>
      <c r="S115" t="str">
        <f t="shared" si="11"/>
        <v>HomFave</v>
      </c>
      <c r="T115" t="str">
        <f t="shared" si="12"/>
        <v/>
      </c>
      <c r="U115" t="str">
        <f t="shared" si="8"/>
        <v/>
      </c>
      <c r="V115" t="str">
        <f t="shared" si="13"/>
        <v/>
      </c>
      <c r="W115" t="str">
        <f t="shared" si="14"/>
        <v/>
      </c>
      <c r="X115" s="2" t="str">
        <f t="shared" si="15"/>
        <v/>
      </c>
      <c r="Y115" t="str">
        <f>VLOOKUP($A115,ScionOutput!$A$3:$BL$215,64,FALSE)</f>
        <v xml:space="preserve">823615. LineStatEns probability points gap does not exceed threshold (no edge found)! No play due to strategy constraints. </v>
      </c>
    </row>
    <row r="116" spans="1:25" x14ac:dyDescent="0.2">
      <c r="A116">
        <v>824994</v>
      </c>
      <c r="B116" s="3">
        <f>VLOOKUP($A116,ScionOutput!$A$3:$BL$215,3,FALSE)</f>
        <v>46187</v>
      </c>
      <c r="C116">
        <f>VLOOKUP($A116,ScionOutput!$A$3:$BL$215,22,FALSE)</f>
        <v>20</v>
      </c>
      <c r="D116" t="str">
        <f>VLOOKUP($A116,ScionOutput!$A$3:$BL$215,23,FALSE)</f>
        <v>OAK</v>
      </c>
      <c r="E116">
        <f>VLOOKUP($A116,ScionOutput!$A$3:$BL$215,6,FALSE)</f>
        <v>8</v>
      </c>
      <c r="F116" t="str">
        <f>VLOOKUP($A116,ScionOutput!$A$3:$BL$215,7,FALSE)</f>
        <v>COL</v>
      </c>
      <c r="G116">
        <f>VLOOKUP($A116,ScionOutput!$A$3:$BL$215,26,FALSE)</f>
        <v>-188</v>
      </c>
      <c r="H116">
        <f>VLOOKUP($A116,ScionOutput!$A$3:$BL$215,10,FALSE)</f>
        <v>171</v>
      </c>
      <c r="I116" t="str">
        <f>VLOOKUP($A116,ScionOutput!$A$3:$BL$215,58,FALSE)</f>
        <v>No Play</v>
      </c>
      <c r="J116">
        <f>VLOOKUP($A116,ScionOutput!$A$3:$BL$215,59,FALSE)</f>
        <v>0</v>
      </c>
      <c r="K116">
        <f>VLOOKUP($A116,ScionOutput!$A$3:$BL$215,62,FALSE)</f>
        <v>0</v>
      </c>
      <c r="L116">
        <f>VLOOKUP($A116,ScionOutput!$A$3:$BL$215,63,FALSE)</f>
        <v>0</v>
      </c>
      <c r="M116" t="b">
        <f t="shared" si="9"/>
        <v>0</v>
      </c>
      <c r="N116">
        <f>VLOOKUP($A116,Outcomes!$B$3:$I$209,8,FALSE)</f>
        <v>32</v>
      </c>
      <c r="O116">
        <f t="shared" si="10"/>
        <v>-1</v>
      </c>
      <c r="P116">
        <f>VLOOKUP($A116,Outcomes!$B$3:$I$209,5,FALSE)</f>
        <v>9</v>
      </c>
      <c r="Q116">
        <f>VLOOKUP($A116,Outcomes!$B$3:$I$209,6,FALSE)</f>
        <v>23</v>
      </c>
      <c r="R116">
        <f>VLOOKUP($A116,Outcomes!$B$3:$I$209,7,FALSE)</f>
        <v>14</v>
      </c>
      <c r="S116" t="str">
        <f t="shared" si="11"/>
        <v>VisDog</v>
      </c>
      <c r="T116" t="str">
        <f t="shared" si="12"/>
        <v/>
      </c>
      <c r="U116" t="str">
        <f t="shared" si="8"/>
        <v/>
      </c>
      <c r="V116" t="str">
        <f t="shared" si="13"/>
        <v/>
      </c>
      <c r="W116" t="str">
        <f t="shared" si="14"/>
        <v/>
      </c>
      <c r="X116" s="2" t="str">
        <f t="shared" si="15"/>
        <v/>
      </c>
      <c r="Y116" t="str">
        <f>VLOOKUP($A116,ScionOutput!$A$3:$BL$215,64,FALSE)</f>
        <v xml:space="preserve">824994. LineStatEns is NoPlay as bookie-line outside range. StatOnlyEns is NoPlay as bookie-line outside range. No play due to strategy constraints. </v>
      </c>
    </row>
    <row r="117" spans="1:25" x14ac:dyDescent="0.2">
      <c r="A117">
        <v>823368</v>
      </c>
      <c r="B117" s="3">
        <f>VLOOKUP($A117,ScionOutput!$A$3:$BL$215,3,FALSE)</f>
        <v>46187</v>
      </c>
      <c r="C117">
        <f>VLOOKUP($A117,ScionOutput!$A$3:$BL$215,22,FALSE)</f>
        <v>22</v>
      </c>
      <c r="D117" t="str">
        <f>VLOOKUP($A117,ScionOutput!$A$3:$BL$215,23,FALSE)</f>
        <v>PIT</v>
      </c>
      <c r="E117">
        <f>VLOOKUP($A117,ScionOutput!$A$3:$BL$215,6,FALSE)</f>
        <v>11</v>
      </c>
      <c r="F117" t="str">
        <f>VLOOKUP($A117,ScionOutput!$A$3:$BL$215,7,FALSE)</f>
        <v>FLO</v>
      </c>
      <c r="G117">
        <f>VLOOKUP($A117,ScionOutput!$A$3:$BL$215,26,FALSE)</f>
        <v>-150</v>
      </c>
      <c r="H117">
        <f>VLOOKUP($A117,ScionOutput!$A$3:$BL$215,10,FALSE)</f>
        <v>138</v>
      </c>
      <c r="I117" t="str">
        <f>VLOOKUP($A117,ScionOutput!$A$3:$BL$215,58,FALSE)</f>
        <v>No Play</v>
      </c>
      <c r="J117">
        <f>VLOOKUP($A117,ScionOutput!$A$3:$BL$215,59,FALSE)</f>
        <v>0</v>
      </c>
      <c r="K117">
        <f>VLOOKUP($A117,ScionOutput!$A$3:$BL$215,62,FALSE)</f>
        <v>0</v>
      </c>
      <c r="L117">
        <f>VLOOKUP($A117,ScionOutput!$A$3:$BL$215,63,FALSE)</f>
        <v>0</v>
      </c>
      <c r="M117" t="b">
        <f t="shared" si="9"/>
        <v>0</v>
      </c>
      <c r="N117">
        <f>VLOOKUP($A117,Outcomes!$B$3:$I$209,8,FALSE)</f>
        <v>6</v>
      </c>
      <c r="O117">
        <f t="shared" si="10"/>
        <v>-1</v>
      </c>
      <c r="P117">
        <f>VLOOKUP($A117,Outcomes!$B$3:$I$209,5,FALSE)</f>
        <v>2</v>
      </c>
      <c r="Q117">
        <f>VLOOKUP($A117,Outcomes!$B$3:$I$209,6,FALSE)</f>
        <v>4</v>
      </c>
      <c r="R117">
        <f>VLOOKUP($A117,Outcomes!$B$3:$I$209,7,FALSE)</f>
        <v>2</v>
      </c>
      <c r="S117" t="str">
        <f t="shared" si="11"/>
        <v>VisDog</v>
      </c>
      <c r="T117" t="str">
        <f t="shared" si="12"/>
        <v/>
      </c>
      <c r="U117" t="str">
        <f t="shared" si="8"/>
        <v/>
      </c>
      <c r="V117" t="str">
        <f t="shared" si="13"/>
        <v/>
      </c>
      <c r="W117" t="str">
        <f t="shared" si="14"/>
        <v/>
      </c>
      <c r="X117" s="2" t="str">
        <f t="shared" si="15"/>
        <v/>
      </c>
      <c r="Y117" t="str">
        <f>VLOOKUP($A117,ScionOutput!$A$3:$BL$215,64,FALSE)</f>
        <v xml:space="preserve">823368. LineStatEns probability points gap does not exceed threshold (no edge found)! No play due to strategy constraints. </v>
      </c>
    </row>
    <row r="118" spans="1:25" x14ac:dyDescent="0.2">
      <c r="A118">
        <v>823212</v>
      </c>
      <c r="B118" s="3">
        <f>VLOOKUP($A118,ScionOutput!$A$3:$BL$215,3,FALSE)</f>
        <v>46187</v>
      </c>
      <c r="C118">
        <f>VLOOKUP($A118,ScionOutput!$A$3:$BL$215,22,FALSE)</f>
        <v>25</v>
      </c>
      <c r="D118" t="str">
        <f>VLOOKUP($A118,ScionOutput!$A$3:$BL$215,23,FALSE)</f>
        <v>SF</v>
      </c>
      <c r="E118">
        <f>VLOOKUP($A118,ScionOutput!$A$3:$BL$215,6,FALSE)</f>
        <v>5</v>
      </c>
      <c r="F118" t="str">
        <f>VLOOKUP($A118,ScionOutput!$A$3:$BL$215,7,FALSE)</f>
        <v>CHC</v>
      </c>
      <c r="G118">
        <f>VLOOKUP($A118,ScionOutput!$A$3:$BL$215,26,FALSE)</f>
        <v>-124</v>
      </c>
      <c r="H118">
        <f>VLOOKUP($A118,ScionOutput!$A$3:$BL$215,10,FALSE)</f>
        <v>115</v>
      </c>
      <c r="I118" t="str">
        <f>VLOOKUP($A118,ScionOutput!$A$3:$BL$215,58,FALSE)</f>
        <v>No Play</v>
      </c>
      <c r="J118">
        <f>VLOOKUP($A118,ScionOutput!$A$3:$BL$215,59,FALSE)</f>
        <v>0</v>
      </c>
      <c r="K118">
        <f>VLOOKUP($A118,ScionOutput!$A$3:$BL$215,62,FALSE)</f>
        <v>0</v>
      </c>
      <c r="L118">
        <f>VLOOKUP($A118,ScionOutput!$A$3:$BL$215,63,FALSE)</f>
        <v>0</v>
      </c>
      <c r="M118" t="b">
        <f t="shared" si="9"/>
        <v>0</v>
      </c>
      <c r="N118">
        <f>VLOOKUP($A118,Outcomes!$B$3:$I$209,8,FALSE)</f>
        <v>6</v>
      </c>
      <c r="O118">
        <f t="shared" si="10"/>
        <v>1</v>
      </c>
      <c r="P118">
        <f>VLOOKUP($A118,Outcomes!$B$3:$I$209,5,FALSE)</f>
        <v>5</v>
      </c>
      <c r="Q118">
        <f>VLOOKUP($A118,Outcomes!$B$3:$I$209,6,FALSE)</f>
        <v>1</v>
      </c>
      <c r="R118">
        <f>VLOOKUP($A118,Outcomes!$B$3:$I$209,7,FALSE)</f>
        <v>-4</v>
      </c>
      <c r="S118" t="str">
        <f t="shared" si="11"/>
        <v>HomFave</v>
      </c>
      <c r="T118" t="str">
        <f t="shared" si="12"/>
        <v/>
      </c>
      <c r="U118" t="str">
        <f t="shared" si="8"/>
        <v/>
      </c>
      <c r="V118" t="str">
        <f t="shared" si="13"/>
        <v/>
      </c>
      <c r="W118" t="str">
        <f t="shared" si="14"/>
        <v/>
      </c>
      <c r="X118" s="2" t="str">
        <f t="shared" si="15"/>
        <v/>
      </c>
      <c r="Y118" t="str">
        <f>VLOOKUP($A118,ScionOutput!$A$3:$BL$215,64,FALSE)</f>
        <v xml:space="preserve">823212. V_SP is Null, team-based avg used. NoPlay as V_SP is Null. </v>
      </c>
    </row>
    <row r="119" spans="1:25" x14ac:dyDescent="0.2">
      <c r="A119">
        <v>822801</v>
      </c>
      <c r="B119" s="3">
        <f>VLOOKUP($A119,ScionOutput!$A$3:$BL$215,3,FALSE)</f>
        <v>46187</v>
      </c>
      <c r="C119">
        <f>VLOOKUP($A119,ScionOutput!$A$3:$BL$215,22,FALSE)</f>
        <v>29</v>
      </c>
      <c r="D119" t="str">
        <f>VLOOKUP($A119,ScionOutput!$A$3:$BL$215,23,FALSE)</f>
        <v>TOR</v>
      </c>
      <c r="E119">
        <f>VLOOKUP($A119,ScionOutput!$A$3:$BL$215,6,FALSE)</f>
        <v>19</v>
      </c>
      <c r="F119" t="str">
        <f>VLOOKUP($A119,ScionOutput!$A$3:$BL$215,7,FALSE)</f>
        <v>NYY</v>
      </c>
      <c r="G119">
        <f>VLOOKUP($A119,ScionOutput!$A$3:$BL$215,26,FALSE)</f>
        <v>112</v>
      </c>
      <c r="H119">
        <f>VLOOKUP($A119,ScionOutput!$A$3:$BL$215,10,FALSE)</f>
        <v>-121</v>
      </c>
      <c r="I119" t="str">
        <f>VLOOKUP($A119,ScionOutput!$A$3:$BL$215,58,FALSE)</f>
        <v>No Play</v>
      </c>
      <c r="J119">
        <f>VLOOKUP($A119,ScionOutput!$A$3:$BL$215,59,FALSE)</f>
        <v>0</v>
      </c>
      <c r="K119">
        <f>VLOOKUP($A119,ScionOutput!$A$3:$BL$215,62,FALSE)</f>
        <v>0</v>
      </c>
      <c r="L119">
        <f>VLOOKUP($A119,ScionOutput!$A$3:$BL$215,63,FALSE)</f>
        <v>0</v>
      </c>
      <c r="M119" t="b">
        <f t="shared" si="9"/>
        <v>0</v>
      </c>
      <c r="N119">
        <f>VLOOKUP($A119,Outcomes!$B$3:$I$209,8,FALSE)</f>
        <v>11</v>
      </c>
      <c r="O119">
        <f t="shared" si="10"/>
        <v>-1</v>
      </c>
      <c r="P119">
        <f>VLOOKUP($A119,Outcomes!$B$3:$I$209,5,FALSE)</f>
        <v>3</v>
      </c>
      <c r="Q119">
        <f>VLOOKUP($A119,Outcomes!$B$3:$I$209,6,FALSE)</f>
        <v>8</v>
      </c>
      <c r="R119">
        <f>VLOOKUP($A119,Outcomes!$B$3:$I$209,7,FALSE)</f>
        <v>5</v>
      </c>
      <c r="S119" t="str">
        <f t="shared" si="11"/>
        <v>VisFave</v>
      </c>
      <c r="T119" t="str">
        <f t="shared" si="12"/>
        <v/>
      </c>
      <c r="U119" t="str">
        <f t="shared" si="8"/>
        <v/>
      </c>
      <c r="V119" t="str">
        <f t="shared" si="13"/>
        <v/>
      </c>
      <c r="W119" t="str">
        <f t="shared" si="14"/>
        <v/>
      </c>
      <c r="X119" s="2" t="str">
        <f t="shared" si="15"/>
        <v/>
      </c>
      <c r="Y119" t="str">
        <f>VLOOKUP($A119,ScionOutput!$A$3:$BL$215,64,FALSE)</f>
        <v xml:space="preserve">822801. VF plays are disallowed. No play due to strategy constraints. </v>
      </c>
    </row>
    <row r="120" spans="1:25" x14ac:dyDescent="0.2">
      <c r="A120">
        <v>825071</v>
      </c>
      <c r="B120" s="3">
        <f>VLOOKUP($A120,ScionOutput!$A$3:$BL$215,3,FALSE)</f>
        <v>46188</v>
      </c>
      <c r="C120">
        <f>VLOOKUP($A120,ScionOutput!$A$3:$BL$215,22,FALSE)</f>
        <v>1</v>
      </c>
      <c r="D120" t="str">
        <f>VLOOKUP($A120,ScionOutput!$A$3:$BL$215,23,FALSE)</f>
        <v>ARZ</v>
      </c>
      <c r="E120">
        <f>VLOOKUP($A120,ScionOutput!$A$3:$BL$215,6,FALSE)</f>
        <v>4</v>
      </c>
      <c r="F120" t="str">
        <f>VLOOKUP($A120,ScionOutput!$A$3:$BL$215,7,FALSE)</f>
        <v>LAA</v>
      </c>
      <c r="G120">
        <f>VLOOKUP($A120,ScionOutput!$A$3:$BL$215,26,FALSE)</f>
        <v>-125</v>
      </c>
      <c r="H120">
        <f>VLOOKUP($A120,ScionOutput!$A$3:$BL$215,10,FALSE)</f>
        <v>116</v>
      </c>
      <c r="I120" t="str">
        <f>VLOOKUP($A120,ScionOutput!$A$3:$BL$215,58,FALSE)</f>
        <v>No Play</v>
      </c>
      <c r="J120">
        <f>VLOOKUP($A120,ScionOutput!$A$3:$BL$215,59,FALSE)</f>
        <v>0</v>
      </c>
      <c r="K120">
        <f>VLOOKUP($A120,ScionOutput!$A$3:$BL$215,62,FALSE)</f>
        <v>0</v>
      </c>
      <c r="L120">
        <f>VLOOKUP($A120,ScionOutput!$A$3:$BL$215,63,FALSE)</f>
        <v>0</v>
      </c>
      <c r="M120" t="b">
        <f t="shared" si="9"/>
        <v>0</v>
      </c>
      <c r="N120">
        <f>VLOOKUP($A120,Outcomes!$B$3:$I$209,8,FALSE)</f>
        <v>7</v>
      </c>
      <c r="O120">
        <f t="shared" si="10"/>
        <v>1</v>
      </c>
      <c r="P120">
        <f>VLOOKUP($A120,Outcomes!$B$3:$I$209,5,FALSE)</f>
        <v>4</v>
      </c>
      <c r="Q120">
        <f>VLOOKUP($A120,Outcomes!$B$3:$I$209,6,FALSE)</f>
        <v>3</v>
      </c>
      <c r="R120">
        <f>VLOOKUP($A120,Outcomes!$B$3:$I$209,7,FALSE)</f>
        <v>-1</v>
      </c>
      <c r="S120" t="str">
        <f t="shared" si="11"/>
        <v>HomFave</v>
      </c>
      <c r="T120" t="str">
        <f t="shared" si="12"/>
        <v/>
      </c>
      <c r="U120" t="str">
        <f t="shared" si="8"/>
        <v/>
      </c>
      <c r="V120" t="str">
        <f t="shared" si="13"/>
        <v/>
      </c>
      <c r="W120" t="str">
        <f t="shared" si="14"/>
        <v/>
      </c>
      <c r="X120" s="2" t="str">
        <f t="shared" si="15"/>
        <v/>
      </c>
      <c r="Y120" t="str">
        <f>VLOOKUP($A120,ScionOutput!$A$3:$BL$215,64,FALSE)</f>
        <v xml:space="preserve">825071. LineStatEns probability points gap does not exceed threshold (no edge found)! StatOnlyEns probability points gap does not exceed threshold (no edge found)! No play due to strategy constraints. </v>
      </c>
    </row>
    <row r="121" spans="1:25" x14ac:dyDescent="0.2">
      <c r="A121">
        <v>824666</v>
      </c>
      <c r="B121" s="3">
        <f>VLOOKUP($A121,ScionOutput!$A$3:$BL$215,3,FALSE)</f>
        <v>46188</v>
      </c>
      <c r="C121">
        <f>VLOOKUP($A121,ScionOutput!$A$3:$BL$215,22,FALSE)</f>
        <v>5</v>
      </c>
      <c r="D121" t="str">
        <f>VLOOKUP($A121,ScionOutput!$A$3:$BL$215,23,FALSE)</f>
        <v>CHC</v>
      </c>
      <c r="E121">
        <f>VLOOKUP($A121,ScionOutput!$A$3:$BL$215,6,FALSE)</f>
        <v>8</v>
      </c>
      <c r="F121" t="str">
        <f>VLOOKUP($A121,ScionOutput!$A$3:$BL$215,7,FALSE)</f>
        <v>COL</v>
      </c>
      <c r="G121">
        <f>VLOOKUP($A121,ScionOutput!$A$3:$BL$215,26,FALSE)</f>
        <v>-205</v>
      </c>
      <c r="H121">
        <f>VLOOKUP($A121,ScionOutput!$A$3:$BL$215,10,FALSE)</f>
        <v>186</v>
      </c>
      <c r="I121" t="str">
        <f>VLOOKUP($A121,ScionOutput!$A$3:$BL$215,58,FALSE)</f>
        <v>No Play</v>
      </c>
      <c r="J121">
        <f>VLOOKUP($A121,ScionOutput!$A$3:$BL$215,59,FALSE)</f>
        <v>0</v>
      </c>
      <c r="K121">
        <f>VLOOKUP($A121,ScionOutput!$A$3:$BL$215,62,FALSE)</f>
        <v>0</v>
      </c>
      <c r="L121">
        <f>VLOOKUP($A121,ScionOutput!$A$3:$BL$215,63,FALSE)</f>
        <v>0</v>
      </c>
      <c r="M121" t="b">
        <f t="shared" si="9"/>
        <v>0</v>
      </c>
      <c r="N121">
        <f>VLOOKUP($A121,Outcomes!$B$3:$I$209,8,FALSE)</f>
        <v>9</v>
      </c>
      <c r="O121">
        <f t="shared" si="10"/>
        <v>1</v>
      </c>
      <c r="P121">
        <f>VLOOKUP($A121,Outcomes!$B$3:$I$209,5,FALSE)</f>
        <v>5</v>
      </c>
      <c r="Q121">
        <f>VLOOKUP($A121,Outcomes!$B$3:$I$209,6,FALSE)</f>
        <v>4</v>
      </c>
      <c r="R121">
        <f>VLOOKUP($A121,Outcomes!$B$3:$I$209,7,FALSE)</f>
        <v>-1</v>
      </c>
      <c r="S121" t="str">
        <f t="shared" si="11"/>
        <v>HomFave</v>
      </c>
      <c r="T121" t="str">
        <f t="shared" si="12"/>
        <v/>
      </c>
      <c r="U121" t="str">
        <f t="shared" si="8"/>
        <v/>
      </c>
      <c r="V121" t="str">
        <f t="shared" si="13"/>
        <v/>
      </c>
      <c r="W121" t="str">
        <f t="shared" si="14"/>
        <v/>
      </c>
      <c r="X121" s="2" t="str">
        <f t="shared" si="15"/>
        <v/>
      </c>
      <c r="Y121" t="str">
        <f>VLOOKUP($A121,ScionOutput!$A$3:$BL$215,64,FALSE)</f>
        <v xml:space="preserve">824666. LineStatEns is NoPlay as bookie-line outside range. StatOnlyEns is NoPlay as bookie-line outside range. No play due to strategy constraints. </v>
      </c>
    </row>
    <row r="122" spans="1:25" x14ac:dyDescent="0.2">
      <c r="A122">
        <v>824505</v>
      </c>
      <c r="B122" s="3">
        <f>VLOOKUP($A122,ScionOutput!$A$3:$BL$215,3,FALSE)</f>
        <v>46188</v>
      </c>
      <c r="C122">
        <f>VLOOKUP($A122,ScionOutput!$A$3:$BL$215,22,FALSE)</f>
        <v>6</v>
      </c>
      <c r="D122" t="str">
        <f>VLOOKUP($A122,ScionOutput!$A$3:$BL$215,23,FALSE)</f>
        <v>CIN</v>
      </c>
      <c r="E122">
        <f>VLOOKUP($A122,ScionOutput!$A$3:$BL$215,6,FALSE)</f>
        <v>18</v>
      </c>
      <c r="F122" t="str">
        <f>VLOOKUP($A122,ScionOutput!$A$3:$BL$215,7,FALSE)</f>
        <v>NYM</v>
      </c>
      <c r="G122">
        <f>VLOOKUP($A122,ScionOutput!$A$3:$BL$215,26,FALSE)</f>
        <v>-131</v>
      </c>
      <c r="H122">
        <f>VLOOKUP($A122,ScionOutput!$A$3:$BL$215,10,FALSE)</f>
        <v>121</v>
      </c>
      <c r="I122" t="str">
        <f>VLOOKUP($A122,ScionOutput!$A$3:$BL$215,58,FALSE)</f>
        <v>No Play</v>
      </c>
      <c r="J122">
        <f>VLOOKUP($A122,ScionOutput!$A$3:$BL$215,59,FALSE)</f>
        <v>0</v>
      </c>
      <c r="K122">
        <f>VLOOKUP($A122,ScionOutput!$A$3:$BL$215,62,FALSE)</f>
        <v>0</v>
      </c>
      <c r="L122">
        <f>VLOOKUP($A122,ScionOutput!$A$3:$BL$215,63,FALSE)</f>
        <v>0</v>
      </c>
      <c r="M122" t="b">
        <f t="shared" si="9"/>
        <v>0</v>
      </c>
      <c r="N122">
        <f>VLOOKUP($A122,Outcomes!$B$3:$I$209,8,FALSE)</f>
        <v>12</v>
      </c>
      <c r="O122">
        <f t="shared" si="10"/>
        <v>1</v>
      </c>
      <c r="P122">
        <f>VLOOKUP($A122,Outcomes!$B$3:$I$209,5,FALSE)</f>
        <v>12</v>
      </c>
      <c r="Q122">
        <f>VLOOKUP($A122,Outcomes!$B$3:$I$209,6,FALSE)</f>
        <v>0</v>
      </c>
      <c r="R122">
        <f>VLOOKUP($A122,Outcomes!$B$3:$I$209,7,FALSE)</f>
        <v>-12</v>
      </c>
      <c r="S122" t="str">
        <f t="shared" si="11"/>
        <v>HomFave</v>
      </c>
      <c r="T122" t="str">
        <f t="shared" si="12"/>
        <v/>
      </c>
      <c r="U122" t="str">
        <f t="shared" si="8"/>
        <v/>
      </c>
      <c r="V122" t="str">
        <f t="shared" si="13"/>
        <v/>
      </c>
      <c r="W122" t="str">
        <f t="shared" si="14"/>
        <v/>
      </c>
      <c r="X122" s="2" t="str">
        <f t="shared" si="15"/>
        <v/>
      </c>
      <c r="Y122" t="str">
        <f>VLOOKUP($A122,ScionOutput!$A$3:$BL$215,64,FALSE)</f>
        <v xml:space="preserve">824505. LineStatEns probability points gap does not exceed threshold (no edge found)! StatOnlyEns probability points gap does not exceed threshold (no edge found)! No play due to strategy constraints. </v>
      </c>
    </row>
    <row r="123" spans="1:25" x14ac:dyDescent="0.2">
      <c r="A123">
        <v>824181</v>
      </c>
      <c r="B123" s="3">
        <f>VLOOKUP($A123,ScionOutput!$A$3:$BL$215,3,FALSE)</f>
        <v>46188</v>
      </c>
      <c r="C123">
        <f>VLOOKUP($A123,ScionOutput!$A$3:$BL$215,22,FALSE)</f>
        <v>12</v>
      </c>
      <c r="D123" t="str">
        <f>VLOOKUP($A123,ScionOutput!$A$3:$BL$215,23,FALSE)</f>
        <v>HOU</v>
      </c>
      <c r="E123">
        <f>VLOOKUP($A123,ScionOutput!$A$3:$BL$215,6,FALSE)</f>
        <v>10</v>
      </c>
      <c r="F123" t="str">
        <f>VLOOKUP($A123,ScionOutput!$A$3:$BL$215,7,FALSE)</f>
        <v>DET</v>
      </c>
      <c r="G123">
        <f>VLOOKUP($A123,ScionOutput!$A$3:$BL$215,26,FALSE)</f>
        <v>-114</v>
      </c>
      <c r="H123">
        <f>VLOOKUP($A123,ScionOutput!$A$3:$BL$215,10,FALSE)</f>
        <v>106</v>
      </c>
      <c r="I123" t="str">
        <f>VLOOKUP($A123,ScionOutput!$A$3:$BL$215,58,FALSE)</f>
        <v>VisDog</v>
      </c>
      <c r="J123">
        <f>VLOOKUP($A123,ScionOutput!$A$3:$BL$215,59,FALSE)</f>
        <v>-3.322E-2</v>
      </c>
      <c r="K123">
        <f>VLOOKUP($A123,ScionOutput!$A$3:$BL$215,62,FALSE)</f>
        <v>5</v>
      </c>
      <c r="L123">
        <f>VLOOKUP($A123,ScionOutput!$A$3:$BL$215,63,FALSE)</f>
        <v>0.8</v>
      </c>
      <c r="M123" t="b">
        <f t="shared" si="9"/>
        <v>1</v>
      </c>
      <c r="N123">
        <f>VLOOKUP($A123,Outcomes!$B$3:$I$209,8,FALSE)</f>
        <v>12</v>
      </c>
      <c r="O123">
        <f t="shared" si="10"/>
        <v>-1</v>
      </c>
      <c r="P123">
        <f>VLOOKUP($A123,Outcomes!$B$3:$I$209,5,FALSE)</f>
        <v>3</v>
      </c>
      <c r="Q123">
        <f>VLOOKUP($A123,Outcomes!$B$3:$I$209,6,FALSE)</f>
        <v>9</v>
      </c>
      <c r="R123">
        <f>VLOOKUP($A123,Outcomes!$B$3:$I$209,7,FALSE)</f>
        <v>6</v>
      </c>
      <c r="S123" t="str">
        <f t="shared" si="11"/>
        <v>VisDog</v>
      </c>
      <c r="T123" t="str">
        <f t="shared" si="12"/>
        <v/>
      </c>
      <c r="U123" t="str">
        <f t="shared" si="8"/>
        <v/>
      </c>
      <c r="V123" t="str">
        <f t="shared" si="13"/>
        <v/>
      </c>
      <c r="W123" t="str">
        <f t="shared" si="14"/>
        <v/>
      </c>
      <c r="X123" s="2" t="str">
        <f t="shared" si="15"/>
        <v/>
      </c>
      <c r="Y123" t="str">
        <f>VLOOKUP($A123,ScionOutput!$A$3:$BL$215,64,FALSE)</f>
        <v xml:space="preserve">824181. Play determined by LineStatEns and StatOnlyEns agreement. </v>
      </c>
    </row>
    <row r="124" spans="1:25" x14ac:dyDescent="0.2">
      <c r="A124">
        <v>823938</v>
      </c>
      <c r="B124" s="3">
        <f>VLOOKUP($A124,ScionOutput!$A$3:$BL$215,3,FALSE)</f>
        <v>46188</v>
      </c>
      <c r="C124">
        <f>VLOOKUP($A124,ScionOutput!$A$3:$BL$215,22,FALSE)</f>
        <v>14</v>
      </c>
      <c r="D124" t="str">
        <f>VLOOKUP($A124,ScionOutput!$A$3:$BL$215,23,FALSE)</f>
        <v>LA</v>
      </c>
      <c r="E124">
        <f>VLOOKUP($A124,ScionOutput!$A$3:$BL$215,6,FALSE)</f>
        <v>27</v>
      </c>
      <c r="F124" t="str">
        <f>VLOOKUP($A124,ScionOutput!$A$3:$BL$215,7,FALSE)</f>
        <v>TB</v>
      </c>
      <c r="G124">
        <f>VLOOKUP($A124,ScionOutput!$A$3:$BL$215,26,FALSE)</f>
        <v>-172</v>
      </c>
      <c r="H124">
        <f>VLOOKUP($A124,ScionOutput!$A$3:$BL$215,10,FALSE)</f>
        <v>158</v>
      </c>
      <c r="I124" t="str">
        <f>VLOOKUP($A124,ScionOutput!$A$3:$BL$215,58,FALSE)</f>
        <v>No Play</v>
      </c>
      <c r="J124">
        <f>VLOOKUP($A124,ScionOutput!$A$3:$BL$215,59,FALSE)</f>
        <v>0</v>
      </c>
      <c r="K124">
        <f>VLOOKUP($A124,ScionOutput!$A$3:$BL$215,62,FALSE)</f>
        <v>0</v>
      </c>
      <c r="L124">
        <f>VLOOKUP($A124,ScionOutput!$A$3:$BL$215,63,FALSE)</f>
        <v>0</v>
      </c>
      <c r="M124" t="b">
        <f t="shared" si="9"/>
        <v>0</v>
      </c>
      <c r="N124">
        <f>VLOOKUP($A124,Outcomes!$B$3:$I$209,8,FALSE)</f>
        <v>7</v>
      </c>
      <c r="O124">
        <f t="shared" si="10"/>
        <v>1</v>
      </c>
      <c r="P124">
        <f>VLOOKUP($A124,Outcomes!$B$3:$I$209,5,FALSE)</f>
        <v>4</v>
      </c>
      <c r="Q124">
        <f>VLOOKUP($A124,Outcomes!$B$3:$I$209,6,FALSE)</f>
        <v>3</v>
      </c>
      <c r="R124">
        <f>VLOOKUP($A124,Outcomes!$B$3:$I$209,7,FALSE)</f>
        <v>-1</v>
      </c>
      <c r="S124" t="str">
        <f t="shared" si="11"/>
        <v>HomFave</v>
      </c>
      <c r="T124" t="str">
        <f t="shared" si="12"/>
        <v/>
      </c>
      <c r="U124" t="str">
        <f t="shared" si="8"/>
        <v/>
      </c>
      <c r="V124" t="str">
        <f t="shared" si="13"/>
        <v/>
      </c>
      <c r="W124" t="str">
        <f t="shared" si="14"/>
        <v/>
      </c>
      <c r="X124" s="2" t="str">
        <f t="shared" si="15"/>
        <v/>
      </c>
      <c r="Y124" t="str">
        <f>VLOOKUP($A124,ScionOutput!$A$3:$BL$215,64,FALSE)</f>
        <v xml:space="preserve">823938. LineStatEns is NoPlay as bookie-line outside range. StatOnlyEns is NoPlay as bookie-line outside range. No play due to strategy constraints. </v>
      </c>
    </row>
    <row r="125" spans="1:25" x14ac:dyDescent="0.2">
      <c r="A125">
        <v>822724</v>
      </c>
      <c r="B125" s="3">
        <f>VLOOKUP($A125,ScionOutput!$A$3:$BL$215,3,FALSE)</f>
        <v>46188</v>
      </c>
      <c r="C125">
        <f>VLOOKUP($A125,ScionOutput!$A$3:$BL$215,22,FALSE)</f>
        <v>16</v>
      </c>
      <c r="D125" t="str">
        <f>VLOOKUP($A125,ScionOutput!$A$3:$BL$215,23,FALSE)</f>
        <v>WAS</v>
      </c>
      <c r="E125">
        <f>VLOOKUP($A125,ScionOutput!$A$3:$BL$215,6,FALSE)</f>
        <v>13</v>
      </c>
      <c r="F125" t="str">
        <f>VLOOKUP($A125,ScionOutput!$A$3:$BL$215,7,FALSE)</f>
        <v>KC</v>
      </c>
      <c r="G125">
        <f>VLOOKUP($A125,ScionOutput!$A$3:$BL$215,26,FALSE)</f>
        <v>-127</v>
      </c>
      <c r="H125">
        <f>VLOOKUP($A125,ScionOutput!$A$3:$BL$215,10,FALSE)</f>
        <v>118</v>
      </c>
      <c r="I125" t="str">
        <f>VLOOKUP($A125,ScionOutput!$A$3:$BL$215,58,FALSE)</f>
        <v>No Play</v>
      </c>
      <c r="J125">
        <f>VLOOKUP($A125,ScionOutput!$A$3:$BL$215,59,FALSE)</f>
        <v>0</v>
      </c>
      <c r="K125">
        <f>VLOOKUP($A125,ScionOutput!$A$3:$BL$215,62,FALSE)</f>
        <v>0</v>
      </c>
      <c r="L125">
        <f>VLOOKUP($A125,ScionOutput!$A$3:$BL$215,63,FALSE)</f>
        <v>0</v>
      </c>
      <c r="M125" t="b">
        <f t="shared" si="9"/>
        <v>0</v>
      </c>
      <c r="N125">
        <f>VLOOKUP($A125,Outcomes!$B$3:$I$209,8,FALSE)</f>
        <v>10</v>
      </c>
      <c r="O125">
        <f t="shared" si="10"/>
        <v>1</v>
      </c>
      <c r="P125">
        <f>VLOOKUP($A125,Outcomes!$B$3:$I$209,5,FALSE)</f>
        <v>7</v>
      </c>
      <c r="Q125">
        <f>VLOOKUP($A125,Outcomes!$B$3:$I$209,6,FALSE)</f>
        <v>3</v>
      </c>
      <c r="R125">
        <f>VLOOKUP($A125,Outcomes!$B$3:$I$209,7,FALSE)</f>
        <v>-4</v>
      </c>
      <c r="S125" t="str">
        <f t="shared" si="11"/>
        <v>HomFave</v>
      </c>
      <c r="T125" t="str">
        <f t="shared" si="12"/>
        <v/>
      </c>
      <c r="U125" t="str">
        <f t="shared" si="8"/>
        <v/>
      </c>
      <c r="V125" t="str">
        <f t="shared" si="13"/>
        <v/>
      </c>
      <c r="W125" t="str">
        <f t="shared" si="14"/>
        <v/>
      </c>
      <c r="X125" s="2" t="str">
        <f t="shared" si="15"/>
        <v/>
      </c>
      <c r="Y125" t="str">
        <f>VLOOKUP($A125,ScionOutput!$A$3:$BL$215,64,FALSE)</f>
        <v xml:space="preserve">822724. V_SP is Null, team-based avg used. NoPlay as V_SP is Null. </v>
      </c>
    </row>
    <row r="126" spans="1:25" x14ac:dyDescent="0.2">
      <c r="A126">
        <v>824993</v>
      </c>
      <c r="B126" s="3">
        <f>VLOOKUP($A126,ScionOutput!$A$3:$BL$215,3,FALSE)</f>
        <v>46188</v>
      </c>
      <c r="C126">
        <f>VLOOKUP($A126,ScionOutput!$A$3:$BL$215,22,FALSE)</f>
        <v>20</v>
      </c>
      <c r="D126" t="str">
        <f>VLOOKUP($A126,ScionOutput!$A$3:$BL$215,23,FALSE)</f>
        <v>OAK</v>
      </c>
      <c r="E126">
        <f>VLOOKUP($A126,ScionOutput!$A$3:$BL$215,6,FALSE)</f>
        <v>22</v>
      </c>
      <c r="F126" t="str">
        <f>VLOOKUP($A126,ScionOutput!$A$3:$BL$215,7,FALSE)</f>
        <v>PIT</v>
      </c>
      <c r="G126">
        <f>VLOOKUP($A126,ScionOutput!$A$3:$BL$215,26,FALSE)</f>
        <v>-116</v>
      </c>
      <c r="H126">
        <f>VLOOKUP($A126,ScionOutput!$A$3:$BL$215,10,FALSE)</f>
        <v>107</v>
      </c>
      <c r="I126" t="str">
        <f>VLOOKUP($A126,ScionOutput!$A$3:$BL$215,58,FALSE)</f>
        <v>HomFave</v>
      </c>
      <c r="J126">
        <f>VLOOKUP($A126,ScionOutput!$A$3:$BL$215,59,FALSE)</f>
        <v>1.3559999999999999E-2</v>
      </c>
      <c r="K126">
        <f>VLOOKUP($A126,ScionOutput!$A$3:$BL$215,62,FALSE)</f>
        <v>1</v>
      </c>
      <c r="L126">
        <f>VLOOKUP($A126,ScionOutput!$A$3:$BL$215,63,FALSE)</f>
        <v>1</v>
      </c>
      <c r="M126" t="b">
        <f t="shared" si="9"/>
        <v>1</v>
      </c>
      <c r="N126">
        <f>VLOOKUP($A126,Outcomes!$B$3:$I$209,8,FALSE)</f>
        <v>13</v>
      </c>
      <c r="O126">
        <f t="shared" si="10"/>
        <v>1</v>
      </c>
      <c r="P126">
        <f>VLOOKUP($A126,Outcomes!$B$3:$I$209,5,FALSE)</f>
        <v>11</v>
      </c>
      <c r="Q126">
        <f>VLOOKUP($A126,Outcomes!$B$3:$I$209,6,FALSE)</f>
        <v>2</v>
      </c>
      <c r="R126">
        <f>VLOOKUP($A126,Outcomes!$B$3:$I$209,7,FALSE)</f>
        <v>-9</v>
      </c>
      <c r="S126" t="str">
        <f t="shared" si="11"/>
        <v>HomFave</v>
      </c>
      <c r="T126" t="str">
        <f t="shared" si="12"/>
        <v/>
      </c>
      <c r="U126" t="str">
        <f t="shared" si="8"/>
        <v/>
      </c>
      <c r="V126" t="str">
        <f t="shared" si="13"/>
        <v/>
      </c>
      <c r="W126" t="str">
        <f t="shared" si="14"/>
        <v/>
      </c>
      <c r="X126" s="2" t="str">
        <f t="shared" si="15"/>
        <v/>
      </c>
      <c r="Y126" t="str">
        <f>VLOOKUP($A126,ScionOutput!$A$3:$BL$215,64,FALSE)</f>
        <v xml:space="preserve">824993. Play determined by LineStatEns and StatOnlyEns agreement. </v>
      </c>
    </row>
    <row r="127" spans="1:25" x14ac:dyDescent="0.2">
      <c r="A127">
        <v>823452</v>
      </c>
      <c r="B127" s="3">
        <f>VLOOKUP($A127,ScionOutput!$A$3:$BL$215,3,FALSE)</f>
        <v>46188</v>
      </c>
      <c r="C127">
        <f>VLOOKUP($A127,ScionOutput!$A$3:$BL$215,22,FALSE)</f>
        <v>21</v>
      </c>
      <c r="D127" t="str">
        <f>VLOOKUP($A127,ScionOutput!$A$3:$BL$215,23,FALSE)</f>
        <v>PHI</v>
      </c>
      <c r="E127">
        <f>VLOOKUP($A127,ScionOutput!$A$3:$BL$215,6,FALSE)</f>
        <v>11</v>
      </c>
      <c r="F127" t="str">
        <f>VLOOKUP($A127,ScionOutput!$A$3:$BL$215,7,FALSE)</f>
        <v>FLO</v>
      </c>
      <c r="G127">
        <f>VLOOKUP($A127,ScionOutput!$A$3:$BL$215,26,FALSE)</f>
        <v>-186</v>
      </c>
      <c r="H127">
        <f>VLOOKUP($A127,ScionOutput!$A$3:$BL$215,10,FALSE)</f>
        <v>170</v>
      </c>
      <c r="I127" t="str">
        <f>VLOOKUP($A127,ScionOutput!$A$3:$BL$215,58,FALSE)</f>
        <v>No Play</v>
      </c>
      <c r="J127">
        <f>VLOOKUP($A127,ScionOutput!$A$3:$BL$215,59,FALSE)</f>
        <v>0</v>
      </c>
      <c r="K127">
        <f>VLOOKUP($A127,ScionOutput!$A$3:$BL$215,62,FALSE)</f>
        <v>0</v>
      </c>
      <c r="L127">
        <f>VLOOKUP($A127,ScionOutput!$A$3:$BL$215,63,FALSE)</f>
        <v>0</v>
      </c>
      <c r="M127" t="b">
        <f t="shared" si="9"/>
        <v>0</v>
      </c>
      <c r="N127">
        <f>VLOOKUP($A127,Outcomes!$B$3:$I$209,8,FALSE)</f>
        <v>7</v>
      </c>
      <c r="O127">
        <f t="shared" si="10"/>
        <v>1</v>
      </c>
      <c r="P127">
        <f>VLOOKUP($A127,Outcomes!$B$3:$I$209,5,FALSE)</f>
        <v>7</v>
      </c>
      <c r="Q127">
        <f>VLOOKUP($A127,Outcomes!$B$3:$I$209,6,FALSE)</f>
        <v>0</v>
      </c>
      <c r="R127">
        <f>VLOOKUP($A127,Outcomes!$B$3:$I$209,7,FALSE)</f>
        <v>-7</v>
      </c>
      <c r="S127" t="str">
        <f t="shared" si="11"/>
        <v>HomFave</v>
      </c>
      <c r="T127" t="str">
        <f t="shared" si="12"/>
        <v/>
      </c>
      <c r="U127" t="str">
        <f t="shared" si="8"/>
        <v/>
      </c>
      <c r="V127" t="str">
        <f t="shared" si="13"/>
        <v/>
      </c>
      <c r="W127" t="str">
        <f t="shared" si="14"/>
        <v/>
      </c>
      <c r="X127" s="2" t="str">
        <f t="shared" si="15"/>
        <v/>
      </c>
      <c r="Y127" t="str">
        <f>VLOOKUP($A127,ScionOutput!$A$3:$BL$215,64,FALSE)</f>
        <v xml:space="preserve">823452. LineStatEns is NoPlay as bookie-line outside range. StatOnlyEns is NoPlay as bookie-line outside range. No play due to strategy constraints. </v>
      </c>
    </row>
    <row r="128" spans="1:25" x14ac:dyDescent="0.2">
      <c r="A128">
        <v>823046</v>
      </c>
      <c r="B128" s="3">
        <f>VLOOKUP($A128,ScionOutput!$A$3:$BL$215,3,FALSE)</f>
        <v>46188</v>
      </c>
      <c r="C128">
        <f>VLOOKUP($A128,ScionOutput!$A$3:$BL$215,22,FALSE)</f>
        <v>26</v>
      </c>
      <c r="D128" t="str">
        <f>VLOOKUP($A128,ScionOutput!$A$3:$BL$215,23,FALSE)</f>
        <v>STL</v>
      </c>
      <c r="E128">
        <f>VLOOKUP($A128,ScionOutput!$A$3:$BL$215,6,FALSE)</f>
        <v>23</v>
      </c>
      <c r="F128" t="str">
        <f>VLOOKUP($A128,ScionOutput!$A$3:$BL$215,7,FALSE)</f>
        <v>SD</v>
      </c>
      <c r="G128">
        <f>VLOOKUP($A128,ScionOutput!$A$3:$BL$215,26,FALSE)</f>
        <v>-159</v>
      </c>
      <c r="H128">
        <f>VLOOKUP($A128,ScionOutput!$A$3:$BL$215,10,FALSE)</f>
        <v>146</v>
      </c>
      <c r="I128" t="str">
        <f>VLOOKUP($A128,ScionOutput!$A$3:$BL$215,58,FALSE)</f>
        <v>No Play</v>
      </c>
      <c r="J128">
        <f>VLOOKUP($A128,ScionOutput!$A$3:$BL$215,59,FALSE)</f>
        <v>0</v>
      </c>
      <c r="K128">
        <f>VLOOKUP($A128,ScionOutput!$A$3:$BL$215,62,FALSE)</f>
        <v>0</v>
      </c>
      <c r="L128">
        <f>VLOOKUP($A128,ScionOutput!$A$3:$BL$215,63,FALSE)</f>
        <v>0</v>
      </c>
      <c r="M128" t="b">
        <f t="shared" si="9"/>
        <v>0</v>
      </c>
      <c r="N128">
        <f>VLOOKUP($A128,Outcomes!$B$3:$I$209,8,FALSE)</f>
        <v>3</v>
      </c>
      <c r="O128">
        <f t="shared" si="10"/>
        <v>1</v>
      </c>
      <c r="P128">
        <f>VLOOKUP($A128,Outcomes!$B$3:$I$209,5,FALSE)</f>
        <v>3</v>
      </c>
      <c r="Q128">
        <f>VLOOKUP($A128,Outcomes!$B$3:$I$209,6,FALSE)</f>
        <v>0</v>
      </c>
      <c r="R128">
        <f>VLOOKUP($A128,Outcomes!$B$3:$I$209,7,FALSE)</f>
        <v>-3</v>
      </c>
      <c r="S128" t="str">
        <f t="shared" si="11"/>
        <v>HomFave</v>
      </c>
      <c r="T128" t="str">
        <f t="shared" si="12"/>
        <v/>
      </c>
      <c r="U128" t="str">
        <f t="shared" si="8"/>
        <v/>
      </c>
      <c r="V128" t="str">
        <f t="shared" si="13"/>
        <v/>
      </c>
      <c r="W128" t="str">
        <f t="shared" si="14"/>
        <v/>
      </c>
      <c r="X128" s="2" t="str">
        <f t="shared" si="15"/>
        <v/>
      </c>
      <c r="Y128" t="str">
        <f>VLOOKUP($A128,ScionOutput!$A$3:$BL$215,64,FALSE)</f>
        <v xml:space="preserve">823046. LineStatEns is NoPlay as bookie-line outside range. StatOnlyEns is NoPlay as bookie-line outside range. No play due to strategy constraints. </v>
      </c>
    </row>
    <row r="129" spans="1:25" x14ac:dyDescent="0.2">
      <c r="A129">
        <v>822887</v>
      </c>
      <c r="B129" s="3">
        <f>VLOOKUP($A129,ScionOutput!$A$3:$BL$215,3,FALSE)</f>
        <v>46188</v>
      </c>
      <c r="C129">
        <f>VLOOKUP($A129,ScionOutput!$A$3:$BL$215,22,FALSE)</f>
        <v>28</v>
      </c>
      <c r="D129" t="str">
        <f>VLOOKUP($A129,ScionOutput!$A$3:$BL$215,23,FALSE)</f>
        <v>TEX</v>
      </c>
      <c r="E129">
        <f>VLOOKUP($A129,ScionOutput!$A$3:$BL$215,6,FALSE)</f>
        <v>15</v>
      </c>
      <c r="F129" t="str">
        <f>VLOOKUP($A129,ScionOutput!$A$3:$BL$215,7,FALSE)</f>
        <v>MIN</v>
      </c>
      <c r="G129">
        <f>VLOOKUP($A129,ScionOutput!$A$3:$BL$215,26,FALSE)</f>
        <v>-150</v>
      </c>
      <c r="H129">
        <f>VLOOKUP($A129,ScionOutput!$A$3:$BL$215,10,FALSE)</f>
        <v>138</v>
      </c>
      <c r="I129" t="str">
        <f>VLOOKUP($A129,ScionOutput!$A$3:$BL$215,58,FALSE)</f>
        <v>No Play</v>
      </c>
      <c r="J129">
        <f>VLOOKUP($A129,ScionOutput!$A$3:$BL$215,59,FALSE)</f>
        <v>0</v>
      </c>
      <c r="K129">
        <f>VLOOKUP($A129,ScionOutput!$A$3:$BL$215,62,FALSE)</f>
        <v>0</v>
      </c>
      <c r="L129">
        <f>VLOOKUP($A129,ScionOutput!$A$3:$BL$215,63,FALSE)</f>
        <v>0</v>
      </c>
      <c r="M129" t="b">
        <f t="shared" si="9"/>
        <v>0</v>
      </c>
      <c r="N129">
        <f>VLOOKUP($A129,Outcomes!$B$3:$I$209,8,FALSE)</f>
        <v>6</v>
      </c>
      <c r="O129">
        <f t="shared" si="10"/>
        <v>-1</v>
      </c>
      <c r="P129">
        <f>VLOOKUP($A129,Outcomes!$B$3:$I$209,5,FALSE)</f>
        <v>2</v>
      </c>
      <c r="Q129">
        <f>VLOOKUP($A129,Outcomes!$B$3:$I$209,6,FALSE)</f>
        <v>4</v>
      </c>
      <c r="R129">
        <f>VLOOKUP($A129,Outcomes!$B$3:$I$209,7,FALSE)</f>
        <v>2</v>
      </c>
      <c r="S129" t="str">
        <f t="shared" si="11"/>
        <v>VisDog</v>
      </c>
      <c r="T129" t="str">
        <f t="shared" si="12"/>
        <v/>
      </c>
      <c r="U129" t="str">
        <f t="shared" si="8"/>
        <v/>
      </c>
      <c r="V129" t="str">
        <f t="shared" si="13"/>
        <v/>
      </c>
      <c r="W129" t="str">
        <f t="shared" si="14"/>
        <v/>
      </c>
      <c r="X129" s="2" t="str">
        <f t="shared" si="15"/>
        <v/>
      </c>
      <c r="Y129" t="str">
        <f>VLOOKUP($A129,ScionOutput!$A$3:$BL$215,64,FALSE)</f>
        <v xml:space="preserve">822887. LineStatEns probability points gap does not exceed threshold (no edge found)! StatOnlyEns probability points gap does not exceed threshold (no edge found)! No play due to strategy constraints. </v>
      </c>
    </row>
    <row r="130" spans="1:25" x14ac:dyDescent="0.2">
      <c r="A130">
        <v>824912</v>
      </c>
      <c r="B130" s="3">
        <f>VLOOKUP($A130,ScionOutput!$A$3:$BL$215,3,FALSE)</f>
        <v>46189</v>
      </c>
      <c r="C130">
        <f>VLOOKUP($A130,ScionOutput!$A$3:$BL$215,22,FALSE)</f>
        <v>0</v>
      </c>
      <c r="D130" t="str">
        <f>VLOOKUP($A130,ScionOutput!$A$3:$BL$215,23,FALSE)</f>
        <v>ATL</v>
      </c>
      <c r="E130">
        <f>VLOOKUP($A130,ScionOutput!$A$3:$BL$215,6,FALSE)</f>
        <v>25</v>
      </c>
      <c r="F130" t="str">
        <f>VLOOKUP($A130,ScionOutput!$A$3:$BL$215,7,FALSE)</f>
        <v>SF</v>
      </c>
      <c r="G130">
        <f>VLOOKUP($A130,ScionOutput!$A$3:$BL$215,26,FALSE)</f>
        <v>-169</v>
      </c>
      <c r="H130">
        <f>VLOOKUP($A130,ScionOutput!$A$3:$BL$215,10,FALSE)</f>
        <v>154</v>
      </c>
      <c r="I130" t="str">
        <f>VLOOKUP($A130,ScionOutput!$A$3:$BL$215,58,FALSE)</f>
        <v>No Play</v>
      </c>
      <c r="J130">
        <f>VLOOKUP($A130,ScionOutput!$A$3:$BL$215,59,FALSE)</f>
        <v>0</v>
      </c>
      <c r="K130">
        <f>VLOOKUP($A130,ScionOutput!$A$3:$BL$215,62,FALSE)</f>
        <v>0</v>
      </c>
      <c r="L130">
        <f>VLOOKUP($A130,ScionOutput!$A$3:$BL$215,63,FALSE)</f>
        <v>0</v>
      </c>
      <c r="M130" t="b">
        <f t="shared" si="9"/>
        <v>0</v>
      </c>
      <c r="N130">
        <f>VLOOKUP($A130,Outcomes!$B$3:$I$209,8,FALSE)</f>
        <v>9</v>
      </c>
      <c r="O130">
        <f t="shared" si="10"/>
        <v>-1</v>
      </c>
      <c r="P130">
        <f>VLOOKUP($A130,Outcomes!$B$3:$I$209,5,FALSE)</f>
        <v>2</v>
      </c>
      <c r="Q130">
        <f>VLOOKUP($A130,Outcomes!$B$3:$I$209,6,FALSE)</f>
        <v>7</v>
      </c>
      <c r="R130">
        <f>VLOOKUP($A130,Outcomes!$B$3:$I$209,7,FALSE)</f>
        <v>5</v>
      </c>
      <c r="S130" t="str">
        <f t="shared" si="11"/>
        <v>VisDog</v>
      </c>
      <c r="T130" t="str">
        <f t="shared" si="12"/>
        <v/>
      </c>
      <c r="U130" t="str">
        <f t="shared" ref="U130:U193" si="16">IF(T130="","",IF(G130&lt;H130,IF(I130="HomFave",ABS(G130),IF(H130&lt;0,ABS(H130),100)),IF(I130="VisFave",ABS(H130),IF(G130&lt;0,ABS(G130),100))))</f>
        <v/>
      </c>
      <c r="V130" t="str">
        <f t="shared" si="13"/>
        <v/>
      </c>
      <c r="W130" t="str">
        <f t="shared" si="14"/>
        <v/>
      </c>
      <c r="X130" s="2" t="str">
        <f t="shared" si="15"/>
        <v/>
      </c>
      <c r="Y130" t="str">
        <f>VLOOKUP($A130,ScionOutput!$A$3:$BL$215,64,FALSE)</f>
        <v xml:space="preserve">824912. LineStatEns is NoPlay as bookie-line outside range. StatOnlyEns is NoPlay as bookie-line outside range. No play due to strategy constraints. </v>
      </c>
    </row>
    <row r="131" spans="1:25" x14ac:dyDescent="0.2">
      <c r="A131">
        <v>825070</v>
      </c>
      <c r="B131" s="3">
        <f>VLOOKUP($A131,ScionOutput!$A$3:$BL$215,3,FALSE)</f>
        <v>46189</v>
      </c>
      <c r="C131">
        <f>VLOOKUP($A131,ScionOutput!$A$3:$BL$215,22,FALSE)</f>
        <v>1</v>
      </c>
      <c r="D131" t="str">
        <f>VLOOKUP($A131,ScionOutput!$A$3:$BL$215,23,FALSE)</f>
        <v>ARZ</v>
      </c>
      <c r="E131">
        <f>VLOOKUP($A131,ScionOutput!$A$3:$BL$215,6,FALSE)</f>
        <v>4</v>
      </c>
      <c r="F131" t="str">
        <f>VLOOKUP($A131,ScionOutput!$A$3:$BL$215,7,FALSE)</f>
        <v>LAA</v>
      </c>
      <c r="G131">
        <f>VLOOKUP($A131,ScionOutput!$A$3:$BL$215,26,FALSE)</f>
        <v>-101</v>
      </c>
      <c r="H131">
        <f>VLOOKUP($A131,ScionOutput!$A$3:$BL$215,10,FALSE)</f>
        <v>-107</v>
      </c>
      <c r="I131" t="str">
        <f>VLOOKUP($A131,ScionOutput!$A$3:$BL$215,58,FALSE)</f>
        <v>No Play</v>
      </c>
      <c r="J131">
        <f>VLOOKUP($A131,ScionOutput!$A$3:$BL$215,59,FALSE)</f>
        <v>0</v>
      </c>
      <c r="K131">
        <f>VLOOKUP($A131,ScionOutput!$A$3:$BL$215,62,FALSE)</f>
        <v>0</v>
      </c>
      <c r="L131">
        <f>VLOOKUP($A131,ScionOutput!$A$3:$BL$215,63,FALSE)</f>
        <v>0</v>
      </c>
      <c r="M131" t="b">
        <f t="shared" ref="M131:M194" si="17">ISNUMBER(SEARCH("Play determined by LineStatEns and StatOnlyEns agreement", Y131))</f>
        <v>0</v>
      </c>
      <c r="N131">
        <f>VLOOKUP($A131,Outcomes!$B$3:$I$209,8,FALSE)</f>
        <v>7</v>
      </c>
      <c r="O131">
        <f t="shared" ref="O131:O194" si="18">IF(P131&gt;Q131,1,IF(P131&lt;Q131,-1,0))</f>
        <v>-1</v>
      </c>
      <c r="P131">
        <f>VLOOKUP($A131,Outcomes!$B$3:$I$209,5,FALSE)</f>
        <v>0</v>
      </c>
      <c r="Q131">
        <f>VLOOKUP($A131,Outcomes!$B$3:$I$209,6,FALSE)</f>
        <v>7</v>
      </c>
      <c r="R131">
        <f>VLOOKUP($A131,Outcomes!$B$3:$I$209,7,FALSE)</f>
        <v>7</v>
      </c>
      <c r="S131" t="str">
        <f t="shared" ref="S131:S194" si="19">IF(R131=0,"Push",IF(G131&lt;H131,IF(R131&lt;0,"HomFave","VisDog"),IF(R131&gt;0,"VisFave","HomDog")))</f>
        <v>VisFave</v>
      </c>
      <c r="T131" t="str">
        <f t="shared" ref="T131:T194" si="20">IF(OR(R131=0,I131="No Play",K131&lt;&gt;3),"",IF(S131=I131,1,0))</f>
        <v/>
      </c>
      <c r="U131" t="str">
        <f t="shared" si="16"/>
        <v/>
      </c>
      <c r="V131" t="str">
        <f t="shared" ref="V131:V194" si="21">IF(T131="","",IF(T131=0,0,IF(G131&lt;H131,IF(I131="HomFave",U131+100,IF(H131&lt;0,100+U131,U131+ABS(H131))),IF(I131="VisFave",U131+100,IF(G131&lt;0,100+U131,U131+ABS(G131))))))</f>
        <v/>
      </c>
      <c r="W131" t="str">
        <f t="shared" ref="W131:W194" si="22">IF(T131="","",V131-U131)</f>
        <v/>
      </c>
      <c r="X131" s="2" t="str">
        <f t="shared" ref="X131:X194" si="23">IF(T131="","",W131/U131)</f>
        <v/>
      </c>
      <c r="Y131" t="str">
        <f>VLOOKUP($A131,ScionOutput!$A$3:$BL$215,64,FALSE)</f>
        <v xml:space="preserve">825070. VF plays are disallowed. No play due to strategy constraints. </v>
      </c>
    </row>
    <row r="132" spans="1:25" x14ac:dyDescent="0.2">
      <c r="A132">
        <v>824750</v>
      </c>
      <c r="B132" s="3">
        <f>VLOOKUP($A132,ScionOutput!$A$3:$BL$215,3,FALSE)</f>
        <v>46189</v>
      </c>
      <c r="C132">
        <f>VLOOKUP($A132,ScionOutput!$A$3:$BL$215,22,FALSE)</f>
        <v>3</v>
      </c>
      <c r="D132" t="str">
        <f>VLOOKUP($A132,ScionOutput!$A$3:$BL$215,23,FALSE)</f>
        <v>BOS</v>
      </c>
      <c r="E132">
        <f>VLOOKUP($A132,ScionOutput!$A$3:$BL$215,6,FALSE)</f>
        <v>29</v>
      </c>
      <c r="F132" t="str">
        <f>VLOOKUP($A132,ScionOutput!$A$3:$BL$215,7,FALSE)</f>
        <v>TOR</v>
      </c>
      <c r="G132">
        <f>VLOOKUP($A132,ScionOutput!$A$3:$BL$215,26,FALSE)</f>
        <v>105</v>
      </c>
      <c r="H132">
        <f>VLOOKUP($A132,ScionOutput!$A$3:$BL$215,10,FALSE)</f>
        <v>-114</v>
      </c>
      <c r="I132" t="str">
        <f>VLOOKUP($A132,ScionOutput!$A$3:$BL$215,58,FALSE)</f>
        <v>No Play</v>
      </c>
      <c r="J132">
        <f>VLOOKUP($A132,ScionOutput!$A$3:$BL$215,59,FALSE)</f>
        <v>0</v>
      </c>
      <c r="K132">
        <f>VLOOKUP($A132,ScionOutput!$A$3:$BL$215,62,FALSE)</f>
        <v>0</v>
      </c>
      <c r="L132">
        <f>VLOOKUP($A132,ScionOutput!$A$3:$BL$215,63,FALSE)</f>
        <v>0</v>
      </c>
      <c r="M132" t="b">
        <f t="shared" si="17"/>
        <v>0</v>
      </c>
      <c r="N132">
        <f>VLOOKUP($A132,Outcomes!$B$3:$I$209,8,FALSE)</f>
        <v>7</v>
      </c>
      <c r="O132">
        <f t="shared" si="18"/>
        <v>-1</v>
      </c>
      <c r="P132">
        <f>VLOOKUP($A132,Outcomes!$B$3:$I$209,5,FALSE)</f>
        <v>1</v>
      </c>
      <c r="Q132">
        <f>VLOOKUP($A132,Outcomes!$B$3:$I$209,6,FALSE)</f>
        <v>6</v>
      </c>
      <c r="R132">
        <f>VLOOKUP($A132,Outcomes!$B$3:$I$209,7,FALSE)</f>
        <v>5</v>
      </c>
      <c r="S132" t="str">
        <f t="shared" si="19"/>
        <v>VisFave</v>
      </c>
      <c r="T132" t="str">
        <f t="shared" si="20"/>
        <v/>
      </c>
      <c r="U132" t="str">
        <f t="shared" si="16"/>
        <v/>
      </c>
      <c r="V132" t="str">
        <f t="shared" si="21"/>
        <v/>
      </c>
      <c r="W132" t="str">
        <f t="shared" si="22"/>
        <v/>
      </c>
      <c r="X132" s="2" t="str">
        <f t="shared" si="23"/>
        <v/>
      </c>
      <c r="Y132" t="str">
        <f>VLOOKUP($A132,ScionOutput!$A$3:$BL$215,64,FALSE)</f>
        <v xml:space="preserve">824750. VF plays are disallowed. No play due to strategy constraints. </v>
      </c>
    </row>
    <row r="133" spans="1:25" x14ac:dyDescent="0.2">
      <c r="A133">
        <v>824667</v>
      </c>
      <c r="B133" s="3">
        <f>VLOOKUP($A133,ScionOutput!$A$3:$BL$215,3,FALSE)</f>
        <v>46189</v>
      </c>
      <c r="C133">
        <f>VLOOKUP($A133,ScionOutput!$A$3:$BL$215,22,FALSE)</f>
        <v>5</v>
      </c>
      <c r="D133" t="str">
        <f>VLOOKUP($A133,ScionOutput!$A$3:$BL$215,23,FALSE)</f>
        <v>CHC</v>
      </c>
      <c r="E133">
        <f>VLOOKUP($A133,ScionOutput!$A$3:$BL$215,6,FALSE)</f>
        <v>8</v>
      </c>
      <c r="F133" t="str">
        <f>VLOOKUP($A133,ScionOutput!$A$3:$BL$215,7,FALSE)</f>
        <v>COL</v>
      </c>
      <c r="G133">
        <f>VLOOKUP($A133,ScionOutput!$A$3:$BL$215,26,FALSE)</f>
        <v>-194</v>
      </c>
      <c r="H133">
        <f>VLOOKUP($A133,ScionOutput!$A$3:$BL$215,10,FALSE)</f>
        <v>176</v>
      </c>
      <c r="I133" t="str">
        <f>VLOOKUP($A133,ScionOutput!$A$3:$BL$215,58,FALSE)</f>
        <v>No Play</v>
      </c>
      <c r="J133">
        <f>VLOOKUP($A133,ScionOutput!$A$3:$BL$215,59,FALSE)</f>
        <v>0</v>
      </c>
      <c r="K133">
        <f>VLOOKUP($A133,ScionOutput!$A$3:$BL$215,62,FALSE)</f>
        <v>0</v>
      </c>
      <c r="L133">
        <f>VLOOKUP($A133,ScionOutput!$A$3:$BL$215,63,FALSE)</f>
        <v>0</v>
      </c>
      <c r="M133" t="b">
        <f t="shared" si="17"/>
        <v>0</v>
      </c>
      <c r="N133">
        <f>VLOOKUP($A133,Outcomes!$B$3:$I$209,8,FALSE)</f>
        <v>7</v>
      </c>
      <c r="O133">
        <f t="shared" si="18"/>
        <v>-1</v>
      </c>
      <c r="P133">
        <f>VLOOKUP($A133,Outcomes!$B$3:$I$209,5,FALSE)</f>
        <v>2</v>
      </c>
      <c r="Q133">
        <f>VLOOKUP($A133,Outcomes!$B$3:$I$209,6,FALSE)</f>
        <v>5</v>
      </c>
      <c r="R133">
        <f>VLOOKUP($A133,Outcomes!$B$3:$I$209,7,FALSE)</f>
        <v>3</v>
      </c>
      <c r="S133" t="str">
        <f t="shared" si="19"/>
        <v>VisDog</v>
      </c>
      <c r="T133" t="str">
        <f t="shared" si="20"/>
        <v/>
      </c>
      <c r="U133" t="str">
        <f t="shared" si="16"/>
        <v/>
      </c>
      <c r="V133" t="str">
        <f t="shared" si="21"/>
        <v/>
      </c>
      <c r="W133" t="str">
        <f t="shared" si="22"/>
        <v/>
      </c>
      <c r="X133" s="2" t="str">
        <f t="shared" si="23"/>
        <v/>
      </c>
      <c r="Y133" t="str">
        <f>VLOOKUP($A133,ScionOutput!$A$3:$BL$215,64,FALSE)</f>
        <v xml:space="preserve">824667. LineStatEns is NoPlay as bookie-line outside range. StatOnlyEns is NoPlay as bookie-line outside range. No play due to strategy constraints. </v>
      </c>
    </row>
    <row r="134" spans="1:25" x14ac:dyDescent="0.2">
      <c r="A134">
        <v>824504</v>
      </c>
      <c r="B134" s="3">
        <f>VLOOKUP($A134,ScionOutput!$A$3:$BL$215,3,FALSE)</f>
        <v>46189</v>
      </c>
      <c r="C134">
        <f>VLOOKUP($A134,ScionOutput!$A$3:$BL$215,22,FALSE)</f>
        <v>6</v>
      </c>
      <c r="D134" t="str">
        <f>VLOOKUP($A134,ScionOutput!$A$3:$BL$215,23,FALSE)</f>
        <v>CIN</v>
      </c>
      <c r="E134">
        <f>VLOOKUP($A134,ScionOutput!$A$3:$BL$215,6,FALSE)</f>
        <v>18</v>
      </c>
      <c r="F134" t="str">
        <f>VLOOKUP($A134,ScionOutput!$A$3:$BL$215,7,FALSE)</f>
        <v>NYM</v>
      </c>
      <c r="G134">
        <f>VLOOKUP($A134,ScionOutput!$A$3:$BL$215,26,FALSE)</f>
        <v>107</v>
      </c>
      <c r="H134">
        <f>VLOOKUP($A134,ScionOutput!$A$3:$BL$215,10,FALSE)</f>
        <v>-115</v>
      </c>
      <c r="I134" t="str">
        <f>VLOOKUP($A134,ScionOutput!$A$3:$BL$215,58,FALSE)</f>
        <v>No Play</v>
      </c>
      <c r="J134">
        <f>VLOOKUP($A134,ScionOutput!$A$3:$BL$215,59,FALSE)</f>
        <v>0</v>
      </c>
      <c r="K134">
        <f>VLOOKUP($A134,ScionOutput!$A$3:$BL$215,62,FALSE)</f>
        <v>0</v>
      </c>
      <c r="L134">
        <f>VLOOKUP($A134,ScionOutput!$A$3:$BL$215,63,FALSE)</f>
        <v>0</v>
      </c>
      <c r="M134" t="b">
        <f t="shared" si="17"/>
        <v>0</v>
      </c>
      <c r="N134">
        <f>VLOOKUP($A134,Outcomes!$B$3:$I$209,8,FALSE)</f>
        <v>8</v>
      </c>
      <c r="O134">
        <f t="shared" si="18"/>
        <v>1</v>
      </c>
      <c r="P134">
        <f>VLOOKUP($A134,Outcomes!$B$3:$I$209,5,FALSE)</f>
        <v>5</v>
      </c>
      <c r="Q134">
        <f>VLOOKUP($A134,Outcomes!$B$3:$I$209,6,FALSE)</f>
        <v>3</v>
      </c>
      <c r="R134">
        <f>VLOOKUP($A134,Outcomes!$B$3:$I$209,7,FALSE)</f>
        <v>-2</v>
      </c>
      <c r="S134" t="str">
        <f t="shared" si="19"/>
        <v>HomDog</v>
      </c>
      <c r="T134" t="str">
        <f t="shared" si="20"/>
        <v/>
      </c>
      <c r="U134" t="str">
        <f t="shared" si="16"/>
        <v/>
      </c>
      <c r="V134" t="str">
        <f t="shared" si="21"/>
        <v/>
      </c>
      <c r="W134" t="str">
        <f t="shared" si="22"/>
        <v/>
      </c>
      <c r="X134" s="2" t="str">
        <f t="shared" si="23"/>
        <v/>
      </c>
      <c r="Y134" t="str">
        <f>VLOOKUP($A134,ScionOutput!$A$3:$BL$215,64,FALSE)</f>
        <v xml:space="preserve">824504. VF plays are disallowed. No play due to strategy constraints. </v>
      </c>
    </row>
    <row r="135" spans="1:25" x14ac:dyDescent="0.2">
      <c r="A135">
        <v>824182</v>
      </c>
      <c r="B135" s="3">
        <f>VLOOKUP($A135,ScionOutput!$A$3:$BL$215,3,FALSE)</f>
        <v>46189</v>
      </c>
      <c r="C135">
        <f>VLOOKUP($A135,ScionOutput!$A$3:$BL$215,22,FALSE)</f>
        <v>12</v>
      </c>
      <c r="D135" t="str">
        <f>VLOOKUP($A135,ScionOutput!$A$3:$BL$215,23,FALSE)</f>
        <v>HOU</v>
      </c>
      <c r="E135">
        <f>VLOOKUP($A135,ScionOutput!$A$3:$BL$215,6,FALSE)</f>
        <v>10</v>
      </c>
      <c r="F135" t="str">
        <f>VLOOKUP($A135,ScionOutput!$A$3:$BL$215,7,FALSE)</f>
        <v>DET</v>
      </c>
      <c r="G135">
        <f>VLOOKUP($A135,ScionOutput!$A$3:$BL$215,26,FALSE)</f>
        <v>-167</v>
      </c>
      <c r="H135">
        <f>VLOOKUP($A135,ScionOutput!$A$3:$BL$215,10,FALSE)</f>
        <v>153</v>
      </c>
      <c r="I135" t="str">
        <f>VLOOKUP($A135,ScionOutput!$A$3:$BL$215,58,FALSE)</f>
        <v>No Play</v>
      </c>
      <c r="J135">
        <f>VLOOKUP($A135,ScionOutput!$A$3:$BL$215,59,FALSE)</f>
        <v>0</v>
      </c>
      <c r="K135">
        <f>VLOOKUP($A135,ScionOutput!$A$3:$BL$215,62,FALSE)</f>
        <v>0</v>
      </c>
      <c r="L135">
        <f>VLOOKUP($A135,ScionOutput!$A$3:$BL$215,63,FALSE)</f>
        <v>0</v>
      </c>
      <c r="M135" t="b">
        <f t="shared" si="17"/>
        <v>0</v>
      </c>
      <c r="N135">
        <f>VLOOKUP($A135,Outcomes!$B$3:$I$209,8,FALSE)</f>
        <v>6</v>
      </c>
      <c r="O135">
        <f t="shared" si="18"/>
        <v>1</v>
      </c>
      <c r="P135">
        <f>VLOOKUP($A135,Outcomes!$B$3:$I$209,5,FALSE)</f>
        <v>4</v>
      </c>
      <c r="Q135">
        <f>VLOOKUP($A135,Outcomes!$B$3:$I$209,6,FALSE)</f>
        <v>2</v>
      </c>
      <c r="R135">
        <f>VLOOKUP($A135,Outcomes!$B$3:$I$209,7,FALSE)</f>
        <v>-2</v>
      </c>
      <c r="S135" t="str">
        <f t="shared" si="19"/>
        <v>HomFave</v>
      </c>
      <c r="T135" t="str">
        <f t="shared" si="20"/>
        <v/>
      </c>
      <c r="U135" t="str">
        <f t="shared" si="16"/>
        <v/>
      </c>
      <c r="V135" t="str">
        <f t="shared" si="21"/>
        <v/>
      </c>
      <c r="W135" t="str">
        <f t="shared" si="22"/>
        <v/>
      </c>
      <c r="X135" s="2" t="str">
        <f t="shared" si="23"/>
        <v/>
      </c>
      <c r="Y135" t="str">
        <f>VLOOKUP($A135,ScionOutput!$A$3:$BL$215,64,FALSE)</f>
        <v xml:space="preserve">824182. LineStatEns is NoPlay as bookie-line outside range. StatOnlyEns is NoPlay as bookie-line outside range. No play due to strategy constraints. </v>
      </c>
    </row>
    <row r="136" spans="1:25" x14ac:dyDescent="0.2">
      <c r="A136">
        <v>823939</v>
      </c>
      <c r="B136" s="3">
        <f>VLOOKUP($A136,ScionOutput!$A$3:$BL$215,3,FALSE)</f>
        <v>46189</v>
      </c>
      <c r="C136">
        <f>VLOOKUP($A136,ScionOutput!$A$3:$BL$215,22,FALSE)</f>
        <v>14</v>
      </c>
      <c r="D136" t="str">
        <f>VLOOKUP($A136,ScionOutput!$A$3:$BL$215,23,FALSE)</f>
        <v>LA</v>
      </c>
      <c r="E136">
        <f>VLOOKUP($A136,ScionOutput!$A$3:$BL$215,6,FALSE)</f>
        <v>27</v>
      </c>
      <c r="F136" t="str">
        <f>VLOOKUP($A136,ScionOutput!$A$3:$BL$215,7,FALSE)</f>
        <v>TB</v>
      </c>
      <c r="G136">
        <f>VLOOKUP($A136,ScionOutput!$A$3:$BL$215,26,FALSE)</f>
        <v>-144</v>
      </c>
      <c r="H136">
        <f>VLOOKUP($A136,ScionOutput!$A$3:$BL$215,10,FALSE)</f>
        <v>133</v>
      </c>
      <c r="I136" t="str">
        <f>VLOOKUP($A136,ScionOutput!$A$3:$BL$215,58,FALSE)</f>
        <v>No Play</v>
      </c>
      <c r="J136">
        <f>VLOOKUP($A136,ScionOutput!$A$3:$BL$215,59,FALSE)</f>
        <v>0</v>
      </c>
      <c r="K136">
        <f>VLOOKUP($A136,ScionOutput!$A$3:$BL$215,62,FALSE)</f>
        <v>0</v>
      </c>
      <c r="L136">
        <f>VLOOKUP($A136,ScionOutput!$A$3:$BL$215,63,FALSE)</f>
        <v>0</v>
      </c>
      <c r="M136" t="b">
        <f t="shared" si="17"/>
        <v>0</v>
      </c>
      <c r="N136">
        <f>VLOOKUP($A136,Outcomes!$B$3:$I$209,8,FALSE)</f>
        <v>1</v>
      </c>
      <c r="O136">
        <f t="shared" si="18"/>
        <v>1</v>
      </c>
      <c r="P136">
        <f>VLOOKUP($A136,Outcomes!$B$3:$I$209,5,FALSE)</f>
        <v>1</v>
      </c>
      <c r="Q136">
        <f>VLOOKUP($A136,Outcomes!$B$3:$I$209,6,FALSE)</f>
        <v>0</v>
      </c>
      <c r="R136">
        <f>VLOOKUP($A136,Outcomes!$B$3:$I$209,7,FALSE)</f>
        <v>-1</v>
      </c>
      <c r="S136" t="str">
        <f t="shared" si="19"/>
        <v>HomFave</v>
      </c>
      <c r="T136" t="str">
        <f t="shared" si="20"/>
        <v/>
      </c>
      <c r="U136" t="str">
        <f t="shared" si="16"/>
        <v/>
      </c>
      <c r="V136" t="str">
        <f t="shared" si="21"/>
        <v/>
      </c>
      <c r="W136" t="str">
        <f t="shared" si="22"/>
        <v/>
      </c>
      <c r="X136" s="2" t="str">
        <f t="shared" si="23"/>
        <v/>
      </c>
      <c r="Y136" t="str">
        <f>VLOOKUP($A136,ScionOutput!$A$3:$BL$215,64,FALSE)</f>
        <v xml:space="preserve">823939. LineStatEns probability points gap does not exceed threshold (no edge found)! StatOnlyEns probability points gap does not exceed threshold (no edge found)! No play due to strategy constraints. </v>
      </c>
    </row>
    <row r="137" spans="1:25" x14ac:dyDescent="0.2">
      <c r="A137">
        <v>822723</v>
      </c>
      <c r="B137" s="3">
        <f>VLOOKUP($A137,ScionOutput!$A$3:$BL$215,3,FALSE)</f>
        <v>46189</v>
      </c>
      <c r="C137">
        <f>VLOOKUP($A137,ScionOutput!$A$3:$BL$215,22,FALSE)</f>
        <v>16</v>
      </c>
      <c r="D137" t="str">
        <f>VLOOKUP($A137,ScionOutput!$A$3:$BL$215,23,FALSE)</f>
        <v>WAS</v>
      </c>
      <c r="E137">
        <f>VLOOKUP($A137,ScionOutput!$A$3:$BL$215,6,FALSE)</f>
        <v>13</v>
      </c>
      <c r="F137" t="str">
        <f>VLOOKUP($A137,ScionOutput!$A$3:$BL$215,7,FALSE)</f>
        <v>KC</v>
      </c>
      <c r="G137">
        <f>VLOOKUP($A137,ScionOutput!$A$3:$BL$215,26,FALSE)</f>
        <v>-131</v>
      </c>
      <c r="H137">
        <f>VLOOKUP($A137,ScionOutput!$A$3:$BL$215,10,FALSE)</f>
        <v>121</v>
      </c>
      <c r="I137" t="str">
        <f>VLOOKUP($A137,ScionOutput!$A$3:$BL$215,58,FALSE)</f>
        <v>No Play</v>
      </c>
      <c r="J137">
        <f>VLOOKUP($A137,ScionOutput!$A$3:$BL$215,59,FALSE)</f>
        <v>0</v>
      </c>
      <c r="K137">
        <f>VLOOKUP($A137,ScionOutput!$A$3:$BL$215,62,FALSE)</f>
        <v>0</v>
      </c>
      <c r="L137">
        <f>VLOOKUP($A137,ScionOutput!$A$3:$BL$215,63,FALSE)</f>
        <v>0</v>
      </c>
      <c r="M137" t="b">
        <f t="shared" si="17"/>
        <v>0</v>
      </c>
      <c r="N137">
        <f>VLOOKUP($A137,Outcomes!$B$3:$I$209,8,FALSE)</f>
        <v>10</v>
      </c>
      <c r="O137">
        <f t="shared" si="18"/>
        <v>1</v>
      </c>
      <c r="P137">
        <f>VLOOKUP($A137,Outcomes!$B$3:$I$209,5,FALSE)</f>
        <v>6</v>
      </c>
      <c r="Q137">
        <f>VLOOKUP($A137,Outcomes!$B$3:$I$209,6,FALSE)</f>
        <v>4</v>
      </c>
      <c r="R137">
        <f>VLOOKUP($A137,Outcomes!$B$3:$I$209,7,FALSE)</f>
        <v>-2</v>
      </c>
      <c r="S137" t="str">
        <f t="shared" si="19"/>
        <v>HomFave</v>
      </c>
      <c r="T137" t="str">
        <f t="shared" si="20"/>
        <v/>
      </c>
      <c r="U137" t="str">
        <f t="shared" si="16"/>
        <v/>
      </c>
      <c r="V137" t="str">
        <f t="shared" si="21"/>
        <v/>
      </c>
      <c r="W137" t="str">
        <f t="shared" si="22"/>
        <v/>
      </c>
      <c r="X137" s="2" t="str">
        <f t="shared" si="23"/>
        <v/>
      </c>
      <c r="Y137" t="str">
        <f>VLOOKUP($A137,ScionOutput!$A$3:$BL$215,64,FALSE)</f>
        <v xml:space="preserve">822723. LineStatEns probability points gap does not exceed threshold (no edge found)! StatOnlyEns probability points gap does not exceed threshold (no edge found)! No play due to strategy constraints. </v>
      </c>
    </row>
    <row r="138" spans="1:25" x14ac:dyDescent="0.2">
      <c r="A138">
        <v>823775</v>
      </c>
      <c r="B138" s="3">
        <f>VLOOKUP($A138,ScionOutput!$A$3:$BL$215,3,FALSE)</f>
        <v>46189</v>
      </c>
      <c r="C138">
        <f>VLOOKUP($A138,ScionOutput!$A$3:$BL$215,22,FALSE)</f>
        <v>17</v>
      </c>
      <c r="D138" t="str">
        <f>VLOOKUP($A138,ScionOutput!$A$3:$BL$215,23,FALSE)</f>
        <v>MLW</v>
      </c>
      <c r="E138">
        <f>VLOOKUP($A138,ScionOutput!$A$3:$BL$215,6,FALSE)</f>
        <v>7</v>
      </c>
      <c r="F138" t="str">
        <f>VLOOKUP($A138,ScionOutput!$A$3:$BL$215,7,FALSE)</f>
        <v>CLE</v>
      </c>
      <c r="G138">
        <f>VLOOKUP($A138,ScionOutput!$A$3:$BL$215,26,FALSE)</f>
        <v>-151</v>
      </c>
      <c r="H138">
        <f>VLOOKUP($A138,ScionOutput!$A$3:$BL$215,10,FALSE)</f>
        <v>139</v>
      </c>
      <c r="I138" t="str">
        <f>VLOOKUP($A138,ScionOutput!$A$3:$BL$215,58,FALSE)</f>
        <v>No Play</v>
      </c>
      <c r="J138">
        <f>VLOOKUP($A138,ScionOutput!$A$3:$BL$215,59,FALSE)</f>
        <v>0</v>
      </c>
      <c r="K138">
        <f>VLOOKUP($A138,ScionOutput!$A$3:$BL$215,62,FALSE)</f>
        <v>0</v>
      </c>
      <c r="L138">
        <f>VLOOKUP($A138,ScionOutput!$A$3:$BL$215,63,FALSE)</f>
        <v>0</v>
      </c>
      <c r="M138" t="b">
        <f t="shared" si="17"/>
        <v>0</v>
      </c>
      <c r="N138">
        <f>VLOOKUP($A138,Outcomes!$B$3:$I$209,8,FALSE)</f>
        <v>3</v>
      </c>
      <c r="O138">
        <f t="shared" si="18"/>
        <v>1</v>
      </c>
      <c r="P138">
        <f>VLOOKUP($A138,Outcomes!$B$3:$I$209,5,FALSE)</f>
        <v>2</v>
      </c>
      <c r="Q138">
        <f>VLOOKUP($A138,Outcomes!$B$3:$I$209,6,FALSE)</f>
        <v>1</v>
      </c>
      <c r="R138">
        <f>VLOOKUP($A138,Outcomes!$B$3:$I$209,7,FALSE)</f>
        <v>-1</v>
      </c>
      <c r="S138" t="str">
        <f t="shared" si="19"/>
        <v>HomFave</v>
      </c>
      <c r="T138" t="str">
        <f t="shared" si="20"/>
        <v/>
      </c>
      <c r="U138" t="str">
        <f t="shared" si="16"/>
        <v/>
      </c>
      <c r="V138" t="str">
        <f t="shared" si="21"/>
        <v/>
      </c>
      <c r="W138" t="str">
        <f t="shared" si="22"/>
        <v/>
      </c>
      <c r="X138" s="2" t="str">
        <f t="shared" si="23"/>
        <v/>
      </c>
      <c r="Y138" t="str">
        <f>VLOOKUP($A138,ScionOutput!$A$3:$BL$215,64,FALSE)</f>
        <v xml:space="preserve">823775. LineStatEns is NoPlay as bookie-line outside range. StatOnlyEns is NoPlay as bookie-line outside range. No play due to strategy constraints. </v>
      </c>
    </row>
    <row r="139" spans="1:25" x14ac:dyDescent="0.2">
      <c r="A139">
        <v>823535</v>
      </c>
      <c r="B139" s="3">
        <f>VLOOKUP($A139,ScionOutput!$A$3:$BL$215,3,FALSE)</f>
        <v>46189</v>
      </c>
      <c r="C139">
        <f>VLOOKUP($A139,ScionOutput!$A$3:$BL$215,22,FALSE)</f>
        <v>19</v>
      </c>
      <c r="D139" t="str">
        <f>VLOOKUP($A139,ScionOutput!$A$3:$BL$215,23,FALSE)</f>
        <v>NYY</v>
      </c>
      <c r="E139">
        <f>VLOOKUP($A139,ScionOutput!$A$3:$BL$215,6,FALSE)</f>
        <v>9</v>
      </c>
      <c r="F139" t="str">
        <f>VLOOKUP($A139,ScionOutput!$A$3:$BL$215,7,FALSE)</f>
        <v>CWS</v>
      </c>
      <c r="G139">
        <f>VLOOKUP($A139,ScionOutput!$A$3:$BL$215,26,FALSE)</f>
        <v>-138</v>
      </c>
      <c r="H139">
        <f>VLOOKUP($A139,ScionOutput!$A$3:$BL$215,10,FALSE)</f>
        <v>127</v>
      </c>
      <c r="I139" t="str">
        <f>VLOOKUP($A139,ScionOutput!$A$3:$BL$215,58,FALSE)</f>
        <v>No Play</v>
      </c>
      <c r="J139">
        <f>VLOOKUP($A139,ScionOutput!$A$3:$BL$215,59,FALSE)</f>
        <v>0</v>
      </c>
      <c r="K139">
        <f>VLOOKUP($A139,ScionOutput!$A$3:$BL$215,62,FALSE)</f>
        <v>0</v>
      </c>
      <c r="L139">
        <f>VLOOKUP($A139,ScionOutput!$A$3:$BL$215,63,FALSE)</f>
        <v>0</v>
      </c>
      <c r="M139" t="b">
        <f t="shared" si="17"/>
        <v>0</v>
      </c>
      <c r="N139">
        <f>VLOOKUP($A139,Outcomes!$B$3:$I$209,8,FALSE)</f>
        <v>14</v>
      </c>
      <c r="O139">
        <f t="shared" si="18"/>
        <v>1</v>
      </c>
      <c r="P139">
        <f>VLOOKUP($A139,Outcomes!$B$3:$I$209,5,FALSE)</f>
        <v>12</v>
      </c>
      <c r="Q139">
        <f>VLOOKUP($A139,Outcomes!$B$3:$I$209,6,FALSE)</f>
        <v>2</v>
      </c>
      <c r="R139">
        <f>VLOOKUP($A139,Outcomes!$B$3:$I$209,7,FALSE)</f>
        <v>-10</v>
      </c>
      <c r="S139" t="str">
        <f t="shared" si="19"/>
        <v>HomFave</v>
      </c>
      <c r="T139" t="str">
        <f t="shared" si="20"/>
        <v/>
      </c>
      <c r="U139" t="str">
        <f t="shared" si="16"/>
        <v/>
      </c>
      <c r="V139" t="str">
        <f t="shared" si="21"/>
        <v/>
      </c>
      <c r="W139" t="str">
        <f t="shared" si="22"/>
        <v/>
      </c>
      <c r="X139" s="2" t="str">
        <f t="shared" si="23"/>
        <v/>
      </c>
      <c r="Y139" t="str">
        <f>VLOOKUP($A139,ScionOutput!$A$3:$BL$215,64,FALSE)</f>
        <v xml:space="preserve">823535. LineStatEns probability points gap does not exceed threshold (no edge found)! StatOnlyEns probability points gap does not exceed threshold (no edge found)! No play due to strategy constraints. </v>
      </c>
    </row>
    <row r="140" spans="1:25" x14ac:dyDescent="0.2">
      <c r="A140">
        <v>824991</v>
      </c>
      <c r="B140" s="3">
        <f>VLOOKUP($A140,ScionOutput!$A$3:$BL$215,3,FALSE)</f>
        <v>46189</v>
      </c>
      <c r="C140">
        <f>VLOOKUP($A140,ScionOutput!$A$3:$BL$215,22,FALSE)</f>
        <v>20</v>
      </c>
      <c r="D140" t="str">
        <f>VLOOKUP($A140,ScionOutput!$A$3:$BL$215,23,FALSE)</f>
        <v>OAK</v>
      </c>
      <c r="E140">
        <f>VLOOKUP($A140,ScionOutput!$A$3:$BL$215,6,FALSE)</f>
        <v>22</v>
      </c>
      <c r="F140" t="str">
        <f>VLOOKUP($A140,ScionOutput!$A$3:$BL$215,7,FALSE)</f>
        <v>PIT</v>
      </c>
      <c r="G140">
        <f>VLOOKUP($A140,ScionOutput!$A$3:$BL$215,26,FALSE)</f>
        <v>-137</v>
      </c>
      <c r="H140">
        <f>VLOOKUP($A140,ScionOutput!$A$3:$BL$215,10,FALSE)</f>
        <v>126</v>
      </c>
      <c r="I140" t="str">
        <f>VLOOKUP($A140,ScionOutput!$A$3:$BL$215,58,FALSE)</f>
        <v>No Play</v>
      </c>
      <c r="J140">
        <f>VLOOKUP($A140,ScionOutput!$A$3:$BL$215,59,FALSE)</f>
        <v>0</v>
      </c>
      <c r="K140">
        <f>VLOOKUP($A140,ScionOutput!$A$3:$BL$215,62,FALSE)</f>
        <v>0</v>
      </c>
      <c r="L140">
        <f>VLOOKUP($A140,ScionOutput!$A$3:$BL$215,63,FALSE)</f>
        <v>0</v>
      </c>
      <c r="M140" t="b">
        <f t="shared" si="17"/>
        <v>0</v>
      </c>
      <c r="N140">
        <f>VLOOKUP($A140,Outcomes!$B$3:$I$209,8,FALSE)</f>
        <v>11</v>
      </c>
      <c r="O140">
        <f t="shared" si="18"/>
        <v>-1</v>
      </c>
      <c r="P140">
        <f>VLOOKUP($A140,Outcomes!$B$3:$I$209,5,FALSE)</f>
        <v>5</v>
      </c>
      <c r="Q140">
        <f>VLOOKUP($A140,Outcomes!$B$3:$I$209,6,FALSE)</f>
        <v>6</v>
      </c>
      <c r="R140">
        <f>VLOOKUP($A140,Outcomes!$B$3:$I$209,7,FALSE)</f>
        <v>1</v>
      </c>
      <c r="S140" t="str">
        <f t="shared" si="19"/>
        <v>VisDog</v>
      </c>
      <c r="T140" t="str">
        <f t="shared" si="20"/>
        <v/>
      </c>
      <c r="U140" t="str">
        <f t="shared" si="16"/>
        <v/>
      </c>
      <c r="V140" t="str">
        <f t="shared" si="21"/>
        <v/>
      </c>
      <c r="W140" t="str">
        <f t="shared" si="22"/>
        <v/>
      </c>
      <c r="X140" s="2" t="str">
        <f t="shared" si="23"/>
        <v/>
      </c>
      <c r="Y140" t="str">
        <f>VLOOKUP($A140,ScionOutput!$A$3:$BL$215,64,FALSE)</f>
        <v xml:space="preserve">824991. LineStatEns probability points gap does not exceed threshold (no edge found)! StatOnlyEns probability points gap does not exceed threshold (no edge found)! No play due to strategy constraints. </v>
      </c>
    </row>
    <row r="141" spans="1:25" x14ac:dyDescent="0.2">
      <c r="A141">
        <v>823451</v>
      </c>
      <c r="B141" s="3">
        <f>VLOOKUP($A141,ScionOutput!$A$3:$BL$215,3,FALSE)</f>
        <v>46189</v>
      </c>
      <c r="C141">
        <f>VLOOKUP($A141,ScionOutput!$A$3:$BL$215,22,FALSE)</f>
        <v>21</v>
      </c>
      <c r="D141" t="str">
        <f>VLOOKUP($A141,ScionOutput!$A$3:$BL$215,23,FALSE)</f>
        <v>PHI</v>
      </c>
      <c r="E141">
        <f>VLOOKUP($A141,ScionOutput!$A$3:$BL$215,6,FALSE)</f>
        <v>11</v>
      </c>
      <c r="F141" t="str">
        <f>VLOOKUP($A141,ScionOutput!$A$3:$BL$215,7,FALSE)</f>
        <v>FLO</v>
      </c>
      <c r="G141">
        <f>VLOOKUP($A141,ScionOutput!$A$3:$BL$215,26,FALSE)</f>
        <v>-165</v>
      </c>
      <c r="H141">
        <f>VLOOKUP($A141,ScionOutput!$A$3:$BL$215,10,FALSE)</f>
        <v>152</v>
      </c>
      <c r="I141" t="str">
        <f>VLOOKUP($A141,ScionOutput!$A$3:$BL$215,58,FALSE)</f>
        <v>No Play</v>
      </c>
      <c r="J141">
        <f>VLOOKUP($A141,ScionOutput!$A$3:$BL$215,59,FALSE)</f>
        <v>0</v>
      </c>
      <c r="K141">
        <f>VLOOKUP($A141,ScionOutput!$A$3:$BL$215,62,FALSE)</f>
        <v>0</v>
      </c>
      <c r="L141">
        <f>VLOOKUP($A141,ScionOutput!$A$3:$BL$215,63,FALSE)</f>
        <v>0</v>
      </c>
      <c r="M141" t="b">
        <f t="shared" si="17"/>
        <v>0</v>
      </c>
      <c r="N141">
        <f>VLOOKUP($A141,Outcomes!$B$3:$I$209,8,FALSE)</f>
        <v>10</v>
      </c>
      <c r="O141">
        <f t="shared" si="18"/>
        <v>1</v>
      </c>
      <c r="P141">
        <f>VLOOKUP($A141,Outcomes!$B$3:$I$209,5,FALSE)</f>
        <v>8</v>
      </c>
      <c r="Q141">
        <f>VLOOKUP($A141,Outcomes!$B$3:$I$209,6,FALSE)</f>
        <v>2</v>
      </c>
      <c r="R141">
        <f>VLOOKUP($A141,Outcomes!$B$3:$I$209,7,FALSE)</f>
        <v>-6</v>
      </c>
      <c r="S141" t="str">
        <f t="shared" si="19"/>
        <v>HomFave</v>
      </c>
      <c r="T141" t="str">
        <f t="shared" si="20"/>
        <v/>
      </c>
      <c r="U141" t="str">
        <f t="shared" si="16"/>
        <v/>
      </c>
      <c r="V141" t="str">
        <f t="shared" si="21"/>
        <v/>
      </c>
      <c r="W141" t="str">
        <f t="shared" si="22"/>
        <v/>
      </c>
      <c r="X141" s="2" t="str">
        <f t="shared" si="23"/>
        <v/>
      </c>
      <c r="Y141" t="str">
        <f>VLOOKUP($A141,ScionOutput!$A$3:$BL$215,64,FALSE)</f>
        <v xml:space="preserve">823451. LineStatEns is NoPlay as bookie-line outside range. StatOnlyEns is NoPlay as bookie-line outside range. No play due to strategy constraints. </v>
      </c>
    </row>
    <row r="142" spans="1:25" x14ac:dyDescent="0.2">
      <c r="A142">
        <v>823128</v>
      </c>
      <c r="B142" s="3">
        <f>VLOOKUP($A142,ScionOutput!$A$3:$BL$215,3,FALSE)</f>
        <v>46189</v>
      </c>
      <c r="C142">
        <f>VLOOKUP($A142,ScionOutput!$A$3:$BL$215,22,FALSE)</f>
        <v>24</v>
      </c>
      <c r="D142" t="str">
        <f>VLOOKUP($A142,ScionOutput!$A$3:$BL$215,23,FALSE)</f>
        <v>SEA</v>
      </c>
      <c r="E142">
        <f>VLOOKUP($A142,ScionOutput!$A$3:$BL$215,6,FALSE)</f>
        <v>2</v>
      </c>
      <c r="F142" t="str">
        <f>VLOOKUP($A142,ScionOutput!$A$3:$BL$215,7,FALSE)</f>
        <v>BAL</v>
      </c>
      <c r="G142">
        <f>VLOOKUP($A142,ScionOutput!$A$3:$BL$215,26,FALSE)</f>
        <v>-151</v>
      </c>
      <c r="H142">
        <f>VLOOKUP($A142,ScionOutput!$A$3:$BL$215,10,FALSE)</f>
        <v>139</v>
      </c>
      <c r="I142" t="str">
        <f>VLOOKUP($A142,ScionOutput!$A$3:$BL$215,58,FALSE)</f>
        <v>No Play</v>
      </c>
      <c r="J142">
        <f>VLOOKUP($A142,ScionOutput!$A$3:$BL$215,59,FALSE)</f>
        <v>0</v>
      </c>
      <c r="K142">
        <f>VLOOKUP($A142,ScionOutput!$A$3:$BL$215,62,FALSE)</f>
        <v>0</v>
      </c>
      <c r="L142">
        <f>VLOOKUP($A142,ScionOutput!$A$3:$BL$215,63,FALSE)</f>
        <v>0</v>
      </c>
      <c r="M142" t="b">
        <f t="shared" si="17"/>
        <v>0</v>
      </c>
      <c r="N142">
        <f>VLOOKUP($A142,Outcomes!$B$3:$I$209,8,FALSE)</f>
        <v>4</v>
      </c>
      <c r="O142">
        <f t="shared" si="18"/>
        <v>1</v>
      </c>
      <c r="P142">
        <f>VLOOKUP($A142,Outcomes!$B$3:$I$209,5,FALSE)</f>
        <v>3</v>
      </c>
      <c r="Q142">
        <f>VLOOKUP($A142,Outcomes!$B$3:$I$209,6,FALSE)</f>
        <v>1</v>
      </c>
      <c r="R142">
        <f>VLOOKUP($A142,Outcomes!$B$3:$I$209,7,FALSE)</f>
        <v>-2</v>
      </c>
      <c r="S142" t="str">
        <f t="shared" si="19"/>
        <v>HomFave</v>
      </c>
      <c r="T142" t="str">
        <f t="shared" si="20"/>
        <v/>
      </c>
      <c r="U142" t="str">
        <f t="shared" si="16"/>
        <v/>
      </c>
      <c r="V142" t="str">
        <f t="shared" si="21"/>
        <v/>
      </c>
      <c r="W142" t="str">
        <f t="shared" si="22"/>
        <v/>
      </c>
      <c r="X142" s="2" t="str">
        <f t="shared" si="23"/>
        <v/>
      </c>
      <c r="Y142" t="str">
        <f>VLOOKUP($A142,ScionOutput!$A$3:$BL$215,64,FALSE)</f>
        <v xml:space="preserve">823128. LineStatEns is NoPlay as bookie-line outside range. StatOnlyEns is NoPlay as bookie-line outside range. No play due to strategy constraints. </v>
      </c>
    </row>
    <row r="143" spans="1:25" x14ac:dyDescent="0.2">
      <c r="A143">
        <v>823045</v>
      </c>
      <c r="B143" s="3">
        <f>VLOOKUP($A143,ScionOutput!$A$3:$BL$215,3,FALSE)</f>
        <v>46189</v>
      </c>
      <c r="C143">
        <f>VLOOKUP($A143,ScionOutput!$A$3:$BL$215,22,FALSE)</f>
        <v>26</v>
      </c>
      <c r="D143" t="str">
        <f>VLOOKUP($A143,ScionOutput!$A$3:$BL$215,23,FALSE)</f>
        <v>STL</v>
      </c>
      <c r="E143">
        <f>VLOOKUP($A143,ScionOutput!$A$3:$BL$215,6,FALSE)</f>
        <v>23</v>
      </c>
      <c r="F143" t="str">
        <f>VLOOKUP($A143,ScionOutput!$A$3:$BL$215,7,FALSE)</f>
        <v>SD</v>
      </c>
      <c r="G143">
        <f>VLOOKUP($A143,ScionOutput!$A$3:$BL$215,26,FALSE)</f>
        <v>-113</v>
      </c>
      <c r="H143">
        <f>VLOOKUP($A143,ScionOutput!$A$3:$BL$215,10,FALSE)</f>
        <v>105</v>
      </c>
      <c r="I143" t="str">
        <f>VLOOKUP($A143,ScionOutput!$A$3:$BL$215,58,FALSE)</f>
        <v>HomFave</v>
      </c>
      <c r="J143">
        <f>VLOOKUP($A143,ScionOutput!$A$3:$BL$215,59,FALSE)</f>
        <v>1.9029999999999998E-2</v>
      </c>
      <c r="K143">
        <f>VLOOKUP($A143,ScionOutput!$A$3:$BL$215,62,FALSE)</f>
        <v>3</v>
      </c>
      <c r="L143">
        <f>VLOOKUP($A143,ScionOutput!$A$3:$BL$215,63,FALSE)</f>
        <v>0.93</v>
      </c>
      <c r="M143" t="b">
        <f t="shared" si="17"/>
        <v>0</v>
      </c>
      <c r="N143">
        <f>VLOOKUP($A143,Outcomes!$B$3:$I$209,8,FALSE)</f>
        <v>5</v>
      </c>
      <c r="O143">
        <f t="shared" si="18"/>
        <v>1</v>
      </c>
      <c r="P143">
        <f>VLOOKUP($A143,Outcomes!$B$3:$I$209,5,FALSE)</f>
        <v>3</v>
      </c>
      <c r="Q143">
        <f>VLOOKUP($A143,Outcomes!$B$3:$I$209,6,FALSE)</f>
        <v>2</v>
      </c>
      <c r="R143">
        <f>VLOOKUP($A143,Outcomes!$B$3:$I$209,7,FALSE)</f>
        <v>-1</v>
      </c>
      <c r="S143" t="str">
        <f t="shared" si="19"/>
        <v>HomFave</v>
      </c>
      <c r="T143">
        <f t="shared" si="20"/>
        <v>1</v>
      </c>
      <c r="U143">
        <f t="shared" si="16"/>
        <v>113</v>
      </c>
      <c r="V143">
        <f t="shared" si="21"/>
        <v>213</v>
      </c>
      <c r="W143">
        <f t="shared" si="22"/>
        <v>100</v>
      </c>
      <c r="X143" s="2">
        <f t="shared" si="23"/>
        <v>0.88495575221238942</v>
      </c>
      <c r="Y143" t="str">
        <f>VLOOKUP($A143,ScionOutput!$A$3:$BL$215,64,FALSE)</f>
        <v xml:space="preserve">823045. StatOnlyEns probability points gap does not exceed threshold (no edge found)! Play determined by LineStatEns only. </v>
      </c>
    </row>
    <row r="144" spans="1:25" x14ac:dyDescent="0.2">
      <c r="A144">
        <v>822888</v>
      </c>
      <c r="B144" s="3">
        <f>VLOOKUP($A144,ScionOutput!$A$3:$BL$215,3,FALSE)</f>
        <v>46189</v>
      </c>
      <c r="C144">
        <f>VLOOKUP($A144,ScionOutput!$A$3:$BL$215,22,FALSE)</f>
        <v>28</v>
      </c>
      <c r="D144" t="str">
        <f>VLOOKUP($A144,ScionOutput!$A$3:$BL$215,23,FALSE)</f>
        <v>TEX</v>
      </c>
      <c r="E144">
        <f>VLOOKUP($A144,ScionOutput!$A$3:$BL$215,6,FALSE)</f>
        <v>15</v>
      </c>
      <c r="F144" t="str">
        <f>VLOOKUP($A144,ScionOutput!$A$3:$BL$215,7,FALSE)</f>
        <v>MIN</v>
      </c>
      <c r="G144">
        <f>VLOOKUP($A144,ScionOutput!$A$3:$BL$215,26,FALSE)</f>
        <v>-120</v>
      </c>
      <c r="H144">
        <f>VLOOKUP($A144,ScionOutput!$A$3:$BL$215,10,FALSE)</f>
        <v>111</v>
      </c>
      <c r="I144" t="str">
        <f>VLOOKUP($A144,ScionOutput!$A$3:$BL$215,58,FALSE)</f>
        <v>No Play</v>
      </c>
      <c r="J144">
        <f>VLOOKUP($A144,ScionOutput!$A$3:$BL$215,59,FALSE)</f>
        <v>0</v>
      </c>
      <c r="K144">
        <f>VLOOKUP($A144,ScionOutput!$A$3:$BL$215,62,FALSE)</f>
        <v>0</v>
      </c>
      <c r="L144">
        <f>VLOOKUP($A144,ScionOutput!$A$3:$BL$215,63,FALSE)</f>
        <v>0</v>
      </c>
      <c r="M144" t="b">
        <f t="shared" si="17"/>
        <v>0</v>
      </c>
      <c r="N144">
        <f>VLOOKUP($A144,Outcomes!$B$3:$I$209,8,FALSE)</f>
        <v>14</v>
      </c>
      <c r="O144">
        <f t="shared" si="18"/>
        <v>-1</v>
      </c>
      <c r="P144">
        <f>VLOOKUP($A144,Outcomes!$B$3:$I$209,5,FALSE)</f>
        <v>2</v>
      </c>
      <c r="Q144">
        <f>VLOOKUP($A144,Outcomes!$B$3:$I$209,6,FALSE)</f>
        <v>12</v>
      </c>
      <c r="R144">
        <f>VLOOKUP($A144,Outcomes!$B$3:$I$209,7,FALSE)</f>
        <v>10</v>
      </c>
      <c r="S144" t="str">
        <f t="shared" si="19"/>
        <v>VisDog</v>
      </c>
      <c r="T144" t="str">
        <f t="shared" si="20"/>
        <v/>
      </c>
      <c r="U144" t="str">
        <f t="shared" si="16"/>
        <v/>
      </c>
      <c r="V144" t="str">
        <f t="shared" si="21"/>
        <v/>
      </c>
      <c r="W144" t="str">
        <f t="shared" si="22"/>
        <v/>
      </c>
      <c r="X144" s="2" t="str">
        <f t="shared" si="23"/>
        <v/>
      </c>
      <c r="Y144" t="str">
        <f>VLOOKUP($A144,ScionOutput!$A$3:$BL$215,64,FALSE)</f>
        <v xml:space="preserve">822888. LineStatEns probability points gap does not exceed threshold (no edge found)! StatOnlyEns probability points gap does not exceed threshold (no edge found)! No play due to strategy constraints. </v>
      </c>
    </row>
    <row r="145" spans="1:25" x14ac:dyDescent="0.2">
      <c r="A145">
        <v>824912</v>
      </c>
      <c r="B145" s="3">
        <f>VLOOKUP($A145,ScionOutput!$A$3:$BL$215,3,FALSE)</f>
        <v>46189</v>
      </c>
      <c r="C145">
        <f>VLOOKUP($A145,ScionOutput!$A$3:$BL$215,22,FALSE)</f>
        <v>0</v>
      </c>
      <c r="D145" t="str">
        <f>VLOOKUP($A145,ScionOutput!$A$3:$BL$215,23,FALSE)</f>
        <v>ATL</v>
      </c>
      <c r="E145">
        <f>VLOOKUP($A145,ScionOutput!$A$3:$BL$215,6,FALSE)</f>
        <v>25</v>
      </c>
      <c r="F145" t="str">
        <f>VLOOKUP($A145,ScionOutput!$A$3:$BL$215,7,FALSE)</f>
        <v>SF</v>
      </c>
      <c r="G145">
        <f>VLOOKUP($A145,ScionOutput!$A$3:$BL$215,26,FALSE)</f>
        <v>-169</v>
      </c>
      <c r="H145">
        <f>VLOOKUP($A145,ScionOutput!$A$3:$BL$215,10,FALSE)</f>
        <v>154</v>
      </c>
      <c r="I145" t="str">
        <f>VLOOKUP($A145,ScionOutput!$A$3:$BL$215,58,FALSE)</f>
        <v>No Play</v>
      </c>
      <c r="J145">
        <f>VLOOKUP($A145,ScionOutput!$A$3:$BL$215,59,FALSE)</f>
        <v>0</v>
      </c>
      <c r="K145">
        <f>VLOOKUP($A145,ScionOutput!$A$3:$BL$215,62,FALSE)</f>
        <v>0</v>
      </c>
      <c r="L145">
        <f>VLOOKUP($A145,ScionOutput!$A$3:$BL$215,63,FALSE)</f>
        <v>0</v>
      </c>
      <c r="M145" t="b">
        <f t="shared" si="17"/>
        <v>0</v>
      </c>
      <c r="N145">
        <f>VLOOKUP($A145,Outcomes!$B$3:$I$209,8,FALSE)</f>
        <v>9</v>
      </c>
      <c r="O145">
        <f t="shared" si="18"/>
        <v>-1</v>
      </c>
      <c r="P145">
        <f>VLOOKUP($A145,Outcomes!$B$3:$I$209,5,FALSE)</f>
        <v>2</v>
      </c>
      <c r="Q145">
        <f>VLOOKUP($A145,Outcomes!$B$3:$I$209,6,FALSE)</f>
        <v>7</v>
      </c>
      <c r="R145">
        <f>VLOOKUP($A145,Outcomes!$B$3:$I$209,7,FALSE)</f>
        <v>5</v>
      </c>
      <c r="S145" t="str">
        <f t="shared" si="19"/>
        <v>VisDog</v>
      </c>
      <c r="T145" t="str">
        <f t="shared" si="20"/>
        <v/>
      </c>
      <c r="U145" t="str">
        <f t="shared" si="16"/>
        <v/>
      </c>
      <c r="V145" t="str">
        <f t="shared" si="21"/>
        <v/>
      </c>
      <c r="W145" t="str">
        <f t="shared" si="22"/>
        <v/>
      </c>
      <c r="X145" s="2" t="str">
        <f t="shared" si="23"/>
        <v/>
      </c>
      <c r="Y145" t="str">
        <f>VLOOKUP($A145,ScionOutput!$A$3:$BL$215,64,FALSE)</f>
        <v xml:space="preserve">824912. LineStatEns is NoPlay as bookie-line outside range. StatOnlyEns is NoPlay as bookie-line outside range. No play due to strategy constraints. </v>
      </c>
    </row>
    <row r="146" spans="1:25" x14ac:dyDescent="0.2">
      <c r="A146">
        <v>824913</v>
      </c>
      <c r="B146" s="3">
        <f>VLOOKUP($A146,ScionOutput!$A$3:$BL$215,3,FALSE)</f>
        <v>46190</v>
      </c>
      <c r="C146">
        <f>VLOOKUP($A146,ScionOutput!$A$3:$BL$215,22,FALSE)</f>
        <v>0</v>
      </c>
      <c r="D146" t="str">
        <f>VLOOKUP($A146,ScionOutput!$A$3:$BL$215,23,FALSE)</f>
        <v>ATL</v>
      </c>
      <c r="E146">
        <f>VLOOKUP($A146,ScionOutput!$A$3:$BL$215,6,FALSE)</f>
        <v>25</v>
      </c>
      <c r="F146" t="str">
        <f>VLOOKUP($A146,ScionOutput!$A$3:$BL$215,7,FALSE)</f>
        <v>SF</v>
      </c>
      <c r="G146">
        <f>VLOOKUP($A146,ScionOutput!$A$3:$BL$215,26,FALSE)</f>
        <v>-137</v>
      </c>
      <c r="H146">
        <f>VLOOKUP($A146,ScionOutput!$A$3:$BL$215,10,FALSE)</f>
        <v>124</v>
      </c>
      <c r="I146" t="str">
        <f>VLOOKUP($A146,ScionOutput!$A$3:$BL$215,58,FALSE)</f>
        <v>HomFave</v>
      </c>
      <c r="J146">
        <f>VLOOKUP($A146,ScionOutput!$A$3:$BL$215,59,FALSE)</f>
        <v>1.576E-2</v>
      </c>
      <c r="K146">
        <f>VLOOKUP($A146,ScionOutput!$A$3:$BL$215,62,FALSE)</f>
        <v>3</v>
      </c>
      <c r="L146">
        <f>VLOOKUP($A146,ScionOutput!$A$3:$BL$215,63,FALSE)</f>
        <v>1</v>
      </c>
      <c r="M146" t="b">
        <f t="shared" si="17"/>
        <v>0</v>
      </c>
      <c r="N146">
        <f>VLOOKUP($A146,Outcomes!$B$3:$I$209,8,FALSE)</f>
        <v>12</v>
      </c>
      <c r="O146">
        <f t="shared" si="18"/>
        <v>-1</v>
      </c>
      <c r="P146">
        <f>VLOOKUP($A146,Outcomes!$B$3:$I$209,5,FALSE)</f>
        <v>5</v>
      </c>
      <c r="Q146">
        <f>VLOOKUP($A146,Outcomes!$B$3:$I$209,6,FALSE)</f>
        <v>7</v>
      </c>
      <c r="R146">
        <f>VLOOKUP($A146,Outcomes!$B$3:$I$209,7,FALSE)</f>
        <v>2</v>
      </c>
      <c r="S146" t="str">
        <f t="shared" si="19"/>
        <v>VisDog</v>
      </c>
      <c r="T146">
        <f t="shared" si="20"/>
        <v>0</v>
      </c>
      <c r="U146">
        <f t="shared" si="16"/>
        <v>137</v>
      </c>
      <c r="V146">
        <f t="shared" si="21"/>
        <v>0</v>
      </c>
      <c r="W146">
        <f t="shared" si="22"/>
        <v>-137</v>
      </c>
      <c r="X146" s="2">
        <f t="shared" si="23"/>
        <v>-1</v>
      </c>
      <c r="Y146" t="str">
        <f>VLOOKUP($A146,ScionOutput!$A$3:$BL$215,64,FALSE)</f>
        <v xml:space="preserve">824913. StatOnlyEns probability points gap does not exceed threshold (no edge found)! Play determined by LineStatEns only. </v>
      </c>
    </row>
    <row r="147" spans="1:25" x14ac:dyDescent="0.2">
      <c r="A147">
        <v>825072</v>
      </c>
      <c r="B147" s="3">
        <f>VLOOKUP($A147,ScionOutput!$A$3:$BL$215,3,FALSE)</f>
        <v>46190</v>
      </c>
      <c r="C147">
        <f>VLOOKUP($A147,ScionOutput!$A$3:$BL$215,22,FALSE)</f>
        <v>1</v>
      </c>
      <c r="D147" t="str">
        <f>VLOOKUP($A147,ScionOutput!$A$3:$BL$215,23,FALSE)</f>
        <v>ARZ</v>
      </c>
      <c r="E147">
        <f>VLOOKUP($A147,ScionOutput!$A$3:$BL$215,6,FALSE)</f>
        <v>4</v>
      </c>
      <c r="F147" t="str">
        <f>VLOOKUP($A147,ScionOutput!$A$3:$BL$215,7,FALSE)</f>
        <v>LAA</v>
      </c>
      <c r="G147">
        <f>VLOOKUP($A147,ScionOutput!$A$3:$BL$215,26,FALSE)</f>
        <v>-163</v>
      </c>
      <c r="H147">
        <f>VLOOKUP($A147,ScionOutput!$A$3:$BL$215,10,FALSE)</f>
        <v>146</v>
      </c>
      <c r="I147" t="str">
        <f>VLOOKUP($A147,ScionOutput!$A$3:$BL$215,58,FALSE)</f>
        <v>No Play</v>
      </c>
      <c r="J147">
        <f>VLOOKUP($A147,ScionOutput!$A$3:$BL$215,59,FALSE)</f>
        <v>0</v>
      </c>
      <c r="K147">
        <f>VLOOKUP($A147,ScionOutput!$A$3:$BL$215,62,FALSE)</f>
        <v>0</v>
      </c>
      <c r="L147">
        <f>VLOOKUP($A147,ScionOutput!$A$3:$BL$215,63,FALSE)</f>
        <v>0</v>
      </c>
      <c r="M147" t="b">
        <f t="shared" si="17"/>
        <v>0</v>
      </c>
      <c r="N147">
        <f>VLOOKUP($A147,Outcomes!$B$3:$I$209,8,FALSE)</f>
        <v>9</v>
      </c>
      <c r="O147">
        <f t="shared" si="18"/>
        <v>1</v>
      </c>
      <c r="P147">
        <f>VLOOKUP($A147,Outcomes!$B$3:$I$209,5,FALSE)</f>
        <v>8</v>
      </c>
      <c r="Q147">
        <f>VLOOKUP($A147,Outcomes!$B$3:$I$209,6,FALSE)</f>
        <v>1</v>
      </c>
      <c r="R147">
        <f>VLOOKUP($A147,Outcomes!$B$3:$I$209,7,FALSE)</f>
        <v>-7</v>
      </c>
      <c r="S147" t="str">
        <f t="shared" si="19"/>
        <v>HomFave</v>
      </c>
      <c r="T147" t="str">
        <f t="shared" si="20"/>
        <v/>
      </c>
      <c r="U147" t="str">
        <f t="shared" si="16"/>
        <v/>
      </c>
      <c r="V147" t="str">
        <f t="shared" si="21"/>
        <v/>
      </c>
      <c r="W147" t="str">
        <f t="shared" si="22"/>
        <v/>
      </c>
      <c r="X147" s="2" t="str">
        <f t="shared" si="23"/>
        <v/>
      </c>
      <c r="Y147" t="str">
        <f>VLOOKUP($A147,ScionOutput!$A$3:$BL$215,64,FALSE)</f>
        <v xml:space="preserve">825072. LineStatEns is NoPlay as bookie-line outside range. StatOnlyEns is NoPlay as bookie-line outside range. No play due to strategy constraints. </v>
      </c>
    </row>
    <row r="148" spans="1:25" x14ac:dyDescent="0.2">
      <c r="A148">
        <v>824746</v>
      </c>
      <c r="B148" s="3">
        <f>VLOOKUP($A148,ScionOutput!$A$3:$BL$215,3,FALSE)</f>
        <v>46190</v>
      </c>
      <c r="C148">
        <f>VLOOKUP($A148,ScionOutput!$A$3:$BL$215,22,FALSE)</f>
        <v>3</v>
      </c>
      <c r="D148" t="str">
        <f>VLOOKUP($A148,ScionOutput!$A$3:$BL$215,23,FALSE)</f>
        <v>BOS</v>
      </c>
      <c r="E148">
        <f>VLOOKUP($A148,ScionOutput!$A$3:$BL$215,6,FALSE)</f>
        <v>29</v>
      </c>
      <c r="F148" t="str">
        <f>VLOOKUP($A148,ScionOutput!$A$3:$BL$215,7,FALSE)</f>
        <v>TOR</v>
      </c>
      <c r="G148">
        <f>VLOOKUP($A148,ScionOutput!$A$3:$BL$215,26,FALSE)</f>
        <v>-124</v>
      </c>
      <c r="H148">
        <f>VLOOKUP($A148,ScionOutput!$A$3:$BL$215,10,FALSE)</f>
        <v>112</v>
      </c>
      <c r="I148" t="str">
        <f>VLOOKUP($A148,ScionOutput!$A$3:$BL$215,58,FALSE)</f>
        <v>No Play</v>
      </c>
      <c r="J148">
        <f>VLOOKUP($A148,ScionOutput!$A$3:$BL$215,59,FALSE)</f>
        <v>0</v>
      </c>
      <c r="K148">
        <f>VLOOKUP($A148,ScionOutput!$A$3:$BL$215,62,FALSE)</f>
        <v>0</v>
      </c>
      <c r="L148">
        <f>VLOOKUP($A148,ScionOutput!$A$3:$BL$215,63,FALSE)</f>
        <v>0</v>
      </c>
      <c r="M148" t="b">
        <f t="shared" si="17"/>
        <v>0</v>
      </c>
      <c r="N148">
        <f>VLOOKUP($A148,Outcomes!$B$3:$I$209,8,FALSE)</f>
        <v>3</v>
      </c>
      <c r="O148">
        <f t="shared" si="18"/>
        <v>-1</v>
      </c>
      <c r="P148">
        <f>VLOOKUP($A148,Outcomes!$B$3:$I$209,5,FALSE)</f>
        <v>0</v>
      </c>
      <c r="Q148">
        <f>VLOOKUP($A148,Outcomes!$B$3:$I$209,6,FALSE)</f>
        <v>3</v>
      </c>
      <c r="R148">
        <f>VLOOKUP($A148,Outcomes!$B$3:$I$209,7,FALSE)</f>
        <v>3</v>
      </c>
      <c r="S148" t="str">
        <f t="shared" si="19"/>
        <v>VisDog</v>
      </c>
      <c r="T148" t="str">
        <f t="shared" si="20"/>
        <v/>
      </c>
      <c r="U148" t="str">
        <f t="shared" si="16"/>
        <v/>
      </c>
      <c r="V148" t="str">
        <f t="shared" si="21"/>
        <v/>
      </c>
      <c r="W148" t="str">
        <f t="shared" si="22"/>
        <v/>
      </c>
      <c r="X148" s="2" t="str">
        <f t="shared" si="23"/>
        <v/>
      </c>
      <c r="Y148" t="str">
        <f>VLOOKUP($A148,ScionOutput!$A$3:$BL$215,64,FALSE)</f>
        <v xml:space="preserve">824746. LineStatEns probability points gap does not exceed threshold (no edge found)! No play due to strategy constraints. </v>
      </c>
    </row>
    <row r="149" spans="1:25" x14ac:dyDescent="0.2">
      <c r="A149">
        <v>824668</v>
      </c>
      <c r="B149" s="3">
        <f>VLOOKUP($A149,ScionOutput!$A$3:$BL$215,3,FALSE)</f>
        <v>46190</v>
      </c>
      <c r="C149">
        <f>VLOOKUP($A149,ScionOutput!$A$3:$BL$215,22,FALSE)</f>
        <v>5</v>
      </c>
      <c r="D149" t="str">
        <f>VLOOKUP($A149,ScionOutput!$A$3:$BL$215,23,FALSE)</f>
        <v>CHC</v>
      </c>
      <c r="E149">
        <f>VLOOKUP($A149,ScionOutput!$A$3:$BL$215,6,FALSE)</f>
        <v>8</v>
      </c>
      <c r="F149" t="str">
        <f>VLOOKUP($A149,ScionOutput!$A$3:$BL$215,7,FALSE)</f>
        <v>COL</v>
      </c>
      <c r="G149">
        <f>VLOOKUP($A149,ScionOutput!$A$3:$BL$215,26,FALSE)</f>
        <v>-180</v>
      </c>
      <c r="H149">
        <f>VLOOKUP($A149,ScionOutput!$A$3:$BL$215,10,FALSE)</f>
        <v>161</v>
      </c>
      <c r="I149" t="str">
        <f>VLOOKUP($A149,ScionOutput!$A$3:$BL$215,58,FALSE)</f>
        <v>No Play</v>
      </c>
      <c r="J149">
        <f>VLOOKUP($A149,ScionOutput!$A$3:$BL$215,59,FALSE)</f>
        <v>0</v>
      </c>
      <c r="K149">
        <f>VLOOKUP($A149,ScionOutput!$A$3:$BL$215,62,FALSE)</f>
        <v>0</v>
      </c>
      <c r="L149">
        <f>VLOOKUP($A149,ScionOutput!$A$3:$BL$215,63,FALSE)</f>
        <v>0</v>
      </c>
      <c r="M149" t="b">
        <f t="shared" si="17"/>
        <v>0</v>
      </c>
      <c r="N149">
        <f>VLOOKUP($A149,Outcomes!$B$3:$I$209,8,FALSE)</f>
        <v>14</v>
      </c>
      <c r="O149">
        <f t="shared" si="18"/>
        <v>1</v>
      </c>
      <c r="P149">
        <f>VLOOKUP($A149,Outcomes!$B$3:$I$209,5,FALSE)</f>
        <v>8</v>
      </c>
      <c r="Q149">
        <f>VLOOKUP($A149,Outcomes!$B$3:$I$209,6,FALSE)</f>
        <v>6</v>
      </c>
      <c r="R149">
        <f>VLOOKUP($A149,Outcomes!$B$3:$I$209,7,FALSE)</f>
        <v>-2</v>
      </c>
      <c r="S149" t="str">
        <f t="shared" si="19"/>
        <v>HomFave</v>
      </c>
      <c r="T149" t="str">
        <f t="shared" si="20"/>
        <v/>
      </c>
      <c r="U149" t="str">
        <f t="shared" si="16"/>
        <v/>
      </c>
      <c r="V149" t="str">
        <f t="shared" si="21"/>
        <v/>
      </c>
      <c r="W149" t="str">
        <f t="shared" si="22"/>
        <v/>
      </c>
      <c r="X149" s="2" t="str">
        <f t="shared" si="23"/>
        <v/>
      </c>
      <c r="Y149" t="str">
        <f>VLOOKUP($A149,ScionOutput!$A$3:$BL$215,64,FALSE)</f>
        <v xml:space="preserve">824668. LineStatEns is NoPlay as bookie-line outside range. StatOnlyEns is NoPlay as bookie-line outside range. No play due to strategy constraints. </v>
      </c>
    </row>
    <row r="150" spans="1:25" x14ac:dyDescent="0.2">
      <c r="A150">
        <v>824503</v>
      </c>
      <c r="B150" s="3">
        <f>VLOOKUP($A150,ScionOutput!$A$3:$BL$215,3,FALSE)</f>
        <v>46190</v>
      </c>
      <c r="C150">
        <f>VLOOKUP($A150,ScionOutput!$A$3:$BL$215,22,FALSE)</f>
        <v>6</v>
      </c>
      <c r="D150" t="str">
        <f>VLOOKUP($A150,ScionOutput!$A$3:$BL$215,23,FALSE)</f>
        <v>CIN</v>
      </c>
      <c r="E150">
        <f>VLOOKUP($A150,ScionOutput!$A$3:$BL$215,6,FALSE)</f>
        <v>18</v>
      </c>
      <c r="F150" t="str">
        <f>VLOOKUP($A150,ScionOutput!$A$3:$BL$215,7,FALSE)</f>
        <v>NYM</v>
      </c>
      <c r="G150">
        <f>VLOOKUP($A150,ScionOutput!$A$3:$BL$215,26,FALSE)</f>
        <v>113</v>
      </c>
      <c r="H150">
        <f>VLOOKUP($A150,ScionOutput!$A$3:$BL$215,10,FALSE)</f>
        <v>-125</v>
      </c>
      <c r="I150" t="str">
        <f>VLOOKUP($A150,ScionOutput!$A$3:$BL$215,58,FALSE)</f>
        <v>No Play</v>
      </c>
      <c r="J150">
        <f>VLOOKUP($A150,ScionOutput!$A$3:$BL$215,59,FALSE)</f>
        <v>0</v>
      </c>
      <c r="K150">
        <f>VLOOKUP($A150,ScionOutput!$A$3:$BL$215,62,FALSE)</f>
        <v>0</v>
      </c>
      <c r="L150">
        <f>VLOOKUP($A150,ScionOutput!$A$3:$BL$215,63,FALSE)</f>
        <v>0</v>
      </c>
      <c r="M150" t="b">
        <f t="shared" si="17"/>
        <v>0</v>
      </c>
      <c r="N150">
        <f>VLOOKUP($A150,Outcomes!$B$3:$I$209,8,FALSE)</f>
        <v>10</v>
      </c>
      <c r="O150">
        <f t="shared" si="18"/>
        <v>-1</v>
      </c>
      <c r="P150">
        <f>VLOOKUP($A150,Outcomes!$B$3:$I$209,5,FALSE)</f>
        <v>1</v>
      </c>
      <c r="Q150">
        <f>VLOOKUP($A150,Outcomes!$B$3:$I$209,6,FALSE)</f>
        <v>9</v>
      </c>
      <c r="R150">
        <f>VLOOKUP($A150,Outcomes!$B$3:$I$209,7,FALSE)</f>
        <v>8</v>
      </c>
      <c r="S150" t="str">
        <f t="shared" si="19"/>
        <v>VisFave</v>
      </c>
      <c r="T150" t="str">
        <f t="shared" si="20"/>
        <v/>
      </c>
      <c r="U150" t="str">
        <f t="shared" si="16"/>
        <v/>
      </c>
      <c r="V150" t="str">
        <f t="shared" si="21"/>
        <v/>
      </c>
      <c r="W150" t="str">
        <f t="shared" si="22"/>
        <v/>
      </c>
      <c r="X150" s="2" t="str">
        <f t="shared" si="23"/>
        <v/>
      </c>
      <c r="Y150" t="str">
        <f>VLOOKUP($A150,ScionOutput!$A$3:$BL$215,64,FALSE)</f>
        <v xml:space="preserve">824503. VF plays are disallowed. No play due to strategy constraints. </v>
      </c>
    </row>
    <row r="151" spans="1:25" x14ac:dyDescent="0.2">
      <c r="A151">
        <v>824178</v>
      </c>
      <c r="B151" s="3">
        <f>VLOOKUP($A151,ScionOutput!$A$3:$BL$215,3,FALSE)</f>
        <v>46190</v>
      </c>
      <c r="C151">
        <f>VLOOKUP($A151,ScionOutput!$A$3:$BL$215,22,FALSE)</f>
        <v>12</v>
      </c>
      <c r="D151" t="str">
        <f>VLOOKUP($A151,ScionOutput!$A$3:$BL$215,23,FALSE)</f>
        <v>HOU</v>
      </c>
      <c r="E151">
        <f>VLOOKUP($A151,ScionOutput!$A$3:$BL$215,6,FALSE)</f>
        <v>10</v>
      </c>
      <c r="F151" t="str">
        <f>VLOOKUP($A151,ScionOutput!$A$3:$BL$215,7,FALSE)</f>
        <v>DET</v>
      </c>
      <c r="G151">
        <f>VLOOKUP($A151,ScionOutput!$A$3:$BL$215,26,FALSE)</f>
        <v>-103</v>
      </c>
      <c r="H151">
        <f>VLOOKUP($A151,ScionOutput!$A$3:$BL$215,10,FALSE)</f>
        <v>-107</v>
      </c>
      <c r="I151" t="str">
        <f>VLOOKUP($A151,ScionOutput!$A$3:$BL$215,58,FALSE)</f>
        <v>No Play</v>
      </c>
      <c r="J151">
        <f>VLOOKUP($A151,ScionOutput!$A$3:$BL$215,59,FALSE)</f>
        <v>0</v>
      </c>
      <c r="K151">
        <f>VLOOKUP($A151,ScionOutput!$A$3:$BL$215,62,FALSE)</f>
        <v>0</v>
      </c>
      <c r="L151">
        <f>VLOOKUP($A151,ScionOutput!$A$3:$BL$215,63,FALSE)</f>
        <v>0</v>
      </c>
      <c r="M151" t="b">
        <f t="shared" si="17"/>
        <v>0</v>
      </c>
      <c r="N151">
        <f>VLOOKUP($A151,Outcomes!$B$3:$I$209,8,FALSE)</f>
        <v>6</v>
      </c>
      <c r="O151">
        <f t="shared" si="18"/>
        <v>1</v>
      </c>
      <c r="P151">
        <f>VLOOKUP($A151,Outcomes!$B$3:$I$209,5,FALSE)</f>
        <v>4</v>
      </c>
      <c r="Q151">
        <f>VLOOKUP($A151,Outcomes!$B$3:$I$209,6,FALSE)</f>
        <v>2</v>
      </c>
      <c r="R151">
        <f>VLOOKUP($A151,Outcomes!$B$3:$I$209,7,FALSE)</f>
        <v>-2</v>
      </c>
      <c r="S151" t="str">
        <f t="shared" si="19"/>
        <v>HomDog</v>
      </c>
      <c r="T151" t="str">
        <f t="shared" si="20"/>
        <v/>
      </c>
      <c r="U151" t="str">
        <f t="shared" si="16"/>
        <v/>
      </c>
      <c r="V151" t="str">
        <f t="shared" si="21"/>
        <v/>
      </c>
      <c r="W151" t="str">
        <f t="shared" si="22"/>
        <v/>
      </c>
      <c r="X151" s="2" t="str">
        <f t="shared" si="23"/>
        <v/>
      </c>
      <c r="Y151" t="str">
        <f>VLOOKUP($A151,ScionOutput!$A$3:$BL$215,64,FALSE)</f>
        <v xml:space="preserve">824178. VF plays are disallowed. No play due to strategy constraints. </v>
      </c>
    </row>
    <row r="152" spans="1:25" x14ac:dyDescent="0.2">
      <c r="A152">
        <v>823940</v>
      </c>
      <c r="B152" s="3">
        <f>VLOOKUP($A152,ScionOutput!$A$3:$BL$215,3,FALSE)</f>
        <v>46190</v>
      </c>
      <c r="C152">
        <f>VLOOKUP($A152,ScionOutput!$A$3:$BL$215,22,FALSE)</f>
        <v>14</v>
      </c>
      <c r="D152" t="str">
        <f>VLOOKUP($A152,ScionOutput!$A$3:$BL$215,23,FALSE)</f>
        <v>LA</v>
      </c>
      <c r="E152">
        <f>VLOOKUP($A152,ScionOutput!$A$3:$BL$215,6,FALSE)</f>
        <v>27</v>
      </c>
      <c r="F152" t="str">
        <f>VLOOKUP($A152,ScionOutput!$A$3:$BL$215,7,FALSE)</f>
        <v>TB</v>
      </c>
      <c r="G152">
        <f>VLOOKUP($A152,ScionOutput!$A$3:$BL$215,26,FALSE)</f>
        <v>-181</v>
      </c>
      <c r="H152">
        <f>VLOOKUP($A152,ScionOutput!$A$3:$BL$215,10,FALSE)</f>
        <v>162</v>
      </c>
      <c r="I152" t="str">
        <f>VLOOKUP($A152,ScionOutput!$A$3:$BL$215,58,FALSE)</f>
        <v>No Play</v>
      </c>
      <c r="J152">
        <f>VLOOKUP($A152,ScionOutput!$A$3:$BL$215,59,FALSE)</f>
        <v>0</v>
      </c>
      <c r="K152">
        <f>VLOOKUP($A152,ScionOutput!$A$3:$BL$215,62,FALSE)</f>
        <v>0</v>
      </c>
      <c r="L152">
        <f>VLOOKUP($A152,ScionOutput!$A$3:$BL$215,63,FALSE)</f>
        <v>0</v>
      </c>
      <c r="M152" t="b">
        <f t="shared" si="17"/>
        <v>0</v>
      </c>
      <c r="N152">
        <f>VLOOKUP($A152,Outcomes!$B$3:$I$209,8,FALSE)</f>
        <v>9</v>
      </c>
      <c r="O152">
        <f t="shared" si="18"/>
        <v>1</v>
      </c>
      <c r="P152">
        <f>VLOOKUP($A152,Outcomes!$B$3:$I$209,5,FALSE)</f>
        <v>5</v>
      </c>
      <c r="Q152">
        <f>VLOOKUP($A152,Outcomes!$B$3:$I$209,6,FALSE)</f>
        <v>4</v>
      </c>
      <c r="R152">
        <f>VLOOKUP($A152,Outcomes!$B$3:$I$209,7,FALSE)</f>
        <v>-1</v>
      </c>
      <c r="S152" t="str">
        <f t="shared" si="19"/>
        <v>HomFave</v>
      </c>
      <c r="T152" t="str">
        <f t="shared" si="20"/>
        <v/>
      </c>
      <c r="U152" t="str">
        <f t="shared" si="16"/>
        <v/>
      </c>
      <c r="V152" t="str">
        <f t="shared" si="21"/>
        <v/>
      </c>
      <c r="W152" t="str">
        <f t="shared" si="22"/>
        <v/>
      </c>
      <c r="X152" s="2" t="str">
        <f t="shared" si="23"/>
        <v/>
      </c>
      <c r="Y152" t="str">
        <f>VLOOKUP($A152,ScionOutput!$A$3:$BL$215,64,FALSE)</f>
        <v xml:space="preserve">823940. LineStatEns is NoPlay as bookie-line outside range. StatOnlyEns is NoPlay as bookie-line outside range. No play due to strategy constraints. </v>
      </c>
    </row>
    <row r="153" spans="1:25" x14ac:dyDescent="0.2">
      <c r="A153">
        <v>822721</v>
      </c>
      <c r="B153" s="3">
        <f>VLOOKUP($A153,ScionOutput!$A$3:$BL$215,3,FALSE)</f>
        <v>46190</v>
      </c>
      <c r="C153">
        <f>VLOOKUP($A153,ScionOutput!$A$3:$BL$215,22,FALSE)</f>
        <v>16</v>
      </c>
      <c r="D153" t="str">
        <f>VLOOKUP($A153,ScionOutput!$A$3:$BL$215,23,FALSE)</f>
        <v>WAS</v>
      </c>
      <c r="E153">
        <f>VLOOKUP($A153,ScionOutput!$A$3:$BL$215,6,FALSE)</f>
        <v>13</v>
      </c>
      <c r="F153" t="str">
        <f>VLOOKUP($A153,ScionOutput!$A$3:$BL$215,7,FALSE)</f>
        <v>KC</v>
      </c>
      <c r="G153">
        <f>VLOOKUP($A153,ScionOutput!$A$3:$BL$215,26,FALSE)</f>
        <v>-125</v>
      </c>
      <c r="H153">
        <f>VLOOKUP($A153,ScionOutput!$A$3:$BL$215,10,FALSE)</f>
        <v>113</v>
      </c>
      <c r="I153" t="str">
        <f>VLOOKUP($A153,ScionOutput!$A$3:$BL$215,58,FALSE)</f>
        <v>No Play</v>
      </c>
      <c r="J153">
        <f>VLOOKUP($A153,ScionOutput!$A$3:$BL$215,59,FALSE)</f>
        <v>0</v>
      </c>
      <c r="K153">
        <f>VLOOKUP($A153,ScionOutput!$A$3:$BL$215,62,FALSE)</f>
        <v>0</v>
      </c>
      <c r="L153">
        <f>VLOOKUP($A153,ScionOutput!$A$3:$BL$215,63,FALSE)</f>
        <v>0</v>
      </c>
      <c r="M153" t="b">
        <f t="shared" si="17"/>
        <v>0</v>
      </c>
      <c r="N153">
        <f>VLOOKUP($A153,Outcomes!$B$3:$I$209,8,FALSE)</f>
        <v>8</v>
      </c>
      <c r="O153">
        <f t="shared" si="18"/>
        <v>-1</v>
      </c>
      <c r="P153">
        <f>VLOOKUP($A153,Outcomes!$B$3:$I$209,5,FALSE)</f>
        <v>2</v>
      </c>
      <c r="Q153">
        <f>VLOOKUP($A153,Outcomes!$B$3:$I$209,6,FALSE)</f>
        <v>6</v>
      </c>
      <c r="R153">
        <f>VLOOKUP($A153,Outcomes!$B$3:$I$209,7,FALSE)</f>
        <v>4</v>
      </c>
      <c r="S153" t="str">
        <f t="shared" si="19"/>
        <v>VisDog</v>
      </c>
      <c r="T153" t="str">
        <f t="shared" si="20"/>
        <v/>
      </c>
      <c r="U153" t="str">
        <f t="shared" si="16"/>
        <v/>
      </c>
      <c r="V153" t="str">
        <f t="shared" si="21"/>
        <v/>
      </c>
      <c r="W153" t="str">
        <f t="shared" si="22"/>
        <v/>
      </c>
      <c r="X153" s="2" t="str">
        <f t="shared" si="23"/>
        <v/>
      </c>
      <c r="Y153" t="str">
        <f>VLOOKUP($A153,ScionOutput!$A$3:$BL$215,64,FALSE)</f>
        <v xml:space="preserve">822721. LineStatEns probability points gap does not exceed threshold (no edge found)! StatOnlyEns probability points gap does not exceed threshold (no edge found)! No play due to strategy constraints. </v>
      </c>
    </row>
    <row r="154" spans="1:25" x14ac:dyDescent="0.2">
      <c r="A154">
        <v>823774</v>
      </c>
      <c r="B154" s="3">
        <f>VLOOKUP($A154,ScionOutput!$A$3:$BL$215,3,FALSE)</f>
        <v>46190</v>
      </c>
      <c r="C154">
        <f>VLOOKUP($A154,ScionOutput!$A$3:$BL$215,22,FALSE)</f>
        <v>17</v>
      </c>
      <c r="D154" t="str">
        <f>VLOOKUP($A154,ScionOutput!$A$3:$BL$215,23,FALSE)</f>
        <v>MLW</v>
      </c>
      <c r="E154">
        <f>VLOOKUP($A154,ScionOutput!$A$3:$BL$215,6,FALSE)</f>
        <v>7</v>
      </c>
      <c r="F154" t="str">
        <f>VLOOKUP($A154,ScionOutput!$A$3:$BL$215,7,FALSE)</f>
        <v>CLE</v>
      </c>
      <c r="G154">
        <f>VLOOKUP($A154,ScionOutput!$A$3:$BL$215,26,FALSE)</f>
        <v>-118</v>
      </c>
      <c r="H154">
        <f>VLOOKUP($A154,ScionOutput!$A$3:$BL$215,10,FALSE)</f>
        <v>107</v>
      </c>
      <c r="I154" t="str">
        <f>VLOOKUP($A154,ScionOutput!$A$3:$BL$215,58,FALSE)</f>
        <v>No Play</v>
      </c>
      <c r="J154">
        <f>VLOOKUP($A154,ScionOutput!$A$3:$BL$215,59,FALSE)</f>
        <v>0</v>
      </c>
      <c r="K154">
        <f>VLOOKUP($A154,ScionOutput!$A$3:$BL$215,62,FALSE)</f>
        <v>0</v>
      </c>
      <c r="L154">
        <f>VLOOKUP($A154,ScionOutput!$A$3:$BL$215,63,FALSE)</f>
        <v>0</v>
      </c>
      <c r="M154" t="b">
        <f t="shared" si="17"/>
        <v>0</v>
      </c>
      <c r="N154">
        <f>VLOOKUP($A154,Outcomes!$B$3:$I$209,8,FALSE)</f>
        <v>13</v>
      </c>
      <c r="O154">
        <f t="shared" si="18"/>
        <v>1</v>
      </c>
      <c r="P154">
        <f>VLOOKUP($A154,Outcomes!$B$3:$I$209,5,FALSE)</f>
        <v>9</v>
      </c>
      <c r="Q154">
        <f>VLOOKUP($A154,Outcomes!$B$3:$I$209,6,FALSE)</f>
        <v>4</v>
      </c>
      <c r="R154">
        <f>VLOOKUP($A154,Outcomes!$B$3:$I$209,7,FALSE)</f>
        <v>-5</v>
      </c>
      <c r="S154" t="str">
        <f t="shared" si="19"/>
        <v>HomFave</v>
      </c>
      <c r="T154" t="str">
        <f t="shared" si="20"/>
        <v/>
      </c>
      <c r="U154" t="str">
        <f t="shared" si="16"/>
        <v/>
      </c>
      <c r="V154" t="str">
        <f t="shared" si="21"/>
        <v/>
      </c>
      <c r="W154" t="str">
        <f t="shared" si="22"/>
        <v/>
      </c>
      <c r="X154" s="2" t="str">
        <f t="shared" si="23"/>
        <v/>
      </c>
      <c r="Y154" t="str">
        <f>VLOOKUP($A154,ScionOutput!$A$3:$BL$215,64,FALSE)</f>
        <v xml:space="preserve">823774. LineStatEns probability points gap does not exceed threshold (no edge found)! No play due to strategy constraints. </v>
      </c>
    </row>
    <row r="155" spans="1:25" x14ac:dyDescent="0.2">
      <c r="A155">
        <v>823536</v>
      </c>
      <c r="B155" s="3">
        <f>VLOOKUP($A155,ScionOutput!$A$3:$BL$215,3,FALSE)</f>
        <v>46190</v>
      </c>
      <c r="C155">
        <f>VLOOKUP($A155,ScionOutput!$A$3:$BL$215,22,FALSE)</f>
        <v>19</v>
      </c>
      <c r="D155" t="str">
        <f>VLOOKUP($A155,ScionOutput!$A$3:$BL$215,23,FALSE)</f>
        <v>NYY</v>
      </c>
      <c r="E155">
        <f>VLOOKUP($A155,ScionOutput!$A$3:$BL$215,6,FALSE)</f>
        <v>9</v>
      </c>
      <c r="F155" t="str">
        <f>VLOOKUP($A155,ScionOutput!$A$3:$BL$215,7,FALSE)</f>
        <v>CWS</v>
      </c>
      <c r="G155">
        <f>VLOOKUP($A155,ScionOutput!$A$3:$BL$215,26,FALSE)</f>
        <v>-170</v>
      </c>
      <c r="H155">
        <f>VLOOKUP($A155,ScionOutput!$A$3:$BL$215,10,FALSE)</f>
        <v>153</v>
      </c>
      <c r="I155" t="str">
        <f>VLOOKUP($A155,ScionOutput!$A$3:$BL$215,58,FALSE)</f>
        <v>No Play</v>
      </c>
      <c r="J155">
        <f>VLOOKUP($A155,ScionOutput!$A$3:$BL$215,59,FALSE)</f>
        <v>0</v>
      </c>
      <c r="K155">
        <f>VLOOKUP($A155,ScionOutput!$A$3:$BL$215,62,FALSE)</f>
        <v>0</v>
      </c>
      <c r="L155">
        <f>VLOOKUP($A155,ScionOutput!$A$3:$BL$215,63,FALSE)</f>
        <v>0</v>
      </c>
      <c r="M155" t="b">
        <f t="shared" si="17"/>
        <v>0</v>
      </c>
      <c r="N155">
        <f>VLOOKUP($A155,Outcomes!$B$3:$I$209,8,FALSE)</f>
        <v>15</v>
      </c>
      <c r="O155">
        <f t="shared" si="18"/>
        <v>1</v>
      </c>
      <c r="P155">
        <f>VLOOKUP($A155,Outcomes!$B$3:$I$209,5,FALSE)</f>
        <v>10</v>
      </c>
      <c r="Q155">
        <f>VLOOKUP($A155,Outcomes!$B$3:$I$209,6,FALSE)</f>
        <v>5</v>
      </c>
      <c r="R155">
        <f>VLOOKUP($A155,Outcomes!$B$3:$I$209,7,FALSE)</f>
        <v>-5</v>
      </c>
      <c r="S155" t="str">
        <f t="shared" si="19"/>
        <v>HomFave</v>
      </c>
      <c r="T155" t="str">
        <f t="shared" si="20"/>
        <v/>
      </c>
      <c r="U155" t="str">
        <f t="shared" si="16"/>
        <v/>
      </c>
      <c r="V155" t="str">
        <f t="shared" si="21"/>
        <v/>
      </c>
      <c r="W155" t="str">
        <f t="shared" si="22"/>
        <v/>
      </c>
      <c r="X155" s="2" t="str">
        <f t="shared" si="23"/>
        <v/>
      </c>
      <c r="Y155" t="str">
        <f>VLOOKUP($A155,ScionOutput!$A$3:$BL$215,64,FALSE)</f>
        <v xml:space="preserve">823536. LineStatEns is NoPlay as bookie-line outside range. StatOnlyEns is NoPlay as bookie-line outside range. No play due to strategy constraints. </v>
      </c>
    </row>
    <row r="156" spans="1:25" x14ac:dyDescent="0.2">
      <c r="A156">
        <v>824992</v>
      </c>
      <c r="B156" s="3">
        <f>VLOOKUP($A156,ScionOutput!$A$3:$BL$215,3,FALSE)</f>
        <v>46190</v>
      </c>
      <c r="C156">
        <f>VLOOKUP($A156,ScionOutput!$A$3:$BL$215,22,FALSE)</f>
        <v>20</v>
      </c>
      <c r="D156" t="str">
        <f>VLOOKUP($A156,ScionOutput!$A$3:$BL$215,23,FALSE)</f>
        <v>OAK</v>
      </c>
      <c r="E156">
        <f>VLOOKUP($A156,ScionOutput!$A$3:$BL$215,6,FALSE)</f>
        <v>22</v>
      </c>
      <c r="F156" t="str">
        <f>VLOOKUP($A156,ScionOutput!$A$3:$BL$215,7,FALSE)</f>
        <v>PIT</v>
      </c>
      <c r="G156">
        <f>VLOOKUP($A156,ScionOutput!$A$3:$BL$215,26,FALSE)</f>
        <v>104</v>
      </c>
      <c r="H156">
        <f>VLOOKUP($A156,ScionOutput!$A$3:$BL$215,10,FALSE)</f>
        <v>-114</v>
      </c>
      <c r="I156" t="str">
        <f>VLOOKUP($A156,ScionOutput!$A$3:$BL$215,58,FALSE)</f>
        <v>HomDog</v>
      </c>
      <c r="J156">
        <f>VLOOKUP($A156,ScionOutput!$A$3:$BL$215,59,FALSE)</f>
        <v>2.078E-2</v>
      </c>
      <c r="K156">
        <f>VLOOKUP($A156,ScionOutput!$A$3:$BL$215,62,FALSE)</f>
        <v>5</v>
      </c>
      <c r="L156">
        <f>VLOOKUP($A156,ScionOutput!$A$3:$BL$215,63,FALSE)</f>
        <v>0.53</v>
      </c>
      <c r="M156" t="b">
        <f t="shared" si="17"/>
        <v>1</v>
      </c>
      <c r="N156">
        <f>VLOOKUP($A156,Outcomes!$B$3:$I$209,8,FALSE)</f>
        <v>16</v>
      </c>
      <c r="O156">
        <f t="shared" si="18"/>
        <v>-1</v>
      </c>
      <c r="P156">
        <f>VLOOKUP($A156,Outcomes!$B$3:$I$209,5,FALSE)</f>
        <v>4</v>
      </c>
      <c r="Q156">
        <f>VLOOKUP($A156,Outcomes!$B$3:$I$209,6,FALSE)</f>
        <v>12</v>
      </c>
      <c r="R156">
        <f>VLOOKUP($A156,Outcomes!$B$3:$I$209,7,FALSE)</f>
        <v>8</v>
      </c>
      <c r="S156" t="str">
        <f t="shared" si="19"/>
        <v>VisFave</v>
      </c>
      <c r="T156" t="str">
        <f t="shared" si="20"/>
        <v/>
      </c>
      <c r="U156" t="str">
        <f t="shared" si="16"/>
        <v/>
      </c>
      <c r="V156" t="str">
        <f t="shared" si="21"/>
        <v/>
      </c>
      <c r="W156" t="str">
        <f t="shared" si="22"/>
        <v/>
      </c>
      <c r="X156" s="2" t="str">
        <f t="shared" si="23"/>
        <v/>
      </c>
      <c r="Y156" t="str">
        <f>VLOOKUP($A156,ScionOutput!$A$3:$BL$215,64,FALSE)</f>
        <v xml:space="preserve">824992. Play determined by LineStatEns and StatOnlyEns agreement. </v>
      </c>
    </row>
    <row r="157" spans="1:25" x14ac:dyDescent="0.2">
      <c r="A157">
        <v>823450</v>
      </c>
      <c r="B157" s="3">
        <f>VLOOKUP($A157,ScionOutput!$A$3:$BL$215,3,FALSE)</f>
        <v>46190</v>
      </c>
      <c r="C157">
        <f>VLOOKUP($A157,ScionOutput!$A$3:$BL$215,22,FALSE)</f>
        <v>21</v>
      </c>
      <c r="D157" t="str">
        <f>VLOOKUP($A157,ScionOutput!$A$3:$BL$215,23,FALSE)</f>
        <v>PHI</v>
      </c>
      <c r="E157">
        <f>VLOOKUP($A157,ScionOutput!$A$3:$BL$215,6,FALSE)</f>
        <v>11</v>
      </c>
      <c r="F157" t="str">
        <f>VLOOKUP($A157,ScionOutput!$A$3:$BL$215,7,FALSE)</f>
        <v>FLO</v>
      </c>
      <c r="G157">
        <f>VLOOKUP($A157,ScionOutput!$A$3:$BL$215,26,FALSE)</f>
        <v>-111</v>
      </c>
      <c r="H157">
        <f>VLOOKUP($A157,ScionOutput!$A$3:$BL$215,10,FALSE)</f>
        <v>100</v>
      </c>
      <c r="I157" t="str">
        <f>VLOOKUP($A157,ScionOutput!$A$3:$BL$215,58,FALSE)</f>
        <v>HomFave</v>
      </c>
      <c r="J157">
        <f>VLOOKUP($A157,ScionOutput!$A$3:$BL$215,59,FALSE)</f>
        <v>7.3000000000000001E-3</v>
      </c>
      <c r="K157">
        <f>VLOOKUP($A157,ScionOutput!$A$3:$BL$215,62,FALSE)</f>
        <v>3</v>
      </c>
      <c r="L157">
        <f>VLOOKUP($A157,ScionOutput!$A$3:$BL$215,63,FALSE)</f>
        <v>0.93</v>
      </c>
      <c r="M157" t="b">
        <f t="shared" si="17"/>
        <v>0</v>
      </c>
      <c r="N157">
        <f>VLOOKUP($A157,Outcomes!$B$3:$I$209,8,FALSE)</f>
        <v>16</v>
      </c>
      <c r="O157">
        <f t="shared" si="18"/>
        <v>-1</v>
      </c>
      <c r="P157">
        <f>VLOOKUP($A157,Outcomes!$B$3:$I$209,5,FALSE)</f>
        <v>4</v>
      </c>
      <c r="Q157">
        <f>VLOOKUP($A157,Outcomes!$B$3:$I$209,6,FALSE)</f>
        <v>12</v>
      </c>
      <c r="R157">
        <f>VLOOKUP($A157,Outcomes!$B$3:$I$209,7,FALSE)</f>
        <v>8</v>
      </c>
      <c r="S157" t="str">
        <f t="shared" si="19"/>
        <v>VisDog</v>
      </c>
      <c r="T157">
        <f t="shared" si="20"/>
        <v>0</v>
      </c>
      <c r="U157">
        <f t="shared" si="16"/>
        <v>111</v>
      </c>
      <c r="V157">
        <f t="shared" si="21"/>
        <v>0</v>
      </c>
      <c r="W157">
        <f t="shared" si="22"/>
        <v>-111</v>
      </c>
      <c r="X157" s="2">
        <f t="shared" si="23"/>
        <v>-1</v>
      </c>
      <c r="Y157" t="str">
        <f>VLOOKUP($A157,ScionOutput!$A$3:$BL$215,64,FALSE)</f>
        <v xml:space="preserve">823450. StatOnlyEns probability points gap does not exceed threshold (no edge found)! Play determined by LineStatEns only. </v>
      </c>
    </row>
    <row r="158" spans="1:25" x14ac:dyDescent="0.2">
      <c r="A158">
        <v>823127</v>
      </c>
      <c r="B158" s="3">
        <f>VLOOKUP($A158,ScionOutput!$A$3:$BL$215,3,FALSE)</f>
        <v>46190</v>
      </c>
      <c r="C158">
        <f>VLOOKUP($A158,ScionOutput!$A$3:$BL$215,22,FALSE)</f>
        <v>24</v>
      </c>
      <c r="D158" t="str">
        <f>VLOOKUP($A158,ScionOutput!$A$3:$BL$215,23,FALSE)</f>
        <v>SEA</v>
      </c>
      <c r="E158">
        <f>VLOOKUP($A158,ScionOutput!$A$3:$BL$215,6,FALSE)</f>
        <v>2</v>
      </c>
      <c r="F158" t="str">
        <f>VLOOKUP($A158,ScionOutput!$A$3:$BL$215,7,FALSE)</f>
        <v>BAL</v>
      </c>
      <c r="G158">
        <f>VLOOKUP($A158,ScionOutput!$A$3:$BL$215,26,FALSE)</f>
        <v>-139</v>
      </c>
      <c r="H158">
        <f>VLOOKUP($A158,ScionOutput!$A$3:$BL$215,10,FALSE)</f>
        <v>126</v>
      </c>
      <c r="I158" t="str">
        <f>VLOOKUP($A158,ScionOutput!$A$3:$BL$215,58,FALSE)</f>
        <v>No Play</v>
      </c>
      <c r="J158">
        <f>VLOOKUP($A158,ScionOutput!$A$3:$BL$215,59,FALSE)</f>
        <v>0</v>
      </c>
      <c r="K158">
        <f>VLOOKUP($A158,ScionOutput!$A$3:$BL$215,62,FALSE)</f>
        <v>0</v>
      </c>
      <c r="L158">
        <f>VLOOKUP($A158,ScionOutput!$A$3:$BL$215,63,FALSE)</f>
        <v>0</v>
      </c>
      <c r="M158" t="b">
        <f t="shared" si="17"/>
        <v>0</v>
      </c>
      <c r="N158">
        <f>VLOOKUP($A158,Outcomes!$B$3:$I$209,8,FALSE)</f>
        <v>8</v>
      </c>
      <c r="O158">
        <f t="shared" si="18"/>
        <v>-1</v>
      </c>
      <c r="P158">
        <f>VLOOKUP($A158,Outcomes!$B$3:$I$209,5,FALSE)</f>
        <v>3</v>
      </c>
      <c r="Q158">
        <f>VLOOKUP($A158,Outcomes!$B$3:$I$209,6,FALSE)</f>
        <v>5</v>
      </c>
      <c r="R158">
        <f>VLOOKUP($A158,Outcomes!$B$3:$I$209,7,FALSE)</f>
        <v>2</v>
      </c>
      <c r="S158" t="str">
        <f t="shared" si="19"/>
        <v>VisDog</v>
      </c>
      <c r="T158" t="str">
        <f t="shared" si="20"/>
        <v/>
      </c>
      <c r="U158" t="str">
        <f t="shared" si="16"/>
        <v/>
      </c>
      <c r="V158" t="str">
        <f t="shared" si="21"/>
        <v/>
      </c>
      <c r="W158" t="str">
        <f t="shared" si="22"/>
        <v/>
      </c>
      <c r="X158" s="2" t="str">
        <f t="shared" si="23"/>
        <v/>
      </c>
      <c r="Y158" t="str">
        <f>VLOOKUP($A158,ScionOutput!$A$3:$BL$215,64,FALSE)</f>
        <v xml:space="preserve">823127. LineStatEns probability points gap does not exceed threshold (no edge found)! StatOnlyEns probability points gap does not exceed threshold (no edge found)! No play due to strategy constraints. </v>
      </c>
    </row>
    <row r="159" spans="1:25" x14ac:dyDescent="0.2">
      <c r="A159">
        <v>823044</v>
      </c>
      <c r="B159" s="3">
        <f>VLOOKUP($A159,ScionOutput!$A$3:$BL$215,3,FALSE)</f>
        <v>46190</v>
      </c>
      <c r="C159">
        <f>VLOOKUP($A159,ScionOutput!$A$3:$BL$215,22,FALSE)</f>
        <v>26</v>
      </c>
      <c r="D159" t="str">
        <f>VLOOKUP($A159,ScionOutput!$A$3:$BL$215,23,FALSE)</f>
        <v>STL</v>
      </c>
      <c r="E159">
        <f>VLOOKUP($A159,ScionOutput!$A$3:$BL$215,6,FALSE)</f>
        <v>23</v>
      </c>
      <c r="F159" t="str">
        <f>VLOOKUP($A159,ScionOutput!$A$3:$BL$215,7,FALSE)</f>
        <v>SD</v>
      </c>
      <c r="G159">
        <f>VLOOKUP($A159,ScionOutput!$A$3:$BL$215,26,FALSE)</f>
        <v>-124</v>
      </c>
      <c r="H159">
        <f>VLOOKUP($A159,ScionOutput!$A$3:$BL$215,10,FALSE)</f>
        <v>112</v>
      </c>
      <c r="I159" t="str">
        <f>VLOOKUP($A159,ScionOutput!$A$3:$BL$215,58,FALSE)</f>
        <v>No Play</v>
      </c>
      <c r="J159">
        <f>VLOOKUP($A159,ScionOutput!$A$3:$BL$215,59,FALSE)</f>
        <v>0</v>
      </c>
      <c r="K159">
        <f>VLOOKUP($A159,ScionOutput!$A$3:$BL$215,62,FALSE)</f>
        <v>0</v>
      </c>
      <c r="L159">
        <f>VLOOKUP($A159,ScionOutput!$A$3:$BL$215,63,FALSE)</f>
        <v>0</v>
      </c>
      <c r="M159" t="b">
        <f t="shared" si="17"/>
        <v>0</v>
      </c>
      <c r="N159">
        <f>VLOOKUP($A159,Outcomes!$B$3:$I$209,8,FALSE)</f>
        <v>7</v>
      </c>
      <c r="O159">
        <f t="shared" si="18"/>
        <v>-1</v>
      </c>
      <c r="P159">
        <f>VLOOKUP($A159,Outcomes!$B$3:$I$209,5,FALSE)</f>
        <v>1</v>
      </c>
      <c r="Q159">
        <f>VLOOKUP($A159,Outcomes!$B$3:$I$209,6,FALSE)</f>
        <v>6</v>
      </c>
      <c r="R159">
        <f>VLOOKUP($A159,Outcomes!$B$3:$I$209,7,FALSE)</f>
        <v>5</v>
      </c>
      <c r="S159" t="str">
        <f t="shared" si="19"/>
        <v>VisDog</v>
      </c>
      <c r="T159" t="str">
        <f t="shared" si="20"/>
        <v/>
      </c>
      <c r="U159" t="str">
        <f t="shared" si="16"/>
        <v/>
      </c>
      <c r="V159" t="str">
        <f t="shared" si="21"/>
        <v/>
      </c>
      <c r="W159" t="str">
        <f t="shared" si="22"/>
        <v/>
      </c>
      <c r="X159" s="2" t="str">
        <f t="shared" si="23"/>
        <v/>
      </c>
      <c r="Y159" t="str">
        <f>VLOOKUP($A159,ScionOutput!$A$3:$BL$215,64,FALSE)</f>
        <v xml:space="preserve">823044. LineStatEns probability points gap does not exceed threshold (no edge found)! StatOnlyEns probability points gap does not exceed threshold (no edge found)! No play due to strategy constraints. </v>
      </c>
    </row>
    <row r="160" spans="1:25" x14ac:dyDescent="0.2">
      <c r="A160">
        <v>824748</v>
      </c>
      <c r="B160" s="3">
        <f>VLOOKUP($A160,ScionOutput!$A$3:$BL$215,3,FALSE)</f>
        <v>46191</v>
      </c>
      <c r="C160">
        <f>VLOOKUP($A160,ScionOutput!$A$3:$BL$215,22,FALSE)</f>
        <v>3</v>
      </c>
      <c r="D160" t="str">
        <f>VLOOKUP($A160,ScionOutput!$A$3:$BL$215,23,FALSE)</f>
        <v>BOS</v>
      </c>
      <c r="E160">
        <f>VLOOKUP($A160,ScionOutput!$A$3:$BL$215,6,FALSE)</f>
        <v>29</v>
      </c>
      <c r="F160" t="str">
        <f>VLOOKUP($A160,ScionOutput!$A$3:$BL$215,7,FALSE)</f>
        <v>TOR</v>
      </c>
      <c r="G160">
        <f>VLOOKUP($A160,ScionOutput!$A$3:$BL$215,26,FALSE)</f>
        <v>-131</v>
      </c>
      <c r="H160">
        <f>VLOOKUP($A160,ScionOutput!$A$3:$BL$215,10,FALSE)</f>
        <v>120</v>
      </c>
      <c r="I160" t="str">
        <f>VLOOKUP($A160,ScionOutput!$A$3:$BL$215,58,FALSE)</f>
        <v>No Play</v>
      </c>
      <c r="J160">
        <f>VLOOKUP($A160,ScionOutput!$A$3:$BL$215,59,FALSE)</f>
        <v>0</v>
      </c>
      <c r="K160">
        <f>VLOOKUP($A160,ScionOutput!$A$3:$BL$215,62,FALSE)</f>
        <v>0</v>
      </c>
      <c r="L160">
        <f>VLOOKUP($A160,ScionOutput!$A$3:$BL$215,63,FALSE)</f>
        <v>0</v>
      </c>
      <c r="M160" t="b">
        <f t="shared" si="17"/>
        <v>0</v>
      </c>
      <c r="N160">
        <f>VLOOKUP($A160,Outcomes!$B$3:$I$209,8,FALSE)</f>
        <v>7</v>
      </c>
      <c r="O160">
        <f t="shared" si="18"/>
        <v>-1</v>
      </c>
      <c r="P160">
        <f>VLOOKUP($A160,Outcomes!$B$3:$I$209,5,FALSE)</f>
        <v>3</v>
      </c>
      <c r="Q160">
        <f>VLOOKUP($A160,Outcomes!$B$3:$I$209,6,FALSE)</f>
        <v>4</v>
      </c>
      <c r="R160">
        <f>VLOOKUP($A160,Outcomes!$B$3:$I$209,7,FALSE)</f>
        <v>1</v>
      </c>
      <c r="S160" t="str">
        <f t="shared" si="19"/>
        <v>VisDog</v>
      </c>
      <c r="T160" t="str">
        <f t="shared" si="20"/>
        <v/>
      </c>
      <c r="U160" t="str">
        <f t="shared" si="16"/>
        <v/>
      </c>
      <c r="V160" t="str">
        <f t="shared" si="21"/>
        <v/>
      </c>
      <c r="W160" t="str">
        <f t="shared" si="22"/>
        <v/>
      </c>
      <c r="X160" s="2" t="str">
        <f t="shared" si="23"/>
        <v/>
      </c>
      <c r="Y160" t="str">
        <f>VLOOKUP($A160,ScionOutput!$A$3:$BL$215,64,FALSE)</f>
        <v xml:space="preserve">824748. LineStatEns probability points gap does not exceed threshold (no edge found)! No play due to strategy constraints. </v>
      </c>
    </row>
    <row r="161" spans="1:25" x14ac:dyDescent="0.2">
      <c r="A161">
        <v>824098</v>
      </c>
      <c r="B161" s="3">
        <f>VLOOKUP($A161,ScionOutput!$A$3:$BL$215,3,FALSE)</f>
        <v>46191</v>
      </c>
      <c r="C161">
        <f>VLOOKUP($A161,ScionOutput!$A$3:$BL$215,22,FALSE)</f>
        <v>13</v>
      </c>
      <c r="D161" t="str">
        <f>VLOOKUP($A161,ScionOutput!$A$3:$BL$215,23,FALSE)</f>
        <v>KC</v>
      </c>
      <c r="E161">
        <f>VLOOKUP($A161,ScionOutput!$A$3:$BL$215,6,FALSE)</f>
        <v>26</v>
      </c>
      <c r="F161" t="str">
        <f>VLOOKUP($A161,ScionOutput!$A$3:$BL$215,7,FALSE)</f>
        <v>STL</v>
      </c>
      <c r="G161">
        <f>VLOOKUP($A161,ScionOutput!$A$3:$BL$215,26,FALSE)</f>
        <v>-111</v>
      </c>
      <c r="H161">
        <f>VLOOKUP($A161,ScionOutput!$A$3:$BL$215,10,FALSE)</f>
        <v>103</v>
      </c>
      <c r="I161" t="str">
        <f>VLOOKUP($A161,ScionOutput!$A$3:$BL$215,58,FALSE)</f>
        <v>No Play</v>
      </c>
      <c r="J161">
        <f>VLOOKUP($A161,ScionOutput!$A$3:$BL$215,59,FALSE)</f>
        <v>0</v>
      </c>
      <c r="K161">
        <f>VLOOKUP($A161,ScionOutput!$A$3:$BL$215,62,FALSE)</f>
        <v>0</v>
      </c>
      <c r="L161">
        <f>VLOOKUP($A161,ScionOutput!$A$3:$BL$215,63,FALSE)</f>
        <v>0</v>
      </c>
      <c r="M161" t="b">
        <f t="shared" si="17"/>
        <v>0</v>
      </c>
      <c r="N161">
        <f>VLOOKUP($A161,Outcomes!$B$3:$I$209,8,FALSE)</f>
        <v>20</v>
      </c>
      <c r="O161">
        <f t="shared" si="18"/>
        <v>1</v>
      </c>
      <c r="P161">
        <f>VLOOKUP($A161,Outcomes!$B$3:$I$209,5,FALSE)</f>
        <v>14</v>
      </c>
      <c r="Q161">
        <f>VLOOKUP($A161,Outcomes!$B$3:$I$209,6,FALSE)</f>
        <v>6</v>
      </c>
      <c r="R161">
        <f>VLOOKUP($A161,Outcomes!$B$3:$I$209,7,FALSE)</f>
        <v>-8</v>
      </c>
      <c r="S161" t="str">
        <f t="shared" si="19"/>
        <v>HomFave</v>
      </c>
      <c r="T161" t="str">
        <f t="shared" si="20"/>
        <v/>
      </c>
      <c r="U161" t="str">
        <f t="shared" si="16"/>
        <v/>
      </c>
      <c r="V161" t="str">
        <f t="shared" si="21"/>
        <v/>
      </c>
      <c r="W161" t="str">
        <f t="shared" si="22"/>
        <v/>
      </c>
      <c r="X161" s="2" t="str">
        <f t="shared" si="23"/>
        <v/>
      </c>
      <c r="Y161" t="str">
        <f>VLOOKUP($A161,ScionOutput!$A$3:$BL$215,64,FALSE)</f>
        <v xml:space="preserve">824098. LineStatEns probability points gap does not exceed threshold (no edge found)! No play due to strategy constraints. </v>
      </c>
    </row>
    <row r="162" spans="1:25" x14ac:dyDescent="0.2">
      <c r="A162">
        <v>823772</v>
      </c>
      <c r="B162" s="3">
        <f>VLOOKUP($A162,ScionOutput!$A$3:$BL$215,3,FALSE)</f>
        <v>46191</v>
      </c>
      <c r="C162">
        <f>VLOOKUP($A162,ScionOutput!$A$3:$BL$215,22,FALSE)</f>
        <v>17</v>
      </c>
      <c r="D162" t="str">
        <f>VLOOKUP($A162,ScionOutput!$A$3:$BL$215,23,FALSE)</f>
        <v>MLW</v>
      </c>
      <c r="E162">
        <f>VLOOKUP($A162,ScionOutput!$A$3:$BL$215,6,FALSE)</f>
        <v>7</v>
      </c>
      <c r="F162" t="str">
        <f>VLOOKUP($A162,ScionOutput!$A$3:$BL$215,7,FALSE)</f>
        <v>CLE</v>
      </c>
      <c r="G162">
        <f>VLOOKUP($A162,ScionOutput!$A$3:$BL$215,26,FALSE)</f>
        <v>-138</v>
      </c>
      <c r="H162">
        <f>VLOOKUP($A162,ScionOutput!$A$3:$BL$215,10,FALSE)</f>
        <v>127</v>
      </c>
      <c r="I162" t="str">
        <f>VLOOKUP($A162,ScionOutput!$A$3:$BL$215,58,FALSE)</f>
        <v>No Play</v>
      </c>
      <c r="J162">
        <f>VLOOKUP($A162,ScionOutput!$A$3:$BL$215,59,FALSE)</f>
        <v>0</v>
      </c>
      <c r="K162">
        <f>VLOOKUP($A162,ScionOutput!$A$3:$BL$215,62,FALSE)</f>
        <v>0</v>
      </c>
      <c r="L162">
        <f>VLOOKUP($A162,ScionOutput!$A$3:$BL$215,63,FALSE)</f>
        <v>0</v>
      </c>
      <c r="M162" t="b">
        <f t="shared" si="17"/>
        <v>0</v>
      </c>
      <c r="N162">
        <f>VLOOKUP($A162,Outcomes!$B$3:$I$209,8,FALSE)</f>
        <v>6</v>
      </c>
      <c r="O162">
        <f t="shared" si="18"/>
        <v>-1</v>
      </c>
      <c r="P162">
        <f>VLOOKUP($A162,Outcomes!$B$3:$I$209,5,FALSE)</f>
        <v>2</v>
      </c>
      <c r="Q162">
        <f>VLOOKUP($A162,Outcomes!$B$3:$I$209,6,FALSE)</f>
        <v>4</v>
      </c>
      <c r="R162">
        <f>VLOOKUP($A162,Outcomes!$B$3:$I$209,7,FALSE)</f>
        <v>2</v>
      </c>
      <c r="S162" t="str">
        <f t="shared" si="19"/>
        <v>VisDog</v>
      </c>
      <c r="T162" t="str">
        <f t="shared" si="20"/>
        <v/>
      </c>
      <c r="U162" t="str">
        <f t="shared" si="16"/>
        <v/>
      </c>
      <c r="V162" t="str">
        <f t="shared" si="21"/>
        <v/>
      </c>
      <c r="W162" t="str">
        <f t="shared" si="22"/>
        <v/>
      </c>
      <c r="X162" s="2" t="str">
        <f t="shared" si="23"/>
        <v/>
      </c>
      <c r="Y162" t="str">
        <f>VLOOKUP($A162,ScionOutput!$A$3:$BL$215,64,FALSE)</f>
        <v xml:space="preserve">823772. LineStatEns probability points gap does not exceed threshold (no edge found)! StatOnlyEns probability points gap does not exceed threshold (no edge found)! No play due to strategy constraints. </v>
      </c>
    </row>
    <row r="163" spans="1:25" x14ac:dyDescent="0.2">
      <c r="A163">
        <v>823533</v>
      </c>
      <c r="B163" s="3">
        <f>VLOOKUP($A163,ScionOutput!$A$3:$BL$215,3,FALSE)</f>
        <v>46191</v>
      </c>
      <c r="C163">
        <f>VLOOKUP($A163,ScionOutput!$A$3:$BL$215,22,FALSE)</f>
        <v>19</v>
      </c>
      <c r="D163" t="str">
        <f>VLOOKUP($A163,ScionOutput!$A$3:$BL$215,23,FALSE)</f>
        <v>NYY</v>
      </c>
      <c r="E163">
        <f>VLOOKUP($A163,ScionOutput!$A$3:$BL$215,6,FALSE)</f>
        <v>9</v>
      </c>
      <c r="F163" t="str">
        <f>VLOOKUP($A163,ScionOutput!$A$3:$BL$215,7,FALSE)</f>
        <v>CWS</v>
      </c>
      <c r="G163">
        <f>VLOOKUP($A163,ScionOutput!$A$3:$BL$215,26,FALSE)</f>
        <v>-157</v>
      </c>
      <c r="H163">
        <f>VLOOKUP($A163,ScionOutput!$A$3:$BL$215,10,FALSE)</f>
        <v>144</v>
      </c>
      <c r="I163" t="str">
        <f>VLOOKUP($A163,ScionOutput!$A$3:$BL$215,58,FALSE)</f>
        <v>No Play</v>
      </c>
      <c r="J163">
        <f>VLOOKUP($A163,ScionOutput!$A$3:$BL$215,59,FALSE)</f>
        <v>0</v>
      </c>
      <c r="K163">
        <f>VLOOKUP($A163,ScionOutput!$A$3:$BL$215,62,FALSE)</f>
        <v>0</v>
      </c>
      <c r="L163">
        <f>VLOOKUP($A163,ScionOutput!$A$3:$BL$215,63,FALSE)</f>
        <v>0</v>
      </c>
      <c r="M163" t="b">
        <f t="shared" si="17"/>
        <v>0</v>
      </c>
      <c r="N163">
        <f>VLOOKUP($A163,Outcomes!$B$3:$I$209,8,FALSE)</f>
        <v>6</v>
      </c>
      <c r="O163">
        <f t="shared" si="18"/>
        <v>-1</v>
      </c>
      <c r="P163">
        <f>VLOOKUP($A163,Outcomes!$B$3:$I$209,5,FALSE)</f>
        <v>1</v>
      </c>
      <c r="Q163">
        <f>VLOOKUP($A163,Outcomes!$B$3:$I$209,6,FALSE)</f>
        <v>5</v>
      </c>
      <c r="R163">
        <f>VLOOKUP($A163,Outcomes!$B$3:$I$209,7,FALSE)</f>
        <v>4</v>
      </c>
      <c r="S163" t="str">
        <f t="shared" si="19"/>
        <v>VisDog</v>
      </c>
      <c r="T163" t="str">
        <f t="shared" si="20"/>
        <v/>
      </c>
      <c r="U163" t="str">
        <f t="shared" si="16"/>
        <v/>
      </c>
      <c r="V163" t="str">
        <f t="shared" si="21"/>
        <v/>
      </c>
      <c r="W163" t="str">
        <f t="shared" si="22"/>
        <v/>
      </c>
      <c r="X163" s="2" t="str">
        <f t="shared" si="23"/>
        <v/>
      </c>
      <c r="Y163" t="str">
        <f>VLOOKUP($A163,ScionOutput!$A$3:$BL$215,64,FALSE)</f>
        <v xml:space="preserve">823533. LineStatEns is NoPlay as bookie-line outside range. StatOnlyEns is NoPlay as bookie-line outside range. No play due to strategy constraints. </v>
      </c>
    </row>
    <row r="164" spans="1:25" x14ac:dyDescent="0.2">
      <c r="A164">
        <v>824989</v>
      </c>
      <c r="B164" s="3">
        <f>VLOOKUP($A164,ScionOutput!$A$3:$BL$215,3,FALSE)</f>
        <v>46191</v>
      </c>
      <c r="C164">
        <f>VLOOKUP($A164,ScionOutput!$A$3:$BL$215,22,FALSE)</f>
        <v>20</v>
      </c>
      <c r="D164" t="str">
        <f>VLOOKUP($A164,ScionOutput!$A$3:$BL$215,23,FALSE)</f>
        <v>OAK</v>
      </c>
      <c r="E164">
        <f>VLOOKUP($A164,ScionOutput!$A$3:$BL$215,6,FALSE)</f>
        <v>4</v>
      </c>
      <c r="F164" t="str">
        <f>VLOOKUP($A164,ScionOutput!$A$3:$BL$215,7,FALSE)</f>
        <v>LAA</v>
      </c>
      <c r="G164">
        <f>VLOOKUP($A164,ScionOutput!$A$3:$BL$215,26,FALSE)</f>
        <v>-133</v>
      </c>
      <c r="H164">
        <f>VLOOKUP($A164,ScionOutput!$A$3:$BL$215,10,FALSE)</f>
        <v>123</v>
      </c>
      <c r="I164" t="str">
        <f>VLOOKUP($A164,ScionOutput!$A$3:$BL$215,58,FALSE)</f>
        <v>No Play</v>
      </c>
      <c r="J164">
        <f>VLOOKUP($A164,ScionOutput!$A$3:$BL$215,59,FALSE)</f>
        <v>0</v>
      </c>
      <c r="K164">
        <f>VLOOKUP($A164,ScionOutput!$A$3:$BL$215,62,FALSE)</f>
        <v>0</v>
      </c>
      <c r="L164">
        <f>VLOOKUP($A164,ScionOutput!$A$3:$BL$215,63,FALSE)</f>
        <v>0</v>
      </c>
      <c r="M164" t="b">
        <f t="shared" si="17"/>
        <v>0</v>
      </c>
      <c r="N164">
        <f>VLOOKUP($A164,Outcomes!$B$3:$I$209,8,FALSE)</f>
        <v>5</v>
      </c>
      <c r="O164">
        <f t="shared" si="18"/>
        <v>1</v>
      </c>
      <c r="P164">
        <f>VLOOKUP($A164,Outcomes!$B$3:$I$209,5,FALSE)</f>
        <v>5</v>
      </c>
      <c r="Q164">
        <f>VLOOKUP($A164,Outcomes!$B$3:$I$209,6,FALSE)</f>
        <v>0</v>
      </c>
      <c r="R164">
        <f>VLOOKUP($A164,Outcomes!$B$3:$I$209,7,FALSE)</f>
        <v>-5</v>
      </c>
      <c r="S164" t="str">
        <f t="shared" si="19"/>
        <v>HomFave</v>
      </c>
      <c r="T164" t="str">
        <f t="shared" si="20"/>
        <v/>
      </c>
      <c r="U164" t="str">
        <f t="shared" si="16"/>
        <v/>
      </c>
      <c r="V164" t="str">
        <f t="shared" si="21"/>
        <v/>
      </c>
      <c r="W164" t="str">
        <f t="shared" si="22"/>
        <v/>
      </c>
      <c r="X164" s="2" t="str">
        <f t="shared" si="23"/>
        <v/>
      </c>
      <c r="Y164" t="str">
        <f>VLOOKUP($A164,ScionOutput!$A$3:$BL$215,64,FALSE)</f>
        <v xml:space="preserve">824989. LineStatEns probability points gap does not exceed threshold (no edge found)! No play due to strategy constraints. </v>
      </c>
    </row>
    <row r="165" spans="1:25" x14ac:dyDescent="0.2">
      <c r="A165">
        <v>823448</v>
      </c>
      <c r="B165" s="3">
        <f>VLOOKUP($A165,ScionOutput!$A$3:$BL$215,3,FALSE)</f>
        <v>46191</v>
      </c>
      <c r="C165">
        <f>VLOOKUP($A165,ScionOutput!$A$3:$BL$215,22,FALSE)</f>
        <v>21</v>
      </c>
      <c r="D165" t="str">
        <f>VLOOKUP($A165,ScionOutput!$A$3:$BL$215,23,FALSE)</f>
        <v>PHI</v>
      </c>
      <c r="E165">
        <f>VLOOKUP($A165,ScionOutput!$A$3:$BL$215,6,FALSE)</f>
        <v>18</v>
      </c>
      <c r="F165" t="str">
        <f>VLOOKUP($A165,ScionOutput!$A$3:$BL$215,7,FALSE)</f>
        <v>NYM</v>
      </c>
      <c r="G165">
        <f>VLOOKUP($A165,ScionOutput!$A$3:$BL$215,26,FALSE)</f>
        <v>-114</v>
      </c>
      <c r="H165">
        <f>VLOOKUP($A165,ScionOutput!$A$3:$BL$215,10,FALSE)</f>
        <v>105</v>
      </c>
      <c r="I165" t="str">
        <f>VLOOKUP($A165,ScionOutput!$A$3:$BL$215,58,FALSE)</f>
        <v>VisDog</v>
      </c>
      <c r="J165">
        <f>VLOOKUP($A165,ScionOutput!$A$3:$BL$215,59,FALSE)</f>
        <v>-4.2000000000000003E-2</v>
      </c>
      <c r="K165">
        <f>VLOOKUP($A165,ScionOutput!$A$3:$BL$215,62,FALSE)</f>
        <v>3</v>
      </c>
      <c r="L165">
        <f>VLOOKUP($A165,ScionOutput!$A$3:$BL$215,63,FALSE)</f>
        <v>0.67</v>
      </c>
      <c r="M165" t="b">
        <f t="shared" si="17"/>
        <v>0</v>
      </c>
      <c r="N165">
        <f>VLOOKUP($A165,Outcomes!$B$3:$I$209,8,FALSE)</f>
        <v>10</v>
      </c>
      <c r="O165">
        <f t="shared" si="18"/>
        <v>-1</v>
      </c>
      <c r="P165">
        <f>VLOOKUP($A165,Outcomes!$B$3:$I$209,5,FALSE)</f>
        <v>4</v>
      </c>
      <c r="Q165">
        <f>VLOOKUP($A165,Outcomes!$B$3:$I$209,6,FALSE)</f>
        <v>6</v>
      </c>
      <c r="R165">
        <f>VLOOKUP($A165,Outcomes!$B$3:$I$209,7,FALSE)</f>
        <v>2</v>
      </c>
      <c r="S165" t="str">
        <f t="shared" si="19"/>
        <v>VisDog</v>
      </c>
      <c r="T165">
        <f t="shared" si="20"/>
        <v>1</v>
      </c>
      <c r="U165">
        <f t="shared" si="16"/>
        <v>100</v>
      </c>
      <c r="V165">
        <f t="shared" si="21"/>
        <v>205</v>
      </c>
      <c r="W165">
        <f t="shared" si="22"/>
        <v>105</v>
      </c>
      <c r="X165" s="2">
        <f t="shared" si="23"/>
        <v>1.05</v>
      </c>
      <c r="Y165" t="str">
        <f>VLOOKUP($A165,ScionOutput!$A$3:$BL$215,64,FALSE)</f>
        <v xml:space="preserve">823448. StatOnlyEns probability points gap does not exceed threshold (no edge found)! Play determined by LineStatEns only. </v>
      </c>
    </row>
    <row r="166" spans="1:25" x14ac:dyDescent="0.2">
      <c r="A166">
        <v>823125</v>
      </c>
      <c r="B166" s="3">
        <f>VLOOKUP($A166,ScionOutput!$A$3:$BL$215,3,FALSE)</f>
        <v>46191</v>
      </c>
      <c r="C166">
        <f>VLOOKUP($A166,ScionOutput!$A$3:$BL$215,22,FALSE)</f>
        <v>24</v>
      </c>
      <c r="D166" t="str">
        <f>VLOOKUP($A166,ScionOutput!$A$3:$BL$215,23,FALSE)</f>
        <v>SEA</v>
      </c>
      <c r="E166">
        <f>VLOOKUP($A166,ScionOutput!$A$3:$BL$215,6,FALSE)</f>
        <v>2</v>
      </c>
      <c r="F166" t="str">
        <f>VLOOKUP($A166,ScionOutput!$A$3:$BL$215,7,FALSE)</f>
        <v>BAL</v>
      </c>
      <c r="G166">
        <f>VLOOKUP($A166,ScionOutput!$A$3:$BL$215,26,FALSE)</f>
        <v>-133</v>
      </c>
      <c r="H166">
        <f>VLOOKUP($A166,ScionOutput!$A$3:$BL$215,10,FALSE)</f>
        <v>122</v>
      </c>
      <c r="I166" t="str">
        <f>VLOOKUP($A166,ScionOutput!$A$3:$BL$215,58,FALSE)</f>
        <v>No Play</v>
      </c>
      <c r="J166">
        <f>VLOOKUP($A166,ScionOutput!$A$3:$BL$215,59,FALSE)</f>
        <v>0</v>
      </c>
      <c r="K166">
        <f>VLOOKUP($A166,ScionOutput!$A$3:$BL$215,62,FALSE)</f>
        <v>0</v>
      </c>
      <c r="L166">
        <f>VLOOKUP($A166,ScionOutput!$A$3:$BL$215,63,FALSE)</f>
        <v>0</v>
      </c>
      <c r="M166" t="b">
        <f t="shared" si="17"/>
        <v>0</v>
      </c>
      <c r="N166">
        <f>VLOOKUP($A166,Outcomes!$B$3:$I$209,8,FALSE)</f>
        <v>3</v>
      </c>
      <c r="O166">
        <f t="shared" si="18"/>
        <v>1</v>
      </c>
      <c r="P166">
        <f>VLOOKUP($A166,Outcomes!$B$3:$I$209,5,FALSE)</f>
        <v>3</v>
      </c>
      <c r="Q166">
        <f>VLOOKUP($A166,Outcomes!$B$3:$I$209,6,FALSE)</f>
        <v>0</v>
      </c>
      <c r="R166">
        <f>VLOOKUP($A166,Outcomes!$B$3:$I$209,7,FALSE)</f>
        <v>-3</v>
      </c>
      <c r="S166" t="str">
        <f t="shared" si="19"/>
        <v>HomFave</v>
      </c>
      <c r="T166" t="str">
        <f t="shared" si="20"/>
        <v/>
      </c>
      <c r="U166" t="str">
        <f t="shared" si="16"/>
        <v/>
      </c>
      <c r="V166" t="str">
        <f t="shared" si="21"/>
        <v/>
      </c>
      <c r="W166" t="str">
        <f t="shared" si="22"/>
        <v/>
      </c>
      <c r="X166" s="2" t="str">
        <f t="shared" si="23"/>
        <v/>
      </c>
      <c r="Y166" t="str">
        <f>VLOOKUP($A166,ScionOutput!$A$3:$BL$215,64,FALSE)</f>
        <v xml:space="preserve">823125. LineStatEns probability points gap does not exceed threshold (no edge found)! StatOnlyEns probability points gap does not exceed threshold (no edge found)! No play due to strategy constraints. </v>
      </c>
    </row>
    <row r="167" spans="1:25" x14ac:dyDescent="0.2">
      <c r="A167">
        <v>822889</v>
      </c>
      <c r="B167" s="3">
        <f>VLOOKUP($A167,ScionOutput!$A$3:$BL$215,3,FALSE)</f>
        <v>46191</v>
      </c>
      <c r="C167">
        <f>VLOOKUP($A167,ScionOutput!$A$3:$BL$215,22,FALSE)</f>
        <v>28</v>
      </c>
      <c r="D167" t="str">
        <f>VLOOKUP($A167,ScionOutput!$A$3:$BL$215,23,FALSE)</f>
        <v>TEX</v>
      </c>
      <c r="E167">
        <f>VLOOKUP($A167,ScionOutput!$A$3:$BL$215,6,FALSE)</f>
        <v>15</v>
      </c>
      <c r="F167" t="str">
        <f>VLOOKUP($A167,ScionOutput!$A$3:$BL$215,7,FALSE)</f>
        <v>MIN</v>
      </c>
      <c r="G167">
        <f>VLOOKUP($A167,ScionOutput!$A$3:$BL$215,26,FALSE)</f>
        <v>108</v>
      </c>
      <c r="H167">
        <f>VLOOKUP($A167,ScionOutput!$A$3:$BL$215,10,FALSE)</f>
        <v>-117</v>
      </c>
      <c r="I167" t="str">
        <f>VLOOKUP($A167,ScionOutput!$A$3:$BL$215,58,FALSE)</f>
        <v>No Play</v>
      </c>
      <c r="J167">
        <f>VLOOKUP($A167,ScionOutput!$A$3:$BL$215,59,FALSE)</f>
        <v>0</v>
      </c>
      <c r="K167">
        <f>VLOOKUP($A167,ScionOutput!$A$3:$BL$215,62,FALSE)</f>
        <v>0</v>
      </c>
      <c r="L167">
        <f>VLOOKUP($A167,ScionOutput!$A$3:$BL$215,63,FALSE)</f>
        <v>0</v>
      </c>
      <c r="M167" t="b">
        <f t="shared" si="17"/>
        <v>0</v>
      </c>
      <c r="N167">
        <f>VLOOKUP($A167,Outcomes!$B$3:$I$209,8,FALSE)</f>
        <v>12</v>
      </c>
      <c r="O167">
        <f t="shared" si="18"/>
        <v>-1</v>
      </c>
      <c r="P167">
        <f>VLOOKUP($A167,Outcomes!$B$3:$I$209,5,FALSE)</f>
        <v>3</v>
      </c>
      <c r="Q167">
        <f>VLOOKUP($A167,Outcomes!$B$3:$I$209,6,FALSE)</f>
        <v>9</v>
      </c>
      <c r="R167">
        <f>VLOOKUP($A167,Outcomes!$B$3:$I$209,7,FALSE)</f>
        <v>6</v>
      </c>
      <c r="S167" t="str">
        <f t="shared" si="19"/>
        <v>VisFave</v>
      </c>
      <c r="T167" t="str">
        <f t="shared" si="20"/>
        <v/>
      </c>
      <c r="U167" t="str">
        <f t="shared" si="16"/>
        <v/>
      </c>
      <c r="V167" t="str">
        <f t="shared" si="21"/>
        <v/>
      </c>
      <c r="W167" t="str">
        <f t="shared" si="22"/>
        <v/>
      </c>
      <c r="X167" s="2" t="str">
        <f t="shared" si="23"/>
        <v/>
      </c>
      <c r="Y167" t="str">
        <f>VLOOKUP($A167,ScionOutput!$A$3:$BL$215,64,FALSE)</f>
        <v xml:space="preserve">822889. VF plays are disallowed. No play due to strategy constraints. </v>
      </c>
    </row>
    <row r="168" spans="1:25" x14ac:dyDescent="0.2">
      <c r="A168">
        <v>824910</v>
      </c>
      <c r="B168" s="3">
        <f>VLOOKUP($A168,ScionOutput!$A$3:$BL$215,3,FALSE)</f>
        <v>46192</v>
      </c>
      <c r="C168">
        <f>VLOOKUP($A168,ScionOutput!$A$3:$BL$215,22,FALSE)</f>
        <v>0</v>
      </c>
      <c r="D168" t="str">
        <f>VLOOKUP($A168,ScionOutput!$A$3:$BL$215,23,FALSE)</f>
        <v>ATL</v>
      </c>
      <c r="E168">
        <f>VLOOKUP($A168,ScionOutput!$A$3:$BL$215,6,FALSE)</f>
        <v>17</v>
      </c>
      <c r="F168" t="str">
        <f>VLOOKUP($A168,ScionOutput!$A$3:$BL$215,7,FALSE)</f>
        <v>MLW</v>
      </c>
      <c r="G168">
        <f>VLOOKUP($A168,ScionOutput!$A$3:$BL$215,26,FALSE)</f>
        <v>143</v>
      </c>
      <c r="H168">
        <f>VLOOKUP($A168,ScionOutput!$A$3:$BL$215,10,FALSE)</f>
        <v>-156</v>
      </c>
      <c r="I168" t="str">
        <f>VLOOKUP($A168,ScionOutput!$A$3:$BL$215,58,FALSE)</f>
        <v>No Play</v>
      </c>
      <c r="J168">
        <f>VLOOKUP($A168,ScionOutput!$A$3:$BL$215,59,FALSE)</f>
        <v>0</v>
      </c>
      <c r="K168">
        <f>VLOOKUP($A168,ScionOutput!$A$3:$BL$215,62,FALSE)</f>
        <v>0</v>
      </c>
      <c r="L168">
        <f>VLOOKUP($A168,ScionOutput!$A$3:$BL$215,63,FALSE)</f>
        <v>0</v>
      </c>
      <c r="M168" t="b">
        <f t="shared" si="17"/>
        <v>0</v>
      </c>
      <c r="N168">
        <f>VLOOKUP($A168,Outcomes!$B$3:$I$209,8,FALSE)</f>
        <v>5</v>
      </c>
      <c r="O168">
        <f t="shared" si="18"/>
        <v>1</v>
      </c>
      <c r="P168">
        <f>VLOOKUP($A168,Outcomes!$B$3:$I$209,5,FALSE)</f>
        <v>3</v>
      </c>
      <c r="Q168">
        <f>VLOOKUP($A168,Outcomes!$B$3:$I$209,6,FALSE)</f>
        <v>2</v>
      </c>
      <c r="R168">
        <f>VLOOKUP($A168,Outcomes!$B$3:$I$209,7,FALSE)</f>
        <v>-1</v>
      </c>
      <c r="S168" t="str">
        <f t="shared" si="19"/>
        <v>HomDog</v>
      </c>
      <c r="T168" t="str">
        <f t="shared" si="20"/>
        <v/>
      </c>
      <c r="U168" t="str">
        <f t="shared" si="16"/>
        <v/>
      </c>
      <c r="V168" t="str">
        <f t="shared" si="21"/>
        <v/>
      </c>
      <c r="W168" t="str">
        <f t="shared" si="22"/>
        <v/>
      </c>
      <c r="X168" s="2" t="str">
        <f t="shared" si="23"/>
        <v/>
      </c>
      <c r="Y168" t="str">
        <f>VLOOKUP($A168,ScionOutput!$A$3:$BL$215,64,FALSE)</f>
        <v xml:space="preserve">824910. VF plays are disallowed. No play due to strategy constraints. </v>
      </c>
    </row>
    <row r="169" spans="1:25" x14ac:dyDescent="0.2">
      <c r="A169">
        <v>825069</v>
      </c>
      <c r="B169" s="3">
        <f>VLOOKUP($A169,ScionOutput!$A$3:$BL$215,3,FALSE)</f>
        <v>46192</v>
      </c>
      <c r="C169">
        <f>VLOOKUP($A169,ScionOutput!$A$3:$BL$215,22,FALSE)</f>
        <v>1</v>
      </c>
      <c r="D169" t="str">
        <f>VLOOKUP($A169,ScionOutput!$A$3:$BL$215,23,FALSE)</f>
        <v>ARZ</v>
      </c>
      <c r="E169">
        <f>VLOOKUP($A169,ScionOutput!$A$3:$BL$215,6,FALSE)</f>
        <v>15</v>
      </c>
      <c r="F169" t="str">
        <f>VLOOKUP($A169,ScionOutput!$A$3:$BL$215,7,FALSE)</f>
        <v>MIN</v>
      </c>
      <c r="G169">
        <f>VLOOKUP($A169,ScionOutput!$A$3:$BL$215,26,FALSE)</f>
        <v>-165</v>
      </c>
      <c r="H169">
        <f>VLOOKUP($A169,ScionOutput!$A$3:$BL$215,10,FALSE)</f>
        <v>152</v>
      </c>
      <c r="I169" t="str">
        <f>VLOOKUP($A169,ScionOutput!$A$3:$BL$215,58,FALSE)</f>
        <v>No Play</v>
      </c>
      <c r="J169">
        <f>VLOOKUP($A169,ScionOutput!$A$3:$BL$215,59,FALSE)</f>
        <v>0</v>
      </c>
      <c r="K169">
        <f>VLOOKUP($A169,ScionOutput!$A$3:$BL$215,62,FALSE)</f>
        <v>0</v>
      </c>
      <c r="L169">
        <f>VLOOKUP($A169,ScionOutput!$A$3:$BL$215,63,FALSE)</f>
        <v>0</v>
      </c>
      <c r="M169" t="b">
        <f t="shared" si="17"/>
        <v>0</v>
      </c>
      <c r="N169">
        <f>VLOOKUP($A169,Outcomes!$B$3:$I$209,8,FALSE)</f>
        <v>14</v>
      </c>
      <c r="O169">
        <f t="shared" si="18"/>
        <v>1</v>
      </c>
      <c r="P169">
        <f>VLOOKUP($A169,Outcomes!$B$3:$I$209,5,FALSE)</f>
        <v>9</v>
      </c>
      <c r="Q169">
        <f>VLOOKUP($A169,Outcomes!$B$3:$I$209,6,FALSE)</f>
        <v>5</v>
      </c>
      <c r="R169">
        <f>VLOOKUP($A169,Outcomes!$B$3:$I$209,7,FALSE)</f>
        <v>-4</v>
      </c>
      <c r="S169" t="str">
        <f t="shared" si="19"/>
        <v>HomFave</v>
      </c>
      <c r="T169" t="str">
        <f t="shared" si="20"/>
        <v/>
      </c>
      <c r="U169" t="str">
        <f t="shared" si="16"/>
        <v/>
      </c>
      <c r="V169" t="str">
        <f t="shared" si="21"/>
        <v/>
      </c>
      <c r="W169" t="str">
        <f t="shared" si="22"/>
        <v/>
      </c>
      <c r="X169" s="2" t="str">
        <f t="shared" si="23"/>
        <v/>
      </c>
      <c r="Y169" t="str">
        <f>VLOOKUP($A169,ScionOutput!$A$3:$BL$215,64,FALSE)</f>
        <v xml:space="preserve">825069. LineStatEns is NoPlay as bookie-line outside range. StatOnlyEns is NoPlay as bookie-line outside range. No play due to strategy constraints. </v>
      </c>
    </row>
    <row r="170" spans="1:25" x14ac:dyDescent="0.2">
      <c r="A170">
        <v>824663</v>
      </c>
      <c r="B170" s="3">
        <f>VLOOKUP($A170,ScionOutput!$A$3:$BL$215,3,FALSE)</f>
        <v>46192</v>
      </c>
      <c r="C170">
        <f>VLOOKUP($A170,ScionOutput!$A$3:$BL$215,22,FALSE)</f>
        <v>5</v>
      </c>
      <c r="D170" t="str">
        <f>VLOOKUP($A170,ScionOutput!$A$3:$BL$215,23,FALSE)</f>
        <v>CHC</v>
      </c>
      <c r="E170">
        <f>VLOOKUP($A170,ScionOutput!$A$3:$BL$215,6,FALSE)</f>
        <v>29</v>
      </c>
      <c r="F170" t="str">
        <f>VLOOKUP($A170,ScionOutput!$A$3:$BL$215,7,FALSE)</f>
        <v>TOR</v>
      </c>
      <c r="G170">
        <f>VLOOKUP($A170,ScionOutput!$A$3:$BL$215,26,FALSE)</f>
        <v>-120</v>
      </c>
      <c r="H170">
        <f>VLOOKUP($A170,ScionOutput!$A$3:$BL$215,10,FALSE)</f>
        <v>111</v>
      </c>
      <c r="I170" t="str">
        <f>VLOOKUP($A170,ScionOutput!$A$3:$BL$215,58,FALSE)</f>
        <v>No Play</v>
      </c>
      <c r="J170">
        <f>VLOOKUP($A170,ScionOutput!$A$3:$BL$215,59,FALSE)</f>
        <v>0</v>
      </c>
      <c r="K170">
        <f>VLOOKUP($A170,ScionOutput!$A$3:$BL$215,62,FALSE)</f>
        <v>0</v>
      </c>
      <c r="L170">
        <f>VLOOKUP($A170,ScionOutput!$A$3:$BL$215,63,FALSE)</f>
        <v>0</v>
      </c>
      <c r="M170" t="b">
        <f t="shared" si="17"/>
        <v>0</v>
      </c>
      <c r="N170">
        <f>VLOOKUP($A170,Outcomes!$B$3:$I$209,8,FALSE)</f>
        <v>18</v>
      </c>
      <c r="O170">
        <f t="shared" si="18"/>
        <v>1</v>
      </c>
      <c r="P170">
        <f>VLOOKUP($A170,Outcomes!$B$3:$I$209,5,FALSE)</f>
        <v>16</v>
      </c>
      <c r="Q170">
        <f>VLOOKUP($A170,Outcomes!$B$3:$I$209,6,FALSE)</f>
        <v>2</v>
      </c>
      <c r="R170">
        <f>VLOOKUP($A170,Outcomes!$B$3:$I$209,7,FALSE)</f>
        <v>-14</v>
      </c>
      <c r="S170" t="str">
        <f t="shared" si="19"/>
        <v>HomFave</v>
      </c>
      <c r="T170" t="str">
        <f t="shared" si="20"/>
        <v/>
      </c>
      <c r="U170" t="str">
        <f t="shared" si="16"/>
        <v/>
      </c>
      <c r="V170" t="str">
        <f t="shared" si="21"/>
        <v/>
      </c>
      <c r="W170" t="str">
        <f t="shared" si="22"/>
        <v/>
      </c>
      <c r="X170" s="2" t="str">
        <f t="shared" si="23"/>
        <v/>
      </c>
      <c r="Y170" t="str">
        <f>VLOOKUP($A170,ScionOutput!$A$3:$BL$215,64,FALSE)</f>
        <v xml:space="preserve">824663. LineStatEns probability points gap does not exceed threshold (no edge found)! StatOnlyEns probability points gap does not exceed threshold (no edge found)! No play due to strategy constraints. </v>
      </c>
    </row>
    <row r="171" spans="1:25" x14ac:dyDescent="0.2">
      <c r="A171">
        <v>824345</v>
      </c>
      <c r="B171" s="3">
        <f>VLOOKUP($A171,ScionOutput!$A$3:$BL$215,3,FALSE)</f>
        <v>46192</v>
      </c>
      <c r="C171">
        <f>VLOOKUP($A171,ScionOutput!$A$3:$BL$215,22,FALSE)</f>
        <v>8</v>
      </c>
      <c r="D171" t="str">
        <f>VLOOKUP($A171,ScionOutput!$A$3:$BL$215,23,FALSE)</f>
        <v>COL</v>
      </c>
      <c r="E171">
        <f>VLOOKUP($A171,ScionOutput!$A$3:$BL$215,6,FALSE)</f>
        <v>22</v>
      </c>
      <c r="F171" t="str">
        <f>VLOOKUP($A171,ScionOutput!$A$3:$BL$215,7,FALSE)</f>
        <v>PIT</v>
      </c>
      <c r="G171">
        <f>VLOOKUP($A171,ScionOutput!$A$3:$BL$215,26,FALSE)</f>
        <v>122</v>
      </c>
      <c r="H171">
        <f>VLOOKUP($A171,ScionOutput!$A$3:$BL$215,10,FALSE)</f>
        <v>-132</v>
      </c>
      <c r="I171" t="str">
        <f>VLOOKUP($A171,ScionOutput!$A$3:$BL$215,58,FALSE)</f>
        <v>No Play</v>
      </c>
      <c r="J171">
        <f>VLOOKUP($A171,ScionOutput!$A$3:$BL$215,59,FALSE)</f>
        <v>0</v>
      </c>
      <c r="K171">
        <f>VLOOKUP($A171,ScionOutput!$A$3:$BL$215,62,FALSE)</f>
        <v>0</v>
      </c>
      <c r="L171">
        <f>VLOOKUP($A171,ScionOutput!$A$3:$BL$215,63,FALSE)</f>
        <v>0</v>
      </c>
      <c r="M171" t="b">
        <f t="shared" si="17"/>
        <v>0</v>
      </c>
      <c r="N171">
        <f>VLOOKUP($A171,Outcomes!$B$3:$I$209,8,FALSE)</f>
        <v>7</v>
      </c>
      <c r="O171">
        <f t="shared" si="18"/>
        <v>1</v>
      </c>
      <c r="P171">
        <f>VLOOKUP($A171,Outcomes!$B$3:$I$209,5,FALSE)</f>
        <v>4</v>
      </c>
      <c r="Q171">
        <f>VLOOKUP($A171,Outcomes!$B$3:$I$209,6,FALSE)</f>
        <v>3</v>
      </c>
      <c r="R171">
        <f>VLOOKUP($A171,Outcomes!$B$3:$I$209,7,FALSE)</f>
        <v>-1</v>
      </c>
      <c r="S171" t="str">
        <f t="shared" si="19"/>
        <v>HomDog</v>
      </c>
      <c r="T171" t="str">
        <f t="shared" si="20"/>
        <v/>
      </c>
      <c r="U171" t="str">
        <f t="shared" si="16"/>
        <v/>
      </c>
      <c r="V171" t="str">
        <f t="shared" si="21"/>
        <v/>
      </c>
      <c r="W171" t="str">
        <f t="shared" si="22"/>
        <v/>
      </c>
      <c r="X171" s="2" t="str">
        <f t="shared" si="23"/>
        <v/>
      </c>
      <c r="Y171" t="str">
        <f>VLOOKUP($A171,ScionOutput!$A$3:$BL$215,64,FALSE)</f>
        <v xml:space="preserve">824345. VF plays are disallowed. No play due to strategy constraints. </v>
      </c>
    </row>
    <row r="172" spans="1:25" x14ac:dyDescent="0.2">
      <c r="A172">
        <v>824264</v>
      </c>
      <c r="B172" s="3">
        <f>VLOOKUP($A172,ScionOutput!$A$3:$BL$215,3,FALSE)</f>
        <v>46192</v>
      </c>
      <c r="C172">
        <f>VLOOKUP($A172,ScionOutput!$A$3:$BL$215,22,FALSE)</f>
        <v>10</v>
      </c>
      <c r="D172" t="str">
        <f>VLOOKUP($A172,ScionOutput!$A$3:$BL$215,23,FALSE)</f>
        <v>DET</v>
      </c>
      <c r="E172">
        <f>VLOOKUP($A172,ScionOutput!$A$3:$BL$215,6,FALSE)</f>
        <v>9</v>
      </c>
      <c r="F172" t="str">
        <f>VLOOKUP($A172,ScionOutput!$A$3:$BL$215,7,FALSE)</f>
        <v>CWS</v>
      </c>
      <c r="G172">
        <f>VLOOKUP($A172,ScionOutput!$A$3:$BL$215,26,FALSE)</f>
        <v>-182</v>
      </c>
      <c r="H172">
        <f>VLOOKUP($A172,ScionOutput!$A$3:$BL$215,10,FALSE)</f>
        <v>166</v>
      </c>
      <c r="I172" t="str">
        <f>VLOOKUP($A172,ScionOutput!$A$3:$BL$215,58,FALSE)</f>
        <v>No Play</v>
      </c>
      <c r="J172">
        <f>VLOOKUP($A172,ScionOutput!$A$3:$BL$215,59,FALSE)</f>
        <v>0</v>
      </c>
      <c r="K172">
        <f>VLOOKUP($A172,ScionOutput!$A$3:$BL$215,62,FALSE)</f>
        <v>0</v>
      </c>
      <c r="L172">
        <f>VLOOKUP($A172,ScionOutput!$A$3:$BL$215,63,FALSE)</f>
        <v>0</v>
      </c>
      <c r="M172" t="b">
        <f t="shared" si="17"/>
        <v>0</v>
      </c>
      <c r="N172">
        <f>VLOOKUP($A172,Outcomes!$B$3:$I$209,8,FALSE)</f>
        <v>7</v>
      </c>
      <c r="O172">
        <f t="shared" si="18"/>
        <v>1</v>
      </c>
      <c r="P172">
        <f>VLOOKUP($A172,Outcomes!$B$3:$I$209,5,FALSE)</f>
        <v>4</v>
      </c>
      <c r="Q172">
        <f>VLOOKUP($A172,Outcomes!$B$3:$I$209,6,FALSE)</f>
        <v>3</v>
      </c>
      <c r="R172">
        <f>VLOOKUP($A172,Outcomes!$B$3:$I$209,7,FALSE)</f>
        <v>-1</v>
      </c>
      <c r="S172" t="str">
        <f t="shared" si="19"/>
        <v>HomFave</v>
      </c>
      <c r="T172" t="str">
        <f t="shared" si="20"/>
        <v/>
      </c>
      <c r="U172" t="str">
        <f t="shared" si="16"/>
        <v/>
      </c>
      <c r="V172" t="str">
        <f t="shared" si="21"/>
        <v/>
      </c>
      <c r="W172" t="str">
        <f t="shared" si="22"/>
        <v/>
      </c>
      <c r="X172" s="2" t="str">
        <f t="shared" si="23"/>
        <v/>
      </c>
      <c r="Y172" t="str">
        <f>VLOOKUP($A172,ScionOutput!$A$3:$BL$215,64,FALSE)</f>
        <v xml:space="preserve">824264. LineStatEns is NoPlay as bookie-line outside range. StatOnlyEns is NoPlay as bookie-line outside range. No play due to strategy constraints. </v>
      </c>
    </row>
    <row r="173" spans="1:25" x14ac:dyDescent="0.2">
      <c r="A173">
        <v>823853</v>
      </c>
      <c r="B173" s="3">
        <f>VLOOKUP($A173,ScionOutput!$A$3:$BL$215,3,FALSE)</f>
        <v>46192</v>
      </c>
      <c r="C173">
        <f>VLOOKUP($A173,ScionOutput!$A$3:$BL$215,22,FALSE)</f>
        <v>11</v>
      </c>
      <c r="D173" t="str">
        <f>VLOOKUP($A173,ScionOutput!$A$3:$BL$215,23,FALSE)</f>
        <v>FLO</v>
      </c>
      <c r="E173">
        <f>VLOOKUP($A173,ScionOutput!$A$3:$BL$215,6,FALSE)</f>
        <v>25</v>
      </c>
      <c r="F173" t="str">
        <f>VLOOKUP($A173,ScionOutput!$A$3:$BL$215,7,FALSE)</f>
        <v>SF</v>
      </c>
      <c r="G173">
        <f>VLOOKUP($A173,ScionOutput!$A$3:$BL$215,26,FALSE)</f>
        <v>-111</v>
      </c>
      <c r="H173">
        <f>VLOOKUP($A173,ScionOutput!$A$3:$BL$215,10,FALSE)</f>
        <v>103</v>
      </c>
      <c r="I173" t="str">
        <f>VLOOKUP($A173,ScionOutput!$A$3:$BL$215,58,FALSE)</f>
        <v>No Play</v>
      </c>
      <c r="J173">
        <f>VLOOKUP($A173,ScionOutput!$A$3:$BL$215,59,FALSE)</f>
        <v>0</v>
      </c>
      <c r="K173">
        <f>VLOOKUP($A173,ScionOutput!$A$3:$BL$215,62,FALSE)</f>
        <v>0</v>
      </c>
      <c r="L173">
        <f>VLOOKUP($A173,ScionOutput!$A$3:$BL$215,63,FALSE)</f>
        <v>0</v>
      </c>
      <c r="M173" t="b">
        <f t="shared" si="17"/>
        <v>0</v>
      </c>
      <c r="N173">
        <f>VLOOKUP($A173,Outcomes!$B$3:$I$209,8,FALSE)</f>
        <v>7</v>
      </c>
      <c r="O173">
        <f t="shared" si="18"/>
        <v>1</v>
      </c>
      <c r="P173">
        <f>VLOOKUP($A173,Outcomes!$B$3:$I$209,5,FALSE)</f>
        <v>4</v>
      </c>
      <c r="Q173">
        <f>VLOOKUP($A173,Outcomes!$B$3:$I$209,6,FALSE)</f>
        <v>3</v>
      </c>
      <c r="R173">
        <f>VLOOKUP($A173,Outcomes!$B$3:$I$209,7,FALSE)</f>
        <v>-1</v>
      </c>
      <c r="S173" t="str">
        <f t="shared" si="19"/>
        <v>HomFave</v>
      </c>
      <c r="T173" t="str">
        <f t="shared" si="20"/>
        <v/>
      </c>
      <c r="U173" t="str">
        <f t="shared" si="16"/>
        <v/>
      </c>
      <c r="V173" t="str">
        <f t="shared" si="21"/>
        <v/>
      </c>
      <c r="W173" t="str">
        <f t="shared" si="22"/>
        <v/>
      </c>
      <c r="X173" s="2" t="str">
        <f t="shared" si="23"/>
        <v/>
      </c>
      <c r="Y173" t="str">
        <f>VLOOKUP($A173,ScionOutput!$A$3:$BL$215,64,FALSE)</f>
        <v xml:space="preserve">823853. LineStatEns probability points gap does not exceed threshold (no edge found)! StatOnlyEns probability points gap does not exceed threshold (no edge found)! No play due to strategy constraints. </v>
      </c>
    </row>
    <row r="174" spans="1:25" x14ac:dyDescent="0.2">
      <c r="A174">
        <v>824179</v>
      </c>
      <c r="B174" s="3">
        <f>VLOOKUP($A174,ScionOutput!$A$3:$BL$215,3,FALSE)</f>
        <v>46192</v>
      </c>
      <c r="C174">
        <f>VLOOKUP($A174,ScionOutput!$A$3:$BL$215,22,FALSE)</f>
        <v>12</v>
      </c>
      <c r="D174" t="str">
        <f>VLOOKUP($A174,ScionOutput!$A$3:$BL$215,23,FALSE)</f>
        <v>HOU</v>
      </c>
      <c r="E174">
        <f>VLOOKUP($A174,ScionOutput!$A$3:$BL$215,6,FALSE)</f>
        <v>7</v>
      </c>
      <c r="F174" t="str">
        <f>VLOOKUP($A174,ScionOutput!$A$3:$BL$215,7,FALSE)</f>
        <v>CLE</v>
      </c>
      <c r="G174">
        <f>VLOOKUP($A174,ScionOutput!$A$3:$BL$215,26,FALSE)</f>
        <v>-121</v>
      </c>
      <c r="H174">
        <f>VLOOKUP($A174,ScionOutput!$A$3:$BL$215,10,FALSE)</f>
        <v>111</v>
      </c>
      <c r="I174" t="str">
        <f>VLOOKUP($A174,ScionOutput!$A$3:$BL$215,58,FALSE)</f>
        <v>VisDog</v>
      </c>
      <c r="J174">
        <f>VLOOKUP($A174,ScionOutput!$A$3:$BL$215,59,FALSE)</f>
        <v>-5.602E-2</v>
      </c>
      <c r="K174">
        <f>VLOOKUP($A174,ScionOutput!$A$3:$BL$215,62,FALSE)</f>
        <v>5</v>
      </c>
      <c r="L174">
        <f>VLOOKUP($A174,ScionOutput!$A$3:$BL$215,63,FALSE)</f>
        <v>0.67</v>
      </c>
      <c r="M174" t="b">
        <f t="shared" si="17"/>
        <v>1</v>
      </c>
      <c r="N174">
        <f>VLOOKUP($A174,Outcomes!$B$3:$I$209,8,FALSE)</f>
        <v>12</v>
      </c>
      <c r="O174">
        <f t="shared" si="18"/>
        <v>1</v>
      </c>
      <c r="P174">
        <f>VLOOKUP($A174,Outcomes!$B$3:$I$209,5,FALSE)</f>
        <v>9</v>
      </c>
      <c r="Q174">
        <f>VLOOKUP($A174,Outcomes!$B$3:$I$209,6,FALSE)</f>
        <v>3</v>
      </c>
      <c r="R174">
        <f>VLOOKUP($A174,Outcomes!$B$3:$I$209,7,FALSE)</f>
        <v>-6</v>
      </c>
      <c r="S174" t="str">
        <f t="shared" si="19"/>
        <v>HomFave</v>
      </c>
      <c r="T174" t="str">
        <f t="shared" si="20"/>
        <v/>
      </c>
      <c r="U174" t="str">
        <f t="shared" si="16"/>
        <v/>
      </c>
      <c r="V174" t="str">
        <f t="shared" si="21"/>
        <v/>
      </c>
      <c r="W174" t="str">
        <f t="shared" si="22"/>
        <v/>
      </c>
      <c r="X174" s="2" t="str">
        <f t="shared" si="23"/>
        <v/>
      </c>
      <c r="Y174" t="str">
        <f>VLOOKUP($A174,ScionOutput!$A$3:$BL$215,64,FALSE)</f>
        <v xml:space="preserve">824179. Play determined by LineStatEns and StatOnlyEns agreement. </v>
      </c>
    </row>
    <row r="175" spans="1:25" x14ac:dyDescent="0.2">
      <c r="A175">
        <v>824097</v>
      </c>
      <c r="B175" s="3">
        <f>VLOOKUP($A175,ScionOutput!$A$3:$BL$215,3,FALSE)</f>
        <v>46192</v>
      </c>
      <c r="C175">
        <f>VLOOKUP($A175,ScionOutput!$A$3:$BL$215,22,FALSE)</f>
        <v>13</v>
      </c>
      <c r="D175" t="str">
        <f>VLOOKUP($A175,ScionOutput!$A$3:$BL$215,23,FALSE)</f>
        <v>KC</v>
      </c>
      <c r="E175">
        <f>VLOOKUP($A175,ScionOutput!$A$3:$BL$215,6,FALSE)</f>
        <v>26</v>
      </c>
      <c r="F175" t="str">
        <f>VLOOKUP($A175,ScionOutput!$A$3:$BL$215,7,FALSE)</f>
        <v>STL</v>
      </c>
      <c r="G175">
        <f>VLOOKUP($A175,ScionOutput!$A$3:$BL$215,26,FALSE)</f>
        <v>105</v>
      </c>
      <c r="H175">
        <f>VLOOKUP($A175,ScionOutput!$A$3:$BL$215,10,FALSE)</f>
        <v>-114</v>
      </c>
      <c r="I175" t="str">
        <f>VLOOKUP($A175,ScionOutput!$A$3:$BL$215,58,FALSE)</f>
        <v>No Play</v>
      </c>
      <c r="J175">
        <f>VLOOKUP($A175,ScionOutput!$A$3:$BL$215,59,FALSE)</f>
        <v>0</v>
      </c>
      <c r="K175">
        <f>VLOOKUP($A175,ScionOutput!$A$3:$BL$215,62,FALSE)</f>
        <v>0</v>
      </c>
      <c r="L175">
        <f>VLOOKUP($A175,ScionOutput!$A$3:$BL$215,63,FALSE)</f>
        <v>0</v>
      </c>
      <c r="M175" t="b">
        <f t="shared" si="17"/>
        <v>0</v>
      </c>
      <c r="N175">
        <f>VLOOKUP($A175,Outcomes!$B$3:$I$209,8,FALSE)</f>
        <v>11</v>
      </c>
      <c r="O175">
        <f t="shared" si="18"/>
        <v>1</v>
      </c>
      <c r="P175">
        <f>VLOOKUP($A175,Outcomes!$B$3:$I$209,5,FALSE)</f>
        <v>6</v>
      </c>
      <c r="Q175">
        <f>VLOOKUP($A175,Outcomes!$B$3:$I$209,6,FALSE)</f>
        <v>5</v>
      </c>
      <c r="R175">
        <f>VLOOKUP($A175,Outcomes!$B$3:$I$209,7,FALSE)</f>
        <v>-1</v>
      </c>
      <c r="S175" t="str">
        <f t="shared" si="19"/>
        <v>HomDog</v>
      </c>
      <c r="T175" t="str">
        <f t="shared" si="20"/>
        <v/>
      </c>
      <c r="U175" t="str">
        <f t="shared" si="16"/>
        <v/>
      </c>
      <c r="V175" t="str">
        <f t="shared" si="21"/>
        <v/>
      </c>
      <c r="W175" t="str">
        <f t="shared" si="22"/>
        <v/>
      </c>
      <c r="X175" s="2" t="str">
        <f t="shared" si="23"/>
        <v/>
      </c>
      <c r="Y175" t="str">
        <f>VLOOKUP($A175,ScionOutput!$A$3:$BL$215,64,FALSE)</f>
        <v xml:space="preserve">824097. VF plays are disallowed. No play due to strategy constraints. </v>
      </c>
    </row>
    <row r="176" spans="1:25" x14ac:dyDescent="0.2">
      <c r="A176">
        <v>823936</v>
      </c>
      <c r="B176" s="3">
        <f>VLOOKUP($A176,ScionOutput!$A$3:$BL$215,3,FALSE)</f>
        <v>46192</v>
      </c>
      <c r="C176">
        <f>VLOOKUP($A176,ScionOutput!$A$3:$BL$215,22,FALSE)</f>
        <v>14</v>
      </c>
      <c r="D176" t="str">
        <f>VLOOKUP($A176,ScionOutput!$A$3:$BL$215,23,FALSE)</f>
        <v>LA</v>
      </c>
      <c r="E176">
        <f>VLOOKUP($A176,ScionOutput!$A$3:$BL$215,6,FALSE)</f>
        <v>2</v>
      </c>
      <c r="F176" t="str">
        <f>VLOOKUP($A176,ScionOutput!$A$3:$BL$215,7,FALSE)</f>
        <v>BAL</v>
      </c>
      <c r="G176">
        <f>VLOOKUP($A176,ScionOutput!$A$3:$BL$215,26,FALSE)</f>
        <v>-206</v>
      </c>
      <c r="H176">
        <f>VLOOKUP($A176,ScionOutput!$A$3:$BL$215,10,FALSE)</f>
        <v>187</v>
      </c>
      <c r="I176" t="str">
        <f>VLOOKUP($A176,ScionOutput!$A$3:$BL$215,58,FALSE)</f>
        <v>No Play</v>
      </c>
      <c r="J176">
        <f>VLOOKUP($A176,ScionOutput!$A$3:$BL$215,59,FALSE)</f>
        <v>0</v>
      </c>
      <c r="K176">
        <f>VLOOKUP($A176,ScionOutput!$A$3:$BL$215,62,FALSE)</f>
        <v>0</v>
      </c>
      <c r="L176">
        <f>VLOOKUP($A176,ScionOutput!$A$3:$BL$215,63,FALSE)</f>
        <v>0</v>
      </c>
      <c r="M176" t="b">
        <f t="shared" si="17"/>
        <v>0</v>
      </c>
      <c r="N176">
        <f>VLOOKUP($A176,Outcomes!$B$3:$I$209,8,FALSE)</f>
        <v>11</v>
      </c>
      <c r="O176">
        <f t="shared" si="18"/>
        <v>1</v>
      </c>
      <c r="P176">
        <f>VLOOKUP($A176,Outcomes!$B$3:$I$209,5,FALSE)</f>
        <v>6</v>
      </c>
      <c r="Q176">
        <f>VLOOKUP($A176,Outcomes!$B$3:$I$209,6,FALSE)</f>
        <v>5</v>
      </c>
      <c r="R176">
        <f>VLOOKUP($A176,Outcomes!$B$3:$I$209,7,FALSE)</f>
        <v>-1</v>
      </c>
      <c r="S176" t="str">
        <f t="shared" si="19"/>
        <v>HomFave</v>
      </c>
      <c r="T176" t="str">
        <f t="shared" si="20"/>
        <v/>
      </c>
      <c r="U176" t="str">
        <f t="shared" si="16"/>
        <v/>
      </c>
      <c r="V176" t="str">
        <f t="shared" si="21"/>
        <v/>
      </c>
      <c r="W176" t="str">
        <f t="shared" si="22"/>
        <v/>
      </c>
      <c r="X176" s="2" t="str">
        <f t="shared" si="23"/>
        <v/>
      </c>
      <c r="Y176" t="str">
        <f>VLOOKUP($A176,ScionOutput!$A$3:$BL$215,64,FALSE)</f>
        <v xml:space="preserve">823936. LineStatEns is NoPlay as bookie-line outside range. StatOnlyEns is NoPlay as bookie-line outside range. No play due to strategy constraints. </v>
      </c>
    </row>
    <row r="177" spans="1:25" x14ac:dyDescent="0.2">
      <c r="A177">
        <v>823534</v>
      </c>
      <c r="B177" s="3">
        <f>VLOOKUP($A177,ScionOutput!$A$3:$BL$215,3,FALSE)</f>
        <v>46192</v>
      </c>
      <c r="C177">
        <f>VLOOKUP($A177,ScionOutput!$A$3:$BL$215,22,FALSE)</f>
        <v>19</v>
      </c>
      <c r="D177" t="str">
        <f>VLOOKUP($A177,ScionOutput!$A$3:$BL$215,23,FALSE)</f>
        <v>NYY</v>
      </c>
      <c r="E177">
        <f>VLOOKUP($A177,ScionOutput!$A$3:$BL$215,6,FALSE)</f>
        <v>6</v>
      </c>
      <c r="F177" t="str">
        <f>VLOOKUP($A177,ScionOutput!$A$3:$BL$215,7,FALSE)</f>
        <v>CIN</v>
      </c>
      <c r="G177">
        <f>VLOOKUP($A177,ScionOutput!$A$3:$BL$215,26,FALSE)</f>
        <v>-269</v>
      </c>
      <c r="H177">
        <f>VLOOKUP($A177,ScionOutput!$A$3:$BL$215,10,FALSE)</f>
        <v>240</v>
      </c>
      <c r="I177" t="str">
        <f>VLOOKUP($A177,ScionOutput!$A$3:$BL$215,58,FALSE)</f>
        <v>No Play</v>
      </c>
      <c r="J177">
        <f>VLOOKUP($A177,ScionOutput!$A$3:$BL$215,59,FALSE)</f>
        <v>0</v>
      </c>
      <c r="K177">
        <f>VLOOKUP($A177,ScionOutput!$A$3:$BL$215,62,FALSE)</f>
        <v>0</v>
      </c>
      <c r="L177">
        <f>VLOOKUP($A177,ScionOutput!$A$3:$BL$215,63,FALSE)</f>
        <v>0</v>
      </c>
      <c r="M177" t="b">
        <f t="shared" si="17"/>
        <v>0</v>
      </c>
      <c r="N177">
        <f>VLOOKUP($A177,Outcomes!$B$3:$I$209,8,FALSE)</f>
        <v>5</v>
      </c>
      <c r="O177">
        <f t="shared" si="18"/>
        <v>1</v>
      </c>
      <c r="P177">
        <f>VLOOKUP($A177,Outcomes!$B$3:$I$209,5,FALSE)</f>
        <v>5</v>
      </c>
      <c r="Q177">
        <f>VLOOKUP($A177,Outcomes!$B$3:$I$209,6,FALSE)</f>
        <v>0</v>
      </c>
      <c r="R177">
        <f>VLOOKUP($A177,Outcomes!$B$3:$I$209,7,FALSE)</f>
        <v>-5</v>
      </c>
      <c r="S177" t="str">
        <f t="shared" si="19"/>
        <v>HomFave</v>
      </c>
      <c r="T177" t="str">
        <f t="shared" si="20"/>
        <v/>
      </c>
      <c r="U177" t="str">
        <f t="shared" si="16"/>
        <v/>
      </c>
      <c r="V177" t="str">
        <f t="shared" si="21"/>
        <v/>
      </c>
      <c r="W177" t="str">
        <f t="shared" si="22"/>
        <v/>
      </c>
      <c r="X177" s="2" t="str">
        <f t="shared" si="23"/>
        <v/>
      </c>
      <c r="Y177" t="str">
        <f>VLOOKUP($A177,ScionOutput!$A$3:$BL$215,64,FALSE)</f>
        <v xml:space="preserve">823534. LineStatEns is NoPlay as bookie-line outside range. StatOnlyEns is NoPlay as bookie-line outside range. No play due to strategy constraints. </v>
      </c>
    </row>
    <row r="178" spans="1:25" x14ac:dyDescent="0.2">
      <c r="A178">
        <v>824990</v>
      </c>
      <c r="B178" s="3">
        <f>VLOOKUP($A178,ScionOutput!$A$3:$BL$215,3,FALSE)</f>
        <v>46192</v>
      </c>
      <c r="C178">
        <f>VLOOKUP($A178,ScionOutput!$A$3:$BL$215,22,FALSE)</f>
        <v>20</v>
      </c>
      <c r="D178" t="str">
        <f>VLOOKUP($A178,ScionOutput!$A$3:$BL$215,23,FALSE)</f>
        <v>OAK</v>
      </c>
      <c r="E178">
        <f>VLOOKUP($A178,ScionOutput!$A$3:$BL$215,6,FALSE)</f>
        <v>4</v>
      </c>
      <c r="F178" t="str">
        <f>VLOOKUP($A178,ScionOutput!$A$3:$BL$215,7,FALSE)</f>
        <v>LAA</v>
      </c>
      <c r="G178">
        <f>VLOOKUP($A178,ScionOutput!$A$3:$BL$215,26,FALSE)</f>
        <v>-153</v>
      </c>
      <c r="H178">
        <f>VLOOKUP($A178,ScionOutput!$A$3:$BL$215,10,FALSE)</f>
        <v>141</v>
      </c>
      <c r="I178" t="str">
        <f>VLOOKUP($A178,ScionOutput!$A$3:$BL$215,58,FALSE)</f>
        <v>No Play</v>
      </c>
      <c r="J178">
        <f>VLOOKUP($A178,ScionOutput!$A$3:$BL$215,59,FALSE)</f>
        <v>0</v>
      </c>
      <c r="K178">
        <f>VLOOKUP($A178,ScionOutput!$A$3:$BL$215,62,FALSE)</f>
        <v>0</v>
      </c>
      <c r="L178">
        <f>VLOOKUP($A178,ScionOutput!$A$3:$BL$215,63,FALSE)</f>
        <v>0</v>
      </c>
      <c r="M178" t="b">
        <f t="shared" si="17"/>
        <v>0</v>
      </c>
      <c r="N178">
        <f>VLOOKUP($A178,Outcomes!$B$3:$I$209,8,FALSE)</f>
        <v>23</v>
      </c>
      <c r="O178">
        <f t="shared" si="18"/>
        <v>1</v>
      </c>
      <c r="P178">
        <f>VLOOKUP($A178,Outcomes!$B$3:$I$209,5,FALSE)</f>
        <v>12</v>
      </c>
      <c r="Q178">
        <f>VLOOKUP($A178,Outcomes!$B$3:$I$209,6,FALSE)</f>
        <v>11</v>
      </c>
      <c r="R178">
        <f>VLOOKUP($A178,Outcomes!$B$3:$I$209,7,FALSE)</f>
        <v>-1</v>
      </c>
      <c r="S178" t="str">
        <f t="shared" si="19"/>
        <v>HomFave</v>
      </c>
      <c r="T178" t="str">
        <f t="shared" si="20"/>
        <v/>
      </c>
      <c r="U178" t="str">
        <f t="shared" si="16"/>
        <v/>
      </c>
      <c r="V178" t="str">
        <f t="shared" si="21"/>
        <v/>
      </c>
      <c r="W178" t="str">
        <f t="shared" si="22"/>
        <v/>
      </c>
      <c r="X178" s="2" t="str">
        <f t="shared" si="23"/>
        <v/>
      </c>
      <c r="Y178" t="str">
        <f>VLOOKUP($A178,ScionOutput!$A$3:$BL$215,64,FALSE)</f>
        <v xml:space="preserve">824990. LineStatEns is NoPlay as bookie-line outside range. StatOnlyEns is NoPlay as bookie-line outside range. No play due to strategy constraints. </v>
      </c>
    </row>
    <row r="179" spans="1:25" x14ac:dyDescent="0.2">
      <c r="A179">
        <v>823124</v>
      </c>
      <c r="B179" s="3">
        <f>VLOOKUP($A179,ScionOutput!$A$3:$BL$215,3,FALSE)</f>
        <v>46192</v>
      </c>
      <c r="C179">
        <f>VLOOKUP($A179,ScionOutput!$A$3:$BL$215,22,FALSE)</f>
        <v>24</v>
      </c>
      <c r="D179" t="str">
        <f>VLOOKUP($A179,ScionOutput!$A$3:$BL$215,23,FALSE)</f>
        <v>SEA</v>
      </c>
      <c r="E179">
        <f>VLOOKUP($A179,ScionOutput!$A$3:$BL$215,6,FALSE)</f>
        <v>3</v>
      </c>
      <c r="F179" t="str">
        <f>VLOOKUP($A179,ScionOutput!$A$3:$BL$215,7,FALSE)</f>
        <v>BOS</v>
      </c>
      <c r="G179">
        <f>VLOOKUP($A179,ScionOutput!$A$3:$BL$215,26,FALSE)</f>
        <v>-108</v>
      </c>
      <c r="H179">
        <f>VLOOKUP($A179,ScionOutput!$A$3:$BL$215,10,FALSE)</f>
        <v>100</v>
      </c>
      <c r="I179" t="str">
        <f>VLOOKUP($A179,ScionOutput!$A$3:$BL$215,58,FALSE)</f>
        <v>HomFave</v>
      </c>
      <c r="J179">
        <f>VLOOKUP($A179,ScionOutput!$A$3:$BL$215,59,FALSE)</f>
        <v>3.057E-2</v>
      </c>
      <c r="K179">
        <f>VLOOKUP($A179,ScionOutput!$A$3:$BL$215,62,FALSE)</f>
        <v>5</v>
      </c>
      <c r="L179">
        <f>VLOOKUP($A179,ScionOutput!$A$3:$BL$215,63,FALSE)</f>
        <v>0.98</v>
      </c>
      <c r="M179" t="b">
        <f t="shared" si="17"/>
        <v>0</v>
      </c>
      <c r="N179">
        <f>VLOOKUP($A179,Outcomes!$B$3:$I$209,8,FALSE)</f>
        <v>8</v>
      </c>
      <c r="O179">
        <f t="shared" si="18"/>
        <v>-1</v>
      </c>
      <c r="P179">
        <f>VLOOKUP($A179,Outcomes!$B$3:$I$209,5,FALSE)</f>
        <v>2</v>
      </c>
      <c r="Q179">
        <f>VLOOKUP($A179,Outcomes!$B$3:$I$209,6,FALSE)</f>
        <v>6</v>
      </c>
      <c r="R179">
        <f>VLOOKUP($A179,Outcomes!$B$3:$I$209,7,FALSE)</f>
        <v>4</v>
      </c>
      <c r="S179" t="str">
        <f t="shared" si="19"/>
        <v>VisDog</v>
      </c>
      <c r="T179" t="str">
        <f t="shared" si="20"/>
        <v/>
      </c>
      <c r="U179" t="str">
        <f t="shared" si="16"/>
        <v/>
      </c>
      <c r="V179" t="str">
        <f t="shared" si="21"/>
        <v/>
      </c>
      <c r="W179" t="str">
        <f t="shared" si="22"/>
        <v/>
      </c>
      <c r="X179" s="2" t="str">
        <f t="shared" si="23"/>
        <v/>
      </c>
      <c r="Y179" t="str">
        <f>VLOOKUP($A179,ScionOutput!$A$3:$BL$215,64,FALSE)</f>
        <v xml:space="preserve">823124. Play determined by StatOnlyEns when it disagrees with LineStatEns. </v>
      </c>
    </row>
    <row r="180" spans="1:25" x14ac:dyDescent="0.2">
      <c r="A180">
        <v>822966</v>
      </c>
      <c r="B180" s="3">
        <f>VLOOKUP($A180,ScionOutput!$A$3:$BL$215,3,FALSE)</f>
        <v>46192</v>
      </c>
      <c r="C180">
        <f>VLOOKUP($A180,ScionOutput!$A$3:$BL$215,22,FALSE)</f>
        <v>27</v>
      </c>
      <c r="D180" t="str">
        <f>VLOOKUP($A180,ScionOutput!$A$3:$BL$215,23,FALSE)</f>
        <v>TB</v>
      </c>
      <c r="E180">
        <f>VLOOKUP($A180,ScionOutput!$A$3:$BL$215,6,FALSE)</f>
        <v>16</v>
      </c>
      <c r="F180" t="str">
        <f>VLOOKUP($A180,ScionOutput!$A$3:$BL$215,7,FALSE)</f>
        <v>WAS</v>
      </c>
      <c r="G180">
        <f>VLOOKUP($A180,ScionOutput!$A$3:$BL$215,26,FALSE)</f>
        <v>-119</v>
      </c>
      <c r="H180">
        <f>VLOOKUP($A180,ScionOutput!$A$3:$BL$215,10,FALSE)</f>
        <v>110</v>
      </c>
      <c r="I180" t="str">
        <f>VLOOKUP($A180,ScionOutput!$A$3:$BL$215,58,FALSE)</f>
        <v>No Play</v>
      </c>
      <c r="J180">
        <f>VLOOKUP($A180,ScionOutput!$A$3:$BL$215,59,FALSE)</f>
        <v>0</v>
      </c>
      <c r="K180">
        <f>VLOOKUP($A180,ScionOutput!$A$3:$BL$215,62,FALSE)</f>
        <v>0</v>
      </c>
      <c r="L180">
        <f>VLOOKUP($A180,ScionOutput!$A$3:$BL$215,63,FALSE)</f>
        <v>0</v>
      </c>
      <c r="M180" t="b">
        <f t="shared" si="17"/>
        <v>0</v>
      </c>
      <c r="N180">
        <f>VLOOKUP($A180,Outcomes!$B$3:$I$209,8,FALSE)</f>
        <v>7</v>
      </c>
      <c r="O180">
        <f t="shared" si="18"/>
        <v>1</v>
      </c>
      <c r="P180">
        <f>VLOOKUP($A180,Outcomes!$B$3:$I$209,5,FALSE)</f>
        <v>5</v>
      </c>
      <c r="Q180">
        <f>VLOOKUP($A180,Outcomes!$B$3:$I$209,6,FALSE)</f>
        <v>2</v>
      </c>
      <c r="R180">
        <f>VLOOKUP($A180,Outcomes!$B$3:$I$209,7,FALSE)</f>
        <v>-3</v>
      </c>
      <c r="S180" t="str">
        <f t="shared" si="19"/>
        <v>HomFave</v>
      </c>
      <c r="T180" t="str">
        <f t="shared" si="20"/>
        <v/>
      </c>
      <c r="U180" t="str">
        <f t="shared" si="16"/>
        <v/>
      </c>
      <c r="V180" t="str">
        <f t="shared" si="21"/>
        <v/>
      </c>
      <c r="W180" t="str">
        <f t="shared" si="22"/>
        <v/>
      </c>
      <c r="X180" s="2" t="str">
        <f t="shared" si="23"/>
        <v/>
      </c>
      <c r="Y180" t="str">
        <f>VLOOKUP($A180,ScionOutput!$A$3:$BL$215,64,FALSE)</f>
        <v xml:space="preserve">822966. LineStatEns probability points gap does not exceed threshold (no edge found)! StatOnlyEns probability points gap does not exceed threshold (no edge found)! No play due to strategy constraints. </v>
      </c>
    </row>
    <row r="181" spans="1:25" x14ac:dyDescent="0.2">
      <c r="A181">
        <v>822886</v>
      </c>
      <c r="B181" s="3">
        <f>VLOOKUP($A181,ScionOutput!$A$3:$BL$215,3,FALSE)</f>
        <v>46192</v>
      </c>
      <c r="C181">
        <f>VLOOKUP($A181,ScionOutput!$A$3:$BL$215,22,FALSE)</f>
        <v>28</v>
      </c>
      <c r="D181" t="str">
        <f>VLOOKUP($A181,ScionOutput!$A$3:$BL$215,23,FALSE)</f>
        <v>TEX</v>
      </c>
      <c r="E181">
        <f>VLOOKUP($A181,ScionOutput!$A$3:$BL$215,6,FALSE)</f>
        <v>23</v>
      </c>
      <c r="F181" t="str">
        <f>VLOOKUP($A181,ScionOutput!$A$3:$BL$215,7,FALSE)</f>
        <v>SD</v>
      </c>
      <c r="G181">
        <f>VLOOKUP($A181,ScionOutput!$A$3:$BL$215,26,FALSE)</f>
        <v>-154</v>
      </c>
      <c r="H181">
        <f>VLOOKUP($A181,ScionOutput!$A$3:$BL$215,10,FALSE)</f>
        <v>142</v>
      </c>
      <c r="I181" t="str">
        <f>VLOOKUP($A181,ScionOutput!$A$3:$BL$215,58,FALSE)</f>
        <v>No Play</v>
      </c>
      <c r="J181">
        <f>VLOOKUP($A181,ScionOutput!$A$3:$BL$215,59,FALSE)</f>
        <v>0</v>
      </c>
      <c r="K181">
        <f>VLOOKUP($A181,ScionOutput!$A$3:$BL$215,62,FALSE)</f>
        <v>0</v>
      </c>
      <c r="L181">
        <f>VLOOKUP($A181,ScionOutput!$A$3:$BL$215,63,FALSE)</f>
        <v>0</v>
      </c>
      <c r="M181" t="b">
        <f t="shared" si="17"/>
        <v>0</v>
      </c>
      <c r="N181">
        <f>VLOOKUP($A181,Outcomes!$B$3:$I$209,8,FALSE)</f>
        <v>16</v>
      </c>
      <c r="O181">
        <f t="shared" si="18"/>
        <v>1</v>
      </c>
      <c r="P181">
        <f>VLOOKUP($A181,Outcomes!$B$3:$I$209,5,FALSE)</f>
        <v>9</v>
      </c>
      <c r="Q181">
        <f>VLOOKUP($A181,Outcomes!$B$3:$I$209,6,FALSE)</f>
        <v>7</v>
      </c>
      <c r="R181">
        <f>VLOOKUP($A181,Outcomes!$B$3:$I$209,7,FALSE)</f>
        <v>-2</v>
      </c>
      <c r="S181" t="str">
        <f t="shared" si="19"/>
        <v>HomFave</v>
      </c>
      <c r="T181" t="str">
        <f t="shared" si="20"/>
        <v/>
      </c>
      <c r="U181" t="str">
        <f t="shared" si="16"/>
        <v/>
      </c>
      <c r="V181" t="str">
        <f t="shared" si="21"/>
        <v/>
      </c>
      <c r="W181" t="str">
        <f t="shared" si="22"/>
        <v/>
      </c>
      <c r="X181" s="2" t="str">
        <f t="shared" si="23"/>
        <v/>
      </c>
      <c r="Y181" t="str">
        <f>VLOOKUP($A181,ScionOutput!$A$3:$BL$215,64,FALSE)</f>
        <v xml:space="preserve">822886. LineStatEns is NoPlay as bookie-line outside range. StatOnlyEns is NoPlay as bookie-line outside range. No play due to strategy constraints. </v>
      </c>
    </row>
    <row r="182" spans="1:25" x14ac:dyDescent="0.2">
      <c r="A182">
        <v>824909</v>
      </c>
      <c r="B182" s="3">
        <f>VLOOKUP($A182,ScionOutput!$A$3:$BL$215,3,FALSE)</f>
        <v>46193</v>
      </c>
      <c r="C182">
        <f>VLOOKUP($A182,ScionOutput!$A$3:$BL$215,22,FALSE)</f>
        <v>0</v>
      </c>
      <c r="D182" t="str">
        <f>VLOOKUP($A182,ScionOutput!$A$3:$BL$215,23,FALSE)</f>
        <v>ATL</v>
      </c>
      <c r="E182">
        <f>VLOOKUP($A182,ScionOutput!$A$3:$BL$215,6,FALSE)</f>
        <v>17</v>
      </c>
      <c r="F182" t="str">
        <f>VLOOKUP($A182,ScionOutput!$A$3:$BL$215,7,FALSE)</f>
        <v>MLW</v>
      </c>
      <c r="G182">
        <f>VLOOKUP($A182,ScionOutput!$A$3:$BL$215,26,FALSE)</f>
        <v>-128</v>
      </c>
      <c r="H182">
        <f>VLOOKUP($A182,ScionOutput!$A$3:$BL$215,10,FALSE)</f>
        <v>118</v>
      </c>
      <c r="I182" t="str">
        <f>VLOOKUP($A182,ScionOutput!$A$3:$BL$215,58,FALSE)</f>
        <v>No Play</v>
      </c>
      <c r="J182">
        <f>VLOOKUP($A182,ScionOutput!$A$3:$BL$215,59,FALSE)</f>
        <v>0</v>
      </c>
      <c r="K182">
        <f>VLOOKUP($A182,ScionOutput!$A$3:$BL$215,62,FALSE)</f>
        <v>0</v>
      </c>
      <c r="L182">
        <f>VLOOKUP($A182,ScionOutput!$A$3:$BL$215,63,FALSE)</f>
        <v>0</v>
      </c>
      <c r="M182" t="b">
        <f t="shared" si="17"/>
        <v>0</v>
      </c>
      <c r="N182">
        <f>VLOOKUP($A182,Outcomes!$B$3:$I$209,8,FALSE)</f>
        <v>7</v>
      </c>
      <c r="O182">
        <f t="shared" si="18"/>
        <v>1</v>
      </c>
      <c r="P182">
        <f>VLOOKUP($A182,Outcomes!$B$3:$I$209,5,FALSE)</f>
        <v>4</v>
      </c>
      <c r="Q182">
        <f>VLOOKUP($A182,Outcomes!$B$3:$I$209,6,FALSE)</f>
        <v>3</v>
      </c>
      <c r="R182">
        <f>VLOOKUP($A182,Outcomes!$B$3:$I$209,7,FALSE)</f>
        <v>-1</v>
      </c>
      <c r="S182" t="str">
        <f t="shared" si="19"/>
        <v>HomFave</v>
      </c>
      <c r="T182" t="str">
        <f t="shared" si="20"/>
        <v/>
      </c>
      <c r="U182" t="str">
        <f t="shared" si="16"/>
        <v/>
      </c>
      <c r="V182" t="str">
        <f t="shared" si="21"/>
        <v/>
      </c>
      <c r="W182" t="str">
        <f t="shared" si="22"/>
        <v/>
      </c>
      <c r="X182" s="2" t="str">
        <f t="shared" si="23"/>
        <v/>
      </c>
      <c r="Y182" t="str">
        <f>VLOOKUP($A182,ScionOutput!$A$3:$BL$215,64,FALSE)</f>
        <v xml:space="preserve">824909. LineStatEns probability points gap does not exceed threshold (no edge found)! StatOnlyEns probability points gap does not exceed threshold (no edge found)! No play due to strategy constraints. </v>
      </c>
    </row>
    <row r="183" spans="1:25" x14ac:dyDescent="0.2">
      <c r="A183">
        <v>825068</v>
      </c>
      <c r="B183" s="3">
        <f>VLOOKUP($A183,ScionOutput!$A$3:$BL$215,3,FALSE)</f>
        <v>46193</v>
      </c>
      <c r="C183">
        <f>VLOOKUP($A183,ScionOutput!$A$3:$BL$215,22,FALSE)</f>
        <v>1</v>
      </c>
      <c r="D183" t="str">
        <f>VLOOKUP($A183,ScionOutput!$A$3:$BL$215,23,FALSE)</f>
        <v>ARZ</v>
      </c>
      <c r="E183">
        <f>VLOOKUP($A183,ScionOutput!$A$3:$BL$215,6,FALSE)</f>
        <v>15</v>
      </c>
      <c r="F183" t="str">
        <f>VLOOKUP($A183,ScionOutput!$A$3:$BL$215,7,FALSE)</f>
        <v>MIN</v>
      </c>
      <c r="G183">
        <f>VLOOKUP($A183,ScionOutput!$A$3:$BL$215,26,FALSE)</f>
        <v>-125</v>
      </c>
      <c r="H183">
        <f>VLOOKUP($A183,ScionOutput!$A$3:$BL$215,10,FALSE)</f>
        <v>115</v>
      </c>
      <c r="I183" t="str">
        <f>VLOOKUP($A183,ScionOutput!$A$3:$BL$215,58,FALSE)</f>
        <v>No Play</v>
      </c>
      <c r="J183">
        <f>VLOOKUP($A183,ScionOutput!$A$3:$BL$215,59,FALSE)</f>
        <v>0</v>
      </c>
      <c r="K183">
        <f>VLOOKUP($A183,ScionOutput!$A$3:$BL$215,62,FALSE)</f>
        <v>0</v>
      </c>
      <c r="L183">
        <f>VLOOKUP($A183,ScionOutput!$A$3:$BL$215,63,FALSE)</f>
        <v>0</v>
      </c>
      <c r="M183" t="b">
        <f t="shared" si="17"/>
        <v>0</v>
      </c>
      <c r="N183">
        <f>VLOOKUP($A183,Outcomes!$B$3:$I$209,8,FALSE)</f>
        <v>24</v>
      </c>
      <c r="O183">
        <f t="shared" si="18"/>
        <v>-1</v>
      </c>
      <c r="P183">
        <f>VLOOKUP($A183,Outcomes!$B$3:$I$209,5,FALSE)</f>
        <v>8</v>
      </c>
      <c r="Q183">
        <f>VLOOKUP($A183,Outcomes!$B$3:$I$209,6,FALSE)</f>
        <v>16</v>
      </c>
      <c r="R183">
        <f>VLOOKUP($A183,Outcomes!$B$3:$I$209,7,FALSE)</f>
        <v>8</v>
      </c>
      <c r="S183" t="str">
        <f t="shared" si="19"/>
        <v>VisDog</v>
      </c>
      <c r="T183" t="str">
        <f t="shared" si="20"/>
        <v/>
      </c>
      <c r="U183" t="str">
        <f t="shared" si="16"/>
        <v/>
      </c>
      <c r="V183" t="str">
        <f t="shared" si="21"/>
        <v/>
      </c>
      <c r="W183" t="str">
        <f t="shared" si="22"/>
        <v/>
      </c>
      <c r="X183" s="2" t="str">
        <f t="shared" si="23"/>
        <v/>
      </c>
      <c r="Y183" t="str">
        <f>VLOOKUP($A183,ScionOutput!$A$3:$BL$215,64,FALSE)</f>
        <v xml:space="preserve">825068. LineStatEns probability points gap does not exceed threshold (no edge found)! StatOnlyEns probability points gap does not exceed threshold (no edge found)! No play due to strategy constraints. </v>
      </c>
    </row>
    <row r="184" spans="1:25" x14ac:dyDescent="0.2">
      <c r="A184">
        <v>824665</v>
      </c>
      <c r="B184" s="3">
        <f>VLOOKUP($A184,ScionOutput!$A$3:$BL$215,3,FALSE)</f>
        <v>46193</v>
      </c>
      <c r="C184">
        <f>VLOOKUP($A184,ScionOutput!$A$3:$BL$215,22,FALSE)</f>
        <v>5</v>
      </c>
      <c r="D184" t="str">
        <f>VLOOKUP($A184,ScionOutput!$A$3:$BL$215,23,FALSE)</f>
        <v>CHC</v>
      </c>
      <c r="E184">
        <f>VLOOKUP($A184,ScionOutput!$A$3:$BL$215,6,FALSE)</f>
        <v>29</v>
      </c>
      <c r="F184" t="str">
        <f>VLOOKUP($A184,ScionOutput!$A$3:$BL$215,7,FALSE)</f>
        <v>TOR</v>
      </c>
      <c r="G184">
        <f>VLOOKUP($A184,ScionOutput!$A$3:$BL$215,26,FALSE)</f>
        <v>-126</v>
      </c>
      <c r="H184">
        <f>VLOOKUP($A184,ScionOutput!$A$3:$BL$215,10,FALSE)</f>
        <v>116</v>
      </c>
      <c r="I184" t="str">
        <f>VLOOKUP($A184,ScionOutput!$A$3:$BL$215,58,FALSE)</f>
        <v>HomFave</v>
      </c>
      <c r="J184">
        <f>VLOOKUP($A184,ScionOutput!$A$3:$BL$215,59,FALSE)</f>
        <v>1.367E-2</v>
      </c>
      <c r="K184">
        <f>VLOOKUP($A184,ScionOutput!$A$3:$BL$215,62,FALSE)</f>
        <v>1</v>
      </c>
      <c r="L184">
        <f>VLOOKUP($A184,ScionOutput!$A$3:$BL$215,63,FALSE)</f>
        <v>0.87</v>
      </c>
      <c r="M184" t="b">
        <f t="shared" si="17"/>
        <v>1</v>
      </c>
      <c r="N184">
        <f>VLOOKUP($A184,Outcomes!$B$3:$I$209,8,FALSE)</f>
        <v>14</v>
      </c>
      <c r="O184">
        <f t="shared" si="18"/>
        <v>-1</v>
      </c>
      <c r="P184">
        <f>VLOOKUP($A184,Outcomes!$B$3:$I$209,5,FALSE)</f>
        <v>6</v>
      </c>
      <c r="Q184">
        <f>VLOOKUP($A184,Outcomes!$B$3:$I$209,6,FALSE)</f>
        <v>8</v>
      </c>
      <c r="R184">
        <f>VLOOKUP($A184,Outcomes!$B$3:$I$209,7,FALSE)</f>
        <v>2</v>
      </c>
      <c r="S184" t="str">
        <f t="shared" si="19"/>
        <v>VisDog</v>
      </c>
      <c r="T184" t="str">
        <f t="shared" si="20"/>
        <v/>
      </c>
      <c r="U184" t="str">
        <f t="shared" si="16"/>
        <v/>
      </c>
      <c r="V184" t="str">
        <f t="shared" si="21"/>
        <v/>
      </c>
      <c r="W184" t="str">
        <f t="shared" si="22"/>
        <v/>
      </c>
      <c r="X184" s="2" t="str">
        <f t="shared" si="23"/>
        <v/>
      </c>
      <c r="Y184" t="str">
        <f>VLOOKUP($A184,ScionOutput!$A$3:$BL$215,64,FALSE)</f>
        <v xml:space="preserve">824665. Play determined by LineStatEns and StatOnlyEns agreement. </v>
      </c>
    </row>
    <row r="185" spans="1:25" x14ac:dyDescent="0.2">
      <c r="A185">
        <v>824342</v>
      </c>
      <c r="B185" s="3">
        <f>VLOOKUP($A185,ScionOutput!$A$3:$BL$215,3,FALSE)</f>
        <v>46193</v>
      </c>
      <c r="C185">
        <f>VLOOKUP($A185,ScionOutput!$A$3:$BL$215,22,FALSE)</f>
        <v>8</v>
      </c>
      <c r="D185" t="str">
        <f>VLOOKUP($A185,ScionOutput!$A$3:$BL$215,23,FALSE)</f>
        <v>COL</v>
      </c>
      <c r="E185">
        <f>VLOOKUP($A185,ScionOutput!$A$3:$BL$215,6,FALSE)</f>
        <v>22</v>
      </c>
      <c r="F185" t="str">
        <f>VLOOKUP($A185,ScionOutput!$A$3:$BL$215,7,FALSE)</f>
        <v>PIT</v>
      </c>
      <c r="G185">
        <f>VLOOKUP($A185,ScionOutput!$A$3:$BL$215,26,FALSE)</f>
        <v>183</v>
      </c>
      <c r="H185">
        <f>VLOOKUP($A185,ScionOutput!$A$3:$BL$215,10,FALSE)</f>
        <v>-201</v>
      </c>
      <c r="I185" t="str">
        <f>VLOOKUP($A185,ScionOutput!$A$3:$BL$215,58,FALSE)</f>
        <v>No Play</v>
      </c>
      <c r="J185">
        <f>VLOOKUP($A185,ScionOutput!$A$3:$BL$215,59,FALSE)</f>
        <v>0</v>
      </c>
      <c r="K185">
        <f>VLOOKUP($A185,ScionOutput!$A$3:$BL$215,62,FALSE)</f>
        <v>0</v>
      </c>
      <c r="L185">
        <f>VLOOKUP($A185,ScionOutput!$A$3:$BL$215,63,FALSE)</f>
        <v>0</v>
      </c>
      <c r="M185" t="b">
        <f t="shared" si="17"/>
        <v>0</v>
      </c>
      <c r="N185">
        <f>VLOOKUP($A185,Outcomes!$B$3:$I$209,8,FALSE)</f>
        <v>3</v>
      </c>
      <c r="O185">
        <f t="shared" si="18"/>
        <v>1</v>
      </c>
      <c r="P185">
        <f>VLOOKUP($A185,Outcomes!$B$3:$I$209,5,FALSE)</f>
        <v>2</v>
      </c>
      <c r="Q185">
        <f>VLOOKUP($A185,Outcomes!$B$3:$I$209,6,FALSE)</f>
        <v>1</v>
      </c>
      <c r="R185">
        <f>VLOOKUP($A185,Outcomes!$B$3:$I$209,7,FALSE)</f>
        <v>-1</v>
      </c>
      <c r="S185" t="str">
        <f t="shared" si="19"/>
        <v>HomDog</v>
      </c>
      <c r="T185" t="str">
        <f t="shared" si="20"/>
        <v/>
      </c>
      <c r="U185" t="str">
        <f t="shared" si="16"/>
        <v/>
      </c>
      <c r="V185" t="str">
        <f t="shared" si="21"/>
        <v/>
      </c>
      <c r="W185" t="str">
        <f t="shared" si="22"/>
        <v/>
      </c>
      <c r="X185" s="2" t="str">
        <f t="shared" si="23"/>
        <v/>
      </c>
      <c r="Y185" t="str">
        <f>VLOOKUP($A185,ScionOutput!$A$3:$BL$215,64,FALSE)</f>
        <v xml:space="preserve">824342. LineStatEns is NoPlay as bookie-line outside range. StatOnlyEns is NoPlay as bookie-line outside range. No play due to strategy constraints. </v>
      </c>
    </row>
    <row r="186" spans="1:25" x14ac:dyDescent="0.2">
      <c r="A186">
        <v>824263</v>
      </c>
      <c r="B186" s="3">
        <f>VLOOKUP($A186,ScionOutput!$A$3:$BL$215,3,FALSE)</f>
        <v>46193</v>
      </c>
      <c r="C186">
        <f>VLOOKUP($A186,ScionOutput!$A$3:$BL$215,22,FALSE)</f>
        <v>10</v>
      </c>
      <c r="D186" t="str">
        <f>VLOOKUP($A186,ScionOutput!$A$3:$BL$215,23,FALSE)</f>
        <v>DET</v>
      </c>
      <c r="E186">
        <f>VLOOKUP($A186,ScionOutput!$A$3:$BL$215,6,FALSE)</f>
        <v>9</v>
      </c>
      <c r="F186" t="str">
        <f>VLOOKUP($A186,ScionOutput!$A$3:$BL$215,7,FALSE)</f>
        <v>CWS</v>
      </c>
      <c r="G186">
        <f>VLOOKUP($A186,ScionOutput!$A$3:$BL$215,26,FALSE)</f>
        <v>-115</v>
      </c>
      <c r="H186">
        <f>VLOOKUP($A186,ScionOutput!$A$3:$BL$215,10,FALSE)</f>
        <v>106</v>
      </c>
      <c r="I186" t="str">
        <f>VLOOKUP($A186,ScionOutput!$A$3:$BL$215,58,FALSE)</f>
        <v>No Play</v>
      </c>
      <c r="J186">
        <f>VLOOKUP($A186,ScionOutput!$A$3:$BL$215,59,FALSE)</f>
        <v>0</v>
      </c>
      <c r="K186">
        <f>VLOOKUP($A186,ScionOutput!$A$3:$BL$215,62,FALSE)</f>
        <v>0</v>
      </c>
      <c r="L186">
        <f>VLOOKUP($A186,ScionOutput!$A$3:$BL$215,63,FALSE)</f>
        <v>0</v>
      </c>
      <c r="M186" t="b">
        <f t="shared" si="17"/>
        <v>0</v>
      </c>
      <c r="N186">
        <f>VLOOKUP($A186,Outcomes!$B$3:$I$209,8,FALSE)</f>
        <v>5</v>
      </c>
      <c r="O186">
        <f t="shared" si="18"/>
        <v>1</v>
      </c>
      <c r="P186">
        <f>VLOOKUP($A186,Outcomes!$B$3:$I$209,5,FALSE)</f>
        <v>4</v>
      </c>
      <c r="Q186">
        <f>VLOOKUP($A186,Outcomes!$B$3:$I$209,6,FALSE)</f>
        <v>1</v>
      </c>
      <c r="R186">
        <f>VLOOKUP($A186,Outcomes!$B$3:$I$209,7,FALSE)</f>
        <v>-3</v>
      </c>
      <c r="S186" t="str">
        <f t="shared" si="19"/>
        <v>HomFave</v>
      </c>
      <c r="T186" t="str">
        <f t="shared" si="20"/>
        <v/>
      </c>
      <c r="U186" t="str">
        <f t="shared" si="16"/>
        <v/>
      </c>
      <c r="V186" t="str">
        <f t="shared" si="21"/>
        <v/>
      </c>
      <c r="W186" t="str">
        <f t="shared" si="22"/>
        <v/>
      </c>
      <c r="X186" s="2" t="str">
        <f t="shared" si="23"/>
        <v/>
      </c>
      <c r="Y186" t="str">
        <f>VLOOKUP($A186,ScionOutput!$A$3:$BL$215,64,FALSE)</f>
        <v xml:space="preserve">824263. V_SP is Null, team-based avg used. NoPlay as V_SP is Null. </v>
      </c>
    </row>
    <row r="187" spans="1:25" x14ac:dyDescent="0.2">
      <c r="A187">
        <v>823854</v>
      </c>
      <c r="B187" s="3">
        <f>VLOOKUP($A187,ScionOutput!$A$3:$BL$215,3,FALSE)</f>
        <v>46193</v>
      </c>
      <c r="C187">
        <f>VLOOKUP($A187,ScionOutput!$A$3:$BL$215,22,FALSE)</f>
        <v>11</v>
      </c>
      <c r="D187" t="str">
        <f>VLOOKUP($A187,ScionOutput!$A$3:$BL$215,23,FALSE)</f>
        <v>FLO</v>
      </c>
      <c r="E187">
        <f>VLOOKUP($A187,ScionOutput!$A$3:$BL$215,6,FALSE)</f>
        <v>25</v>
      </c>
      <c r="F187" t="str">
        <f>VLOOKUP($A187,ScionOutput!$A$3:$BL$215,7,FALSE)</f>
        <v>SF</v>
      </c>
      <c r="G187">
        <f>VLOOKUP($A187,ScionOutput!$A$3:$BL$215,26,FALSE)</f>
        <v>-137</v>
      </c>
      <c r="H187">
        <f>VLOOKUP($A187,ScionOutput!$A$3:$BL$215,10,FALSE)</f>
        <v>126</v>
      </c>
      <c r="I187" t="str">
        <f>VLOOKUP($A187,ScionOutput!$A$3:$BL$215,58,FALSE)</f>
        <v>No Play</v>
      </c>
      <c r="J187">
        <f>VLOOKUP($A187,ScionOutput!$A$3:$BL$215,59,FALSE)</f>
        <v>0</v>
      </c>
      <c r="K187">
        <f>VLOOKUP($A187,ScionOutput!$A$3:$BL$215,62,FALSE)</f>
        <v>0</v>
      </c>
      <c r="L187">
        <f>VLOOKUP($A187,ScionOutput!$A$3:$BL$215,63,FALSE)</f>
        <v>0</v>
      </c>
      <c r="M187" t="b">
        <f t="shared" si="17"/>
        <v>0</v>
      </c>
      <c r="N187">
        <f>VLOOKUP($A187,Outcomes!$B$3:$I$209,8,FALSE)</f>
        <v>9</v>
      </c>
      <c r="O187">
        <f t="shared" si="18"/>
        <v>1</v>
      </c>
      <c r="P187">
        <f>VLOOKUP($A187,Outcomes!$B$3:$I$209,5,FALSE)</f>
        <v>6</v>
      </c>
      <c r="Q187">
        <f>VLOOKUP($A187,Outcomes!$B$3:$I$209,6,FALSE)</f>
        <v>3</v>
      </c>
      <c r="R187">
        <f>VLOOKUP($A187,Outcomes!$B$3:$I$209,7,FALSE)</f>
        <v>-3</v>
      </c>
      <c r="S187" t="str">
        <f t="shared" si="19"/>
        <v>HomFave</v>
      </c>
      <c r="T187" t="str">
        <f t="shared" si="20"/>
        <v/>
      </c>
      <c r="U187" t="str">
        <f t="shared" si="16"/>
        <v/>
      </c>
      <c r="V187" t="str">
        <f t="shared" si="21"/>
        <v/>
      </c>
      <c r="W187" t="str">
        <f t="shared" si="22"/>
        <v/>
      </c>
      <c r="X187" s="2" t="str">
        <f t="shared" si="23"/>
        <v/>
      </c>
      <c r="Y187" t="str">
        <f>VLOOKUP($A187,ScionOutput!$A$3:$BL$215,64,FALSE)</f>
        <v xml:space="preserve">823854. LineStatEns probability points gap does not exceed threshold (no edge found)! StatOnlyEns probability points gap does not exceed threshold (no edge found)! No play due to strategy constraints. </v>
      </c>
    </row>
    <row r="188" spans="1:25" x14ac:dyDescent="0.2">
      <c r="A188">
        <v>824180</v>
      </c>
      <c r="B188" s="3">
        <f>VLOOKUP($A188,ScionOutput!$A$3:$BL$215,3,FALSE)</f>
        <v>46193</v>
      </c>
      <c r="C188">
        <f>VLOOKUP($A188,ScionOutput!$A$3:$BL$215,22,FALSE)</f>
        <v>12</v>
      </c>
      <c r="D188" t="str">
        <f>VLOOKUP($A188,ScionOutput!$A$3:$BL$215,23,FALSE)</f>
        <v>HOU</v>
      </c>
      <c r="E188">
        <f>VLOOKUP($A188,ScionOutput!$A$3:$BL$215,6,FALSE)</f>
        <v>7</v>
      </c>
      <c r="F188" t="str">
        <f>VLOOKUP($A188,ScionOutput!$A$3:$BL$215,7,FALSE)</f>
        <v>CLE</v>
      </c>
      <c r="G188">
        <f>VLOOKUP($A188,ScionOutput!$A$3:$BL$215,26,FALSE)</f>
        <v>-139</v>
      </c>
      <c r="H188">
        <f>VLOOKUP($A188,ScionOutput!$A$3:$BL$215,10,FALSE)</f>
        <v>128</v>
      </c>
      <c r="I188" t="str">
        <f>VLOOKUP($A188,ScionOutput!$A$3:$BL$215,58,FALSE)</f>
        <v>No Play</v>
      </c>
      <c r="J188">
        <f>VLOOKUP($A188,ScionOutput!$A$3:$BL$215,59,FALSE)</f>
        <v>0</v>
      </c>
      <c r="K188">
        <f>VLOOKUP($A188,ScionOutput!$A$3:$BL$215,62,FALSE)</f>
        <v>0</v>
      </c>
      <c r="L188">
        <f>VLOOKUP($A188,ScionOutput!$A$3:$BL$215,63,FALSE)</f>
        <v>0</v>
      </c>
      <c r="M188" t="b">
        <f t="shared" si="17"/>
        <v>0</v>
      </c>
      <c r="N188">
        <f>VLOOKUP($A188,Outcomes!$B$3:$I$209,8,FALSE)</f>
        <v>9</v>
      </c>
      <c r="O188">
        <f t="shared" si="18"/>
        <v>-1</v>
      </c>
      <c r="P188">
        <f>VLOOKUP($A188,Outcomes!$B$3:$I$209,5,FALSE)</f>
        <v>1</v>
      </c>
      <c r="Q188">
        <f>VLOOKUP($A188,Outcomes!$B$3:$I$209,6,FALSE)</f>
        <v>8</v>
      </c>
      <c r="R188">
        <f>VLOOKUP($A188,Outcomes!$B$3:$I$209,7,FALSE)</f>
        <v>7</v>
      </c>
      <c r="S188" t="str">
        <f t="shared" si="19"/>
        <v>VisDog</v>
      </c>
      <c r="T188" t="str">
        <f t="shared" si="20"/>
        <v/>
      </c>
      <c r="U188" t="str">
        <f t="shared" si="16"/>
        <v/>
      </c>
      <c r="V188" t="str">
        <f t="shared" si="21"/>
        <v/>
      </c>
      <c r="W188" t="str">
        <f t="shared" si="22"/>
        <v/>
      </c>
      <c r="X188" s="2" t="str">
        <f t="shared" si="23"/>
        <v/>
      </c>
      <c r="Y188" t="str">
        <f>VLOOKUP($A188,ScionOutput!$A$3:$BL$215,64,FALSE)</f>
        <v xml:space="preserve">824180. LineStatEns probability points gap does not exceed threshold (no edge found)! StatOnlyEns probability points gap does not exceed threshold (no edge found)! No play due to strategy constraints. </v>
      </c>
    </row>
    <row r="189" spans="1:25" x14ac:dyDescent="0.2">
      <c r="A189">
        <v>823937</v>
      </c>
      <c r="B189" s="3">
        <f>VLOOKUP($A189,ScionOutput!$A$3:$BL$215,3,FALSE)</f>
        <v>46193</v>
      </c>
      <c r="C189">
        <f>VLOOKUP($A189,ScionOutput!$A$3:$BL$215,22,FALSE)</f>
        <v>14</v>
      </c>
      <c r="D189" t="str">
        <f>VLOOKUP($A189,ScionOutput!$A$3:$BL$215,23,FALSE)</f>
        <v>LA</v>
      </c>
      <c r="E189">
        <f>VLOOKUP($A189,ScionOutput!$A$3:$BL$215,6,FALSE)</f>
        <v>2</v>
      </c>
      <c r="F189" t="str">
        <f>VLOOKUP($A189,ScionOutput!$A$3:$BL$215,7,FALSE)</f>
        <v>BAL</v>
      </c>
      <c r="G189">
        <f>VLOOKUP($A189,ScionOutput!$A$3:$BL$215,26,FALSE)</f>
        <v>-217</v>
      </c>
      <c r="H189">
        <f>VLOOKUP($A189,ScionOutput!$A$3:$BL$215,10,FALSE)</f>
        <v>196</v>
      </c>
      <c r="I189" t="str">
        <f>VLOOKUP($A189,ScionOutput!$A$3:$BL$215,58,FALSE)</f>
        <v>No Play</v>
      </c>
      <c r="J189">
        <f>VLOOKUP($A189,ScionOutput!$A$3:$BL$215,59,FALSE)</f>
        <v>0</v>
      </c>
      <c r="K189">
        <f>VLOOKUP($A189,ScionOutput!$A$3:$BL$215,62,FALSE)</f>
        <v>0</v>
      </c>
      <c r="L189">
        <f>VLOOKUP($A189,ScionOutput!$A$3:$BL$215,63,FALSE)</f>
        <v>0</v>
      </c>
      <c r="M189" t="b">
        <f t="shared" si="17"/>
        <v>0</v>
      </c>
      <c r="N189">
        <f>VLOOKUP($A189,Outcomes!$B$3:$I$209,8,FALSE)</f>
        <v>5</v>
      </c>
      <c r="O189">
        <f t="shared" si="18"/>
        <v>-1</v>
      </c>
      <c r="P189">
        <f>VLOOKUP($A189,Outcomes!$B$3:$I$209,5,FALSE)</f>
        <v>2</v>
      </c>
      <c r="Q189">
        <f>VLOOKUP($A189,Outcomes!$B$3:$I$209,6,FALSE)</f>
        <v>3</v>
      </c>
      <c r="R189">
        <f>VLOOKUP($A189,Outcomes!$B$3:$I$209,7,FALSE)</f>
        <v>1</v>
      </c>
      <c r="S189" t="str">
        <f t="shared" si="19"/>
        <v>VisDog</v>
      </c>
      <c r="T189" t="str">
        <f t="shared" si="20"/>
        <v/>
      </c>
      <c r="U189" t="str">
        <f t="shared" si="16"/>
        <v/>
      </c>
      <c r="V189" t="str">
        <f t="shared" si="21"/>
        <v/>
      </c>
      <c r="W189" t="str">
        <f t="shared" si="22"/>
        <v/>
      </c>
      <c r="X189" s="2" t="str">
        <f t="shared" si="23"/>
        <v/>
      </c>
      <c r="Y189" t="str">
        <f>VLOOKUP($A189,ScionOutput!$A$3:$BL$215,64,FALSE)</f>
        <v xml:space="preserve">823937. LineStatEns is NoPlay as bookie-line outside range. StatOnlyEns is NoPlay as bookie-line outside range. No play due to strategy constraints. </v>
      </c>
    </row>
    <row r="190" spans="1:25" x14ac:dyDescent="0.2">
      <c r="A190">
        <v>823532</v>
      </c>
      <c r="B190" s="3">
        <f>VLOOKUP($A190,ScionOutput!$A$3:$BL$215,3,FALSE)</f>
        <v>46193</v>
      </c>
      <c r="C190">
        <f>VLOOKUP($A190,ScionOutput!$A$3:$BL$215,22,FALSE)</f>
        <v>19</v>
      </c>
      <c r="D190" t="str">
        <f>VLOOKUP($A190,ScionOutput!$A$3:$BL$215,23,FALSE)</f>
        <v>NYY</v>
      </c>
      <c r="E190">
        <f>VLOOKUP($A190,ScionOutput!$A$3:$BL$215,6,FALSE)</f>
        <v>6</v>
      </c>
      <c r="F190" t="str">
        <f>VLOOKUP($A190,ScionOutput!$A$3:$BL$215,7,FALSE)</f>
        <v>CIN</v>
      </c>
      <c r="G190">
        <f>VLOOKUP($A190,ScionOutput!$A$3:$BL$215,26,FALSE)</f>
        <v>-199</v>
      </c>
      <c r="H190">
        <f>VLOOKUP($A190,ScionOutput!$A$3:$BL$215,10,FALSE)</f>
        <v>181</v>
      </c>
      <c r="I190" t="str">
        <f>VLOOKUP($A190,ScionOutput!$A$3:$BL$215,58,FALSE)</f>
        <v>No Play</v>
      </c>
      <c r="J190">
        <f>VLOOKUP($A190,ScionOutput!$A$3:$BL$215,59,FALSE)</f>
        <v>0</v>
      </c>
      <c r="K190">
        <f>VLOOKUP($A190,ScionOutput!$A$3:$BL$215,62,FALSE)</f>
        <v>0</v>
      </c>
      <c r="L190">
        <f>VLOOKUP($A190,ScionOutput!$A$3:$BL$215,63,FALSE)</f>
        <v>0</v>
      </c>
      <c r="M190" t="b">
        <f t="shared" si="17"/>
        <v>0</v>
      </c>
      <c r="N190">
        <f>VLOOKUP($A190,Outcomes!$B$3:$I$209,8,FALSE)</f>
        <v>12</v>
      </c>
      <c r="O190">
        <f t="shared" si="18"/>
        <v>-1</v>
      </c>
      <c r="P190">
        <f>VLOOKUP($A190,Outcomes!$B$3:$I$209,5,FALSE)</f>
        <v>2</v>
      </c>
      <c r="Q190">
        <f>VLOOKUP($A190,Outcomes!$B$3:$I$209,6,FALSE)</f>
        <v>10</v>
      </c>
      <c r="R190">
        <f>VLOOKUP($A190,Outcomes!$B$3:$I$209,7,FALSE)</f>
        <v>8</v>
      </c>
      <c r="S190" t="str">
        <f t="shared" si="19"/>
        <v>VisDog</v>
      </c>
      <c r="T190" t="str">
        <f t="shared" si="20"/>
        <v/>
      </c>
      <c r="U190" t="str">
        <f t="shared" si="16"/>
        <v/>
      </c>
      <c r="V190" t="str">
        <f t="shared" si="21"/>
        <v/>
      </c>
      <c r="W190" t="str">
        <f t="shared" si="22"/>
        <v/>
      </c>
      <c r="X190" s="2" t="str">
        <f t="shared" si="23"/>
        <v/>
      </c>
      <c r="Y190" t="str">
        <f>VLOOKUP($A190,ScionOutput!$A$3:$BL$215,64,FALSE)</f>
        <v xml:space="preserve">823532. LineStatEns is NoPlay as bookie-line outside range. StatOnlyEns is NoPlay as bookie-line outside range. No play due to strategy constraints. </v>
      </c>
    </row>
    <row r="191" spans="1:25" x14ac:dyDescent="0.2">
      <c r="A191">
        <v>824988</v>
      </c>
      <c r="B191" s="3">
        <f>VLOOKUP($A191,ScionOutput!$A$3:$BL$215,3,FALSE)</f>
        <v>46193</v>
      </c>
      <c r="C191">
        <f>VLOOKUP($A191,ScionOutput!$A$3:$BL$215,22,FALSE)</f>
        <v>20</v>
      </c>
      <c r="D191" t="str">
        <f>VLOOKUP($A191,ScionOutput!$A$3:$BL$215,23,FALSE)</f>
        <v>OAK</v>
      </c>
      <c r="E191">
        <f>VLOOKUP($A191,ScionOutput!$A$3:$BL$215,6,FALSE)</f>
        <v>4</v>
      </c>
      <c r="F191" t="str">
        <f>VLOOKUP($A191,ScionOutput!$A$3:$BL$215,7,FALSE)</f>
        <v>LAA</v>
      </c>
      <c r="G191">
        <f>VLOOKUP($A191,ScionOutput!$A$3:$BL$215,26,FALSE)</f>
        <v>-163</v>
      </c>
      <c r="H191">
        <f>VLOOKUP($A191,ScionOutput!$A$3:$BL$215,10,FALSE)</f>
        <v>149</v>
      </c>
      <c r="I191" t="str">
        <f>VLOOKUP($A191,ScionOutput!$A$3:$BL$215,58,FALSE)</f>
        <v>No Play</v>
      </c>
      <c r="J191">
        <f>VLOOKUP($A191,ScionOutput!$A$3:$BL$215,59,FALSE)</f>
        <v>0</v>
      </c>
      <c r="K191">
        <f>VLOOKUP($A191,ScionOutput!$A$3:$BL$215,62,FALSE)</f>
        <v>0</v>
      </c>
      <c r="L191">
        <f>VLOOKUP($A191,ScionOutput!$A$3:$BL$215,63,FALSE)</f>
        <v>0</v>
      </c>
      <c r="M191" t="b">
        <f t="shared" si="17"/>
        <v>0</v>
      </c>
      <c r="N191">
        <f>VLOOKUP($A191,Outcomes!$B$3:$I$209,8,FALSE)</f>
        <v>7</v>
      </c>
      <c r="O191">
        <f t="shared" si="18"/>
        <v>-1</v>
      </c>
      <c r="P191">
        <f>VLOOKUP($A191,Outcomes!$B$3:$I$209,5,FALSE)</f>
        <v>0</v>
      </c>
      <c r="Q191">
        <f>VLOOKUP($A191,Outcomes!$B$3:$I$209,6,FALSE)</f>
        <v>7</v>
      </c>
      <c r="R191">
        <f>VLOOKUP($A191,Outcomes!$B$3:$I$209,7,FALSE)</f>
        <v>7</v>
      </c>
      <c r="S191" t="str">
        <f t="shared" si="19"/>
        <v>VisDog</v>
      </c>
      <c r="T191" t="str">
        <f t="shared" si="20"/>
        <v/>
      </c>
      <c r="U191" t="str">
        <f t="shared" si="16"/>
        <v/>
      </c>
      <c r="V191" t="str">
        <f t="shared" si="21"/>
        <v/>
      </c>
      <c r="W191" t="str">
        <f t="shared" si="22"/>
        <v/>
      </c>
      <c r="X191" s="2" t="str">
        <f t="shared" si="23"/>
        <v/>
      </c>
      <c r="Y191" t="str">
        <f>VLOOKUP($A191,ScionOutput!$A$3:$BL$215,64,FALSE)</f>
        <v xml:space="preserve">824988. LineStatEns is NoPlay as bookie-line outside range. StatOnlyEns is NoPlay as bookie-line outside range. No play due to strategy constraints. </v>
      </c>
    </row>
    <row r="192" spans="1:25" x14ac:dyDescent="0.2">
      <c r="A192">
        <v>823447</v>
      </c>
      <c r="B192" s="3">
        <f>VLOOKUP($A192,ScionOutput!$A$3:$BL$215,3,FALSE)</f>
        <v>46193</v>
      </c>
      <c r="C192">
        <f>VLOOKUP($A192,ScionOutput!$A$3:$BL$215,22,FALSE)</f>
        <v>21</v>
      </c>
      <c r="D192" t="str">
        <f>VLOOKUP($A192,ScionOutput!$A$3:$BL$215,23,FALSE)</f>
        <v>PHI</v>
      </c>
      <c r="E192">
        <f>VLOOKUP($A192,ScionOutput!$A$3:$BL$215,6,FALSE)</f>
        <v>18</v>
      </c>
      <c r="F192" t="str">
        <f>VLOOKUP($A192,ScionOutput!$A$3:$BL$215,7,FALSE)</f>
        <v>NYM</v>
      </c>
      <c r="G192">
        <f>VLOOKUP($A192,ScionOutput!$A$3:$BL$215,26,FALSE)</f>
        <v>-183</v>
      </c>
      <c r="H192">
        <f>VLOOKUP($A192,ScionOutput!$A$3:$BL$215,10,FALSE)</f>
        <v>167</v>
      </c>
      <c r="I192" t="str">
        <f>VLOOKUP($A192,ScionOutput!$A$3:$BL$215,58,FALSE)</f>
        <v>No Play</v>
      </c>
      <c r="J192">
        <f>VLOOKUP($A192,ScionOutput!$A$3:$BL$215,59,FALSE)</f>
        <v>0</v>
      </c>
      <c r="K192">
        <f>VLOOKUP($A192,ScionOutput!$A$3:$BL$215,62,FALSE)</f>
        <v>0</v>
      </c>
      <c r="L192">
        <f>VLOOKUP($A192,ScionOutput!$A$3:$BL$215,63,FALSE)</f>
        <v>0</v>
      </c>
      <c r="M192" t="b">
        <f t="shared" si="17"/>
        <v>0</v>
      </c>
      <c r="N192">
        <f>VLOOKUP($A192,Outcomes!$B$3:$I$209,8,FALSE)</f>
        <v>18</v>
      </c>
      <c r="O192">
        <f t="shared" si="18"/>
        <v>1</v>
      </c>
      <c r="P192">
        <f>VLOOKUP($A192,Outcomes!$B$3:$I$209,5,FALSE)</f>
        <v>15</v>
      </c>
      <c r="Q192">
        <f>VLOOKUP($A192,Outcomes!$B$3:$I$209,6,FALSE)</f>
        <v>3</v>
      </c>
      <c r="R192">
        <f>VLOOKUP($A192,Outcomes!$B$3:$I$209,7,FALSE)</f>
        <v>-12</v>
      </c>
      <c r="S192" t="str">
        <f t="shared" si="19"/>
        <v>HomFave</v>
      </c>
      <c r="T192" t="str">
        <f t="shared" si="20"/>
        <v/>
      </c>
      <c r="U192" t="str">
        <f t="shared" si="16"/>
        <v/>
      </c>
      <c r="V192" t="str">
        <f t="shared" si="21"/>
        <v/>
      </c>
      <c r="W192" t="str">
        <f t="shared" si="22"/>
        <v/>
      </c>
      <c r="X192" s="2" t="str">
        <f t="shared" si="23"/>
        <v/>
      </c>
      <c r="Y192" t="str">
        <f>VLOOKUP($A192,ScionOutput!$A$3:$BL$215,64,FALSE)</f>
        <v xml:space="preserve">823447. LineStatEns is NoPlay as bookie-line outside range. StatOnlyEns is NoPlay as bookie-line outside range. No play due to strategy constraints. </v>
      </c>
    </row>
    <row r="193" spans="1:25" x14ac:dyDescent="0.2">
      <c r="A193">
        <v>823126</v>
      </c>
      <c r="B193" s="3">
        <f>VLOOKUP($A193,ScionOutput!$A$3:$BL$215,3,FALSE)</f>
        <v>46193</v>
      </c>
      <c r="C193">
        <f>VLOOKUP($A193,ScionOutput!$A$3:$BL$215,22,FALSE)</f>
        <v>24</v>
      </c>
      <c r="D193" t="str">
        <f>VLOOKUP($A193,ScionOutput!$A$3:$BL$215,23,FALSE)</f>
        <v>SEA</v>
      </c>
      <c r="E193">
        <f>VLOOKUP($A193,ScionOutput!$A$3:$BL$215,6,FALSE)</f>
        <v>3</v>
      </c>
      <c r="F193" t="str">
        <f>VLOOKUP($A193,ScionOutput!$A$3:$BL$215,7,FALSE)</f>
        <v>BOS</v>
      </c>
      <c r="G193">
        <f>VLOOKUP($A193,ScionOutput!$A$3:$BL$215,26,FALSE)</f>
        <v>-116</v>
      </c>
      <c r="H193">
        <f>VLOOKUP($A193,ScionOutput!$A$3:$BL$215,10,FALSE)</f>
        <v>107</v>
      </c>
      <c r="I193" t="str">
        <f>VLOOKUP($A193,ScionOutput!$A$3:$BL$215,58,FALSE)</f>
        <v>No Play</v>
      </c>
      <c r="J193">
        <f>VLOOKUP($A193,ScionOutput!$A$3:$BL$215,59,FALSE)</f>
        <v>0</v>
      </c>
      <c r="K193">
        <f>VLOOKUP($A193,ScionOutput!$A$3:$BL$215,62,FALSE)</f>
        <v>0</v>
      </c>
      <c r="L193">
        <f>VLOOKUP($A193,ScionOutput!$A$3:$BL$215,63,FALSE)</f>
        <v>0</v>
      </c>
      <c r="M193" t="b">
        <f t="shared" si="17"/>
        <v>0</v>
      </c>
      <c r="N193">
        <f>VLOOKUP($A193,Outcomes!$B$3:$I$209,8,FALSE)</f>
        <v>6</v>
      </c>
      <c r="O193">
        <f t="shared" si="18"/>
        <v>-1</v>
      </c>
      <c r="P193">
        <f>VLOOKUP($A193,Outcomes!$B$3:$I$209,5,FALSE)</f>
        <v>1</v>
      </c>
      <c r="Q193">
        <f>VLOOKUP($A193,Outcomes!$B$3:$I$209,6,FALSE)</f>
        <v>5</v>
      </c>
      <c r="R193">
        <f>VLOOKUP($A193,Outcomes!$B$3:$I$209,7,FALSE)</f>
        <v>4</v>
      </c>
      <c r="S193" t="str">
        <f t="shared" si="19"/>
        <v>VisDog</v>
      </c>
      <c r="T193" t="str">
        <f t="shared" si="20"/>
        <v/>
      </c>
      <c r="U193" t="str">
        <f t="shared" si="16"/>
        <v/>
      </c>
      <c r="V193" t="str">
        <f t="shared" si="21"/>
        <v/>
      </c>
      <c r="W193" t="str">
        <f t="shared" si="22"/>
        <v/>
      </c>
      <c r="X193" s="2" t="str">
        <f t="shared" si="23"/>
        <v/>
      </c>
      <c r="Y193" t="str">
        <f>VLOOKUP($A193,ScionOutput!$A$3:$BL$215,64,FALSE)</f>
        <v xml:space="preserve">823126. LineStatEns probability points gap does not exceed threshold (no edge found)! StatOnlyEns probability points gap does not exceed threshold (no edge found)! No play due to strategy constraints. </v>
      </c>
    </row>
    <row r="194" spans="1:25" x14ac:dyDescent="0.2">
      <c r="A194">
        <v>822967</v>
      </c>
      <c r="B194" s="3">
        <f>VLOOKUP($A194,ScionOutput!$A$3:$BL$215,3,FALSE)</f>
        <v>46193</v>
      </c>
      <c r="C194">
        <f>VLOOKUP($A194,ScionOutput!$A$3:$BL$215,22,FALSE)</f>
        <v>27</v>
      </c>
      <c r="D194" t="str">
        <f>VLOOKUP($A194,ScionOutput!$A$3:$BL$215,23,FALSE)</f>
        <v>TB</v>
      </c>
      <c r="E194">
        <f>VLOOKUP($A194,ScionOutput!$A$3:$BL$215,6,FALSE)</f>
        <v>16</v>
      </c>
      <c r="F194" t="str">
        <f>VLOOKUP($A194,ScionOutput!$A$3:$BL$215,7,FALSE)</f>
        <v>WAS</v>
      </c>
      <c r="G194">
        <f>VLOOKUP($A194,ScionOutput!$A$3:$BL$215,26,FALSE)</f>
        <v>-117</v>
      </c>
      <c r="H194">
        <f>VLOOKUP($A194,ScionOutput!$A$3:$BL$215,10,FALSE)</f>
        <v>108</v>
      </c>
      <c r="I194" t="str">
        <f>VLOOKUP($A194,ScionOutput!$A$3:$BL$215,58,FALSE)</f>
        <v>No Play</v>
      </c>
      <c r="J194">
        <f>VLOOKUP($A194,ScionOutput!$A$3:$BL$215,59,FALSE)</f>
        <v>0</v>
      </c>
      <c r="K194">
        <f>VLOOKUP($A194,ScionOutput!$A$3:$BL$215,62,FALSE)</f>
        <v>0</v>
      </c>
      <c r="L194">
        <f>VLOOKUP($A194,ScionOutput!$A$3:$BL$215,63,FALSE)</f>
        <v>0</v>
      </c>
      <c r="M194" t="b">
        <f t="shared" si="17"/>
        <v>0</v>
      </c>
      <c r="N194">
        <f>VLOOKUP($A194,Outcomes!$B$3:$I$209,8,FALSE)</f>
        <v>7</v>
      </c>
      <c r="O194">
        <f t="shared" si="18"/>
        <v>-1</v>
      </c>
      <c r="P194">
        <f>VLOOKUP($A194,Outcomes!$B$3:$I$209,5,FALSE)</f>
        <v>3</v>
      </c>
      <c r="Q194">
        <f>VLOOKUP($A194,Outcomes!$B$3:$I$209,6,FALSE)</f>
        <v>4</v>
      </c>
      <c r="R194">
        <f>VLOOKUP($A194,Outcomes!$B$3:$I$209,7,FALSE)</f>
        <v>1</v>
      </c>
      <c r="S194" t="str">
        <f t="shared" si="19"/>
        <v>VisDog</v>
      </c>
      <c r="T194" t="str">
        <f t="shared" si="20"/>
        <v/>
      </c>
      <c r="U194" t="str">
        <f t="shared" ref="U194:U209" si="24">IF(T194="","",IF(G194&lt;H194,IF(I194="HomFave",ABS(G194),IF(H194&lt;0,ABS(H194),100)),IF(I194="VisFave",ABS(H194),IF(G194&lt;0,ABS(G194),100))))</f>
        <v/>
      </c>
      <c r="V194" t="str">
        <f t="shared" si="21"/>
        <v/>
      </c>
      <c r="W194" t="str">
        <f t="shared" si="22"/>
        <v/>
      </c>
      <c r="X194" s="2" t="str">
        <f t="shared" si="23"/>
        <v/>
      </c>
      <c r="Y194" t="str">
        <f>VLOOKUP($A194,ScionOutput!$A$3:$BL$215,64,FALSE)</f>
        <v xml:space="preserve">822967. LineStatEns probability points gap does not exceed threshold (no edge found)! No play due to strategy constraints. </v>
      </c>
    </row>
    <row r="195" spans="1:25" x14ac:dyDescent="0.2">
      <c r="A195">
        <v>822885</v>
      </c>
      <c r="B195" s="3">
        <f>VLOOKUP($A195,ScionOutput!$A$3:$BL$215,3,FALSE)</f>
        <v>46193</v>
      </c>
      <c r="C195">
        <f>VLOOKUP($A195,ScionOutput!$A$3:$BL$215,22,FALSE)</f>
        <v>28</v>
      </c>
      <c r="D195" t="str">
        <f>VLOOKUP($A195,ScionOutput!$A$3:$BL$215,23,FALSE)</f>
        <v>TEX</v>
      </c>
      <c r="E195">
        <f>VLOOKUP($A195,ScionOutput!$A$3:$BL$215,6,FALSE)</f>
        <v>23</v>
      </c>
      <c r="F195" t="str">
        <f>VLOOKUP($A195,ScionOutput!$A$3:$BL$215,7,FALSE)</f>
        <v>SD</v>
      </c>
      <c r="G195">
        <f>VLOOKUP($A195,ScionOutput!$A$3:$BL$215,26,FALSE)</f>
        <v>-123</v>
      </c>
      <c r="H195">
        <f>VLOOKUP($A195,ScionOutput!$A$3:$BL$215,10,FALSE)</f>
        <v>114</v>
      </c>
      <c r="I195" t="str">
        <f>VLOOKUP($A195,ScionOutput!$A$3:$BL$215,58,FALSE)</f>
        <v>No Play</v>
      </c>
      <c r="J195">
        <f>VLOOKUP($A195,ScionOutput!$A$3:$BL$215,59,FALSE)</f>
        <v>0</v>
      </c>
      <c r="K195">
        <f>VLOOKUP($A195,ScionOutput!$A$3:$BL$215,62,FALSE)</f>
        <v>0</v>
      </c>
      <c r="L195">
        <f>VLOOKUP($A195,ScionOutput!$A$3:$BL$215,63,FALSE)</f>
        <v>0</v>
      </c>
      <c r="M195" t="b">
        <f t="shared" ref="M195:M209" si="25">ISNUMBER(SEARCH("Play determined by LineStatEns and StatOnlyEns agreement", Y195))</f>
        <v>0</v>
      </c>
      <c r="N195">
        <f>VLOOKUP($A195,Outcomes!$B$3:$I$209,8,FALSE)</f>
        <v>10</v>
      </c>
      <c r="O195">
        <f t="shared" ref="O195:O209" si="26">IF(P195&gt;Q195,1,IF(P195&lt;Q195,-1,0))</f>
        <v>-1</v>
      </c>
      <c r="P195">
        <f>VLOOKUP($A195,Outcomes!$B$3:$I$209,5,FALSE)</f>
        <v>4</v>
      </c>
      <c r="Q195">
        <f>VLOOKUP($A195,Outcomes!$B$3:$I$209,6,FALSE)</f>
        <v>6</v>
      </c>
      <c r="R195">
        <f>VLOOKUP($A195,Outcomes!$B$3:$I$209,7,FALSE)</f>
        <v>2</v>
      </c>
      <c r="S195" t="str">
        <f t="shared" ref="S195:S209" si="27">IF(R195=0,"Push",IF(G195&lt;H195,IF(R195&lt;0,"HomFave","VisDog"),IF(R195&gt;0,"VisFave","HomDog")))</f>
        <v>VisDog</v>
      </c>
      <c r="T195" t="str">
        <f t="shared" ref="T195:T209" si="28">IF(OR(R195=0,I195="No Play",K195&lt;&gt;3),"",IF(S195=I195,1,0))</f>
        <v/>
      </c>
      <c r="U195" t="str">
        <f t="shared" si="24"/>
        <v/>
      </c>
      <c r="V195" t="str">
        <f t="shared" ref="V195:V209" si="29">IF(T195="","",IF(T195=0,0,IF(G195&lt;H195,IF(I195="HomFave",U195+100,IF(H195&lt;0,100+U195,U195+ABS(H195))),IF(I195="VisFave",U195+100,IF(G195&lt;0,100+U195,U195+ABS(G195))))))</f>
        <v/>
      </c>
      <c r="W195" t="str">
        <f t="shared" ref="W195:W209" si="30">IF(T195="","",V195-U195)</f>
        <v/>
      </c>
      <c r="X195" s="2" t="str">
        <f t="shared" ref="X195:X210" si="31">IF(T195="","",W195/U195)</f>
        <v/>
      </c>
      <c r="Y195" t="str">
        <f>VLOOKUP($A195,ScionOutput!$A$3:$BL$215,64,FALSE)</f>
        <v xml:space="preserve">822885. LineStatEns probability points gap does not exceed threshold (no edge found)! StatOnlyEns probability points gap does not exceed threshold (no edge found)! No play due to strategy constraints. </v>
      </c>
    </row>
    <row r="196" spans="1:25" x14ac:dyDescent="0.2">
      <c r="A196">
        <v>824908</v>
      </c>
      <c r="B196" s="3">
        <f>VLOOKUP($A196,ScionOutput!$A$3:$BL$215,3,FALSE)</f>
        <v>46194</v>
      </c>
      <c r="C196">
        <f>VLOOKUP($A196,ScionOutput!$A$3:$BL$215,22,FALSE)</f>
        <v>0</v>
      </c>
      <c r="D196" t="str">
        <f>VLOOKUP($A196,ScionOutput!$A$3:$BL$215,23,FALSE)</f>
        <v>ATL</v>
      </c>
      <c r="E196">
        <f>VLOOKUP($A196,ScionOutput!$A$3:$BL$215,6,FALSE)</f>
        <v>17</v>
      </c>
      <c r="F196" t="str">
        <f>VLOOKUP($A196,ScionOutput!$A$3:$BL$215,7,FALSE)</f>
        <v>MLW</v>
      </c>
      <c r="G196">
        <f>VLOOKUP($A196,ScionOutput!$A$3:$BL$215,26,FALSE)</f>
        <v>-113</v>
      </c>
      <c r="H196">
        <f>VLOOKUP($A196,ScionOutput!$A$3:$BL$215,10,FALSE)</f>
        <v>105</v>
      </c>
      <c r="I196" t="str">
        <f>VLOOKUP($A196,ScionOutput!$A$3:$BL$215,58,FALSE)</f>
        <v>HomFave</v>
      </c>
      <c r="J196">
        <f>VLOOKUP($A196,ScionOutput!$A$3:$BL$215,59,FALSE)</f>
        <v>4.9029999999999997E-2</v>
      </c>
      <c r="K196">
        <f>VLOOKUP($A196,ScionOutput!$A$3:$BL$215,62,FALSE)</f>
        <v>3</v>
      </c>
      <c r="L196">
        <f>VLOOKUP($A196,ScionOutput!$A$3:$BL$215,63,FALSE)</f>
        <v>1</v>
      </c>
      <c r="M196" t="b">
        <f t="shared" si="25"/>
        <v>0</v>
      </c>
      <c r="N196">
        <f>VLOOKUP($A196,Outcomes!$B$3:$I$209,8,FALSE)</f>
        <v>13</v>
      </c>
      <c r="O196">
        <f t="shared" si="26"/>
        <v>-1</v>
      </c>
      <c r="P196">
        <f>VLOOKUP($A196,Outcomes!$B$3:$I$209,5,FALSE)</f>
        <v>4</v>
      </c>
      <c r="Q196">
        <f>VLOOKUP($A196,Outcomes!$B$3:$I$209,6,FALSE)</f>
        <v>9</v>
      </c>
      <c r="R196">
        <f>VLOOKUP($A196,Outcomes!$B$3:$I$209,7,FALSE)</f>
        <v>5</v>
      </c>
      <c r="S196" t="str">
        <f t="shared" si="27"/>
        <v>VisDog</v>
      </c>
      <c r="T196">
        <f t="shared" si="28"/>
        <v>0</v>
      </c>
      <c r="U196">
        <f t="shared" si="24"/>
        <v>113</v>
      </c>
      <c r="V196">
        <f t="shared" si="29"/>
        <v>0</v>
      </c>
      <c r="W196">
        <f t="shared" si="30"/>
        <v>-113</v>
      </c>
      <c r="X196" s="2">
        <f t="shared" si="31"/>
        <v>-1</v>
      </c>
      <c r="Y196" t="str">
        <f>VLOOKUP($A196,ScionOutput!$A$3:$BL$215,64,FALSE)</f>
        <v xml:space="preserve">824908. StatOnlyEns probability points gap does not exceed threshold (no edge found)! Play determined by LineStatEns only. </v>
      </c>
    </row>
    <row r="197" spans="1:25" x14ac:dyDescent="0.2">
      <c r="A197">
        <v>825067</v>
      </c>
      <c r="B197" s="3">
        <f>VLOOKUP($A197,ScionOutput!$A$3:$BL$215,3,FALSE)</f>
        <v>46194</v>
      </c>
      <c r="C197">
        <f>VLOOKUP($A197,ScionOutput!$A$3:$BL$215,22,FALSE)</f>
        <v>1</v>
      </c>
      <c r="D197" t="str">
        <f>VLOOKUP($A197,ScionOutput!$A$3:$BL$215,23,FALSE)</f>
        <v>ARZ</v>
      </c>
      <c r="E197">
        <f>VLOOKUP($A197,ScionOutput!$A$3:$BL$215,6,FALSE)</f>
        <v>15</v>
      </c>
      <c r="F197" t="str">
        <f>VLOOKUP($A197,ScionOutput!$A$3:$BL$215,7,FALSE)</f>
        <v>MIN</v>
      </c>
      <c r="G197">
        <f>VLOOKUP($A197,ScionOutput!$A$3:$BL$215,26,FALSE)</f>
        <v>-126</v>
      </c>
      <c r="H197">
        <f>VLOOKUP($A197,ScionOutput!$A$3:$BL$215,10,FALSE)</f>
        <v>117</v>
      </c>
      <c r="I197" t="str">
        <f>VLOOKUP($A197,ScionOutput!$A$3:$BL$215,58,FALSE)</f>
        <v>No Play</v>
      </c>
      <c r="J197">
        <f>VLOOKUP($A197,ScionOutput!$A$3:$BL$215,59,FALSE)</f>
        <v>0</v>
      </c>
      <c r="K197">
        <f>VLOOKUP($A197,ScionOutput!$A$3:$BL$215,62,FALSE)</f>
        <v>0</v>
      </c>
      <c r="L197">
        <f>VLOOKUP($A197,ScionOutput!$A$3:$BL$215,63,FALSE)</f>
        <v>0</v>
      </c>
      <c r="M197" t="b">
        <f t="shared" si="25"/>
        <v>0</v>
      </c>
      <c r="N197">
        <f>VLOOKUP($A197,Outcomes!$B$3:$I$209,8,FALSE)</f>
        <v>6</v>
      </c>
      <c r="O197">
        <f t="shared" si="26"/>
        <v>-1</v>
      </c>
      <c r="P197">
        <f>VLOOKUP($A197,Outcomes!$B$3:$I$209,5,FALSE)</f>
        <v>2</v>
      </c>
      <c r="Q197">
        <f>VLOOKUP($A197,Outcomes!$B$3:$I$209,6,FALSE)</f>
        <v>4</v>
      </c>
      <c r="R197">
        <f>VLOOKUP($A197,Outcomes!$B$3:$I$209,7,FALSE)</f>
        <v>2</v>
      </c>
      <c r="S197" t="str">
        <f t="shared" si="27"/>
        <v>VisDog</v>
      </c>
      <c r="T197" t="str">
        <f t="shared" si="28"/>
        <v/>
      </c>
      <c r="U197" t="str">
        <f t="shared" si="24"/>
        <v/>
      </c>
      <c r="V197" t="str">
        <f t="shared" si="29"/>
        <v/>
      </c>
      <c r="W197" t="str">
        <f t="shared" si="30"/>
        <v/>
      </c>
      <c r="X197" s="2" t="str">
        <f t="shared" si="31"/>
        <v/>
      </c>
      <c r="Y197" t="str">
        <f>VLOOKUP($A197,ScionOutput!$A$3:$BL$215,64,FALSE)</f>
        <v xml:space="preserve">825067. H_SP is Null, team-based avg used. NoPlay as H_SP is Null. </v>
      </c>
    </row>
    <row r="198" spans="1:25" x14ac:dyDescent="0.2">
      <c r="A198">
        <v>824343</v>
      </c>
      <c r="B198" s="3">
        <f>VLOOKUP($A198,ScionOutput!$A$3:$BL$215,3,FALSE)</f>
        <v>46194</v>
      </c>
      <c r="C198">
        <f>VLOOKUP($A198,ScionOutput!$A$3:$BL$215,22,FALSE)</f>
        <v>8</v>
      </c>
      <c r="D198" t="str">
        <f>VLOOKUP($A198,ScionOutput!$A$3:$BL$215,23,FALSE)</f>
        <v>COL</v>
      </c>
      <c r="E198">
        <f>VLOOKUP($A198,ScionOutput!$A$3:$BL$215,6,FALSE)</f>
        <v>22</v>
      </c>
      <c r="F198" t="str">
        <f>VLOOKUP($A198,ScionOutput!$A$3:$BL$215,7,FALSE)</f>
        <v>PIT</v>
      </c>
      <c r="G198">
        <f>VLOOKUP($A198,ScionOutput!$A$3:$BL$215,26,FALSE)</f>
        <v>130</v>
      </c>
      <c r="H198">
        <f>VLOOKUP($A198,ScionOutput!$A$3:$BL$215,10,FALSE)</f>
        <v>-141</v>
      </c>
      <c r="I198" t="str">
        <f>VLOOKUP($A198,ScionOutput!$A$3:$BL$215,58,FALSE)</f>
        <v>No Play</v>
      </c>
      <c r="J198">
        <f>VLOOKUP($A198,ScionOutput!$A$3:$BL$215,59,FALSE)</f>
        <v>0</v>
      </c>
      <c r="K198">
        <f>VLOOKUP($A198,ScionOutput!$A$3:$BL$215,62,FALSE)</f>
        <v>0</v>
      </c>
      <c r="L198">
        <f>VLOOKUP($A198,ScionOutput!$A$3:$BL$215,63,FALSE)</f>
        <v>0</v>
      </c>
      <c r="M198" t="b">
        <f t="shared" si="25"/>
        <v>0</v>
      </c>
      <c r="N198">
        <f>VLOOKUP($A198,Outcomes!$B$3:$I$209,8,FALSE)</f>
        <v>14</v>
      </c>
      <c r="O198">
        <f t="shared" si="26"/>
        <v>-1</v>
      </c>
      <c r="P198">
        <f>VLOOKUP($A198,Outcomes!$B$3:$I$209,5,FALSE)</f>
        <v>6</v>
      </c>
      <c r="Q198">
        <f>VLOOKUP($A198,Outcomes!$B$3:$I$209,6,FALSE)</f>
        <v>8</v>
      </c>
      <c r="R198">
        <f>VLOOKUP($A198,Outcomes!$B$3:$I$209,7,FALSE)</f>
        <v>2</v>
      </c>
      <c r="S198" t="str">
        <f t="shared" si="27"/>
        <v>VisFave</v>
      </c>
      <c r="T198" t="str">
        <f t="shared" si="28"/>
        <v/>
      </c>
      <c r="U198" t="str">
        <f t="shared" si="24"/>
        <v/>
      </c>
      <c r="V198" t="str">
        <f t="shared" si="29"/>
        <v/>
      </c>
      <c r="W198" t="str">
        <f t="shared" si="30"/>
        <v/>
      </c>
      <c r="X198" s="2" t="str">
        <f t="shared" si="31"/>
        <v/>
      </c>
      <c r="Y198" t="str">
        <f>VLOOKUP($A198,ScionOutput!$A$3:$BL$215,64,FALSE)</f>
        <v xml:space="preserve">824343. VF plays are disallowed. No play due to strategy constraints. </v>
      </c>
    </row>
    <row r="199" spans="1:25" x14ac:dyDescent="0.2">
      <c r="A199">
        <v>824260</v>
      </c>
      <c r="B199" s="3">
        <f>VLOOKUP($A199,ScionOutput!$A$3:$BL$215,3,FALSE)</f>
        <v>46194</v>
      </c>
      <c r="C199">
        <f>VLOOKUP($A199,ScionOutput!$A$3:$BL$215,22,FALSE)</f>
        <v>10</v>
      </c>
      <c r="D199" t="str">
        <f>VLOOKUP($A199,ScionOutput!$A$3:$BL$215,23,FALSE)</f>
        <v>DET</v>
      </c>
      <c r="E199">
        <f>VLOOKUP($A199,ScionOutput!$A$3:$BL$215,6,FALSE)</f>
        <v>9</v>
      </c>
      <c r="F199" t="str">
        <f>VLOOKUP($A199,ScionOutput!$A$3:$BL$215,7,FALSE)</f>
        <v>CWS</v>
      </c>
      <c r="G199">
        <f>VLOOKUP($A199,ScionOutput!$A$3:$BL$215,26,FALSE)</f>
        <v>-114</v>
      </c>
      <c r="H199">
        <f>VLOOKUP($A199,ScionOutput!$A$3:$BL$215,10,FALSE)</f>
        <v>105</v>
      </c>
      <c r="I199" t="str">
        <f>VLOOKUP($A199,ScionOutput!$A$3:$BL$215,58,FALSE)</f>
        <v>HomFave</v>
      </c>
      <c r="J199">
        <f>VLOOKUP($A199,ScionOutput!$A$3:$BL$215,59,FALSE)</f>
        <v>1.7999999999999999E-2</v>
      </c>
      <c r="K199">
        <f>VLOOKUP($A199,ScionOutput!$A$3:$BL$215,62,FALSE)</f>
        <v>5</v>
      </c>
      <c r="L199">
        <f>VLOOKUP($A199,ScionOutput!$A$3:$BL$215,63,FALSE)</f>
        <v>0.98</v>
      </c>
      <c r="M199" t="b">
        <f t="shared" si="25"/>
        <v>0</v>
      </c>
      <c r="N199">
        <f>VLOOKUP($A199,Outcomes!$B$3:$I$209,8,FALSE)</f>
        <v>9</v>
      </c>
      <c r="O199">
        <f t="shared" si="26"/>
        <v>1</v>
      </c>
      <c r="P199">
        <f>VLOOKUP($A199,Outcomes!$B$3:$I$209,5,FALSE)</f>
        <v>5</v>
      </c>
      <c r="Q199">
        <f>VLOOKUP($A199,Outcomes!$B$3:$I$209,6,FALSE)</f>
        <v>4</v>
      </c>
      <c r="R199">
        <f>VLOOKUP($A199,Outcomes!$B$3:$I$209,7,FALSE)</f>
        <v>-1</v>
      </c>
      <c r="S199" t="str">
        <f t="shared" si="27"/>
        <v>HomFave</v>
      </c>
      <c r="T199" t="str">
        <f t="shared" si="28"/>
        <v/>
      </c>
      <c r="U199" t="str">
        <f t="shared" si="24"/>
        <v/>
      </c>
      <c r="V199" t="str">
        <f t="shared" si="29"/>
        <v/>
      </c>
      <c r="W199" t="str">
        <f t="shared" si="30"/>
        <v/>
      </c>
      <c r="X199" s="2" t="str">
        <f t="shared" si="31"/>
        <v/>
      </c>
      <c r="Y199" t="str">
        <f>VLOOKUP($A199,ScionOutput!$A$3:$BL$215,64,FALSE)</f>
        <v xml:space="preserve">824260. Play determined by StatOnlyEns when it disagrees with LineStatEns. </v>
      </c>
    </row>
    <row r="200" spans="1:25" x14ac:dyDescent="0.2">
      <c r="A200">
        <v>823852</v>
      </c>
      <c r="B200" s="3">
        <f>VLOOKUP($A200,ScionOutput!$A$3:$BL$215,3,FALSE)</f>
        <v>46194</v>
      </c>
      <c r="C200">
        <f>VLOOKUP($A200,ScionOutput!$A$3:$BL$215,22,FALSE)</f>
        <v>11</v>
      </c>
      <c r="D200" t="str">
        <f>VLOOKUP($A200,ScionOutput!$A$3:$BL$215,23,FALSE)</f>
        <v>FLO</v>
      </c>
      <c r="E200">
        <f>VLOOKUP($A200,ScionOutput!$A$3:$BL$215,6,FALSE)</f>
        <v>25</v>
      </c>
      <c r="F200" t="str">
        <f>VLOOKUP($A200,ScionOutput!$A$3:$BL$215,7,FALSE)</f>
        <v>SF</v>
      </c>
      <c r="G200">
        <f>VLOOKUP($A200,ScionOutput!$A$3:$BL$215,26,FALSE)</f>
        <v>124</v>
      </c>
      <c r="H200">
        <f>VLOOKUP($A200,ScionOutput!$A$3:$BL$215,10,FALSE)</f>
        <v>-134</v>
      </c>
      <c r="I200" t="str">
        <f>VLOOKUP($A200,ScionOutput!$A$3:$BL$215,58,FALSE)</f>
        <v>No Play</v>
      </c>
      <c r="J200">
        <f>VLOOKUP($A200,ScionOutput!$A$3:$BL$215,59,FALSE)</f>
        <v>0</v>
      </c>
      <c r="K200">
        <f>VLOOKUP($A200,ScionOutput!$A$3:$BL$215,62,FALSE)</f>
        <v>0</v>
      </c>
      <c r="L200">
        <f>VLOOKUP($A200,ScionOutput!$A$3:$BL$215,63,FALSE)</f>
        <v>0</v>
      </c>
      <c r="M200" t="b">
        <f t="shared" si="25"/>
        <v>0</v>
      </c>
      <c r="N200">
        <f>VLOOKUP($A200,Outcomes!$B$3:$I$209,8,FALSE)</f>
        <v>3</v>
      </c>
      <c r="O200">
        <f t="shared" si="26"/>
        <v>1</v>
      </c>
      <c r="P200">
        <f>VLOOKUP($A200,Outcomes!$B$3:$I$209,5,FALSE)</f>
        <v>2</v>
      </c>
      <c r="Q200">
        <f>VLOOKUP($A200,Outcomes!$B$3:$I$209,6,FALSE)</f>
        <v>1</v>
      </c>
      <c r="R200">
        <f>VLOOKUP($A200,Outcomes!$B$3:$I$209,7,FALSE)</f>
        <v>-1</v>
      </c>
      <c r="S200" t="str">
        <f t="shared" si="27"/>
        <v>HomDog</v>
      </c>
      <c r="T200" t="str">
        <f t="shared" si="28"/>
        <v/>
      </c>
      <c r="U200" t="str">
        <f t="shared" si="24"/>
        <v/>
      </c>
      <c r="V200" t="str">
        <f t="shared" si="29"/>
        <v/>
      </c>
      <c r="W200" t="str">
        <f t="shared" si="30"/>
        <v/>
      </c>
      <c r="X200" s="2" t="str">
        <f t="shared" si="31"/>
        <v/>
      </c>
      <c r="Y200" t="str">
        <f>VLOOKUP($A200,ScionOutput!$A$3:$BL$215,64,FALSE)</f>
        <v xml:space="preserve">823852. VF plays are disallowed. No play due to strategy constraints. </v>
      </c>
    </row>
    <row r="201" spans="1:25" x14ac:dyDescent="0.2">
      <c r="A201">
        <v>824177</v>
      </c>
      <c r="B201" s="3">
        <f>VLOOKUP($A201,ScionOutput!$A$3:$BL$215,3,FALSE)</f>
        <v>46194</v>
      </c>
      <c r="C201">
        <f>VLOOKUP($A201,ScionOutput!$A$3:$BL$215,22,FALSE)</f>
        <v>12</v>
      </c>
      <c r="D201" t="str">
        <f>VLOOKUP($A201,ScionOutput!$A$3:$BL$215,23,FALSE)</f>
        <v>HOU</v>
      </c>
      <c r="E201">
        <f>VLOOKUP($A201,ScionOutput!$A$3:$BL$215,6,FALSE)</f>
        <v>7</v>
      </c>
      <c r="F201" t="str">
        <f>VLOOKUP($A201,ScionOutput!$A$3:$BL$215,7,FALSE)</f>
        <v>CLE</v>
      </c>
      <c r="G201">
        <f>VLOOKUP($A201,ScionOutput!$A$3:$BL$215,26,FALSE)</f>
        <v>-129</v>
      </c>
      <c r="H201">
        <f>VLOOKUP($A201,ScionOutput!$A$3:$BL$215,10,FALSE)</f>
        <v>119</v>
      </c>
      <c r="I201" t="str">
        <f>VLOOKUP($A201,ScionOutput!$A$3:$BL$215,58,FALSE)</f>
        <v>No Play</v>
      </c>
      <c r="J201">
        <f>VLOOKUP($A201,ScionOutput!$A$3:$BL$215,59,FALSE)</f>
        <v>0</v>
      </c>
      <c r="K201">
        <f>VLOOKUP($A201,ScionOutput!$A$3:$BL$215,62,FALSE)</f>
        <v>0</v>
      </c>
      <c r="L201">
        <f>VLOOKUP($A201,ScionOutput!$A$3:$BL$215,63,FALSE)</f>
        <v>0</v>
      </c>
      <c r="M201" t="b">
        <f t="shared" si="25"/>
        <v>0</v>
      </c>
      <c r="N201">
        <f>VLOOKUP($A201,Outcomes!$B$3:$I$209,8,FALSE)</f>
        <v>3</v>
      </c>
      <c r="O201">
        <f t="shared" si="26"/>
        <v>1</v>
      </c>
      <c r="P201">
        <f>VLOOKUP($A201,Outcomes!$B$3:$I$209,5,FALSE)</f>
        <v>2</v>
      </c>
      <c r="Q201">
        <f>VLOOKUP($A201,Outcomes!$B$3:$I$209,6,FALSE)</f>
        <v>1</v>
      </c>
      <c r="R201">
        <f>VLOOKUP($A201,Outcomes!$B$3:$I$209,7,FALSE)</f>
        <v>-1</v>
      </c>
      <c r="S201" t="str">
        <f t="shared" si="27"/>
        <v>HomFave</v>
      </c>
      <c r="T201" t="str">
        <f t="shared" si="28"/>
        <v/>
      </c>
      <c r="U201" t="str">
        <f t="shared" si="24"/>
        <v/>
      </c>
      <c r="V201" t="str">
        <f t="shared" si="29"/>
        <v/>
      </c>
      <c r="W201" t="str">
        <f t="shared" si="30"/>
        <v/>
      </c>
      <c r="X201" s="2" t="str">
        <f t="shared" si="31"/>
        <v/>
      </c>
      <c r="Y201" t="str">
        <f>VLOOKUP($A201,ScionOutput!$A$3:$BL$215,64,FALSE)</f>
        <v xml:space="preserve">824177. LineStatEns probability points gap does not exceed threshold (no edge found)! StatOnlyEns probability points gap does not exceed threshold (no edge found)! No play due to strategy constraints. </v>
      </c>
    </row>
    <row r="202" spans="1:25" x14ac:dyDescent="0.2">
      <c r="A202">
        <v>824095</v>
      </c>
      <c r="B202" s="3">
        <f>VLOOKUP($A202,ScionOutput!$A$3:$BL$215,3,FALSE)</f>
        <v>46194</v>
      </c>
      <c r="C202">
        <f>VLOOKUP($A202,ScionOutput!$A$3:$BL$215,22,FALSE)</f>
        <v>13</v>
      </c>
      <c r="D202" t="str">
        <f>VLOOKUP($A202,ScionOutput!$A$3:$BL$215,23,FALSE)</f>
        <v>KC</v>
      </c>
      <c r="E202">
        <f>VLOOKUP($A202,ScionOutput!$A$3:$BL$215,6,FALSE)</f>
        <v>26</v>
      </c>
      <c r="F202" t="str">
        <f>VLOOKUP($A202,ScionOutput!$A$3:$BL$215,7,FALSE)</f>
        <v>STL</v>
      </c>
      <c r="G202">
        <f>VLOOKUP($A202,ScionOutput!$A$3:$BL$215,26,FALSE)</f>
        <v>112</v>
      </c>
      <c r="H202">
        <f>VLOOKUP($A202,ScionOutput!$A$3:$BL$215,10,FALSE)</f>
        <v>-121</v>
      </c>
      <c r="I202" t="str">
        <f>VLOOKUP($A202,ScionOutput!$A$3:$BL$215,58,FALSE)</f>
        <v>No Play</v>
      </c>
      <c r="J202">
        <f>VLOOKUP($A202,ScionOutput!$A$3:$BL$215,59,FALSE)</f>
        <v>0</v>
      </c>
      <c r="K202">
        <f>VLOOKUP($A202,ScionOutput!$A$3:$BL$215,62,FALSE)</f>
        <v>0</v>
      </c>
      <c r="L202">
        <f>VLOOKUP($A202,ScionOutput!$A$3:$BL$215,63,FALSE)</f>
        <v>0</v>
      </c>
      <c r="M202" t="b">
        <f t="shared" si="25"/>
        <v>0</v>
      </c>
      <c r="N202">
        <f>VLOOKUP($A202,Outcomes!$B$3:$I$209,8,FALSE)</f>
        <v>22</v>
      </c>
      <c r="O202">
        <f t="shared" si="26"/>
        <v>-1</v>
      </c>
      <c r="P202">
        <f>VLOOKUP($A202,Outcomes!$B$3:$I$209,5,FALSE)</f>
        <v>10</v>
      </c>
      <c r="Q202">
        <f>VLOOKUP($A202,Outcomes!$B$3:$I$209,6,FALSE)</f>
        <v>12</v>
      </c>
      <c r="R202">
        <f>VLOOKUP($A202,Outcomes!$B$3:$I$209,7,FALSE)</f>
        <v>2</v>
      </c>
      <c r="S202" t="str">
        <f t="shared" si="27"/>
        <v>VisFave</v>
      </c>
      <c r="T202" t="str">
        <f t="shared" si="28"/>
        <v/>
      </c>
      <c r="U202" t="str">
        <f t="shared" si="24"/>
        <v/>
      </c>
      <c r="V202" t="str">
        <f t="shared" si="29"/>
        <v/>
      </c>
      <c r="W202" t="str">
        <f t="shared" si="30"/>
        <v/>
      </c>
      <c r="X202" s="2" t="str">
        <f t="shared" si="31"/>
        <v/>
      </c>
      <c r="Y202" t="str">
        <f>VLOOKUP($A202,ScionOutput!$A$3:$BL$215,64,FALSE)</f>
        <v xml:space="preserve">824095. VF plays are disallowed. No play due to strategy constraints. </v>
      </c>
    </row>
    <row r="203" spans="1:25" x14ac:dyDescent="0.2">
      <c r="A203">
        <v>823934</v>
      </c>
      <c r="B203" s="3">
        <f>VLOOKUP($A203,ScionOutput!$A$3:$BL$215,3,FALSE)</f>
        <v>46194</v>
      </c>
      <c r="C203">
        <f>VLOOKUP($A203,ScionOutput!$A$3:$BL$215,22,FALSE)</f>
        <v>14</v>
      </c>
      <c r="D203" t="str">
        <f>VLOOKUP($A203,ScionOutput!$A$3:$BL$215,23,FALSE)</f>
        <v>LA</v>
      </c>
      <c r="E203">
        <f>VLOOKUP($A203,ScionOutput!$A$3:$BL$215,6,FALSE)</f>
        <v>2</v>
      </c>
      <c r="F203" t="str">
        <f>VLOOKUP($A203,ScionOutput!$A$3:$BL$215,7,FALSE)</f>
        <v>BAL</v>
      </c>
      <c r="G203">
        <f>VLOOKUP($A203,ScionOutput!$A$3:$BL$215,26,FALSE)</f>
        <v>-228</v>
      </c>
      <c r="H203">
        <f>VLOOKUP($A203,ScionOutput!$A$3:$BL$215,10,FALSE)</f>
        <v>206</v>
      </c>
      <c r="I203" t="str">
        <f>VLOOKUP($A203,ScionOutput!$A$3:$BL$215,58,FALSE)</f>
        <v>No Play</v>
      </c>
      <c r="J203">
        <f>VLOOKUP($A203,ScionOutput!$A$3:$BL$215,59,FALSE)</f>
        <v>0</v>
      </c>
      <c r="K203">
        <f>VLOOKUP($A203,ScionOutput!$A$3:$BL$215,62,FALSE)</f>
        <v>0</v>
      </c>
      <c r="L203">
        <f>VLOOKUP($A203,ScionOutput!$A$3:$BL$215,63,FALSE)</f>
        <v>0</v>
      </c>
      <c r="M203" t="b">
        <f t="shared" si="25"/>
        <v>0</v>
      </c>
      <c r="N203">
        <f>VLOOKUP($A203,Outcomes!$B$3:$I$209,8,FALSE)</f>
        <v>13</v>
      </c>
      <c r="O203">
        <f t="shared" si="26"/>
        <v>-1</v>
      </c>
      <c r="P203">
        <f>VLOOKUP($A203,Outcomes!$B$3:$I$209,5,FALSE)</f>
        <v>1</v>
      </c>
      <c r="Q203">
        <f>VLOOKUP($A203,Outcomes!$B$3:$I$209,6,FALSE)</f>
        <v>12</v>
      </c>
      <c r="R203">
        <f>VLOOKUP($A203,Outcomes!$B$3:$I$209,7,FALSE)</f>
        <v>11</v>
      </c>
      <c r="S203" t="str">
        <f t="shared" si="27"/>
        <v>VisDog</v>
      </c>
      <c r="T203" t="str">
        <f t="shared" si="28"/>
        <v/>
      </c>
      <c r="U203" t="str">
        <f t="shared" si="24"/>
        <v/>
      </c>
      <c r="V203" t="str">
        <f t="shared" si="29"/>
        <v/>
      </c>
      <c r="W203" t="str">
        <f t="shared" si="30"/>
        <v/>
      </c>
      <c r="X203" s="2" t="str">
        <f t="shared" si="31"/>
        <v/>
      </c>
      <c r="Y203" t="str">
        <f>VLOOKUP($A203,ScionOutput!$A$3:$BL$215,64,FALSE)</f>
        <v xml:space="preserve">823934. LineStatEns is NoPlay as bookie-line outside range. StatOnlyEns is NoPlay as bookie-line outside range. No play due to strategy constraints. </v>
      </c>
    </row>
    <row r="204" spans="1:25" x14ac:dyDescent="0.2">
      <c r="A204">
        <v>823531</v>
      </c>
      <c r="B204" s="3">
        <f>VLOOKUP($A204,ScionOutput!$A$3:$BL$215,3,FALSE)</f>
        <v>46194</v>
      </c>
      <c r="C204">
        <f>VLOOKUP($A204,ScionOutput!$A$3:$BL$215,22,FALSE)</f>
        <v>19</v>
      </c>
      <c r="D204" t="str">
        <f>VLOOKUP($A204,ScionOutput!$A$3:$BL$215,23,FALSE)</f>
        <v>NYY</v>
      </c>
      <c r="E204">
        <f>VLOOKUP($A204,ScionOutput!$A$3:$BL$215,6,FALSE)</f>
        <v>6</v>
      </c>
      <c r="F204" t="str">
        <f>VLOOKUP($A204,ScionOutput!$A$3:$BL$215,7,FALSE)</f>
        <v>CIN</v>
      </c>
      <c r="G204">
        <f>VLOOKUP($A204,ScionOutput!$A$3:$BL$215,26,FALSE)</f>
        <v>-110</v>
      </c>
      <c r="H204">
        <f>VLOOKUP($A204,ScionOutput!$A$3:$BL$215,10,FALSE)</f>
        <v>101</v>
      </c>
      <c r="I204" t="str">
        <f>VLOOKUP($A204,ScionOutput!$A$3:$BL$215,58,FALSE)</f>
        <v>HomFave</v>
      </c>
      <c r="J204">
        <f>VLOOKUP($A204,ScionOutput!$A$3:$BL$215,59,FALSE)</f>
        <v>7.1300000000000001E-3</v>
      </c>
      <c r="K204">
        <f>VLOOKUP($A204,ScionOutput!$A$3:$BL$215,62,FALSE)</f>
        <v>3</v>
      </c>
      <c r="L204">
        <f>VLOOKUP($A204,ScionOutput!$A$3:$BL$215,63,FALSE)</f>
        <v>0.93</v>
      </c>
      <c r="M204" t="b">
        <f t="shared" si="25"/>
        <v>0</v>
      </c>
      <c r="N204">
        <f>VLOOKUP($A204,Outcomes!$B$3:$I$209,8,FALSE)</f>
        <v>5</v>
      </c>
      <c r="O204">
        <f t="shared" si="26"/>
        <v>-1</v>
      </c>
      <c r="P204">
        <f>VLOOKUP($A204,Outcomes!$B$3:$I$209,5,FALSE)</f>
        <v>1</v>
      </c>
      <c r="Q204">
        <f>VLOOKUP($A204,Outcomes!$B$3:$I$209,6,FALSE)</f>
        <v>4</v>
      </c>
      <c r="R204">
        <f>VLOOKUP($A204,Outcomes!$B$3:$I$209,7,FALSE)</f>
        <v>3</v>
      </c>
      <c r="S204" t="str">
        <f t="shared" si="27"/>
        <v>VisDog</v>
      </c>
      <c r="T204">
        <f t="shared" si="28"/>
        <v>0</v>
      </c>
      <c r="U204">
        <f t="shared" si="24"/>
        <v>110</v>
      </c>
      <c r="V204">
        <f t="shared" si="29"/>
        <v>0</v>
      </c>
      <c r="W204">
        <f t="shared" si="30"/>
        <v>-110</v>
      </c>
      <c r="X204" s="2">
        <f t="shared" si="31"/>
        <v>-1</v>
      </c>
      <c r="Y204" t="str">
        <f>VLOOKUP($A204,ScionOutput!$A$3:$BL$215,64,FALSE)</f>
        <v xml:space="preserve">823531. StatOnlyEns probability points gap does not exceed threshold (no edge found)! Play determined by LineStatEns only. </v>
      </c>
    </row>
    <row r="205" spans="1:25" x14ac:dyDescent="0.2">
      <c r="A205">
        <v>824987</v>
      </c>
      <c r="B205" s="3">
        <f>VLOOKUP($A205,ScionOutput!$A$3:$BL$215,3,FALSE)</f>
        <v>46194</v>
      </c>
      <c r="C205">
        <f>VLOOKUP($A205,ScionOutput!$A$3:$BL$215,22,FALSE)</f>
        <v>20</v>
      </c>
      <c r="D205" t="str">
        <f>VLOOKUP($A205,ScionOutput!$A$3:$BL$215,23,FALSE)</f>
        <v>OAK</v>
      </c>
      <c r="E205">
        <f>VLOOKUP($A205,ScionOutput!$A$3:$BL$215,6,FALSE)</f>
        <v>4</v>
      </c>
      <c r="F205" t="str">
        <f>VLOOKUP($A205,ScionOutput!$A$3:$BL$215,7,FALSE)</f>
        <v>LAA</v>
      </c>
      <c r="G205">
        <f>VLOOKUP($A205,ScionOutput!$A$3:$BL$215,26,FALSE)</f>
        <v>-126</v>
      </c>
      <c r="H205">
        <f>VLOOKUP($A205,ScionOutput!$A$3:$BL$215,10,FALSE)</f>
        <v>116</v>
      </c>
      <c r="I205" t="str">
        <f>VLOOKUP($A205,ScionOutput!$A$3:$BL$215,58,FALSE)</f>
        <v>No Play</v>
      </c>
      <c r="J205">
        <f>VLOOKUP($A205,ScionOutput!$A$3:$BL$215,59,FALSE)</f>
        <v>0</v>
      </c>
      <c r="K205">
        <f>VLOOKUP($A205,ScionOutput!$A$3:$BL$215,62,FALSE)</f>
        <v>0</v>
      </c>
      <c r="L205">
        <f>VLOOKUP($A205,ScionOutput!$A$3:$BL$215,63,FALSE)</f>
        <v>0</v>
      </c>
      <c r="M205" t="b">
        <f t="shared" si="25"/>
        <v>0</v>
      </c>
      <c r="N205">
        <f>VLOOKUP($A205,Outcomes!$B$3:$I$209,8,FALSE)</f>
        <v>16</v>
      </c>
      <c r="O205">
        <f t="shared" si="26"/>
        <v>-1</v>
      </c>
      <c r="P205">
        <f>VLOOKUP($A205,Outcomes!$B$3:$I$209,5,FALSE)</f>
        <v>7</v>
      </c>
      <c r="Q205">
        <f>VLOOKUP($A205,Outcomes!$B$3:$I$209,6,FALSE)</f>
        <v>9</v>
      </c>
      <c r="R205">
        <f>VLOOKUP($A205,Outcomes!$B$3:$I$209,7,FALSE)</f>
        <v>2</v>
      </c>
      <c r="S205" t="str">
        <f t="shared" si="27"/>
        <v>VisDog</v>
      </c>
      <c r="T205" t="str">
        <f t="shared" si="28"/>
        <v/>
      </c>
      <c r="U205" t="str">
        <f t="shared" si="24"/>
        <v/>
      </c>
      <c r="V205" t="str">
        <f t="shared" si="29"/>
        <v/>
      </c>
      <c r="W205" t="str">
        <f t="shared" si="30"/>
        <v/>
      </c>
      <c r="X205" s="2" t="str">
        <f t="shared" si="31"/>
        <v/>
      </c>
      <c r="Y205" t="str">
        <f>VLOOKUP($A205,ScionOutput!$A$3:$BL$215,64,FALSE)</f>
        <v xml:space="preserve">824987. LineStatEns probability points gap does not exceed threshold (no edge found)! No play due to strategy constraints. </v>
      </c>
    </row>
    <row r="206" spans="1:25" x14ac:dyDescent="0.2">
      <c r="A206">
        <v>823449</v>
      </c>
      <c r="B206" s="3">
        <f>VLOOKUP($A206,ScionOutput!$A$3:$BL$215,3,FALSE)</f>
        <v>46194</v>
      </c>
      <c r="C206">
        <f>VLOOKUP($A206,ScionOutput!$A$3:$BL$215,22,FALSE)</f>
        <v>21</v>
      </c>
      <c r="D206" t="str">
        <f>VLOOKUP($A206,ScionOutput!$A$3:$BL$215,23,FALSE)</f>
        <v>PHI</v>
      </c>
      <c r="E206">
        <f>VLOOKUP($A206,ScionOutput!$A$3:$BL$215,6,FALSE)</f>
        <v>18</v>
      </c>
      <c r="F206" t="str">
        <f>VLOOKUP($A206,ScionOutput!$A$3:$BL$215,7,FALSE)</f>
        <v>NYM</v>
      </c>
      <c r="G206">
        <f>VLOOKUP($A206,ScionOutput!$A$3:$BL$215,26,FALSE)</f>
        <v>-172</v>
      </c>
      <c r="H206">
        <f>VLOOKUP($A206,ScionOutput!$A$3:$BL$215,10,FALSE)</f>
        <v>157</v>
      </c>
      <c r="I206" t="str">
        <f>VLOOKUP($A206,ScionOutput!$A$3:$BL$215,58,FALSE)</f>
        <v>No Play</v>
      </c>
      <c r="J206">
        <f>VLOOKUP($A206,ScionOutput!$A$3:$BL$215,59,FALSE)</f>
        <v>0</v>
      </c>
      <c r="K206">
        <f>VLOOKUP($A206,ScionOutput!$A$3:$BL$215,62,FALSE)</f>
        <v>0</v>
      </c>
      <c r="L206">
        <f>VLOOKUP($A206,ScionOutput!$A$3:$BL$215,63,FALSE)</f>
        <v>0</v>
      </c>
      <c r="M206" t="b">
        <f t="shared" si="25"/>
        <v>0</v>
      </c>
      <c r="N206">
        <f>VLOOKUP($A206,Outcomes!$B$3:$I$209,8,FALSE)</f>
        <v>8</v>
      </c>
      <c r="O206">
        <f t="shared" si="26"/>
        <v>1</v>
      </c>
      <c r="P206">
        <f>VLOOKUP($A206,Outcomes!$B$3:$I$209,5,FALSE)</f>
        <v>6</v>
      </c>
      <c r="Q206">
        <f>VLOOKUP($A206,Outcomes!$B$3:$I$209,6,FALSE)</f>
        <v>2</v>
      </c>
      <c r="R206">
        <f>VLOOKUP($A206,Outcomes!$B$3:$I$209,7,FALSE)</f>
        <v>-4</v>
      </c>
      <c r="S206" t="str">
        <f t="shared" si="27"/>
        <v>HomFave</v>
      </c>
      <c r="T206" t="str">
        <f t="shared" si="28"/>
        <v/>
      </c>
      <c r="U206" t="str">
        <f t="shared" si="24"/>
        <v/>
      </c>
      <c r="V206" t="str">
        <f t="shared" si="29"/>
        <v/>
      </c>
      <c r="W206" t="str">
        <f t="shared" si="30"/>
        <v/>
      </c>
      <c r="X206" s="2" t="str">
        <f t="shared" si="31"/>
        <v/>
      </c>
      <c r="Y206" t="str">
        <f>VLOOKUP($A206,ScionOutput!$A$3:$BL$215,64,FALSE)</f>
        <v xml:space="preserve">823449. LineStatEns is NoPlay as bookie-line outside range. StatOnlyEns is NoPlay as bookie-line outside range. No play due to strategy constraints. </v>
      </c>
    </row>
    <row r="207" spans="1:25" x14ac:dyDescent="0.2">
      <c r="A207">
        <v>823123</v>
      </c>
      <c r="B207" s="3">
        <f>VLOOKUP($A207,ScionOutput!$A$3:$BL$215,3,FALSE)</f>
        <v>46194</v>
      </c>
      <c r="C207">
        <f>VLOOKUP($A207,ScionOutput!$A$3:$BL$215,22,FALSE)</f>
        <v>24</v>
      </c>
      <c r="D207" t="str">
        <f>VLOOKUP($A207,ScionOutput!$A$3:$BL$215,23,FALSE)</f>
        <v>SEA</v>
      </c>
      <c r="E207">
        <f>VLOOKUP($A207,ScionOutput!$A$3:$BL$215,6,FALSE)</f>
        <v>3</v>
      </c>
      <c r="F207" t="str">
        <f>VLOOKUP($A207,ScionOutput!$A$3:$BL$215,7,FALSE)</f>
        <v>BOS</v>
      </c>
      <c r="G207">
        <f>VLOOKUP($A207,ScionOutput!$A$3:$BL$215,26,FALSE)</f>
        <v>-118</v>
      </c>
      <c r="H207">
        <f>VLOOKUP($A207,ScionOutput!$A$3:$BL$215,10,FALSE)</f>
        <v>109</v>
      </c>
      <c r="I207" t="str">
        <f>VLOOKUP($A207,ScionOutput!$A$3:$BL$215,58,FALSE)</f>
        <v>No Play</v>
      </c>
      <c r="J207">
        <f>VLOOKUP($A207,ScionOutput!$A$3:$BL$215,59,FALSE)</f>
        <v>0</v>
      </c>
      <c r="K207">
        <f>VLOOKUP($A207,ScionOutput!$A$3:$BL$215,62,FALSE)</f>
        <v>0</v>
      </c>
      <c r="L207">
        <f>VLOOKUP($A207,ScionOutput!$A$3:$BL$215,63,FALSE)</f>
        <v>0</v>
      </c>
      <c r="M207" t="b">
        <f t="shared" si="25"/>
        <v>0</v>
      </c>
      <c r="N207">
        <f>VLOOKUP($A207,Outcomes!$B$3:$I$209,8,FALSE)</f>
        <v>4</v>
      </c>
      <c r="O207">
        <f t="shared" si="26"/>
        <v>1</v>
      </c>
      <c r="P207">
        <f>VLOOKUP($A207,Outcomes!$B$3:$I$209,5,FALSE)</f>
        <v>3</v>
      </c>
      <c r="Q207">
        <f>VLOOKUP($A207,Outcomes!$B$3:$I$209,6,FALSE)</f>
        <v>1</v>
      </c>
      <c r="R207">
        <f>VLOOKUP($A207,Outcomes!$B$3:$I$209,7,FALSE)</f>
        <v>-2</v>
      </c>
      <c r="S207" t="str">
        <f t="shared" si="27"/>
        <v>HomFave</v>
      </c>
      <c r="T207" t="str">
        <f t="shared" si="28"/>
        <v/>
      </c>
      <c r="U207" t="str">
        <f t="shared" si="24"/>
        <v/>
      </c>
      <c r="V207" t="str">
        <f t="shared" si="29"/>
        <v/>
      </c>
      <c r="W207" t="str">
        <f t="shared" si="30"/>
        <v/>
      </c>
      <c r="X207" s="2" t="str">
        <f t="shared" si="31"/>
        <v/>
      </c>
      <c r="Y207" t="str">
        <f>VLOOKUP($A207,ScionOutput!$A$3:$BL$215,64,FALSE)</f>
        <v xml:space="preserve">823123. LineStatEns probability points gap does not exceed threshold (no edge found)! StatOnlyEns probability points gap does not exceed threshold (no edge found)! No play due to strategy constraints. </v>
      </c>
    </row>
    <row r="208" spans="1:25" x14ac:dyDescent="0.2">
      <c r="A208">
        <v>822968</v>
      </c>
      <c r="B208" s="3">
        <f>VLOOKUP($A208,ScionOutput!$A$3:$BL$215,3,FALSE)</f>
        <v>46194</v>
      </c>
      <c r="C208">
        <f>VLOOKUP($A208,ScionOutput!$A$3:$BL$215,22,FALSE)</f>
        <v>27</v>
      </c>
      <c r="D208" t="str">
        <f>VLOOKUP($A208,ScionOutput!$A$3:$BL$215,23,FALSE)</f>
        <v>TB</v>
      </c>
      <c r="E208">
        <f>VLOOKUP($A208,ScionOutput!$A$3:$BL$215,6,FALSE)</f>
        <v>16</v>
      </c>
      <c r="F208" t="str">
        <f>VLOOKUP($A208,ScionOutput!$A$3:$BL$215,7,FALSE)</f>
        <v>WAS</v>
      </c>
      <c r="G208">
        <f>VLOOKUP($A208,ScionOutput!$A$3:$BL$215,26,FALSE)</f>
        <v>-127</v>
      </c>
      <c r="H208">
        <f>VLOOKUP($A208,ScionOutput!$A$3:$BL$215,10,FALSE)</f>
        <v>117</v>
      </c>
      <c r="I208" t="str">
        <f>VLOOKUP($A208,ScionOutput!$A$3:$BL$215,58,FALSE)</f>
        <v>No Play</v>
      </c>
      <c r="J208">
        <f>VLOOKUP($A208,ScionOutput!$A$3:$BL$215,59,FALSE)</f>
        <v>0</v>
      </c>
      <c r="K208">
        <f>VLOOKUP($A208,ScionOutput!$A$3:$BL$215,62,FALSE)</f>
        <v>0</v>
      </c>
      <c r="L208">
        <f>VLOOKUP($A208,ScionOutput!$A$3:$BL$215,63,FALSE)</f>
        <v>0</v>
      </c>
      <c r="M208" t="b">
        <f t="shared" si="25"/>
        <v>0</v>
      </c>
      <c r="N208">
        <f>VLOOKUP($A208,Outcomes!$B$3:$I$209,8,FALSE)</f>
        <v>7</v>
      </c>
      <c r="O208">
        <f t="shared" si="26"/>
        <v>1</v>
      </c>
      <c r="P208">
        <f>VLOOKUP($A208,Outcomes!$B$3:$I$209,5,FALSE)</f>
        <v>4</v>
      </c>
      <c r="Q208">
        <f>VLOOKUP($A208,Outcomes!$B$3:$I$209,6,FALSE)</f>
        <v>3</v>
      </c>
      <c r="R208">
        <f>VLOOKUP($A208,Outcomes!$B$3:$I$209,7,FALSE)</f>
        <v>-1</v>
      </c>
      <c r="S208" t="str">
        <f t="shared" si="27"/>
        <v>HomFave</v>
      </c>
      <c r="T208" t="str">
        <f t="shared" si="28"/>
        <v/>
      </c>
      <c r="U208" t="str">
        <f t="shared" si="24"/>
        <v/>
      </c>
      <c r="V208" t="str">
        <f t="shared" si="29"/>
        <v/>
      </c>
      <c r="W208" t="str">
        <f t="shared" si="30"/>
        <v/>
      </c>
      <c r="X208" s="2" t="str">
        <f t="shared" si="31"/>
        <v/>
      </c>
      <c r="Y208" t="str">
        <f>VLOOKUP($A208,ScionOutput!$A$3:$BL$215,64,FALSE)</f>
        <v xml:space="preserve">822968. LineStatEns probability points gap does not exceed threshold (no edge found)! StatOnlyEns probability points gap does not exceed threshold (no edge found)! No play due to strategy constraints. </v>
      </c>
    </row>
    <row r="209" spans="1:25" x14ac:dyDescent="0.2">
      <c r="A209">
        <v>822883</v>
      </c>
      <c r="B209" s="3">
        <f>VLOOKUP($A209,ScionOutput!$A$3:$BL$215,3,FALSE)</f>
        <v>46194</v>
      </c>
      <c r="C209">
        <f>VLOOKUP($A209,ScionOutput!$A$3:$BL$215,22,FALSE)</f>
        <v>28</v>
      </c>
      <c r="D209" t="str">
        <f>VLOOKUP($A209,ScionOutput!$A$3:$BL$215,23,FALSE)</f>
        <v>TEX</v>
      </c>
      <c r="E209">
        <f>VLOOKUP($A209,ScionOutput!$A$3:$BL$215,6,FALSE)</f>
        <v>23</v>
      </c>
      <c r="F209" t="str">
        <f>VLOOKUP($A209,ScionOutput!$A$3:$BL$215,7,FALSE)</f>
        <v>SD</v>
      </c>
      <c r="G209">
        <f>VLOOKUP($A209,ScionOutput!$A$3:$BL$215,26,FALSE)</f>
        <v>-160</v>
      </c>
      <c r="H209">
        <f>VLOOKUP($A209,ScionOutput!$A$3:$BL$215,10,FALSE)</f>
        <v>147</v>
      </c>
      <c r="I209" t="str">
        <f>VLOOKUP($A209,ScionOutput!$A$3:$BL$215,58,FALSE)</f>
        <v>No Play</v>
      </c>
      <c r="J209">
        <f>VLOOKUP($A209,ScionOutput!$A$3:$BL$215,59,FALSE)</f>
        <v>0</v>
      </c>
      <c r="K209">
        <f>VLOOKUP($A209,ScionOutput!$A$3:$BL$215,62,FALSE)</f>
        <v>0</v>
      </c>
      <c r="L209">
        <f>VLOOKUP($A209,ScionOutput!$A$3:$BL$215,63,FALSE)</f>
        <v>0</v>
      </c>
      <c r="M209" t="b">
        <f t="shared" si="25"/>
        <v>0</v>
      </c>
      <c r="N209">
        <f>VLOOKUP($A209,Outcomes!$B$3:$I$209,8,FALSE)</f>
        <v>7</v>
      </c>
      <c r="O209">
        <f t="shared" si="26"/>
        <v>1</v>
      </c>
      <c r="P209">
        <f>VLOOKUP($A209,Outcomes!$B$3:$I$209,5,FALSE)</f>
        <v>4</v>
      </c>
      <c r="Q209">
        <f>VLOOKUP($A209,Outcomes!$B$3:$I$209,6,FALSE)</f>
        <v>3</v>
      </c>
      <c r="R209">
        <f>VLOOKUP($A209,Outcomes!$B$3:$I$209,7,FALSE)</f>
        <v>-1</v>
      </c>
      <c r="S209" t="str">
        <f t="shared" si="27"/>
        <v>HomFave</v>
      </c>
      <c r="T209" t="str">
        <f t="shared" si="28"/>
        <v/>
      </c>
      <c r="U209" t="str">
        <f t="shared" si="24"/>
        <v/>
      </c>
      <c r="V209" t="str">
        <f t="shared" si="29"/>
        <v/>
      </c>
      <c r="W209" t="str">
        <f t="shared" si="30"/>
        <v/>
      </c>
      <c r="X209" s="2" t="str">
        <f t="shared" si="31"/>
        <v/>
      </c>
      <c r="Y209" t="str">
        <f>VLOOKUP($A209,ScionOutput!$A$3:$BL$215,64,FALSE)</f>
        <v xml:space="preserve">822883. LineStatEns is NoPlay as bookie-line outside range. StatOnlyEns is NoPlay as bookie-line outside range. No play due to strategy constraints. </v>
      </c>
    </row>
    <row r="210" spans="1:25" x14ac:dyDescent="0.2">
      <c r="D210" t="s">
        <v>667</v>
      </c>
      <c r="F210" t="s">
        <v>667</v>
      </c>
      <c r="G210" t="s">
        <v>667</v>
      </c>
      <c r="H210" t="s">
        <v>667</v>
      </c>
      <c r="I210" t="s">
        <v>667</v>
      </c>
      <c r="J210" t="s">
        <v>667</v>
      </c>
      <c r="K210" t="s">
        <v>667</v>
      </c>
      <c r="L210" t="s">
        <v>667</v>
      </c>
      <c r="M210" t="s">
        <v>667</v>
      </c>
      <c r="T210" t="s">
        <v>667</v>
      </c>
      <c r="U210">
        <f>SUM(U2:U209)</f>
        <v>1410</v>
      </c>
      <c r="V210">
        <f>SUM(V2:V209)</f>
        <v>1027</v>
      </c>
      <c r="W210">
        <f>SUM(W2:W209)</f>
        <v>-383</v>
      </c>
      <c r="X210" s="2">
        <f t="shared" si="31"/>
        <v>-0.27163120567375887</v>
      </c>
      <c r="Y210" t="s">
        <v>667</v>
      </c>
    </row>
    <row r="211" spans="1:25" x14ac:dyDescent="0.2">
      <c r="S211" t="s">
        <v>672</v>
      </c>
      <c r="T211">
        <f>COUNT(R2:R209)</f>
        <v>208</v>
      </c>
    </row>
    <row r="212" spans="1:25" x14ac:dyDescent="0.2">
      <c r="S212" t="s">
        <v>673</v>
      </c>
      <c r="T212">
        <f>COUNT(T2:T209)</f>
        <v>13</v>
      </c>
    </row>
    <row r="213" spans="1:25" x14ac:dyDescent="0.2">
      <c r="S213" s="1" t="s">
        <v>674</v>
      </c>
      <c r="T213" s="2">
        <f>T212/T211</f>
        <v>6.25E-2</v>
      </c>
    </row>
    <row r="214" spans="1:25" x14ac:dyDescent="0.2">
      <c r="S214" t="s">
        <v>675</v>
      </c>
      <c r="T214">
        <f>SUM(T2:T209)</f>
        <v>5</v>
      </c>
    </row>
    <row r="215" spans="1:25" x14ac:dyDescent="0.2">
      <c r="S215" t="s">
        <v>676</v>
      </c>
      <c r="T215" s="2">
        <f>T214/T212</f>
        <v>0.38461538461538464</v>
      </c>
    </row>
    <row r="216" spans="1:25" x14ac:dyDescent="0.2">
      <c r="S216" t="s">
        <v>684</v>
      </c>
      <c r="T216">
        <f>U210</f>
        <v>1410</v>
      </c>
    </row>
    <row r="217" spans="1:25" x14ac:dyDescent="0.2">
      <c r="S217" t="s">
        <v>685</v>
      </c>
      <c r="T217">
        <f>V210</f>
        <v>1027</v>
      </c>
    </row>
    <row r="218" spans="1:25" x14ac:dyDescent="0.2">
      <c r="S218" t="s">
        <v>687</v>
      </c>
      <c r="T218">
        <f>W210</f>
        <v>-383</v>
      </c>
    </row>
    <row r="219" spans="1:25" x14ac:dyDescent="0.2">
      <c r="S219" t="s">
        <v>686</v>
      </c>
      <c r="T219" s="2">
        <f>IF(T216=0,0,T218/T216)</f>
        <v>-0.27163120567375887</v>
      </c>
    </row>
    <row r="221" spans="1:25" x14ac:dyDescent="0.2">
      <c r="R221" t="s">
        <v>680</v>
      </c>
      <c r="S221" t="s">
        <v>681</v>
      </c>
      <c r="T221">
        <f>COUNTIFS($I$2:$I$209,"HomFave",$T$2:$T$209,"1")+COUNTIFS($I$2:$I$209,"HomFave",$T$2:$T$209,"0")</f>
        <v>7</v>
      </c>
      <c r="V221" t="s">
        <v>688</v>
      </c>
      <c r="W221" t="s">
        <v>681</v>
      </c>
      <c r="X221">
        <f>COUNTIFS($I$2:$I$209,"VisDog",$T$2:$T$209,"1")+COUNTIFS($I$2:$I$209,"VisDog",$T$2:$T$209,"0")</f>
        <v>6</v>
      </c>
    </row>
    <row r="222" spans="1:25" x14ac:dyDescent="0.2">
      <c r="S222" t="s">
        <v>682</v>
      </c>
      <c r="T222">
        <f>COUNTIFS($I$2:$I$209,"HomFave",$T$2:$T$209,"1")</f>
        <v>2</v>
      </c>
      <c r="W222" t="s">
        <v>682</v>
      </c>
      <c r="X222">
        <f>COUNTIFS($I$2:$I$209,"VisDog",$T$2:$T$209,"1")</f>
        <v>3</v>
      </c>
    </row>
    <row r="223" spans="1:25" x14ac:dyDescent="0.2">
      <c r="S223" t="s">
        <v>683</v>
      </c>
      <c r="T223" s="2">
        <f>IF(T221=0,0,T222/T221)</f>
        <v>0.2857142857142857</v>
      </c>
      <c r="W223" t="s">
        <v>683</v>
      </c>
      <c r="X223" s="2">
        <f>IF(X221=0,0,X222/X221)</f>
        <v>0.5</v>
      </c>
    </row>
    <row r="224" spans="1:25" x14ac:dyDescent="0.2">
      <c r="S224" t="s">
        <v>684</v>
      </c>
      <c r="T224">
        <f>SUMIFS($U$2:$U$209,$I$2:$I$209,"HomFave")</f>
        <v>806</v>
      </c>
      <c r="W224" t="s">
        <v>684</v>
      </c>
      <c r="X224">
        <f>SUMIFS($U$2:$U$209,$I$2:$I$209,"VisDog")</f>
        <v>604</v>
      </c>
    </row>
    <row r="225" spans="18:24" x14ac:dyDescent="0.2">
      <c r="S225" t="s">
        <v>685</v>
      </c>
      <c r="T225">
        <f>SUMIFS($V$2:$V$209,$I$2:$I$209,"HomFave")</f>
        <v>420</v>
      </c>
      <c r="W225" t="s">
        <v>685</v>
      </c>
      <c r="X225">
        <f>SUMIFS($V$2:$V$209,$I$2:$I$209,"VisDog")</f>
        <v>607</v>
      </c>
    </row>
    <row r="226" spans="18:24" x14ac:dyDescent="0.2">
      <c r="S226" t="s">
        <v>687</v>
      </c>
      <c r="T226">
        <f>T225-T224</f>
        <v>-386</v>
      </c>
      <c r="W226" t="s">
        <v>687</v>
      </c>
      <c r="X226">
        <f>X225-X224</f>
        <v>3</v>
      </c>
    </row>
    <row r="227" spans="18:24" x14ac:dyDescent="0.2">
      <c r="S227" t="s">
        <v>686</v>
      </c>
      <c r="T227" s="2">
        <f>IF(T224=0,0,T226/T224)</f>
        <v>-0.47890818858560796</v>
      </c>
      <c r="W227" t="s">
        <v>686</v>
      </c>
      <c r="X227" s="2">
        <f>IF(X224=0,0,X226/X224)</f>
        <v>4.9668874172185433E-3</v>
      </c>
    </row>
    <row r="229" spans="18:24" x14ac:dyDescent="0.2">
      <c r="R229" t="s">
        <v>689</v>
      </c>
      <c r="S229" t="s">
        <v>681</v>
      </c>
      <c r="T229">
        <f>COUNTIFS($I$2:$I$209,"VisFave",$T$2:$T$209,"1")+COUNTIFS($I$2:$I$209,"VisFave",$T$2:$T$209,"0")</f>
        <v>0</v>
      </c>
      <c r="V229" t="s">
        <v>690</v>
      </c>
      <c r="W229" t="s">
        <v>681</v>
      </c>
      <c r="X229">
        <f>COUNTIFS($I$2:$I$209,"HomDog",$T$2:$T$209,"1")+COUNTIFS($I$2:$I$209,"HomDog",$T$2:$T$209,"0")</f>
        <v>0</v>
      </c>
    </row>
    <row r="230" spans="18:24" x14ac:dyDescent="0.2">
      <c r="S230" t="s">
        <v>682</v>
      </c>
      <c r="T230">
        <f>COUNTIFS($I$2:$I$209,"VisFave",$T$2:$T$209,"1")</f>
        <v>0</v>
      </c>
      <c r="W230" t="s">
        <v>682</v>
      </c>
      <c r="X230">
        <f>COUNTIFS($I$2:$I$209,"HomDog",$T$2:$T$209,"1")</f>
        <v>0</v>
      </c>
    </row>
    <row r="231" spans="18:24" x14ac:dyDescent="0.2">
      <c r="S231" t="s">
        <v>683</v>
      </c>
      <c r="T231" s="2">
        <f>IF(T229=0,0,T230/T229)</f>
        <v>0</v>
      </c>
      <c r="W231" t="s">
        <v>683</v>
      </c>
      <c r="X231" s="2">
        <f>IF(X229=0,0,X230/X229)</f>
        <v>0</v>
      </c>
    </row>
    <row r="232" spans="18:24" x14ac:dyDescent="0.2">
      <c r="S232" t="s">
        <v>684</v>
      </c>
      <c r="T232">
        <f>SUMIFS($U$2:$U$209,$I$2:$I$209,"VisFave")</f>
        <v>0</v>
      </c>
      <c r="W232" t="s">
        <v>684</v>
      </c>
      <c r="X232">
        <f>SUMIFS($U$2:$U$209,$I$2:$I$209,"HomDog")</f>
        <v>0</v>
      </c>
    </row>
    <row r="233" spans="18:24" x14ac:dyDescent="0.2">
      <c r="S233" t="s">
        <v>685</v>
      </c>
      <c r="T233">
        <f>SUMIFS($V$2:$V$209,$I$2:$I$209,"VisFave")</f>
        <v>0</v>
      </c>
      <c r="W233" t="s">
        <v>685</v>
      </c>
      <c r="X233">
        <f>SUMIFS($V$2:$V$209,$I$2:$I$209,"HomDog")</f>
        <v>0</v>
      </c>
    </row>
    <row r="234" spans="18:24" x14ac:dyDescent="0.2">
      <c r="S234" t="s">
        <v>687</v>
      </c>
      <c r="T234">
        <f>T233-T232</f>
        <v>0</v>
      </c>
      <c r="W234" t="s">
        <v>687</v>
      </c>
      <c r="X234">
        <f>X233-X232</f>
        <v>0</v>
      </c>
    </row>
    <row r="235" spans="18:24" x14ac:dyDescent="0.2">
      <c r="S235" t="s">
        <v>686</v>
      </c>
      <c r="T235" s="2">
        <f>IF(T232=0,0,T234/T232)</f>
        <v>0</v>
      </c>
      <c r="W235" t="s">
        <v>686</v>
      </c>
      <c r="X235" s="2">
        <f>IF(X232=0,0,X234/X232)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9D1E-5BD9-1242-A1D4-E5C26239DB50}">
  <dimension ref="A1:Y235"/>
  <sheetViews>
    <sheetView workbookViewId="0">
      <pane ySplit="1" topLeftCell="A181" activePane="bottomLeft" state="frozen"/>
      <selection pane="bottomLeft" activeCell="S216" sqref="S216:T219"/>
    </sheetView>
  </sheetViews>
  <sheetFormatPr baseColWidth="10" defaultRowHeight="16" x14ac:dyDescent="0.2"/>
  <cols>
    <col min="7" max="7" width="17.6640625" bestFit="1" customWidth="1"/>
    <col min="8" max="8" width="17.33203125" bestFit="1" customWidth="1"/>
    <col min="9" max="9" width="21.83203125" bestFit="1" customWidth="1"/>
    <col min="10" max="10" width="21.5" bestFit="1" customWidth="1"/>
    <col min="13" max="13" width="15.1640625" bestFit="1" customWidth="1"/>
  </cols>
  <sheetData>
    <row r="1" spans="1:25" x14ac:dyDescent="0.2">
      <c r="A1" t="s">
        <v>0</v>
      </c>
      <c r="B1" t="s">
        <v>1</v>
      </c>
      <c r="C1" t="s">
        <v>3</v>
      </c>
      <c r="D1" t="s">
        <v>668</v>
      </c>
      <c r="E1" t="s">
        <v>4</v>
      </c>
      <c r="F1" t="s">
        <v>669</v>
      </c>
      <c r="G1" t="s">
        <v>33</v>
      </c>
      <c r="H1" t="s">
        <v>17</v>
      </c>
      <c r="I1" t="s">
        <v>65</v>
      </c>
      <c r="J1" t="s">
        <v>66</v>
      </c>
      <c r="K1" t="s">
        <v>69</v>
      </c>
      <c r="L1" t="s">
        <v>70</v>
      </c>
      <c r="M1" t="s">
        <v>1304</v>
      </c>
      <c r="N1" t="s">
        <v>2</v>
      </c>
      <c r="O1" t="s">
        <v>5</v>
      </c>
      <c r="P1" t="s">
        <v>6</v>
      </c>
      <c r="Q1" t="s">
        <v>7</v>
      </c>
      <c r="R1" t="s">
        <v>8</v>
      </c>
      <c r="S1" t="s">
        <v>671</v>
      </c>
      <c r="T1" t="s">
        <v>670</v>
      </c>
      <c r="U1" t="s">
        <v>677</v>
      </c>
      <c r="V1" t="s">
        <v>678</v>
      </c>
      <c r="W1" t="s">
        <v>679</v>
      </c>
      <c r="X1" t="s">
        <v>686</v>
      </c>
      <c r="Y1" t="s">
        <v>71</v>
      </c>
    </row>
    <row r="2" spans="1:25" x14ac:dyDescent="0.2">
      <c r="A2">
        <v>824915</v>
      </c>
      <c r="B2" s="3">
        <f>VLOOKUP($A2,ScionOutput!$A$3:$BL$215,3,FALSE)</f>
        <v>46179</v>
      </c>
      <c r="C2">
        <f>VLOOKUP($A2,ScionOutput!$A$3:$BL$215,22,FALSE)</f>
        <v>0</v>
      </c>
      <c r="D2" t="str">
        <f>VLOOKUP($A2,ScionOutput!$A$3:$BL$215,23,FALSE)</f>
        <v>ATL</v>
      </c>
      <c r="E2">
        <f>VLOOKUP($A2,ScionOutput!$A$3:$BL$215,6,FALSE)</f>
        <v>22</v>
      </c>
      <c r="F2" t="str">
        <f>VLOOKUP($A2,ScionOutput!$A$3:$BL$215,7,FALSE)</f>
        <v>PIT</v>
      </c>
      <c r="G2">
        <f>VLOOKUP($A2,ScionOutput!$A$3:$BL$215,26,FALSE)</f>
        <v>-110</v>
      </c>
      <c r="H2">
        <f>VLOOKUP($A2,ScionOutput!$A$3:$BL$215,10,FALSE)</f>
        <v>100</v>
      </c>
      <c r="I2" t="str">
        <f>VLOOKUP($A2,ScionOutput!$A$3:$BL$215,58,FALSE)</f>
        <v>HomFave</v>
      </c>
      <c r="J2">
        <f>VLOOKUP($A2,ScionOutput!$A$3:$BL$215,59,FALSE)</f>
        <v>1.8370000000000001E-2</v>
      </c>
      <c r="K2">
        <f>VLOOKUP($A2,ScionOutput!$A$3:$BL$215,62,FALSE)</f>
        <v>1</v>
      </c>
      <c r="L2">
        <f>VLOOKUP($A2,ScionOutput!$A$3:$BL$215,63,FALSE)</f>
        <v>0.93</v>
      </c>
      <c r="M2" t="b">
        <f>ISNUMBER(SEARCH("Play determined by LineStatEns and StatOnlyEns agreement", Y2))</f>
        <v>1</v>
      </c>
      <c r="N2">
        <f>VLOOKUP($A2,Outcomes!$B$3:$I$209,8,FALSE)</f>
        <v>9</v>
      </c>
      <c r="O2">
        <f>IF(P2&gt;Q2,1,IF(P2&lt;Q2,-1,0))</f>
        <v>1</v>
      </c>
      <c r="P2">
        <f>VLOOKUP($A2,Outcomes!$B$3:$I$209,5,FALSE)</f>
        <v>6</v>
      </c>
      <c r="Q2">
        <f>VLOOKUP($A2,Outcomes!$B$3:$I$209,6,FALSE)</f>
        <v>3</v>
      </c>
      <c r="R2">
        <f>VLOOKUP($A2,Outcomes!$B$3:$I$209,7,FALSE)</f>
        <v>-3</v>
      </c>
      <c r="S2" t="str">
        <f>IF(R2=0,"Push",IF(G2&lt;H2,IF(R2&lt;0,"HomFave","VisDog"),IF(R2&gt;0,"VisFave","HomDog")))</f>
        <v>HomFave</v>
      </c>
      <c r="T2" t="str">
        <f>IF(OR(R2=0,I2="No Play",K2&lt;&gt;5),"",IF(S2=I2,1,0))</f>
        <v/>
      </c>
      <c r="U2" t="str">
        <f t="shared" ref="U2:U65" si="0">IF(T2="","",IF(G2&lt;H2,IF(I2="HomFave",ABS(G2),IF(H2&lt;0,ABS(H2),100)),IF(I2="VisFave",ABS(H2),IF(G2&lt;0,ABS(G2),100))))</f>
        <v/>
      </c>
      <c r="V2" t="str">
        <f>IF(T2="","",IF(T2=0,0,IF(G2&lt;H2,IF(I2="HomFave",U2+100,IF(H2&lt;0,100+U2,U2+ABS(H2))),IF(I2="VisFave",U2+100,IF(G2&lt;0,100+U2,U2+ABS(G2))))))</f>
        <v/>
      </c>
      <c r="W2" t="str">
        <f>IF(T2="","",V2-U2)</f>
        <v/>
      </c>
      <c r="X2" s="2" t="str">
        <f>IF(T2="","",W2/U2)</f>
        <v/>
      </c>
      <c r="Y2" t="str">
        <f>VLOOKUP($A2,ScionOutput!$A$3:$BL$215,64,FALSE)</f>
        <v xml:space="preserve">824915. Play determined by LineStatEns and StatOnlyEns agreement. </v>
      </c>
    </row>
    <row r="3" spans="1:25" x14ac:dyDescent="0.2">
      <c r="A3">
        <v>825075</v>
      </c>
      <c r="B3" s="3">
        <f>VLOOKUP($A3,ScionOutput!$A$3:$BL$215,3,FALSE)</f>
        <v>46179</v>
      </c>
      <c r="C3">
        <f>VLOOKUP($A3,ScionOutput!$A$3:$BL$215,22,FALSE)</f>
        <v>1</v>
      </c>
      <c r="D3" t="str">
        <f>VLOOKUP($A3,ScionOutput!$A$3:$BL$215,23,FALSE)</f>
        <v>ARZ</v>
      </c>
      <c r="E3">
        <f>VLOOKUP($A3,ScionOutput!$A$3:$BL$215,6,FALSE)</f>
        <v>16</v>
      </c>
      <c r="F3" t="str">
        <f>VLOOKUP($A3,ScionOutput!$A$3:$BL$215,7,FALSE)</f>
        <v>WAS</v>
      </c>
      <c r="G3">
        <f>VLOOKUP($A3,ScionOutput!$A$3:$BL$215,26,FALSE)</f>
        <v>-155</v>
      </c>
      <c r="H3">
        <f>VLOOKUP($A3,ScionOutput!$A$3:$BL$215,10,FALSE)</f>
        <v>140</v>
      </c>
      <c r="I3" t="str">
        <f>VLOOKUP($A3,ScionOutput!$A$3:$BL$215,58,FALSE)</f>
        <v>No Play</v>
      </c>
      <c r="J3">
        <f>VLOOKUP($A3,ScionOutput!$A$3:$BL$215,59,FALSE)</f>
        <v>0</v>
      </c>
      <c r="K3">
        <f>VLOOKUP($A3,ScionOutput!$A$3:$BL$215,62,FALSE)</f>
        <v>0</v>
      </c>
      <c r="L3">
        <f>VLOOKUP($A3,ScionOutput!$A$3:$BL$215,63,FALSE)</f>
        <v>0</v>
      </c>
      <c r="M3" t="b">
        <f t="shared" ref="M3:M66" si="1">ISNUMBER(SEARCH("Play determined by LineStatEns and StatOnlyEns agreement", Y3))</f>
        <v>0</v>
      </c>
      <c r="N3">
        <f>VLOOKUP($A3,Outcomes!$B$3:$I$209,8,FALSE)</f>
        <v>7</v>
      </c>
      <c r="O3">
        <f t="shared" ref="O3:O66" si="2">IF(P3&gt;Q3,1,IF(P3&lt;Q3,-1,0))</f>
        <v>-1</v>
      </c>
      <c r="P3">
        <f>VLOOKUP($A3,Outcomes!$B$3:$I$209,5,FALSE)</f>
        <v>1</v>
      </c>
      <c r="Q3">
        <f>VLOOKUP($A3,Outcomes!$B$3:$I$209,6,FALSE)</f>
        <v>6</v>
      </c>
      <c r="R3">
        <f>VLOOKUP($A3,Outcomes!$B$3:$I$209,7,FALSE)</f>
        <v>5</v>
      </c>
      <c r="S3" t="str">
        <f t="shared" ref="S3:S66" si="3">IF(R3=0,"Push",IF(G3&lt;H3,IF(R3&lt;0,"HomFave","VisDog"),IF(R3&gt;0,"VisFave","HomDog")))</f>
        <v>VisDog</v>
      </c>
      <c r="T3" t="str">
        <f t="shared" ref="T3:T66" si="4">IF(OR(R3=0,I3="No Play",K3&lt;&gt;5),"",IF(S3=I3,1,0))</f>
        <v/>
      </c>
      <c r="U3" t="str">
        <f t="shared" si="0"/>
        <v/>
      </c>
      <c r="V3" t="str">
        <f t="shared" ref="V3:V66" si="5">IF(T3="","",IF(T3=0,0,IF(G3&lt;H3,IF(I3="HomFave",U3+100,IF(H3&lt;0,100+U3,U3+ABS(H3))),IF(I3="VisFave",U3+100,IF(G3&lt;0,100+U3,U3+ABS(G3))))))</f>
        <v/>
      </c>
      <c r="W3" t="str">
        <f t="shared" ref="W3:W66" si="6">IF(T3="","",V3-U3)</f>
        <v/>
      </c>
      <c r="X3" s="2" t="str">
        <f t="shared" ref="X3:X66" si="7">IF(T3="","",W3/U3)</f>
        <v/>
      </c>
      <c r="Y3" t="str">
        <f>VLOOKUP($A3,ScionOutput!$A$3:$BL$215,64,FALSE)</f>
        <v xml:space="preserve">825075. LineStatEns is NoPlay as bookie-line outside range. StatOnlyEns is NoPlay as bookie-line outside range. No play due to strategy constraints. </v>
      </c>
    </row>
    <row r="4" spans="1:25" x14ac:dyDescent="0.2">
      <c r="A4">
        <v>824669</v>
      </c>
      <c r="B4" s="3">
        <f>VLOOKUP($A4,ScionOutput!$A$3:$BL$215,3,FALSE)</f>
        <v>46179</v>
      </c>
      <c r="C4">
        <f>VLOOKUP($A4,ScionOutput!$A$3:$BL$215,22,FALSE)</f>
        <v>5</v>
      </c>
      <c r="D4" t="str">
        <f>VLOOKUP($A4,ScionOutput!$A$3:$BL$215,23,FALSE)</f>
        <v>CHC</v>
      </c>
      <c r="E4">
        <f>VLOOKUP($A4,ScionOutput!$A$3:$BL$215,6,FALSE)</f>
        <v>25</v>
      </c>
      <c r="F4" t="str">
        <f>VLOOKUP($A4,ScionOutput!$A$3:$BL$215,7,FALSE)</f>
        <v>SF</v>
      </c>
      <c r="G4">
        <f>VLOOKUP($A4,ScionOutput!$A$3:$BL$215,26,FALSE)</f>
        <v>-140</v>
      </c>
      <c r="H4">
        <f>VLOOKUP($A4,ScionOutput!$A$3:$BL$215,10,FALSE)</f>
        <v>127</v>
      </c>
      <c r="I4" t="str">
        <f>VLOOKUP($A4,ScionOutput!$A$3:$BL$215,58,FALSE)</f>
        <v>No Play</v>
      </c>
      <c r="J4">
        <f>VLOOKUP($A4,ScionOutput!$A$3:$BL$215,59,FALSE)</f>
        <v>0</v>
      </c>
      <c r="K4">
        <f>VLOOKUP($A4,ScionOutput!$A$3:$BL$215,62,FALSE)</f>
        <v>0</v>
      </c>
      <c r="L4">
        <f>VLOOKUP($A4,ScionOutput!$A$3:$BL$215,63,FALSE)</f>
        <v>0</v>
      </c>
      <c r="M4" t="b">
        <f t="shared" si="1"/>
        <v>0</v>
      </c>
      <c r="N4">
        <f>VLOOKUP($A4,Outcomes!$B$3:$I$209,8,FALSE)</f>
        <v>5</v>
      </c>
      <c r="O4">
        <f t="shared" si="2"/>
        <v>1</v>
      </c>
      <c r="P4">
        <f>VLOOKUP($A4,Outcomes!$B$3:$I$209,5,FALSE)</f>
        <v>3</v>
      </c>
      <c r="Q4">
        <f>VLOOKUP($A4,Outcomes!$B$3:$I$209,6,FALSE)</f>
        <v>2</v>
      </c>
      <c r="R4">
        <f>VLOOKUP($A4,Outcomes!$B$3:$I$209,7,FALSE)</f>
        <v>-1</v>
      </c>
      <c r="S4" t="str">
        <f t="shared" si="3"/>
        <v>HomFave</v>
      </c>
      <c r="T4" t="str">
        <f t="shared" si="4"/>
        <v/>
      </c>
      <c r="U4" t="str">
        <f t="shared" si="0"/>
        <v/>
      </c>
      <c r="V4" t="str">
        <f t="shared" si="5"/>
        <v/>
      </c>
      <c r="W4" t="str">
        <f t="shared" si="6"/>
        <v/>
      </c>
      <c r="X4" s="2" t="str">
        <f t="shared" si="7"/>
        <v/>
      </c>
      <c r="Y4" t="str">
        <f>VLOOKUP($A4,ScionOutput!$A$3:$BL$215,64,FALSE)</f>
        <v xml:space="preserve">824669. LineStatEns probability points gap does not exceed threshold (no edge found)! StatOnlyEns probability points gap does not exceed threshold (no edge found)! No play due to strategy constraints. </v>
      </c>
    </row>
    <row r="5" spans="1:25" x14ac:dyDescent="0.2">
      <c r="A5">
        <v>824351</v>
      </c>
      <c r="B5" s="3">
        <f>VLOOKUP($A5,ScionOutput!$A$3:$BL$215,3,FALSE)</f>
        <v>46179</v>
      </c>
      <c r="C5">
        <f>VLOOKUP($A5,ScionOutput!$A$3:$BL$215,22,FALSE)</f>
        <v>8</v>
      </c>
      <c r="D5" t="str">
        <f>VLOOKUP($A5,ScionOutput!$A$3:$BL$215,23,FALSE)</f>
        <v>COL</v>
      </c>
      <c r="E5">
        <f>VLOOKUP($A5,ScionOutput!$A$3:$BL$215,6,FALSE)</f>
        <v>17</v>
      </c>
      <c r="F5" t="str">
        <f>VLOOKUP($A5,ScionOutput!$A$3:$BL$215,7,FALSE)</f>
        <v>MLW</v>
      </c>
      <c r="G5">
        <f>VLOOKUP($A5,ScionOutput!$A$3:$BL$215,26,FALSE)</f>
        <v>214</v>
      </c>
      <c r="H5">
        <f>VLOOKUP($A5,ScionOutput!$A$3:$BL$215,10,FALSE)</f>
        <v>-240</v>
      </c>
      <c r="I5" t="str">
        <f>VLOOKUP($A5,ScionOutput!$A$3:$BL$215,58,FALSE)</f>
        <v>No Play</v>
      </c>
      <c r="J5">
        <f>VLOOKUP($A5,ScionOutput!$A$3:$BL$215,59,FALSE)</f>
        <v>0</v>
      </c>
      <c r="K5">
        <f>VLOOKUP($A5,ScionOutput!$A$3:$BL$215,62,FALSE)</f>
        <v>0</v>
      </c>
      <c r="L5">
        <f>VLOOKUP($A5,ScionOutput!$A$3:$BL$215,63,FALSE)</f>
        <v>0</v>
      </c>
      <c r="M5" t="b">
        <f t="shared" si="1"/>
        <v>0</v>
      </c>
      <c r="N5">
        <f>VLOOKUP($A5,Outcomes!$B$3:$I$209,8,FALSE)</f>
        <v>8</v>
      </c>
      <c r="O5">
        <f t="shared" si="2"/>
        <v>-1</v>
      </c>
      <c r="P5">
        <f>VLOOKUP($A5,Outcomes!$B$3:$I$209,5,FALSE)</f>
        <v>1</v>
      </c>
      <c r="Q5">
        <f>VLOOKUP($A5,Outcomes!$B$3:$I$209,6,FALSE)</f>
        <v>7</v>
      </c>
      <c r="R5">
        <f>VLOOKUP($A5,Outcomes!$B$3:$I$209,7,FALSE)</f>
        <v>6</v>
      </c>
      <c r="S5" t="str">
        <f t="shared" si="3"/>
        <v>VisFave</v>
      </c>
      <c r="T5" t="str">
        <f t="shared" si="4"/>
        <v/>
      </c>
      <c r="U5" t="str">
        <f t="shared" si="0"/>
        <v/>
      </c>
      <c r="V5" t="str">
        <f t="shared" si="5"/>
        <v/>
      </c>
      <c r="W5" t="str">
        <f t="shared" si="6"/>
        <v/>
      </c>
      <c r="X5" s="2" t="str">
        <f t="shared" si="7"/>
        <v/>
      </c>
      <c r="Y5" t="str">
        <f>VLOOKUP($A5,ScionOutput!$A$3:$BL$215,64,FALSE)</f>
        <v xml:space="preserve">824351. LineStatEns is NoPlay as bookie-line outside range. StatOnlyEns is NoPlay as bookie-line outside range. No play due to strategy constraints. </v>
      </c>
    </row>
    <row r="6" spans="1:25" x14ac:dyDescent="0.2">
      <c r="A6">
        <v>824269</v>
      </c>
      <c r="B6" s="3">
        <f>VLOOKUP($A6,ScionOutput!$A$3:$BL$215,3,FALSE)</f>
        <v>46179</v>
      </c>
      <c r="C6">
        <f>VLOOKUP($A6,ScionOutput!$A$3:$BL$215,22,FALSE)</f>
        <v>10</v>
      </c>
      <c r="D6" t="str">
        <f>VLOOKUP($A6,ScionOutput!$A$3:$BL$215,23,FALSE)</f>
        <v>DET</v>
      </c>
      <c r="E6">
        <f>VLOOKUP($A6,ScionOutput!$A$3:$BL$215,6,FALSE)</f>
        <v>24</v>
      </c>
      <c r="F6" t="str">
        <f>VLOOKUP($A6,ScionOutput!$A$3:$BL$215,7,FALSE)</f>
        <v>SEA</v>
      </c>
      <c r="G6">
        <f>VLOOKUP($A6,ScionOutput!$A$3:$BL$215,26,FALSE)</f>
        <v>116</v>
      </c>
      <c r="H6">
        <f>VLOOKUP($A6,ScionOutput!$A$3:$BL$215,10,FALSE)</f>
        <v>-128</v>
      </c>
      <c r="I6" t="str">
        <f>VLOOKUP($A6,ScionOutput!$A$3:$BL$215,58,FALSE)</f>
        <v>No Play</v>
      </c>
      <c r="J6">
        <f>VLOOKUP($A6,ScionOutput!$A$3:$BL$215,59,FALSE)</f>
        <v>0</v>
      </c>
      <c r="K6">
        <f>VLOOKUP($A6,ScionOutput!$A$3:$BL$215,62,FALSE)</f>
        <v>0</v>
      </c>
      <c r="L6">
        <f>VLOOKUP($A6,ScionOutput!$A$3:$BL$215,63,FALSE)</f>
        <v>0</v>
      </c>
      <c r="M6" t="b">
        <f t="shared" si="1"/>
        <v>0</v>
      </c>
      <c r="N6">
        <f>VLOOKUP($A6,Outcomes!$B$3:$I$209,8,FALSE)</f>
        <v>4</v>
      </c>
      <c r="O6">
        <f t="shared" si="2"/>
        <v>-1</v>
      </c>
      <c r="P6">
        <f>VLOOKUP($A6,Outcomes!$B$3:$I$209,5,FALSE)</f>
        <v>0</v>
      </c>
      <c r="Q6">
        <f>VLOOKUP($A6,Outcomes!$B$3:$I$209,6,FALSE)</f>
        <v>4</v>
      </c>
      <c r="R6">
        <f>VLOOKUP($A6,Outcomes!$B$3:$I$209,7,FALSE)</f>
        <v>4</v>
      </c>
      <c r="S6" t="str">
        <f t="shared" si="3"/>
        <v>VisFave</v>
      </c>
      <c r="T6" t="str">
        <f t="shared" si="4"/>
        <v/>
      </c>
      <c r="U6" t="str">
        <f t="shared" si="0"/>
        <v/>
      </c>
      <c r="V6" t="str">
        <f t="shared" si="5"/>
        <v/>
      </c>
      <c r="W6" t="str">
        <f t="shared" si="6"/>
        <v/>
      </c>
      <c r="X6" s="2" t="str">
        <f t="shared" si="7"/>
        <v/>
      </c>
      <c r="Y6" t="str">
        <f>VLOOKUP($A6,ScionOutput!$A$3:$BL$215,64,FALSE)</f>
        <v xml:space="preserve">824269. VF plays are disallowed. No play due to strategy constraints. </v>
      </c>
    </row>
    <row r="7" spans="1:25" x14ac:dyDescent="0.2">
      <c r="A7">
        <v>823859</v>
      </c>
      <c r="B7" s="3">
        <f>VLOOKUP($A7,ScionOutput!$A$3:$BL$215,3,FALSE)</f>
        <v>46179</v>
      </c>
      <c r="C7">
        <f>VLOOKUP($A7,ScionOutput!$A$3:$BL$215,22,FALSE)</f>
        <v>11</v>
      </c>
      <c r="D7" t="str">
        <f>VLOOKUP($A7,ScionOutput!$A$3:$BL$215,23,FALSE)</f>
        <v>FLO</v>
      </c>
      <c r="E7">
        <f>VLOOKUP($A7,ScionOutput!$A$3:$BL$215,6,FALSE)</f>
        <v>27</v>
      </c>
      <c r="F7" t="str">
        <f>VLOOKUP($A7,ScionOutput!$A$3:$BL$215,7,FALSE)</f>
        <v>TB</v>
      </c>
      <c r="G7">
        <f>VLOOKUP($A7,ScionOutput!$A$3:$BL$215,26,FALSE)</f>
        <v>117</v>
      </c>
      <c r="H7">
        <f>VLOOKUP($A7,ScionOutput!$A$3:$BL$215,10,FALSE)</f>
        <v>-129</v>
      </c>
      <c r="I7" t="str">
        <f>VLOOKUP($A7,ScionOutput!$A$3:$BL$215,58,FALSE)</f>
        <v>No Play</v>
      </c>
      <c r="J7">
        <f>VLOOKUP($A7,ScionOutput!$A$3:$BL$215,59,FALSE)</f>
        <v>0</v>
      </c>
      <c r="K7">
        <f>VLOOKUP($A7,ScionOutput!$A$3:$BL$215,62,FALSE)</f>
        <v>0</v>
      </c>
      <c r="L7">
        <f>VLOOKUP($A7,ScionOutput!$A$3:$BL$215,63,FALSE)</f>
        <v>0</v>
      </c>
      <c r="M7" t="b">
        <f t="shared" si="1"/>
        <v>0</v>
      </c>
      <c r="N7">
        <f>VLOOKUP($A7,Outcomes!$B$3:$I$209,8,FALSE)</f>
        <v>7</v>
      </c>
      <c r="O7">
        <f t="shared" si="2"/>
        <v>1</v>
      </c>
      <c r="P7">
        <f>VLOOKUP($A7,Outcomes!$B$3:$I$209,5,FALSE)</f>
        <v>4</v>
      </c>
      <c r="Q7">
        <f>VLOOKUP($A7,Outcomes!$B$3:$I$209,6,FALSE)</f>
        <v>3</v>
      </c>
      <c r="R7">
        <f>VLOOKUP($A7,Outcomes!$B$3:$I$209,7,FALSE)</f>
        <v>-1</v>
      </c>
      <c r="S7" t="str">
        <f t="shared" si="3"/>
        <v>HomDog</v>
      </c>
      <c r="T7" t="str">
        <f t="shared" si="4"/>
        <v/>
      </c>
      <c r="U7" t="str">
        <f t="shared" si="0"/>
        <v/>
      </c>
      <c r="V7" t="str">
        <f t="shared" si="5"/>
        <v/>
      </c>
      <c r="W7" t="str">
        <f t="shared" si="6"/>
        <v/>
      </c>
      <c r="X7" s="2" t="str">
        <f t="shared" si="7"/>
        <v/>
      </c>
      <c r="Y7" t="str">
        <f>VLOOKUP($A7,ScionOutput!$A$3:$BL$215,64,FALSE)</f>
        <v xml:space="preserve">823859. VF plays are disallowed. No play due to strategy constraints. </v>
      </c>
    </row>
    <row r="8" spans="1:25" x14ac:dyDescent="0.2">
      <c r="A8">
        <v>824184</v>
      </c>
      <c r="B8" s="3">
        <f>VLOOKUP($A8,ScionOutput!$A$3:$BL$215,3,FALSE)</f>
        <v>46179</v>
      </c>
      <c r="C8">
        <f>VLOOKUP($A8,ScionOutput!$A$3:$BL$215,22,FALSE)</f>
        <v>12</v>
      </c>
      <c r="D8" t="str">
        <f>VLOOKUP($A8,ScionOutput!$A$3:$BL$215,23,FALSE)</f>
        <v>HOU</v>
      </c>
      <c r="E8">
        <f>VLOOKUP($A8,ScionOutput!$A$3:$BL$215,6,FALSE)</f>
        <v>20</v>
      </c>
      <c r="F8" t="str">
        <f>VLOOKUP($A8,ScionOutput!$A$3:$BL$215,7,FALSE)</f>
        <v>OAK</v>
      </c>
      <c r="G8">
        <f>VLOOKUP($A8,ScionOutput!$A$3:$BL$215,26,FALSE)</f>
        <v>-107</v>
      </c>
      <c r="H8">
        <f>VLOOKUP($A8,ScionOutput!$A$3:$BL$215,10,FALSE)</f>
        <v>-103</v>
      </c>
      <c r="I8" t="str">
        <f>VLOOKUP($A8,ScionOutput!$A$3:$BL$215,58,FALSE)</f>
        <v>No Play</v>
      </c>
      <c r="J8">
        <f>VLOOKUP($A8,ScionOutput!$A$3:$BL$215,59,FALSE)</f>
        <v>0</v>
      </c>
      <c r="K8">
        <f>VLOOKUP($A8,ScionOutput!$A$3:$BL$215,62,FALSE)</f>
        <v>0</v>
      </c>
      <c r="L8">
        <f>VLOOKUP($A8,ScionOutput!$A$3:$BL$215,63,FALSE)</f>
        <v>0</v>
      </c>
      <c r="M8" t="b">
        <f t="shared" si="1"/>
        <v>0</v>
      </c>
      <c r="N8">
        <f>VLOOKUP($A8,Outcomes!$B$3:$I$209,8,FALSE)</f>
        <v>15</v>
      </c>
      <c r="O8">
        <f t="shared" si="2"/>
        <v>1</v>
      </c>
      <c r="P8">
        <f>VLOOKUP($A8,Outcomes!$B$3:$I$209,5,FALSE)</f>
        <v>13</v>
      </c>
      <c r="Q8">
        <f>VLOOKUP($A8,Outcomes!$B$3:$I$209,6,FALSE)</f>
        <v>2</v>
      </c>
      <c r="R8">
        <f>VLOOKUP($A8,Outcomes!$B$3:$I$209,7,FALSE)</f>
        <v>-11</v>
      </c>
      <c r="S8" t="str">
        <f t="shared" si="3"/>
        <v>HomFave</v>
      </c>
      <c r="T8" t="str">
        <f t="shared" si="4"/>
        <v/>
      </c>
      <c r="U8" t="str">
        <f t="shared" si="0"/>
        <v/>
      </c>
      <c r="V8" t="str">
        <f t="shared" si="5"/>
        <v/>
      </c>
      <c r="W8" t="str">
        <f t="shared" si="6"/>
        <v/>
      </c>
      <c r="X8" s="2" t="str">
        <f t="shared" si="7"/>
        <v/>
      </c>
      <c r="Y8" t="str">
        <f>VLOOKUP($A8,ScionOutput!$A$3:$BL$215,64,FALSE)</f>
        <v xml:space="preserve">824184. V_SP is Null, team-based avg used. NoPlay as V_SP is Null. </v>
      </c>
    </row>
    <row r="9" spans="1:25" x14ac:dyDescent="0.2">
      <c r="A9">
        <v>823942</v>
      </c>
      <c r="B9" s="3">
        <f>VLOOKUP($A9,ScionOutput!$A$3:$BL$215,3,FALSE)</f>
        <v>46179</v>
      </c>
      <c r="C9">
        <f>VLOOKUP($A9,ScionOutput!$A$3:$BL$215,22,FALSE)</f>
        <v>14</v>
      </c>
      <c r="D9" t="str">
        <f>VLOOKUP($A9,ScionOutput!$A$3:$BL$215,23,FALSE)</f>
        <v>LA</v>
      </c>
      <c r="E9">
        <f>VLOOKUP($A9,ScionOutput!$A$3:$BL$215,6,FALSE)</f>
        <v>4</v>
      </c>
      <c r="F9" t="str">
        <f>VLOOKUP($A9,ScionOutput!$A$3:$BL$215,7,FALSE)</f>
        <v>LAA</v>
      </c>
      <c r="G9">
        <f>VLOOKUP($A9,ScionOutput!$A$3:$BL$215,26,FALSE)</f>
        <v>-312</v>
      </c>
      <c r="H9">
        <f>VLOOKUP($A9,ScionOutput!$A$3:$BL$215,10,FALSE)</f>
        <v>275</v>
      </c>
      <c r="I9" t="str">
        <f>VLOOKUP($A9,ScionOutput!$A$3:$BL$215,58,FALSE)</f>
        <v>No Play</v>
      </c>
      <c r="J9">
        <f>VLOOKUP($A9,ScionOutput!$A$3:$BL$215,59,FALSE)</f>
        <v>0</v>
      </c>
      <c r="K9">
        <f>VLOOKUP($A9,ScionOutput!$A$3:$BL$215,62,FALSE)</f>
        <v>0</v>
      </c>
      <c r="L9">
        <f>VLOOKUP($A9,ScionOutput!$A$3:$BL$215,63,FALSE)</f>
        <v>0</v>
      </c>
      <c r="M9" t="b">
        <f t="shared" si="1"/>
        <v>0</v>
      </c>
      <c r="N9">
        <f>VLOOKUP($A9,Outcomes!$B$3:$I$209,8,FALSE)</f>
        <v>11</v>
      </c>
      <c r="O9">
        <f t="shared" si="2"/>
        <v>1</v>
      </c>
      <c r="P9">
        <f>VLOOKUP($A9,Outcomes!$B$3:$I$209,5,FALSE)</f>
        <v>9</v>
      </c>
      <c r="Q9">
        <f>VLOOKUP($A9,Outcomes!$B$3:$I$209,6,FALSE)</f>
        <v>2</v>
      </c>
      <c r="R9">
        <f>VLOOKUP($A9,Outcomes!$B$3:$I$209,7,FALSE)</f>
        <v>-7</v>
      </c>
      <c r="S9" t="str">
        <f t="shared" si="3"/>
        <v>HomFave</v>
      </c>
      <c r="T9" t="str">
        <f t="shared" si="4"/>
        <v/>
      </c>
      <c r="U9" t="str">
        <f t="shared" si="0"/>
        <v/>
      </c>
      <c r="V9" t="str">
        <f t="shared" si="5"/>
        <v/>
      </c>
      <c r="W9" t="str">
        <f t="shared" si="6"/>
        <v/>
      </c>
      <c r="X9" s="2" t="str">
        <f t="shared" si="7"/>
        <v/>
      </c>
      <c r="Y9" t="str">
        <f>VLOOKUP($A9,ScionOutput!$A$3:$BL$215,64,FALSE)</f>
        <v xml:space="preserve">823942. LineStatEns is NoPlay as bookie-line outside range. StatOnlyEns is NoPlay as bookie-line outside range. No play due to strategy constraints. </v>
      </c>
    </row>
    <row r="10" spans="1:25" x14ac:dyDescent="0.2">
      <c r="A10">
        <v>823697</v>
      </c>
      <c r="B10" s="3">
        <f>VLOOKUP($A10,ScionOutput!$A$3:$BL$215,3,FALSE)</f>
        <v>46179</v>
      </c>
      <c r="C10">
        <f>VLOOKUP($A10,ScionOutput!$A$3:$BL$215,22,FALSE)</f>
        <v>15</v>
      </c>
      <c r="D10" t="str">
        <f>VLOOKUP($A10,ScionOutput!$A$3:$BL$215,23,FALSE)</f>
        <v>MIN</v>
      </c>
      <c r="E10">
        <f>VLOOKUP($A10,ScionOutput!$A$3:$BL$215,6,FALSE)</f>
        <v>13</v>
      </c>
      <c r="F10" t="str">
        <f>VLOOKUP($A10,ScionOutput!$A$3:$BL$215,7,FALSE)</f>
        <v>KC</v>
      </c>
      <c r="G10">
        <f>VLOOKUP($A10,ScionOutput!$A$3:$BL$215,26,FALSE)</f>
        <v>-145</v>
      </c>
      <c r="H10">
        <f>VLOOKUP($A10,ScionOutput!$A$3:$BL$215,10,FALSE)</f>
        <v>131</v>
      </c>
      <c r="I10" t="str">
        <f>VLOOKUP($A10,ScionOutput!$A$3:$BL$215,58,FALSE)</f>
        <v>No Play</v>
      </c>
      <c r="J10">
        <f>VLOOKUP($A10,ScionOutput!$A$3:$BL$215,59,FALSE)</f>
        <v>0</v>
      </c>
      <c r="K10">
        <f>VLOOKUP($A10,ScionOutput!$A$3:$BL$215,62,FALSE)</f>
        <v>0</v>
      </c>
      <c r="L10">
        <f>VLOOKUP($A10,ScionOutput!$A$3:$BL$215,63,FALSE)</f>
        <v>0</v>
      </c>
      <c r="M10" t="b">
        <f t="shared" si="1"/>
        <v>0</v>
      </c>
      <c r="N10">
        <f>VLOOKUP($A10,Outcomes!$B$3:$I$209,8,FALSE)</f>
        <v>5</v>
      </c>
      <c r="O10">
        <f t="shared" si="2"/>
        <v>-1</v>
      </c>
      <c r="P10">
        <f>VLOOKUP($A10,Outcomes!$B$3:$I$209,5,FALSE)</f>
        <v>2</v>
      </c>
      <c r="Q10">
        <f>VLOOKUP($A10,Outcomes!$B$3:$I$209,6,FALSE)</f>
        <v>3</v>
      </c>
      <c r="R10">
        <f>VLOOKUP($A10,Outcomes!$B$3:$I$209,7,FALSE)</f>
        <v>1</v>
      </c>
      <c r="S10" t="str">
        <f t="shared" si="3"/>
        <v>VisDog</v>
      </c>
      <c r="T10" t="str">
        <f t="shared" si="4"/>
        <v/>
      </c>
      <c r="U10" t="str">
        <f t="shared" si="0"/>
        <v/>
      </c>
      <c r="V10" t="str">
        <f t="shared" si="5"/>
        <v/>
      </c>
      <c r="W10" t="str">
        <f t="shared" si="6"/>
        <v/>
      </c>
      <c r="X10" s="2" t="str">
        <f t="shared" si="7"/>
        <v/>
      </c>
      <c r="Y10" t="str">
        <f>VLOOKUP($A10,ScionOutput!$A$3:$BL$215,64,FALSE)</f>
        <v xml:space="preserve">823697. LineStatEns probability points gap does not exceed threshold (no edge found)! StatOnlyEns probability points gap does not exceed threshold (no edge found)! No play due to strategy constraints. </v>
      </c>
    </row>
    <row r="11" spans="1:25" x14ac:dyDescent="0.2">
      <c r="A11">
        <v>823454</v>
      </c>
      <c r="B11" s="3">
        <f>VLOOKUP($A11,ScionOutput!$A$3:$BL$215,3,FALSE)</f>
        <v>46179</v>
      </c>
      <c r="C11">
        <f>VLOOKUP($A11,ScionOutput!$A$3:$BL$215,22,FALSE)</f>
        <v>21</v>
      </c>
      <c r="D11" t="str">
        <f>VLOOKUP($A11,ScionOutput!$A$3:$BL$215,23,FALSE)</f>
        <v>PHI</v>
      </c>
      <c r="E11">
        <f>VLOOKUP($A11,ScionOutput!$A$3:$BL$215,6,FALSE)</f>
        <v>9</v>
      </c>
      <c r="F11" t="str">
        <f>VLOOKUP($A11,ScionOutput!$A$3:$BL$215,7,FALSE)</f>
        <v>CWS</v>
      </c>
      <c r="G11">
        <f>VLOOKUP($A11,ScionOutput!$A$3:$BL$215,26,FALSE)</f>
        <v>-123</v>
      </c>
      <c r="H11">
        <f>VLOOKUP($A11,ScionOutput!$A$3:$BL$215,10,FALSE)</f>
        <v>112</v>
      </c>
      <c r="I11" t="str">
        <f>VLOOKUP($A11,ScionOutput!$A$3:$BL$215,58,FALSE)</f>
        <v>No Play</v>
      </c>
      <c r="J11">
        <f>VLOOKUP($A11,ScionOutput!$A$3:$BL$215,59,FALSE)</f>
        <v>0</v>
      </c>
      <c r="K11">
        <f>VLOOKUP($A11,ScionOutput!$A$3:$BL$215,62,FALSE)</f>
        <v>0</v>
      </c>
      <c r="L11">
        <f>VLOOKUP($A11,ScionOutput!$A$3:$BL$215,63,FALSE)</f>
        <v>0</v>
      </c>
      <c r="M11" t="b">
        <f t="shared" si="1"/>
        <v>0</v>
      </c>
      <c r="N11">
        <f>VLOOKUP($A11,Outcomes!$B$3:$I$209,8,FALSE)</f>
        <v>9</v>
      </c>
      <c r="O11">
        <f t="shared" si="2"/>
        <v>-1</v>
      </c>
      <c r="P11">
        <f>VLOOKUP($A11,Outcomes!$B$3:$I$209,5,FALSE)</f>
        <v>3</v>
      </c>
      <c r="Q11">
        <f>VLOOKUP($A11,Outcomes!$B$3:$I$209,6,FALSE)</f>
        <v>6</v>
      </c>
      <c r="R11">
        <f>VLOOKUP($A11,Outcomes!$B$3:$I$209,7,FALSE)</f>
        <v>3</v>
      </c>
      <c r="S11" t="str">
        <f t="shared" si="3"/>
        <v>VisDog</v>
      </c>
      <c r="T11" t="str">
        <f t="shared" si="4"/>
        <v/>
      </c>
      <c r="U11" t="str">
        <f t="shared" si="0"/>
        <v/>
      </c>
      <c r="V11" t="str">
        <f t="shared" si="5"/>
        <v/>
      </c>
      <c r="W11" t="str">
        <f t="shared" si="6"/>
        <v/>
      </c>
      <c r="X11" s="2" t="str">
        <f t="shared" si="7"/>
        <v/>
      </c>
      <c r="Y11" t="str">
        <f>VLOOKUP($A11,ScionOutput!$A$3:$BL$215,64,FALSE)</f>
        <v xml:space="preserve">823454. LineStatEns probability points gap does not exceed threshold (no edge found)! No play due to strategy constraints. </v>
      </c>
    </row>
    <row r="12" spans="1:25" x14ac:dyDescent="0.2">
      <c r="A12">
        <v>823292</v>
      </c>
      <c r="B12" s="3">
        <f>VLOOKUP($A12,ScionOutput!$A$3:$BL$215,3,FALSE)</f>
        <v>46179</v>
      </c>
      <c r="C12">
        <f>VLOOKUP($A12,ScionOutput!$A$3:$BL$215,22,FALSE)</f>
        <v>23</v>
      </c>
      <c r="D12" t="str">
        <f>VLOOKUP($A12,ScionOutput!$A$3:$BL$215,23,FALSE)</f>
        <v>SD</v>
      </c>
      <c r="E12">
        <f>VLOOKUP($A12,ScionOutput!$A$3:$BL$215,6,FALSE)</f>
        <v>18</v>
      </c>
      <c r="F12" t="str">
        <f>VLOOKUP($A12,ScionOutput!$A$3:$BL$215,7,FALSE)</f>
        <v>NYM</v>
      </c>
      <c r="G12">
        <f>VLOOKUP($A12,ScionOutput!$A$3:$BL$215,26,FALSE)</f>
        <v>104</v>
      </c>
      <c r="H12">
        <f>VLOOKUP($A12,ScionOutput!$A$3:$BL$215,10,FALSE)</f>
        <v>-115</v>
      </c>
      <c r="I12" t="str">
        <f>VLOOKUP($A12,ScionOutput!$A$3:$BL$215,58,FALSE)</f>
        <v>No Play</v>
      </c>
      <c r="J12">
        <f>VLOOKUP($A12,ScionOutput!$A$3:$BL$215,59,FALSE)</f>
        <v>0</v>
      </c>
      <c r="K12">
        <f>VLOOKUP($A12,ScionOutput!$A$3:$BL$215,62,FALSE)</f>
        <v>0</v>
      </c>
      <c r="L12">
        <f>VLOOKUP($A12,ScionOutput!$A$3:$BL$215,63,FALSE)</f>
        <v>0</v>
      </c>
      <c r="M12" t="b">
        <f t="shared" si="1"/>
        <v>0</v>
      </c>
      <c r="N12">
        <f>VLOOKUP($A12,Outcomes!$B$3:$I$209,8,FALSE)</f>
        <v>5</v>
      </c>
      <c r="O12">
        <f t="shared" si="2"/>
        <v>1</v>
      </c>
      <c r="P12">
        <f>VLOOKUP($A12,Outcomes!$B$3:$I$209,5,FALSE)</f>
        <v>3</v>
      </c>
      <c r="Q12">
        <f>VLOOKUP($A12,Outcomes!$B$3:$I$209,6,FALSE)</f>
        <v>2</v>
      </c>
      <c r="R12">
        <f>VLOOKUP($A12,Outcomes!$B$3:$I$209,7,FALSE)</f>
        <v>-1</v>
      </c>
      <c r="S12" t="str">
        <f t="shared" si="3"/>
        <v>HomDog</v>
      </c>
      <c r="T12" t="str">
        <f t="shared" si="4"/>
        <v/>
      </c>
      <c r="U12" t="str">
        <f t="shared" si="0"/>
        <v/>
      </c>
      <c r="V12" t="str">
        <f t="shared" si="5"/>
        <v/>
      </c>
      <c r="W12" t="str">
        <f t="shared" si="6"/>
        <v/>
      </c>
      <c r="X12" s="2" t="str">
        <f t="shared" si="7"/>
        <v/>
      </c>
      <c r="Y12" t="str">
        <f>VLOOKUP($A12,ScionOutput!$A$3:$BL$215,64,FALSE)</f>
        <v xml:space="preserve">823292. VF plays are disallowed. No play due to strategy constraints. </v>
      </c>
    </row>
    <row r="13" spans="1:25" x14ac:dyDescent="0.2">
      <c r="A13">
        <v>823048</v>
      </c>
      <c r="B13" s="3">
        <f>VLOOKUP($A13,ScionOutput!$A$3:$BL$215,3,FALSE)</f>
        <v>46179</v>
      </c>
      <c r="C13">
        <f>VLOOKUP($A13,ScionOutput!$A$3:$BL$215,22,FALSE)</f>
        <v>26</v>
      </c>
      <c r="D13" t="str">
        <f>VLOOKUP($A13,ScionOutput!$A$3:$BL$215,23,FALSE)</f>
        <v>STL</v>
      </c>
      <c r="E13">
        <f>VLOOKUP($A13,ScionOutput!$A$3:$BL$215,6,FALSE)</f>
        <v>6</v>
      </c>
      <c r="F13" t="str">
        <f>VLOOKUP($A13,ScionOutput!$A$3:$BL$215,7,FALSE)</f>
        <v>CIN</v>
      </c>
      <c r="G13">
        <f>VLOOKUP($A13,ScionOutput!$A$3:$BL$215,26,FALSE)</f>
        <v>-125</v>
      </c>
      <c r="H13">
        <f>VLOOKUP($A13,ScionOutput!$A$3:$BL$215,10,FALSE)</f>
        <v>113</v>
      </c>
      <c r="I13" t="str">
        <f>VLOOKUP($A13,ScionOutput!$A$3:$BL$215,58,FALSE)</f>
        <v>No Play</v>
      </c>
      <c r="J13">
        <f>VLOOKUP($A13,ScionOutput!$A$3:$BL$215,59,FALSE)</f>
        <v>0</v>
      </c>
      <c r="K13">
        <f>VLOOKUP($A13,ScionOutput!$A$3:$BL$215,62,FALSE)</f>
        <v>0</v>
      </c>
      <c r="L13">
        <f>VLOOKUP($A13,ScionOutput!$A$3:$BL$215,63,FALSE)</f>
        <v>0</v>
      </c>
      <c r="M13" t="b">
        <f t="shared" si="1"/>
        <v>0</v>
      </c>
      <c r="N13">
        <f>VLOOKUP($A13,Outcomes!$B$3:$I$209,8,FALSE)</f>
        <v>11</v>
      </c>
      <c r="O13">
        <f t="shared" si="2"/>
        <v>1</v>
      </c>
      <c r="P13">
        <f>VLOOKUP($A13,Outcomes!$B$3:$I$209,5,FALSE)</f>
        <v>6</v>
      </c>
      <c r="Q13">
        <f>VLOOKUP($A13,Outcomes!$B$3:$I$209,6,FALSE)</f>
        <v>5</v>
      </c>
      <c r="R13">
        <f>VLOOKUP($A13,Outcomes!$B$3:$I$209,7,FALSE)</f>
        <v>-1</v>
      </c>
      <c r="S13" t="str">
        <f t="shared" si="3"/>
        <v>HomFave</v>
      </c>
      <c r="T13" t="str">
        <f t="shared" si="4"/>
        <v/>
      </c>
      <c r="U13" t="str">
        <f t="shared" si="0"/>
        <v/>
      </c>
      <c r="V13" t="str">
        <f t="shared" si="5"/>
        <v/>
      </c>
      <c r="W13" t="str">
        <f t="shared" si="6"/>
        <v/>
      </c>
      <c r="X13" s="2" t="str">
        <f t="shared" si="7"/>
        <v/>
      </c>
      <c r="Y13" t="str">
        <f>VLOOKUP($A13,ScionOutput!$A$3:$BL$215,64,FALSE)</f>
        <v xml:space="preserve">823048. LineStatEns probability points gap does not exceed threshold (no edge found)! StatOnlyEns probability points gap does not exceed threshold (no edge found)! No play due to strategy constraints. </v>
      </c>
    </row>
    <row r="14" spans="1:25" x14ac:dyDescent="0.2">
      <c r="A14">
        <v>822891</v>
      </c>
      <c r="B14" s="3">
        <f>VLOOKUP($A14,ScionOutput!$A$3:$BL$215,3,FALSE)</f>
        <v>46179</v>
      </c>
      <c r="C14">
        <f>VLOOKUP($A14,ScionOutput!$A$3:$BL$215,22,FALSE)</f>
        <v>28</v>
      </c>
      <c r="D14" t="str">
        <f>VLOOKUP($A14,ScionOutput!$A$3:$BL$215,23,FALSE)</f>
        <v>TEX</v>
      </c>
      <c r="E14">
        <f>VLOOKUP($A14,ScionOutput!$A$3:$BL$215,6,FALSE)</f>
        <v>7</v>
      </c>
      <c r="F14" t="str">
        <f>VLOOKUP($A14,ScionOutput!$A$3:$BL$215,7,FALSE)</f>
        <v>CLE</v>
      </c>
      <c r="G14">
        <f>VLOOKUP($A14,ScionOutput!$A$3:$BL$215,26,FALSE)</f>
        <v>-107</v>
      </c>
      <c r="H14">
        <f>VLOOKUP($A14,ScionOutput!$A$3:$BL$215,10,FALSE)</f>
        <v>-103</v>
      </c>
      <c r="I14" t="str">
        <f>VLOOKUP($A14,ScionOutput!$A$3:$BL$215,58,FALSE)</f>
        <v>No Play</v>
      </c>
      <c r="J14">
        <f>VLOOKUP($A14,ScionOutput!$A$3:$BL$215,59,FALSE)</f>
        <v>0</v>
      </c>
      <c r="K14">
        <f>VLOOKUP($A14,ScionOutput!$A$3:$BL$215,62,FALSE)</f>
        <v>0</v>
      </c>
      <c r="L14">
        <f>VLOOKUP($A14,ScionOutput!$A$3:$BL$215,63,FALSE)</f>
        <v>0</v>
      </c>
      <c r="M14" t="b">
        <f t="shared" si="1"/>
        <v>0</v>
      </c>
      <c r="N14">
        <f>VLOOKUP($A14,Outcomes!$B$3:$I$209,8,FALSE)</f>
        <v>6</v>
      </c>
      <c r="O14">
        <f t="shared" si="2"/>
        <v>-1</v>
      </c>
      <c r="P14">
        <f>VLOOKUP($A14,Outcomes!$B$3:$I$209,5,FALSE)</f>
        <v>0</v>
      </c>
      <c r="Q14">
        <f>VLOOKUP($A14,Outcomes!$B$3:$I$209,6,FALSE)</f>
        <v>6</v>
      </c>
      <c r="R14">
        <f>VLOOKUP($A14,Outcomes!$B$3:$I$209,7,FALSE)</f>
        <v>6</v>
      </c>
      <c r="S14" t="str">
        <f t="shared" si="3"/>
        <v>VisDog</v>
      </c>
      <c r="T14" t="str">
        <f t="shared" si="4"/>
        <v/>
      </c>
      <c r="U14" t="str">
        <f t="shared" si="0"/>
        <v/>
      </c>
      <c r="V14" t="str">
        <f t="shared" si="5"/>
        <v/>
      </c>
      <c r="W14" t="str">
        <f t="shared" si="6"/>
        <v/>
      </c>
      <c r="X14" s="2" t="str">
        <f t="shared" si="7"/>
        <v/>
      </c>
      <c r="Y14" t="str">
        <f>VLOOKUP($A14,ScionOutput!$A$3:$BL$215,64,FALSE)</f>
        <v xml:space="preserve">822891. LineStatEns probability points gap does not exceed threshold (no edge found)! No play due to strategy constraints. </v>
      </c>
    </row>
    <row r="15" spans="1:25" x14ac:dyDescent="0.2">
      <c r="A15">
        <v>822808</v>
      </c>
      <c r="B15" s="3">
        <f>VLOOKUP($A15,ScionOutput!$A$3:$BL$215,3,FALSE)</f>
        <v>46179</v>
      </c>
      <c r="C15">
        <f>VLOOKUP($A15,ScionOutput!$A$3:$BL$215,22,FALSE)</f>
        <v>29</v>
      </c>
      <c r="D15" t="str">
        <f>VLOOKUP($A15,ScionOutput!$A$3:$BL$215,23,FALSE)</f>
        <v>TOR</v>
      </c>
      <c r="E15">
        <f>VLOOKUP($A15,ScionOutput!$A$3:$BL$215,6,FALSE)</f>
        <v>2</v>
      </c>
      <c r="F15" t="str">
        <f>VLOOKUP($A15,ScionOutput!$A$3:$BL$215,7,FALSE)</f>
        <v>BAL</v>
      </c>
      <c r="G15">
        <f>VLOOKUP($A15,ScionOutput!$A$3:$BL$215,26,FALSE)</f>
        <v>-103</v>
      </c>
      <c r="H15">
        <f>VLOOKUP($A15,ScionOutput!$A$3:$BL$215,10,FALSE)</f>
        <v>-107</v>
      </c>
      <c r="I15" t="str">
        <f>VLOOKUP($A15,ScionOutput!$A$3:$BL$215,58,FALSE)</f>
        <v>No Play</v>
      </c>
      <c r="J15">
        <f>VLOOKUP($A15,ScionOutput!$A$3:$BL$215,59,FALSE)</f>
        <v>0</v>
      </c>
      <c r="K15">
        <f>VLOOKUP($A15,ScionOutput!$A$3:$BL$215,62,FALSE)</f>
        <v>0</v>
      </c>
      <c r="L15">
        <f>VLOOKUP($A15,ScionOutput!$A$3:$BL$215,63,FALSE)</f>
        <v>0</v>
      </c>
      <c r="M15" t="b">
        <f t="shared" si="1"/>
        <v>0</v>
      </c>
      <c r="N15">
        <f>VLOOKUP($A15,Outcomes!$B$3:$I$209,8,FALSE)</f>
        <v>10</v>
      </c>
      <c r="O15">
        <f t="shared" si="2"/>
        <v>1</v>
      </c>
      <c r="P15">
        <f>VLOOKUP($A15,Outcomes!$B$3:$I$209,5,FALSE)</f>
        <v>6</v>
      </c>
      <c r="Q15">
        <f>VLOOKUP($A15,Outcomes!$B$3:$I$209,6,FALSE)</f>
        <v>4</v>
      </c>
      <c r="R15">
        <f>VLOOKUP($A15,Outcomes!$B$3:$I$209,7,FALSE)</f>
        <v>-2</v>
      </c>
      <c r="S15" t="str">
        <f t="shared" si="3"/>
        <v>HomDog</v>
      </c>
      <c r="T15" t="str">
        <f t="shared" si="4"/>
        <v/>
      </c>
      <c r="U15" t="str">
        <f t="shared" si="0"/>
        <v/>
      </c>
      <c r="V15" t="str">
        <f t="shared" si="5"/>
        <v/>
      </c>
      <c r="W15" t="str">
        <f t="shared" si="6"/>
        <v/>
      </c>
      <c r="X15" s="2" t="str">
        <f t="shared" si="7"/>
        <v/>
      </c>
      <c r="Y15" t="str">
        <f>VLOOKUP($A15,ScionOutput!$A$3:$BL$215,64,FALSE)</f>
        <v xml:space="preserve">822808. VF plays are disallowed. No play due to strategy constraints. </v>
      </c>
    </row>
    <row r="16" spans="1:25" x14ac:dyDescent="0.2">
      <c r="A16">
        <v>824916</v>
      </c>
      <c r="B16" s="3">
        <f>VLOOKUP($A16,ScionOutput!$A$3:$BL$215,3,FALSE)</f>
        <v>46180</v>
      </c>
      <c r="C16">
        <f>VLOOKUP($A16,ScionOutput!$A$3:$BL$215,22,FALSE)</f>
        <v>0</v>
      </c>
      <c r="D16" t="str">
        <f>VLOOKUP($A16,ScionOutput!$A$3:$BL$215,23,FALSE)</f>
        <v>ATL</v>
      </c>
      <c r="E16">
        <f>VLOOKUP($A16,ScionOutput!$A$3:$BL$215,6,FALSE)</f>
        <v>22</v>
      </c>
      <c r="F16" t="str">
        <f>VLOOKUP($A16,ScionOutput!$A$3:$BL$215,7,FALSE)</f>
        <v>PIT</v>
      </c>
      <c r="G16">
        <f>VLOOKUP($A16,ScionOutput!$A$3:$BL$215,26,FALSE)</f>
        <v>-145</v>
      </c>
      <c r="H16">
        <f>VLOOKUP($A16,ScionOutput!$A$3:$BL$215,10,FALSE)</f>
        <v>133</v>
      </c>
      <c r="I16" t="str">
        <f>VLOOKUP($A16,ScionOutput!$A$3:$BL$215,58,FALSE)</f>
        <v>No Play</v>
      </c>
      <c r="J16">
        <f>VLOOKUP($A16,ScionOutput!$A$3:$BL$215,59,FALSE)</f>
        <v>0</v>
      </c>
      <c r="K16">
        <f>VLOOKUP($A16,ScionOutput!$A$3:$BL$215,62,FALSE)</f>
        <v>0</v>
      </c>
      <c r="L16">
        <f>VLOOKUP($A16,ScionOutput!$A$3:$BL$215,63,FALSE)</f>
        <v>0</v>
      </c>
      <c r="M16" t="b">
        <f t="shared" si="1"/>
        <v>0</v>
      </c>
      <c r="N16">
        <f>VLOOKUP($A16,Outcomes!$B$3:$I$209,8,FALSE)</f>
        <v>5</v>
      </c>
      <c r="O16">
        <f t="shared" si="2"/>
        <v>1</v>
      </c>
      <c r="P16">
        <f>VLOOKUP($A16,Outcomes!$B$3:$I$209,5,FALSE)</f>
        <v>3</v>
      </c>
      <c r="Q16">
        <f>VLOOKUP($A16,Outcomes!$B$3:$I$209,6,FALSE)</f>
        <v>2</v>
      </c>
      <c r="R16">
        <f>VLOOKUP($A16,Outcomes!$B$3:$I$209,7,FALSE)</f>
        <v>-1</v>
      </c>
      <c r="S16" t="str">
        <f t="shared" si="3"/>
        <v>HomFave</v>
      </c>
      <c r="T16" t="str">
        <f t="shared" si="4"/>
        <v/>
      </c>
      <c r="U16" t="str">
        <f t="shared" si="0"/>
        <v/>
      </c>
      <c r="V16" t="str">
        <f t="shared" si="5"/>
        <v/>
      </c>
      <c r="W16" t="str">
        <f t="shared" si="6"/>
        <v/>
      </c>
      <c r="X16" s="2" t="str">
        <f t="shared" si="7"/>
        <v/>
      </c>
      <c r="Y16" t="str">
        <f>VLOOKUP($A16,ScionOutput!$A$3:$BL$215,64,FALSE)</f>
        <v xml:space="preserve">824916. LineStatEns probability points gap does not exceed threshold (no edge found)! StatOnlyEns probability points gap does not exceed threshold (no edge found)! No play due to strategy constraints. </v>
      </c>
    </row>
    <row r="17" spans="1:25" x14ac:dyDescent="0.2">
      <c r="A17">
        <v>825074</v>
      </c>
      <c r="B17" s="3">
        <f>VLOOKUP($A17,ScionOutput!$A$3:$BL$215,3,FALSE)</f>
        <v>46180</v>
      </c>
      <c r="C17">
        <f>VLOOKUP($A17,ScionOutput!$A$3:$BL$215,22,FALSE)</f>
        <v>1</v>
      </c>
      <c r="D17" t="str">
        <f>VLOOKUP($A17,ScionOutput!$A$3:$BL$215,23,FALSE)</f>
        <v>ARZ</v>
      </c>
      <c r="E17">
        <f>VLOOKUP($A17,ScionOutput!$A$3:$BL$215,6,FALSE)</f>
        <v>16</v>
      </c>
      <c r="F17" t="str">
        <f>VLOOKUP($A17,ScionOutput!$A$3:$BL$215,7,FALSE)</f>
        <v>WAS</v>
      </c>
      <c r="G17">
        <f>VLOOKUP($A17,ScionOutput!$A$3:$BL$215,26,FALSE)</f>
        <v>-125</v>
      </c>
      <c r="H17">
        <f>VLOOKUP($A17,ScionOutput!$A$3:$BL$215,10,FALSE)</f>
        <v>115</v>
      </c>
      <c r="I17" t="str">
        <f>VLOOKUP($A17,ScionOutput!$A$3:$BL$215,58,FALSE)</f>
        <v>No Play</v>
      </c>
      <c r="J17">
        <f>VLOOKUP($A17,ScionOutput!$A$3:$BL$215,59,FALSE)</f>
        <v>0</v>
      </c>
      <c r="K17">
        <f>VLOOKUP($A17,ScionOutput!$A$3:$BL$215,62,FALSE)</f>
        <v>0</v>
      </c>
      <c r="L17">
        <f>VLOOKUP($A17,ScionOutput!$A$3:$BL$215,63,FALSE)</f>
        <v>0</v>
      </c>
      <c r="M17" t="b">
        <f t="shared" si="1"/>
        <v>0</v>
      </c>
      <c r="N17">
        <f>VLOOKUP($A17,Outcomes!$B$3:$I$209,8,FALSE)</f>
        <v>6</v>
      </c>
      <c r="O17">
        <f t="shared" si="2"/>
        <v>1</v>
      </c>
      <c r="P17">
        <f>VLOOKUP($A17,Outcomes!$B$3:$I$209,5,FALSE)</f>
        <v>5</v>
      </c>
      <c r="Q17">
        <f>VLOOKUP($A17,Outcomes!$B$3:$I$209,6,FALSE)</f>
        <v>1</v>
      </c>
      <c r="R17">
        <f>VLOOKUP($A17,Outcomes!$B$3:$I$209,7,FALSE)</f>
        <v>-4</v>
      </c>
      <c r="S17" t="str">
        <f t="shared" si="3"/>
        <v>HomFave</v>
      </c>
      <c r="T17" t="str">
        <f t="shared" si="4"/>
        <v/>
      </c>
      <c r="U17" t="str">
        <f t="shared" si="0"/>
        <v/>
      </c>
      <c r="V17" t="str">
        <f t="shared" si="5"/>
        <v/>
      </c>
      <c r="W17" t="str">
        <f t="shared" si="6"/>
        <v/>
      </c>
      <c r="X17" s="2" t="str">
        <f t="shared" si="7"/>
        <v/>
      </c>
      <c r="Y17" t="str">
        <f>VLOOKUP($A17,ScionOutput!$A$3:$BL$215,64,FALSE)</f>
        <v xml:space="preserve">825074. LineStatEns probability points gap does not exceed threshold (no edge found)! StatOnlyEns probability points gap does not exceed threshold (no edge found)! No play due to strategy constraints. </v>
      </c>
    </row>
    <row r="18" spans="1:25" x14ac:dyDescent="0.2">
      <c r="A18">
        <v>824670</v>
      </c>
      <c r="B18" s="3">
        <f>VLOOKUP($A18,ScionOutput!$A$3:$BL$215,3,FALSE)</f>
        <v>46180</v>
      </c>
      <c r="C18">
        <f>VLOOKUP($A18,ScionOutput!$A$3:$BL$215,22,FALSE)</f>
        <v>5</v>
      </c>
      <c r="D18" t="str">
        <f>VLOOKUP($A18,ScionOutput!$A$3:$BL$215,23,FALSE)</f>
        <v>CHC</v>
      </c>
      <c r="E18">
        <f>VLOOKUP($A18,ScionOutput!$A$3:$BL$215,6,FALSE)</f>
        <v>25</v>
      </c>
      <c r="F18" t="str">
        <f>VLOOKUP($A18,ScionOutput!$A$3:$BL$215,7,FALSE)</f>
        <v>SF</v>
      </c>
      <c r="G18">
        <f>VLOOKUP($A18,ScionOutput!$A$3:$BL$215,26,FALSE)</f>
        <v>-126</v>
      </c>
      <c r="H18">
        <f>VLOOKUP($A18,ScionOutput!$A$3:$BL$215,10,FALSE)</f>
        <v>116</v>
      </c>
      <c r="I18" t="str">
        <f>VLOOKUP($A18,ScionOutput!$A$3:$BL$215,58,FALSE)</f>
        <v>No Play</v>
      </c>
      <c r="J18">
        <f>VLOOKUP($A18,ScionOutput!$A$3:$BL$215,59,FALSE)</f>
        <v>0</v>
      </c>
      <c r="K18">
        <f>VLOOKUP($A18,ScionOutput!$A$3:$BL$215,62,FALSE)</f>
        <v>0</v>
      </c>
      <c r="L18">
        <f>VLOOKUP($A18,ScionOutput!$A$3:$BL$215,63,FALSE)</f>
        <v>0</v>
      </c>
      <c r="M18" t="b">
        <f t="shared" si="1"/>
        <v>0</v>
      </c>
      <c r="N18">
        <f>VLOOKUP($A18,Outcomes!$B$3:$I$209,8,FALSE)</f>
        <v>3</v>
      </c>
      <c r="O18">
        <f t="shared" si="2"/>
        <v>-1</v>
      </c>
      <c r="P18">
        <f>VLOOKUP($A18,Outcomes!$B$3:$I$209,5,FALSE)</f>
        <v>1</v>
      </c>
      <c r="Q18">
        <f>VLOOKUP($A18,Outcomes!$B$3:$I$209,6,FALSE)</f>
        <v>2</v>
      </c>
      <c r="R18">
        <f>VLOOKUP($A18,Outcomes!$B$3:$I$209,7,FALSE)</f>
        <v>1</v>
      </c>
      <c r="S18" t="str">
        <f t="shared" si="3"/>
        <v>VisDog</v>
      </c>
      <c r="T18" t="str">
        <f t="shared" si="4"/>
        <v/>
      </c>
      <c r="U18" t="str">
        <f t="shared" si="0"/>
        <v/>
      </c>
      <c r="V18" t="str">
        <f t="shared" si="5"/>
        <v/>
      </c>
      <c r="W18" t="str">
        <f t="shared" si="6"/>
        <v/>
      </c>
      <c r="X18" s="2" t="str">
        <f t="shared" si="7"/>
        <v/>
      </c>
      <c r="Y18" t="str">
        <f>VLOOKUP($A18,ScionOutput!$A$3:$BL$215,64,FALSE)</f>
        <v xml:space="preserve">824670. LineStatEns probability points gap does not exceed threshold (no edge found)! StatOnlyEns probability points gap does not exceed threshold (no edge found)! No play due to strategy constraints. </v>
      </c>
    </row>
    <row r="19" spans="1:25" x14ac:dyDescent="0.2">
      <c r="A19">
        <v>824349</v>
      </c>
      <c r="B19" s="3">
        <f>VLOOKUP($A19,ScionOutput!$A$3:$BL$215,3,FALSE)</f>
        <v>46180</v>
      </c>
      <c r="C19">
        <f>VLOOKUP($A19,ScionOutput!$A$3:$BL$215,22,FALSE)</f>
        <v>8</v>
      </c>
      <c r="D19" t="str">
        <f>VLOOKUP($A19,ScionOutput!$A$3:$BL$215,23,FALSE)</f>
        <v>COL</v>
      </c>
      <c r="E19">
        <f>VLOOKUP($A19,ScionOutput!$A$3:$BL$215,6,FALSE)</f>
        <v>17</v>
      </c>
      <c r="F19" t="str">
        <f>VLOOKUP($A19,ScionOutput!$A$3:$BL$215,7,FALSE)</f>
        <v>MLW</v>
      </c>
      <c r="G19">
        <f>VLOOKUP($A19,ScionOutput!$A$3:$BL$215,26,FALSE)</f>
        <v>160</v>
      </c>
      <c r="H19">
        <f>VLOOKUP($A19,ScionOutput!$A$3:$BL$215,10,FALSE)</f>
        <v>-174</v>
      </c>
      <c r="I19" t="str">
        <f>VLOOKUP($A19,ScionOutput!$A$3:$BL$215,58,FALSE)</f>
        <v>No Play</v>
      </c>
      <c r="J19">
        <f>VLOOKUP($A19,ScionOutput!$A$3:$BL$215,59,FALSE)</f>
        <v>0</v>
      </c>
      <c r="K19">
        <f>VLOOKUP($A19,ScionOutput!$A$3:$BL$215,62,FALSE)</f>
        <v>0</v>
      </c>
      <c r="L19">
        <f>VLOOKUP($A19,ScionOutput!$A$3:$BL$215,63,FALSE)</f>
        <v>0</v>
      </c>
      <c r="M19" t="b">
        <f t="shared" si="1"/>
        <v>0</v>
      </c>
      <c r="N19">
        <f>VLOOKUP($A19,Outcomes!$B$3:$I$209,8,FALSE)</f>
        <v>16</v>
      </c>
      <c r="O19">
        <f t="shared" si="2"/>
        <v>-1</v>
      </c>
      <c r="P19">
        <f>VLOOKUP($A19,Outcomes!$B$3:$I$209,5,FALSE)</f>
        <v>4</v>
      </c>
      <c r="Q19">
        <f>VLOOKUP($A19,Outcomes!$B$3:$I$209,6,FALSE)</f>
        <v>12</v>
      </c>
      <c r="R19">
        <f>VLOOKUP($A19,Outcomes!$B$3:$I$209,7,FALSE)</f>
        <v>8</v>
      </c>
      <c r="S19" t="str">
        <f t="shared" si="3"/>
        <v>VisFave</v>
      </c>
      <c r="T19" t="str">
        <f t="shared" si="4"/>
        <v/>
      </c>
      <c r="U19" t="str">
        <f t="shared" si="0"/>
        <v/>
      </c>
      <c r="V19" t="str">
        <f t="shared" si="5"/>
        <v/>
      </c>
      <c r="W19" t="str">
        <f t="shared" si="6"/>
        <v/>
      </c>
      <c r="X19" s="2" t="str">
        <f t="shared" si="7"/>
        <v/>
      </c>
      <c r="Y19" t="str">
        <f>VLOOKUP($A19,ScionOutput!$A$3:$BL$215,64,FALSE)</f>
        <v xml:space="preserve">824349. LineStatEns is NoPlay as bookie-line outside range. StatOnlyEns is NoPlay as bookie-line outside range. No play due to strategy constraints. </v>
      </c>
    </row>
    <row r="20" spans="1:25" x14ac:dyDescent="0.2">
      <c r="A20">
        <v>824268</v>
      </c>
      <c r="B20" s="3">
        <f>VLOOKUP($A20,ScionOutput!$A$3:$BL$215,3,FALSE)</f>
        <v>46180</v>
      </c>
      <c r="C20">
        <f>VLOOKUP($A20,ScionOutput!$A$3:$BL$215,22,FALSE)</f>
        <v>10</v>
      </c>
      <c r="D20" t="str">
        <f>VLOOKUP($A20,ScionOutput!$A$3:$BL$215,23,FALSE)</f>
        <v>DET</v>
      </c>
      <c r="E20">
        <f>VLOOKUP($A20,ScionOutput!$A$3:$BL$215,6,FALSE)</f>
        <v>24</v>
      </c>
      <c r="F20" t="str">
        <f>VLOOKUP($A20,ScionOutput!$A$3:$BL$215,7,FALSE)</f>
        <v>SEA</v>
      </c>
      <c r="G20">
        <f>VLOOKUP($A20,ScionOutput!$A$3:$BL$215,26,FALSE)</f>
        <v>-111</v>
      </c>
      <c r="H20">
        <f>VLOOKUP($A20,ScionOutput!$A$3:$BL$215,10,FALSE)</f>
        <v>102</v>
      </c>
      <c r="I20" t="str">
        <f>VLOOKUP($A20,ScionOutput!$A$3:$BL$215,58,FALSE)</f>
        <v>VisDog</v>
      </c>
      <c r="J20">
        <f>VLOOKUP($A20,ScionOutput!$A$3:$BL$215,59,FALSE)</f>
        <v>-3.5189999999999999E-2</v>
      </c>
      <c r="K20">
        <f>VLOOKUP($A20,ScionOutput!$A$3:$BL$215,62,FALSE)</f>
        <v>5</v>
      </c>
      <c r="L20">
        <f>VLOOKUP($A20,ScionOutput!$A$3:$BL$215,63,FALSE)</f>
        <v>0.6</v>
      </c>
      <c r="M20" t="b">
        <f t="shared" si="1"/>
        <v>1</v>
      </c>
      <c r="N20">
        <f>VLOOKUP($A20,Outcomes!$B$3:$I$209,8,FALSE)</f>
        <v>9</v>
      </c>
      <c r="O20">
        <f t="shared" si="2"/>
        <v>1</v>
      </c>
      <c r="P20">
        <f>VLOOKUP($A20,Outcomes!$B$3:$I$209,5,FALSE)</f>
        <v>5</v>
      </c>
      <c r="Q20">
        <f>VLOOKUP($A20,Outcomes!$B$3:$I$209,6,FALSE)</f>
        <v>4</v>
      </c>
      <c r="R20">
        <f>VLOOKUP($A20,Outcomes!$B$3:$I$209,7,FALSE)</f>
        <v>-1</v>
      </c>
      <c r="S20" t="str">
        <f t="shared" si="3"/>
        <v>HomFave</v>
      </c>
      <c r="T20">
        <f t="shared" si="4"/>
        <v>0</v>
      </c>
      <c r="U20">
        <f t="shared" si="0"/>
        <v>100</v>
      </c>
      <c r="V20">
        <f t="shared" si="5"/>
        <v>0</v>
      </c>
      <c r="W20">
        <f t="shared" si="6"/>
        <v>-100</v>
      </c>
      <c r="X20" s="2">
        <f t="shared" si="7"/>
        <v>-1</v>
      </c>
      <c r="Y20" t="str">
        <f>VLOOKUP($A20,ScionOutput!$A$3:$BL$215,64,FALSE)</f>
        <v xml:space="preserve">824268. Play determined by LineStatEns and StatOnlyEns agreement. </v>
      </c>
    </row>
    <row r="21" spans="1:25" x14ac:dyDescent="0.2">
      <c r="A21">
        <v>823857</v>
      </c>
      <c r="B21" s="3">
        <f>VLOOKUP($A21,ScionOutput!$A$3:$BL$215,3,FALSE)</f>
        <v>46180</v>
      </c>
      <c r="C21">
        <f>VLOOKUP($A21,ScionOutput!$A$3:$BL$215,22,FALSE)</f>
        <v>11</v>
      </c>
      <c r="D21" t="str">
        <f>VLOOKUP($A21,ScionOutput!$A$3:$BL$215,23,FALSE)</f>
        <v>FLO</v>
      </c>
      <c r="E21">
        <f>VLOOKUP($A21,ScionOutput!$A$3:$BL$215,6,FALSE)</f>
        <v>27</v>
      </c>
      <c r="F21" t="str">
        <f>VLOOKUP($A21,ScionOutput!$A$3:$BL$215,7,FALSE)</f>
        <v>TB</v>
      </c>
      <c r="G21">
        <f>VLOOKUP($A21,ScionOutput!$A$3:$BL$215,26,FALSE)</f>
        <v>-105</v>
      </c>
      <c r="H21">
        <f>VLOOKUP($A21,ScionOutput!$A$3:$BL$215,10,FALSE)</f>
        <v>-103</v>
      </c>
      <c r="I21" t="str">
        <f>VLOOKUP($A21,ScionOutput!$A$3:$BL$215,58,FALSE)</f>
        <v>HomFave</v>
      </c>
      <c r="J21">
        <f>VLOOKUP($A21,ScionOutput!$A$3:$BL$215,59,FALSE)</f>
        <v>7.6400000000000001E-3</v>
      </c>
      <c r="K21">
        <f>VLOOKUP($A21,ScionOutput!$A$3:$BL$215,62,FALSE)</f>
        <v>1</v>
      </c>
      <c r="L21">
        <f>VLOOKUP($A21,ScionOutput!$A$3:$BL$215,63,FALSE)</f>
        <v>0.73</v>
      </c>
      <c r="M21" t="b">
        <f t="shared" si="1"/>
        <v>1</v>
      </c>
      <c r="N21">
        <f>VLOOKUP($A21,Outcomes!$B$3:$I$209,8,FALSE)</f>
        <v>5</v>
      </c>
      <c r="O21">
        <f t="shared" si="2"/>
        <v>1</v>
      </c>
      <c r="P21">
        <f>VLOOKUP($A21,Outcomes!$B$3:$I$209,5,FALSE)</f>
        <v>4</v>
      </c>
      <c r="Q21">
        <f>VLOOKUP($A21,Outcomes!$B$3:$I$209,6,FALSE)</f>
        <v>1</v>
      </c>
      <c r="R21">
        <f>VLOOKUP($A21,Outcomes!$B$3:$I$209,7,FALSE)</f>
        <v>-3</v>
      </c>
      <c r="S21" t="str">
        <f t="shared" si="3"/>
        <v>HomFave</v>
      </c>
      <c r="T21" t="str">
        <f t="shared" si="4"/>
        <v/>
      </c>
      <c r="U21" t="str">
        <f t="shared" si="0"/>
        <v/>
      </c>
      <c r="V21" t="str">
        <f t="shared" si="5"/>
        <v/>
      </c>
      <c r="W21" t="str">
        <f t="shared" si="6"/>
        <v/>
      </c>
      <c r="X21" s="2" t="str">
        <f t="shared" si="7"/>
        <v/>
      </c>
      <c r="Y21" t="str">
        <f>VLOOKUP($A21,ScionOutput!$A$3:$BL$215,64,FALSE)</f>
        <v xml:space="preserve">823857. Play determined by LineStatEns and StatOnlyEns agreement. </v>
      </c>
    </row>
    <row r="22" spans="1:25" x14ac:dyDescent="0.2">
      <c r="A22">
        <v>824183</v>
      </c>
      <c r="B22" s="3">
        <f>VLOOKUP($A22,ScionOutput!$A$3:$BL$215,3,FALSE)</f>
        <v>46180</v>
      </c>
      <c r="C22">
        <f>VLOOKUP($A22,ScionOutput!$A$3:$BL$215,22,FALSE)</f>
        <v>12</v>
      </c>
      <c r="D22" t="str">
        <f>VLOOKUP($A22,ScionOutput!$A$3:$BL$215,23,FALSE)</f>
        <v>HOU</v>
      </c>
      <c r="E22">
        <f>VLOOKUP($A22,ScionOutput!$A$3:$BL$215,6,FALSE)</f>
        <v>20</v>
      </c>
      <c r="F22" t="str">
        <f>VLOOKUP($A22,ScionOutput!$A$3:$BL$215,7,FALSE)</f>
        <v>OAK</v>
      </c>
      <c r="G22">
        <f>VLOOKUP($A22,ScionOutput!$A$3:$BL$215,26,FALSE)</f>
        <v>-105</v>
      </c>
      <c r="H22">
        <f>VLOOKUP($A22,ScionOutput!$A$3:$BL$215,10,FALSE)</f>
        <v>-103</v>
      </c>
      <c r="I22" t="str">
        <f>VLOOKUP($A22,ScionOutput!$A$3:$BL$215,58,FALSE)</f>
        <v>VisDog</v>
      </c>
      <c r="J22">
        <f>VLOOKUP($A22,ScionOutput!$A$3:$BL$215,59,FALSE)</f>
        <v>-3.236E-2</v>
      </c>
      <c r="K22">
        <f>VLOOKUP($A22,ScionOutput!$A$3:$BL$215,62,FALSE)</f>
        <v>5</v>
      </c>
      <c r="L22">
        <f>VLOOKUP($A22,ScionOutput!$A$3:$BL$215,63,FALSE)</f>
        <v>0.87</v>
      </c>
      <c r="M22" t="b">
        <f t="shared" si="1"/>
        <v>1</v>
      </c>
      <c r="N22">
        <f>VLOOKUP($A22,Outcomes!$B$3:$I$209,8,FALSE)</f>
        <v>5</v>
      </c>
      <c r="O22">
        <f t="shared" si="2"/>
        <v>-1</v>
      </c>
      <c r="P22">
        <f>VLOOKUP($A22,Outcomes!$B$3:$I$209,5,FALSE)</f>
        <v>0</v>
      </c>
      <c r="Q22">
        <f>VLOOKUP($A22,Outcomes!$B$3:$I$209,6,FALSE)</f>
        <v>5</v>
      </c>
      <c r="R22">
        <f>VLOOKUP($A22,Outcomes!$B$3:$I$209,7,FALSE)</f>
        <v>5</v>
      </c>
      <c r="S22" t="str">
        <f t="shared" si="3"/>
        <v>VisDog</v>
      </c>
      <c r="T22">
        <f t="shared" si="4"/>
        <v>1</v>
      </c>
      <c r="U22">
        <f t="shared" si="0"/>
        <v>103</v>
      </c>
      <c r="V22">
        <f t="shared" si="5"/>
        <v>203</v>
      </c>
      <c r="W22">
        <f t="shared" si="6"/>
        <v>100</v>
      </c>
      <c r="X22" s="2">
        <f t="shared" si="7"/>
        <v>0.970873786407767</v>
      </c>
      <c r="Y22" t="str">
        <f>VLOOKUP($A22,ScionOutput!$A$3:$BL$215,64,FALSE)</f>
        <v xml:space="preserve">824183. Play determined by LineStatEns and StatOnlyEns agreement. </v>
      </c>
    </row>
    <row r="23" spans="1:25" x14ac:dyDescent="0.2">
      <c r="A23">
        <v>823941</v>
      </c>
      <c r="B23" s="3">
        <f>VLOOKUP($A23,ScionOutput!$A$3:$BL$215,3,FALSE)</f>
        <v>46180</v>
      </c>
      <c r="C23">
        <f>VLOOKUP($A23,ScionOutput!$A$3:$BL$215,22,FALSE)</f>
        <v>14</v>
      </c>
      <c r="D23" t="str">
        <f>VLOOKUP($A23,ScionOutput!$A$3:$BL$215,23,FALSE)</f>
        <v>LA</v>
      </c>
      <c r="E23">
        <f>VLOOKUP($A23,ScionOutput!$A$3:$BL$215,6,FALSE)</f>
        <v>4</v>
      </c>
      <c r="F23" t="str">
        <f>VLOOKUP($A23,ScionOutput!$A$3:$BL$215,7,FALSE)</f>
        <v>LAA</v>
      </c>
      <c r="G23">
        <f>VLOOKUP($A23,ScionOutput!$A$3:$BL$215,26,FALSE)</f>
        <v>-206</v>
      </c>
      <c r="H23">
        <f>VLOOKUP($A23,ScionOutput!$A$3:$BL$215,10,FALSE)</f>
        <v>187</v>
      </c>
      <c r="I23" t="str">
        <f>VLOOKUP($A23,ScionOutput!$A$3:$BL$215,58,FALSE)</f>
        <v>No Play</v>
      </c>
      <c r="J23">
        <f>VLOOKUP($A23,ScionOutput!$A$3:$BL$215,59,FALSE)</f>
        <v>0</v>
      </c>
      <c r="K23">
        <f>VLOOKUP($A23,ScionOutput!$A$3:$BL$215,62,FALSE)</f>
        <v>0</v>
      </c>
      <c r="L23">
        <f>VLOOKUP($A23,ScionOutput!$A$3:$BL$215,63,FALSE)</f>
        <v>0</v>
      </c>
      <c r="M23" t="b">
        <f t="shared" si="1"/>
        <v>0</v>
      </c>
      <c r="N23">
        <f>VLOOKUP($A23,Outcomes!$B$3:$I$209,8,FALSE)</f>
        <v>18</v>
      </c>
      <c r="O23">
        <f t="shared" si="2"/>
        <v>-1</v>
      </c>
      <c r="P23">
        <f>VLOOKUP($A23,Outcomes!$B$3:$I$209,5,FALSE)</f>
        <v>5</v>
      </c>
      <c r="Q23">
        <f>VLOOKUP($A23,Outcomes!$B$3:$I$209,6,FALSE)</f>
        <v>13</v>
      </c>
      <c r="R23">
        <f>VLOOKUP($A23,Outcomes!$B$3:$I$209,7,FALSE)</f>
        <v>8</v>
      </c>
      <c r="S23" t="str">
        <f t="shared" si="3"/>
        <v>VisDog</v>
      </c>
      <c r="T23" t="str">
        <f t="shared" si="4"/>
        <v/>
      </c>
      <c r="U23" t="str">
        <f t="shared" si="0"/>
        <v/>
      </c>
      <c r="V23" t="str">
        <f t="shared" si="5"/>
        <v/>
      </c>
      <c r="W23" t="str">
        <f t="shared" si="6"/>
        <v/>
      </c>
      <c r="X23" s="2" t="str">
        <f t="shared" si="7"/>
        <v/>
      </c>
      <c r="Y23" t="str">
        <f>VLOOKUP($A23,ScionOutput!$A$3:$BL$215,64,FALSE)</f>
        <v xml:space="preserve">823941. LineStatEns is NoPlay as bookie-line outside range. StatOnlyEns is NoPlay as bookie-line outside range. No play due to strategy constraints. </v>
      </c>
    </row>
    <row r="24" spans="1:25" x14ac:dyDescent="0.2">
      <c r="A24">
        <v>823696</v>
      </c>
      <c r="B24" s="3">
        <f>VLOOKUP($A24,ScionOutput!$A$3:$BL$215,3,FALSE)</f>
        <v>46180</v>
      </c>
      <c r="C24">
        <f>VLOOKUP($A24,ScionOutput!$A$3:$BL$215,22,FALSE)</f>
        <v>15</v>
      </c>
      <c r="D24" t="str">
        <f>VLOOKUP($A24,ScionOutput!$A$3:$BL$215,23,FALSE)</f>
        <v>MIN</v>
      </c>
      <c r="E24">
        <f>VLOOKUP($A24,ScionOutput!$A$3:$BL$215,6,FALSE)</f>
        <v>13</v>
      </c>
      <c r="F24" t="str">
        <f>VLOOKUP($A24,ScionOutput!$A$3:$BL$215,7,FALSE)</f>
        <v>KC</v>
      </c>
      <c r="G24">
        <f>VLOOKUP($A24,ScionOutput!$A$3:$BL$215,26,FALSE)</f>
        <v>107</v>
      </c>
      <c r="H24">
        <f>VLOOKUP($A24,ScionOutput!$A$3:$BL$215,10,FALSE)</f>
        <v>-116</v>
      </c>
      <c r="I24" t="str">
        <f>VLOOKUP($A24,ScionOutput!$A$3:$BL$215,58,FALSE)</f>
        <v>No Play</v>
      </c>
      <c r="J24">
        <f>VLOOKUP($A24,ScionOutput!$A$3:$BL$215,59,FALSE)</f>
        <v>0</v>
      </c>
      <c r="K24">
        <f>VLOOKUP($A24,ScionOutput!$A$3:$BL$215,62,FALSE)</f>
        <v>0</v>
      </c>
      <c r="L24">
        <f>VLOOKUP($A24,ScionOutput!$A$3:$BL$215,63,FALSE)</f>
        <v>0</v>
      </c>
      <c r="M24" t="b">
        <f t="shared" si="1"/>
        <v>0</v>
      </c>
      <c r="N24">
        <f>VLOOKUP($A24,Outcomes!$B$3:$I$209,8,FALSE)</f>
        <v>11</v>
      </c>
      <c r="O24">
        <f t="shared" si="2"/>
        <v>-1</v>
      </c>
      <c r="P24">
        <f>VLOOKUP($A24,Outcomes!$B$3:$I$209,5,FALSE)</f>
        <v>5</v>
      </c>
      <c r="Q24">
        <f>VLOOKUP($A24,Outcomes!$B$3:$I$209,6,FALSE)</f>
        <v>6</v>
      </c>
      <c r="R24">
        <f>VLOOKUP($A24,Outcomes!$B$3:$I$209,7,FALSE)</f>
        <v>1</v>
      </c>
      <c r="S24" t="str">
        <f t="shared" si="3"/>
        <v>VisFave</v>
      </c>
      <c r="T24" t="str">
        <f t="shared" si="4"/>
        <v/>
      </c>
      <c r="U24" t="str">
        <f t="shared" si="0"/>
        <v/>
      </c>
      <c r="V24" t="str">
        <f t="shared" si="5"/>
        <v/>
      </c>
      <c r="W24" t="str">
        <f t="shared" si="6"/>
        <v/>
      </c>
      <c r="X24" s="2" t="str">
        <f t="shared" si="7"/>
        <v/>
      </c>
      <c r="Y24" t="str">
        <f>VLOOKUP($A24,ScionOutput!$A$3:$BL$215,64,FALSE)</f>
        <v xml:space="preserve">823696. VF plays are disallowed. No play due to strategy constraints. </v>
      </c>
    </row>
    <row r="25" spans="1:25" x14ac:dyDescent="0.2">
      <c r="A25">
        <v>823537</v>
      </c>
      <c r="B25" s="3">
        <f>VLOOKUP($A25,ScionOutput!$A$3:$BL$215,3,FALSE)</f>
        <v>46180</v>
      </c>
      <c r="C25">
        <f>VLOOKUP($A25,ScionOutput!$A$3:$BL$215,22,FALSE)</f>
        <v>19</v>
      </c>
      <c r="D25" t="str">
        <f>VLOOKUP($A25,ScionOutput!$A$3:$BL$215,23,FALSE)</f>
        <v>NYY</v>
      </c>
      <c r="E25">
        <f>VLOOKUP($A25,ScionOutput!$A$3:$BL$215,6,FALSE)</f>
        <v>3</v>
      </c>
      <c r="F25" t="str">
        <f>VLOOKUP($A25,ScionOutput!$A$3:$BL$215,7,FALSE)</f>
        <v>BOS</v>
      </c>
      <c r="G25">
        <f>VLOOKUP($A25,ScionOutput!$A$3:$BL$215,26,FALSE)</f>
        <v>-139</v>
      </c>
      <c r="H25">
        <f>VLOOKUP($A25,ScionOutput!$A$3:$BL$215,10,FALSE)</f>
        <v>128</v>
      </c>
      <c r="I25" t="str">
        <f>VLOOKUP($A25,ScionOutput!$A$3:$BL$215,58,FALSE)</f>
        <v>No Play</v>
      </c>
      <c r="J25">
        <f>VLOOKUP($A25,ScionOutput!$A$3:$BL$215,59,FALSE)</f>
        <v>0</v>
      </c>
      <c r="K25">
        <f>VLOOKUP($A25,ScionOutput!$A$3:$BL$215,62,FALSE)</f>
        <v>0</v>
      </c>
      <c r="L25">
        <f>VLOOKUP($A25,ScionOutput!$A$3:$BL$215,63,FALSE)</f>
        <v>0</v>
      </c>
      <c r="M25" t="b">
        <f t="shared" si="1"/>
        <v>0</v>
      </c>
      <c r="N25">
        <f>VLOOKUP($A25,Outcomes!$B$3:$I$209,8,FALSE)</f>
        <v>7</v>
      </c>
      <c r="O25">
        <f t="shared" si="2"/>
        <v>1</v>
      </c>
      <c r="P25">
        <f>VLOOKUP($A25,Outcomes!$B$3:$I$209,5,FALSE)</f>
        <v>6</v>
      </c>
      <c r="Q25">
        <f>VLOOKUP($A25,Outcomes!$B$3:$I$209,6,FALSE)</f>
        <v>1</v>
      </c>
      <c r="R25">
        <f>VLOOKUP($A25,Outcomes!$B$3:$I$209,7,FALSE)</f>
        <v>-5</v>
      </c>
      <c r="S25" t="str">
        <f t="shared" si="3"/>
        <v>HomFave</v>
      </c>
      <c r="T25" t="str">
        <f t="shared" si="4"/>
        <v/>
      </c>
      <c r="U25" t="str">
        <f t="shared" si="0"/>
        <v/>
      </c>
      <c r="V25" t="str">
        <f t="shared" si="5"/>
        <v/>
      </c>
      <c r="W25" t="str">
        <f t="shared" si="6"/>
        <v/>
      </c>
      <c r="X25" s="2" t="str">
        <f t="shared" si="7"/>
        <v/>
      </c>
      <c r="Y25" t="str">
        <f>VLOOKUP($A25,ScionOutput!$A$3:$BL$215,64,FALSE)</f>
        <v xml:space="preserve">823537. LineStatEns probability points gap does not exceed threshold (no edge found)! StatOnlyEns probability points gap does not exceed threshold (no edge found)! No play due to strategy constraints. </v>
      </c>
    </row>
    <row r="26" spans="1:25" x14ac:dyDescent="0.2">
      <c r="A26">
        <v>823453</v>
      </c>
      <c r="B26" s="3">
        <f>VLOOKUP($A26,ScionOutput!$A$3:$BL$215,3,FALSE)</f>
        <v>46180</v>
      </c>
      <c r="C26">
        <f>VLOOKUP($A26,ScionOutput!$A$3:$BL$215,22,FALSE)</f>
        <v>21</v>
      </c>
      <c r="D26" t="str">
        <f>VLOOKUP($A26,ScionOutput!$A$3:$BL$215,23,FALSE)</f>
        <v>PHI</v>
      </c>
      <c r="E26">
        <f>VLOOKUP($A26,ScionOutput!$A$3:$BL$215,6,FALSE)</f>
        <v>9</v>
      </c>
      <c r="F26" t="str">
        <f>VLOOKUP($A26,ScionOutput!$A$3:$BL$215,7,FALSE)</f>
        <v>CWS</v>
      </c>
      <c r="G26">
        <f>VLOOKUP($A26,ScionOutput!$A$3:$BL$215,26,FALSE)</f>
        <v>-163</v>
      </c>
      <c r="H26">
        <f>VLOOKUP($A26,ScionOutput!$A$3:$BL$215,10,FALSE)</f>
        <v>149</v>
      </c>
      <c r="I26" t="str">
        <f>VLOOKUP($A26,ScionOutput!$A$3:$BL$215,58,FALSE)</f>
        <v>No Play</v>
      </c>
      <c r="J26">
        <f>VLOOKUP($A26,ScionOutput!$A$3:$BL$215,59,FALSE)</f>
        <v>0</v>
      </c>
      <c r="K26">
        <f>VLOOKUP($A26,ScionOutput!$A$3:$BL$215,62,FALSE)</f>
        <v>0</v>
      </c>
      <c r="L26">
        <f>VLOOKUP($A26,ScionOutput!$A$3:$BL$215,63,FALSE)</f>
        <v>0</v>
      </c>
      <c r="M26" t="b">
        <f t="shared" si="1"/>
        <v>0</v>
      </c>
      <c r="N26">
        <f>VLOOKUP($A26,Outcomes!$B$3:$I$209,8,FALSE)</f>
        <v>14</v>
      </c>
      <c r="O26">
        <f t="shared" si="2"/>
        <v>1</v>
      </c>
      <c r="P26">
        <f>VLOOKUP($A26,Outcomes!$B$3:$I$209,5,FALSE)</f>
        <v>9</v>
      </c>
      <c r="Q26">
        <f>VLOOKUP($A26,Outcomes!$B$3:$I$209,6,FALSE)</f>
        <v>5</v>
      </c>
      <c r="R26">
        <f>VLOOKUP($A26,Outcomes!$B$3:$I$209,7,FALSE)</f>
        <v>-4</v>
      </c>
      <c r="S26" t="str">
        <f t="shared" si="3"/>
        <v>HomFave</v>
      </c>
      <c r="T26" t="str">
        <f t="shared" si="4"/>
        <v/>
      </c>
      <c r="U26" t="str">
        <f t="shared" si="0"/>
        <v/>
      </c>
      <c r="V26" t="str">
        <f t="shared" si="5"/>
        <v/>
      </c>
      <c r="W26" t="str">
        <f t="shared" si="6"/>
        <v/>
      </c>
      <c r="X26" s="2" t="str">
        <f t="shared" si="7"/>
        <v/>
      </c>
      <c r="Y26" t="str">
        <f>VLOOKUP($A26,ScionOutput!$A$3:$BL$215,64,FALSE)</f>
        <v xml:space="preserve">823453. LineStatEns is NoPlay as bookie-line outside range. StatOnlyEns is NoPlay as bookie-line outside range. No play due to strategy constraints. </v>
      </c>
    </row>
    <row r="27" spans="1:25" x14ac:dyDescent="0.2">
      <c r="A27">
        <v>823291</v>
      </c>
      <c r="B27" s="3">
        <f>VLOOKUP($A27,ScionOutput!$A$3:$BL$215,3,FALSE)</f>
        <v>46180</v>
      </c>
      <c r="C27">
        <f>VLOOKUP($A27,ScionOutput!$A$3:$BL$215,22,FALSE)</f>
        <v>23</v>
      </c>
      <c r="D27" t="str">
        <f>VLOOKUP($A27,ScionOutput!$A$3:$BL$215,23,FALSE)</f>
        <v>SD</v>
      </c>
      <c r="E27">
        <f>VLOOKUP($A27,ScionOutput!$A$3:$BL$215,6,FALSE)</f>
        <v>18</v>
      </c>
      <c r="F27" t="str">
        <f>VLOOKUP($A27,ScionOutput!$A$3:$BL$215,7,FALSE)</f>
        <v>NYM</v>
      </c>
      <c r="G27">
        <f>VLOOKUP($A27,ScionOutput!$A$3:$BL$215,26,FALSE)</f>
        <v>-103</v>
      </c>
      <c r="H27">
        <f>VLOOKUP($A27,ScionOutput!$A$3:$BL$215,10,FALSE)</f>
        <v>-105</v>
      </c>
      <c r="I27" t="str">
        <f>VLOOKUP($A27,ScionOutput!$A$3:$BL$215,58,FALSE)</f>
        <v>HomDog</v>
      </c>
      <c r="J27">
        <f>VLOOKUP($A27,ScionOutput!$A$3:$BL$215,59,FALSE)</f>
        <v>1.2359999999999999E-2</v>
      </c>
      <c r="K27">
        <f>VLOOKUP($A27,ScionOutput!$A$3:$BL$215,62,FALSE)</f>
        <v>5</v>
      </c>
      <c r="L27">
        <f>VLOOKUP($A27,ScionOutput!$A$3:$BL$215,63,FALSE)</f>
        <v>0.6</v>
      </c>
      <c r="M27" t="b">
        <f t="shared" si="1"/>
        <v>1</v>
      </c>
      <c r="N27">
        <f>VLOOKUP($A27,Outcomes!$B$3:$I$209,8,FALSE)</f>
        <v>10</v>
      </c>
      <c r="O27">
        <f t="shared" si="2"/>
        <v>-1</v>
      </c>
      <c r="P27">
        <f>VLOOKUP($A27,Outcomes!$B$3:$I$209,5,FALSE)</f>
        <v>3</v>
      </c>
      <c r="Q27">
        <f>VLOOKUP($A27,Outcomes!$B$3:$I$209,6,FALSE)</f>
        <v>7</v>
      </c>
      <c r="R27">
        <f>VLOOKUP($A27,Outcomes!$B$3:$I$209,7,FALSE)</f>
        <v>4</v>
      </c>
      <c r="S27" t="str">
        <f t="shared" si="3"/>
        <v>VisFave</v>
      </c>
      <c r="T27">
        <f t="shared" si="4"/>
        <v>0</v>
      </c>
      <c r="U27">
        <f t="shared" si="0"/>
        <v>103</v>
      </c>
      <c r="V27">
        <f t="shared" si="5"/>
        <v>0</v>
      </c>
      <c r="W27">
        <f t="shared" si="6"/>
        <v>-103</v>
      </c>
      <c r="X27" s="2">
        <f t="shared" si="7"/>
        <v>-1</v>
      </c>
      <c r="Y27" t="str">
        <f>VLOOKUP($A27,ScionOutput!$A$3:$BL$215,64,FALSE)</f>
        <v xml:space="preserve">823291. Play determined by LineStatEns and StatOnlyEns agreement. </v>
      </c>
    </row>
    <row r="28" spans="1:25" x14ac:dyDescent="0.2">
      <c r="A28">
        <v>823047</v>
      </c>
      <c r="B28" s="3">
        <f>VLOOKUP($A28,ScionOutput!$A$3:$BL$215,3,FALSE)</f>
        <v>46180</v>
      </c>
      <c r="C28">
        <f>VLOOKUP($A28,ScionOutput!$A$3:$BL$215,22,FALSE)</f>
        <v>26</v>
      </c>
      <c r="D28" t="str">
        <f>VLOOKUP($A28,ScionOutput!$A$3:$BL$215,23,FALSE)</f>
        <v>STL</v>
      </c>
      <c r="E28">
        <f>VLOOKUP($A28,ScionOutput!$A$3:$BL$215,6,FALSE)</f>
        <v>6</v>
      </c>
      <c r="F28" t="str">
        <f>VLOOKUP($A28,ScionOutput!$A$3:$BL$215,7,FALSE)</f>
        <v>CIN</v>
      </c>
      <c r="G28">
        <f>VLOOKUP($A28,ScionOutput!$A$3:$BL$215,26,FALSE)</f>
        <v>-141</v>
      </c>
      <c r="H28">
        <f>VLOOKUP($A28,ScionOutput!$A$3:$BL$215,10,FALSE)</f>
        <v>130</v>
      </c>
      <c r="I28" t="str">
        <f>VLOOKUP($A28,ScionOutput!$A$3:$BL$215,58,FALSE)</f>
        <v>No Play</v>
      </c>
      <c r="J28">
        <f>VLOOKUP($A28,ScionOutput!$A$3:$BL$215,59,FALSE)</f>
        <v>0</v>
      </c>
      <c r="K28">
        <f>VLOOKUP($A28,ScionOutput!$A$3:$BL$215,62,FALSE)</f>
        <v>0</v>
      </c>
      <c r="L28">
        <f>VLOOKUP($A28,ScionOutput!$A$3:$BL$215,63,FALSE)</f>
        <v>0</v>
      </c>
      <c r="M28" t="b">
        <f t="shared" si="1"/>
        <v>0</v>
      </c>
      <c r="N28">
        <f>VLOOKUP($A28,Outcomes!$B$3:$I$209,8,FALSE)</f>
        <v>8</v>
      </c>
      <c r="O28">
        <f t="shared" si="2"/>
        <v>1</v>
      </c>
      <c r="P28">
        <f>VLOOKUP($A28,Outcomes!$B$3:$I$209,5,FALSE)</f>
        <v>5</v>
      </c>
      <c r="Q28">
        <f>VLOOKUP($A28,Outcomes!$B$3:$I$209,6,FALSE)</f>
        <v>3</v>
      </c>
      <c r="R28">
        <f>VLOOKUP($A28,Outcomes!$B$3:$I$209,7,FALSE)</f>
        <v>-2</v>
      </c>
      <c r="S28" t="str">
        <f t="shared" si="3"/>
        <v>HomFave</v>
      </c>
      <c r="T28" t="str">
        <f t="shared" si="4"/>
        <v/>
      </c>
      <c r="U28" t="str">
        <f t="shared" si="0"/>
        <v/>
      </c>
      <c r="V28" t="str">
        <f t="shared" si="5"/>
        <v/>
      </c>
      <c r="W28" t="str">
        <f t="shared" si="6"/>
        <v/>
      </c>
      <c r="X28" s="2" t="str">
        <f t="shared" si="7"/>
        <v/>
      </c>
      <c r="Y28" t="str">
        <f>VLOOKUP($A28,ScionOutput!$A$3:$BL$215,64,FALSE)</f>
        <v xml:space="preserve">823047. LineStatEns probability points gap does not exceed threshold (no edge found)! StatOnlyEns probability points gap does not exceed threshold (no edge found)! No play due to strategy constraints. </v>
      </c>
    </row>
    <row r="29" spans="1:25" x14ac:dyDescent="0.2">
      <c r="A29">
        <v>822890</v>
      </c>
      <c r="B29" s="3">
        <f>VLOOKUP($A29,ScionOutput!$A$3:$BL$215,3,FALSE)</f>
        <v>46180</v>
      </c>
      <c r="C29">
        <f>VLOOKUP($A29,ScionOutput!$A$3:$BL$215,22,FALSE)</f>
        <v>28</v>
      </c>
      <c r="D29" t="str">
        <f>VLOOKUP($A29,ScionOutput!$A$3:$BL$215,23,FALSE)</f>
        <v>TEX</v>
      </c>
      <c r="E29">
        <f>VLOOKUP($A29,ScionOutput!$A$3:$BL$215,6,FALSE)</f>
        <v>7</v>
      </c>
      <c r="F29" t="str">
        <f>VLOOKUP($A29,ScionOutput!$A$3:$BL$215,7,FALSE)</f>
        <v>CLE</v>
      </c>
      <c r="G29">
        <f>VLOOKUP($A29,ScionOutput!$A$3:$BL$215,26,FALSE)</f>
        <v>-137</v>
      </c>
      <c r="H29">
        <f>VLOOKUP($A29,ScionOutput!$A$3:$BL$215,10,FALSE)</f>
        <v>126</v>
      </c>
      <c r="I29" t="str">
        <f>VLOOKUP($A29,ScionOutput!$A$3:$BL$215,58,FALSE)</f>
        <v>No Play</v>
      </c>
      <c r="J29">
        <f>VLOOKUP($A29,ScionOutput!$A$3:$BL$215,59,FALSE)</f>
        <v>0</v>
      </c>
      <c r="K29">
        <f>VLOOKUP($A29,ScionOutput!$A$3:$BL$215,62,FALSE)</f>
        <v>0</v>
      </c>
      <c r="L29">
        <f>VLOOKUP($A29,ScionOutput!$A$3:$BL$215,63,FALSE)</f>
        <v>0</v>
      </c>
      <c r="M29" t="b">
        <f t="shared" si="1"/>
        <v>0</v>
      </c>
      <c r="N29">
        <f>VLOOKUP($A29,Outcomes!$B$3:$I$209,8,FALSE)</f>
        <v>10</v>
      </c>
      <c r="O29">
        <f t="shared" si="2"/>
        <v>1</v>
      </c>
      <c r="P29">
        <f>VLOOKUP($A29,Outcomes!$B$3:$I$209,5,FALSE)</f>
        <v>10</v>
      </c>
      <c r="Q29">
        <f>VLOOKUP($A29,Outcomes!$B$3:$I$209,6,FALSE)</f>
        <v>0</v>
      </c>
      <c r="R29">
        <f>VLOOKUP($A29,Outcomes!$B$3:$I$209,7,FALSE)</f>
        <v>-10</v>
      </c>
      <c r="S29" t="str">
        <f t="shared" si="3"/>
        <v>HomFave</v>
      </c>
      <c r="T29" t="str">
        <f t="shared" si="4"/>
        <v/>
      </c>
      <c r="U29" t="str">
        <f t="shared" si="0"/>
        <v/>
      </c>
      <c r="V29" t="str">
        <f t="shared" si="5"/>
        <v/>
      </c>
      <c r="W29" t="str">
        <f t="shared" si="6"/>
        <v/>
      </c>
      <c r="X29" s="2" t="str">
        <f t="shared" si="7"/>
        <v/>
      </c>
      <c r="Y29" t="str">
        <f>VLOOKUP($A29,ScionOutput!$A$3:$BL$215,64,FALSE)</f>
        <v xml:space="preserve">822890. LineStatEns probability points gap does not exceed threshold (no edge found)! StatOnlyEns probability points gap does not exceed threshold (no edge found)! No play due to strategy constraints. </v>
      </c>
    </row>
    <row r="30" spans="1:25" x14ac:dyDescent="0.2">
      <c r="A30">
        <v>822807</v>
      </c>
      <c r="B30" s="3">
        <f>VLOOKUP($A30,ScionOutput!$A$3:$BL$215,3,FALSE)</f>
        <v>46180</v>
      </c>
      <c r="C30">
        <f>VLOOKUP($A30,ScionOutput!$A$3:$BL$215,22,FALSE)</f>
        <v>29</v>
      </c>
      <c r="D30" t="str">
        <f>VLOOKUP($A30,ScionOutput!$A$3:$BL$215,23,FALSE)</f>
        <v>TOR</v>
      </c>
      <c r="E30">
        <f>VLOOKUP($A30,ScionOutput!$A$3:$BL$215,6,FALSE)</f>
        <v>2</v>
      </c>
      <c r="F30" t="str">
        <f>VLOOKUP($A30,ScionOutput!$A$3:$BL$215,7,FALSE)</f>
        <v>BAL</v>
      </c>
      <c r="G30">
        <f>VLOOKUP($A30,ScionOutput!$A$3:$BL$215,26,FALSE)</f>
        <v>-130</v>
      </c>
      <c r="H30">
        <f>VLOOKUP($A30,ScionOutput!$A$3:$BL$215,10,FALSE)</f>
        <v>120</v>
      </c>
      <c r="I30" t="str">
        <f>VLOOKUP($A30,ScionOutput!$A$3:$BL$215,58,FALSE)</f>
        <v>No Play</v>
      </c>
      <c r="J30">
        <f>VLOOKUP($A30,ScionOutput!$A$3:$BL$215,59,FALSE)</f>
        <v>0</v>
      </c>
      <c r="K30">
        <f>VLOOKUP($A30,ScionOutput!$A$3:$BL$215,62,FALSE)</f>
        <v>0</v>
      </c>
      <c r="L30">
        <f>VLOOKUP($A30,ScionOutput!$A$3:$BL$215,63,FALSE)</f>
        <v>0</v>
      </c>
      <c r="M30" t="b">
        <f t="shared" si="1"/>
        <v>0</v>
      </c>
      <c r="N30">
        <f>VLOOKUP($A30,Outcomes!$B$3:$I$209,8,FALSE)</f>
        <v>10</v>
      </c>
      <c r="O30">
        <f t="shared" si="2"/>
        <v>1</v>
      </c>
      <c r="P30">
        <f>VLOOKUP($A30,Outcomes!$B$3:$I$209,5,FALSE)</f>
        <v>6</v>
      </c>
      <c r="Q30">
        <f>VLOOKUP($A30,Outcomes!$B$3:$I$209,6,FALSE)</f>
        <v>4</v>
      </c>
      <c r="R30">
        <f>VLOOKUP($A30,Outcomes!$B$3:$I$209,7,FALSE)</f>
        <v>-2</v>
      </c>
      <c r="S30" t="str">
        <f t="shared" si="3"/>
        <v>HomFave</v>
      </c>
      <c r="T30" t="str">
        <f t="shared" si="4"/>
        <v/>
      </c>
      <c r="U30" t="str">
        <f t="shared" si="0"/>
        <v/>
      </c>
      <c r="V30" t="str">
        <f t="shared" si="5"/>
        <v/>
      </c>
      <c r="W30" t="str">
        <f t="shared" si="6"/>
        <v/>
      </c>
      <c r="X30" s="2" t="str">
        <f t="shared" si="7"/>
        <v/>
      </c>
      <c r="Y30" t="str">
        <f>VLOOKUP($A30,ScionOutput!$A$3:$BL$215,64,FALSE)</f>
        <v xml:space="preserve">822807. LineStatEns probability points gap does not exceed threshold (no edge found)! StatOnlyEns probability points gap does not exceed threshold (no edge found)! No play due to strategy constraints. </v>
      </c>
    </row>
    <row r="31" spans="1:25" x14ac:dyDescent="0.2">
      <c r="A31">
        <v>824829</v>
      </c>
      <c r="B31" s="3">
        <f>VLOOKUP($A31,ScionOutput!$A$3:$BL$215,3,FALSE)</f>
        <v>46181</v>
      </c>
      <c r="C31">
        <f>VLOOKUP($A31,ScionOutput!$A$3:$BL$215,22,FALSE)</f>
        <v>2</v>
      </c>
      <c r="D31" t="str">
        <f>VLOOKUP($A31,ScionOutput!$A$3:$BL$215,23,FALSE)</f>
        <v>BAL</v>
      </c>
      <c r="E31">
        <f>VLOOKUP($A31,ScionOutput!$A$3:$BL$215,6,FALSE)</f>
        <v>24</v>
      </c>
      <c r="F31" t="str">
        <f>VLOOKUP($A31,ScionOutput!$A$3:$BL$215,7,FALSE)</f>
        <v>SEA</v>
      </c>
      <c r="G31">
        <f>VLOOKUP($A31,ScionOutput!$A$3:$BL$215,26,FALSE)</f>
        <v>111</v>
      </c>
      <c r="H31">
        <f>VLOOKUP($A31,ScionOutput!$A$3:$BL$215,10,FALSE)</f>
        <v>-120</v>
      </c>
      <c r="I31" t="str">
        <f>VLOOKUP($A31,ScionOutput!$A$3:$BL$215,58,FALSE)</f>
        <v>No Play</v>
      </c>
      <c r="J31">
        <f>VLOOKUP($A31,ScionOutput!$A$3:$BL$215,59,FALSE)</f>
        <v>0</v>
      </c>
      <c r="K31">
        <f>VLOOKUP($A31,ScionOutput!$A$3:$BL$215,62,FALSE)</f>
        <v>0</v>
      </c>
      <c r="L31">
        <f>VLOOKUP($A31,ScionOutput!$A$3:$BL$215,63,FALSE)</f>
        <v>0</v>
      </c>
      <c r="M31" t="b">
        <f t="shared" si="1"/>
        <v>0</v>
      </c>
      <c r="N31">
        <f>VLOOKUP($A31,Outcomes!$B$3:$I$209,8,FALSE)</f>
        <v>9</v>
      </c>
      <c r="O31">
        <f t="shared" si="2"/>
        <v>-1</v>
      </c>
      <c r="P31">
        <f>VLOOKUP($A31,Outcomes!$B$3:$I$209,5,FALSE)</f>
        <v>3</v>
      </c>
      <c r="Q31">
        <f>VLOOKUP($A31,Outcomes!$B$3:$I$209,6,FALSE)</f>
        <v>6</v>
      </c>
      <c r="R31">
        <f>VLOOKUP($A31,Outcomes!$B$3:$I$209,7,FALSE)</f>
        <v>3</v>
      </c>
      <c r="S31" t="str">
        <f t="shared" si="3"/>
        <v>VisFave</v>
      </c>
      <c r="T31" t="str">
        <f t="shared" si="4"/>
        <v/>
      </c>
      <c r="U31" t="str">
        <f t="shared" si="0"/>
        <v/>
      </c>
      <c r="V31" t="str">
        <f t="shared" si="5"/>
        <v/>
      </c>
      <c r="W31" t="str">
        <f t="shared" si="6"/>
        <v/>
      </c>
      <c r="X31" s="2" t="str">
        <f t="shared" si="7"/>
        <v/>
      </c>
      <c r="Y31" t="str">
        <f>VLOOKUP($A31,ScionOutput!$A$3:$BL$215,64,FALSE)</f>
        <v xml:space="preserve">824829. VF plays are disallowed. No play due to strategy constraints. </v>
      </c>
    </row>
    <row r="32" spans="1:25" x14ac:dyDescent="0.2">
      <c r="A32">
        <v>824025</v>
      </c>
      <c r="B32" s="3">
        <f>VLOOKUP($A32,ScionOutput!$A$3:$BL$215,3,FALSE)</f>
        <v>46181</v>
      </c>
      <c r="C32">
        <f>VLOOKUP($A32,ScionOutput!$A$3:$BL$215,22,FALSE)</f>
        <v>4</v>
      </c>
      <c r="D32" t="str">
        <f>VLOOKUP($A32,ScionOutput!$A$3:$BL$215,23,FALSE)</f>
        <v>LAA</v>
      </c>
      <c r="E32">
        <f>VLOOKUP($A32,ScionOutput!$A$3:$BL$215,6,FALSE)</f>
        <v>12</v>
      </c>
      <c r="F32" t="str">
        <f>VLOOKUP($A32,ScionOutput!$A$3:$BL$215,7,FALSE)</f>
        <v>HOU</v>
      </c>
      <c r="G32">
        <f>VLOOKUP($A32,ScionOutput!$A$3:$BL$215,26,FALSE)</f>
        <v>112</v>
      </c>
      <c r="H32">
        <f>VLOOKUP($A32,ScionOutput!$A$3:$BL$215,10,FALSE)</f>
        <v>-121</v>
      </c>
      <c r="I32" t="str">
        <f>VLOOKUP($A32,ScionOutput!$A$3:$BL$215,58,FALSE)</f>
        <v>No Play</v>
      </c>
      <c r="J32">
        <f>VLOOKUP($A32,ScionOutput!$A$3:$BL$215,59,FALSE)</f>
        <v>0</v>
      </c>
      <c r="K32">
        <f>VLOOKUP($A32,ScionOutput!$A$3:$BL$215,62,FALSE)</f>
        <v>0</v>
      </c>
      <c r="L32">
        <f>VLOOKUP($A32,ScionOutput!$A$3:$BL$215,63,FALSE)</f>
        <v>0</v>
      </c>
      <c r="M32" t="b">
        <f t="shared" si="1"/>
        <v>0</v>
      </c>
      <c r="N32">
        <f>VLOOKUP($A32,Outcomes!$B$3:$I$209,8,FALSE)</f>
        <v>9</v>
      </c>
      <c r="O32">
        <f t="shared" si="2"/>
        <v>-1</v>
      </c>
      <c r="P32">
        <f>VLOOKUP($A32,Outcomes!$B$3:$I$209,5,FALSE)</f>
        <v>4</v>
      </c>
      <c r="Q32">
        <f>VLOOKUP($A32,Outcomes!$B$3:$I$209,6,FALSE)</f>
        <v>5</v>
      </c>
      <c r="R32">
        <f>VLOOKUP($A32,Outcomes!$B$3:$I$209,7,FALSE)</f>
        <v>1</v>
      </c>
      <c r="S32" t="str">
        <f t="shared" si="3"/>
        <v>VisFave</v>
      </c>
      <c r="T32" t="str">
        <f t="shared" si="4"/>
        <v/>
      </c>
      <c r="U32" t="str">
        <f t="shared" si="0"/>
        <v/>
      </c>
      <c r="V32" t="str">
        <f t="shared" si="5"/>
        <v/>
      </c>
      <c r="W32" t="str">
        <f t="shared" si="6"/>
        <v/>
      </c>
      <c r="X32" s="2" t="str">
        <f t="shared" si="7"/>
        <v/>
      </c>
      <c r="Y32" t="str">
        <f>VLOOKUP($A32,ScionOutput!$A$3:$BL$215,64,FALSE)</f>
        <v xml:space="preserve">824025. VF plays are disallowed. No play due to strategy constraints. </v>
      </c>
    </row>
    <row r="33" spans="1:25" x14ac:dyDescent="0.2">
      <c r="A33">
        <v>824427</v>
      </c>
      <c r="B33" s="3">
        <f>VLOOKUP($A33,ScionOutput!$A$3:$BL$215,3,FALSE)</f>
        <v>46181</v>
      </c>
      <c r="C33">
        <f>VLOOKUP($A33,ScionOutput!$A$3:$BL$215,22,FALSE)</f>
        <v>7</v>
      </c>
      <c r="D33" t="str">
        <f>VLOOKUP($A33,ScionOutput!$A$3:$BL$215,23,FALSE)</f>
        <v>CLE</v>
      </c>
      <c r="E33">
        <f>VLOOKUP($A33,ScionOutput!$A$3:$BL$215,6,FALSE)</f>
        <v>19</v>
      </c>
      <c r="F33" t="str">
        <f>VLOOKUP($A33,ScionOutput!$A$3:$BL$215,7,FALSE)</f>
        <v>NYY</v>
      </c>
      <c r="G33">
        <f>VLOOKUP($A33,ScionOutput!$A$3:$BL$215,26,FALSE)</f>
        <v>-122</v>
      </c>
      <c r="H33">
        <f>VLOOKUP($A33,ScionOutput!$A$3:$BL$215,10,FALSE)</f>
        <v>113</v>
      </c>
      <c r="I33" t="str">
        <f>VLOOKUP($A33,ScionOutput!$A$3:$BL$215,58,FALSE)</f>
        <v>No Play</v>
      </c>
      <c r="J33">
        <f>VLOOKUP($A33,ScionOutput!$A$3:$BL$215,59,FALSE)</f>
        <v>0</v>
      </c>
      <c r="K33">
        <f>VLOOKUP($A33,ScionOutput!$A$3:$BL$215,62,FALSE)</f>
        <v>0</v>
      </c>
      <c r="L33">
        <f>VLOOKUP($A33,ScionOutput!$A$3:$BL$215,63,FALSE)</f>
        <v>0</v>
      </c>
      <c r="M33" t="b">
        <f t="shared" si="1"/>
        <v>0</v>
      </c>
      <c r="N33">
        <f>VLOOKUP($A33,Outcomes!$B$3:$I$209,8,FALSE)</f>
        <v>12</v>
      </c>
      <c r="O33">
        <f t="shared" si="2"/>
        <v>-1</v>
      </c>
      <c r="P33">
        <f>VLOOKUP($A33,Outcomes!$B$3:$I$209,5,FALSE)</f>
        <v>5</v>
      </c>
      <c r="Q33">
        <f>VLOOKUP($A33,Outcomes!$B$3:$I$209,6,FALSE)</f>
        <v>7</v>
      </c>
      <c r="R33">
        <f>VLOOKUP($A33,Outcomes!$B$3:$I$209,7,FALSE)</f>
        <v>2</v>
      </c>
      <c r="S33" t="str">
        <f t="shared" si="3"/>
        <v>VisDog</v>
      </c>
      <c r="T33" t="str">
        <f t="shared" si="4"/>
        <v/>
      </c>
      <c r="U33" t="str">
        <f t="shared" si="0"/>
        <v/>
      </c>
      <c r="V33" t="str">
        <f t="shared" si="5"/>
        <v/>
      </c>
      <c r="W33" t="str">
        <f t="shared" si="6"/>
        <v/>
      </c>
      <c r="X33" s="2" t="str">
        <f t="shared" si="7"/>
        <v/>
      </c>
      <c r="Y33" t="str">
        <f>VLOOKUP($A33,ScionOutput!$A$3:$BL$215,64,FALSE)</f>
        <v xml:space="preserve">824427. LineStatEns probability points gap does not exceed threshold (no edge found)! StatOnlyEns probability points gap does not exceed threshold (no edge found)! No play due to strategy constraints. </v>
      </c>
    </row>
    <row r="34" spans="1:25" x14ac:dyDescent="0.2">
      <c r="A34">
        <v>824998</v>
      </c>
      <c r="B34" s="3">
        <f>VLOOKUP($A34,ScionOutput!$A$3:$BL$215,3,FALSE)</f>
        <v>46181</v>
      </c>
      <c r="C34">
        <f>VLOOKUP($A34,ScionOutput!$A$3:$BL$215,22,FALSE)</f>
        <v>20</v>
      </c>
      <c r="D34" t="str">
        <f>VLOOKUP($A34,ScionOutput!$A$3:$BL$215,23,FALSE)</f>
        <v>OAK</v>
      </c>
      <c r="E34">
        <f>VLOOKUP($A34,ScionOutput!$A$3:$BL$215,6,FALSE)</f>
        <v>17</v>
      </c>
      <c r="F34" t="str">
        <f>VLOOKUP($A34,ScionOutput!$A$3:$BL$215,7,FALSE)</f>
        <v>MLW</v>
      </c>
      <c r="G34">
        <f>VLOOKUP($A34,ScionOutput!$A$3:$BL$215,26,FALSE)</f>
        <v>130</v>
      </c>
      <c r="H34">
        <f>VLOOKUP($A34,ScionOutput!$A$3:$BL$215,10,FALSE)</f>
        <v>-142</v>
      </c>
      <c r="I34" t="str">
        <f>VLOOKUP($A34,ScionOutput!$A$3:$BL$215,58,FALSE)</f>
        <v>No Play</v>
      </c>
      <c r="J34">
        <f>VLOOKUP($A34,ScionOutput!$A$3:$BL$215,59,FALSE)</f>
        <v>0</v>
      </c>
      <c r="K34">
        <f>VLOOKUP($A34,ScionOutput!$A$3:$BL$215,62,FALSE)</f>
        <v>0</v>
      </c>
      <c r="L34">
        <f>VLOOKUP($A34,ScionOutput!$A$3:$BL$215,63,FALSE)</f>
        <v>0</v>
      </c>
      <c r="M34" t="b">
        <f t="shared" si="1"/>
        <v>0</v>
      </c>
      <c r="N34">
        <f>VLOOKUP($A34,Outcomes!$B$3:$I$209,8,FALSE)</f>
        <v>29</v>
      </c>
      <c r="O34">
        <f t="shared" si="2"/>
        <v>-1</v>
      </c>
      <c r="P34">
        <f>VLOOKUP($A34,Outcomes!$B$3:$I$209,5,FALSE)</f>
        <v>14</v>
      </c>
      <c r="Q34">
        <f>VLOOKUP($A34,Outcomes!$B$3:$I$209,6,FALSE)</f>
        <v>15</v>
      </c>
      <c r="R34">
        <f>VLOOKUP($A34,Outcomes!$B$3:$I$209,7,FALSE)</f>
        <v>1</v>
      </c>
      <c r="S34" t="str">
        <f t="shared" si="3"/>
        <v>VisFave</v>
      </c>
      <c r="T34" t="str">
        <f t="shared" si="4"/>
        <v/>
      </c>
      <c r="U34" t="str">
        <f t="shared" si="0"/>
        <v/>
      </c>
      <c r="V34" t="str">
        <f t="shared" si="5"/>
        <v/>
      </c>
      <c r="W34" t="str">
        <f t="shared" si="6"/>
        <v/>
      </c>
      <c r="X34" s="2" t="str">
        <f t="shared" si="7"/>
        <v/>
      </c>
      <c r="Y34" t="str">
        <f>VLOOKUP($A34,ScionOutput!$A$3:$BL$215,64,FALSE)</f>
        <v xml:space="preserve">824998. VF plays are disallowed. No play due to strategy constraints. </v>
      </c>
    </row>
    <row r="35" spans="1:25" x14ac:dyDescent="0.2">
      <c r="A35">
        <v>823289</v>
      </c>
      <c r="B35" s="3">
        <f>VLOOKUP($A35,ScionOutput!$A$3:$BL$215,3,FALSE)</f>
        <v>46181</v>
      </c>
      <c r="C35">
        <f>VLOOKUP($A35,ScionOutput!$A$3:$BL$215,22,FALSE)</f>
        <v>23</v>
      </c>
      <c r="D35" t="str">
        <f>VLOOKUP($A35,ScionOutput!$A$3:$BL$215,23,FALSE)</f>
        <v>SD</v>
      </c>
      <c r="E35">
        <f>VLOOKUP($A35,ScionOutput!$A$3:$BL$215,6,FALSE)</f>
        <v>6</v>
      </c>
      <c r="F35" t="str">
        <f>VLOOKUP($A35,ScionOutput!$A$3:$BL$215,7,FALSE)</f>
        <v>CIN</v>
      </c>
      <c r="G35">
        <f>VLOOKUP($A35,ScionOutput!$A$3:$BL$215,26,FALSE)</f>
        <v>-128</v>
      </c>
      <c r="H35">
        <f>VLOOKUP($A35,ScionOutput!$A$3:$BL$215,10,FALSE)</f>
        <v>118</v>
      </c>
      <c r="I35" t="str">
        <f>VLOOKUP($A35,ScionOutput!$A$3:$BL$215,58,FALSE)</f>
        <v>No Play</v>
      </c>
      <c r="J35">
        <f>VLOOKUP($A35,ScionOutput!$A$3:$BL$215,59,FALSE)</f>
        <v>0</v>
      </c>
      <c r="K35">
        <f>VLOOKUP($A35,ScionOutput!$A$3:$BL$215,62,FALSE)</f>
        <v>0</v>
      </c>
      <c r="L35">
        <f>VLOOKUP($A35,ScionOutput!$A$3:$BL$215,63,FALSE)</f>
        <v>0</v>
      </c>
      <c r="M35" t="b">
        <f t="shared" si="1"/>
        <v>0</v>
      </c>
      <c r="N35">
        <f>VLOOKUP($A35,Outcomes!$B$3:$I$209,8,FALSE)</f>
        <v>8</v>
      </c>
      <c r="O35">
        <f t="shared" si="2"/>
        <v>1</v>
      </c>
      <c r="P35">
        <f>VLOOKUP($A35,Outcomes!$B$3:$I$209,5,FALSE)</f>
        <v>6</v>
      </c>
      <c r="Q35">
        <f>VLOOKUP($A35,Outcomes!$B$3:$I$209,6,FALSE)</f>
        <v>2</v>
      </c>
      <c r="R35">
        <f>VLOOKUP($A35,Outcomes!$B$3:$I$209,7,FALSE)</f>
        <v>-4</v>
      </c>
      <c r="S35" t="str">
        <f t="shared" si="3"/>
        <v>HomFave</v>
      </c>
      <c r="T35" t="str">
        <f t="shared" si="4"/>
        <v/>
      </c>
      <c r="U35" t="str">
        <f t="shared" si="0"/>
        <v/>
      </c>
      <c r="V35" t="str">
        <f t="shared" si="5"/>
        <v/>
      </c>
      <c r="W35" t="str">
        <f t="shared" si="6"/>
        <v/>
      </c>
      <c r="X35" s="2" t="str">
        <f t="shared" si="7"/>
        <v/>
      </c>
      <c r="Y35" t="str">
        <f>VLOOKUP($A35,ScionOutput!$A$3:$BL$215,64,FALSE)</f>
        <v xml:space="preserve">823289. LineStatEns probability points gap does not exceed threshold (no edge found)! StatOnlyEns probability points gap does not exceed threshold (no edge found)! No play due to strategy constraints. </v>
      </c>
    </row>
    <row r="36" spans="1:25" x14ac:dyDescent="0.2">
      <c r="A36">
        <v>823218</v>
      </c>
      <c r="B36" s="3">
        <f>VLOOKUP($A36,ScionOutput!$A$3:$BL$215,3,FALSE)</f>
        <v>46181</v>
      </c>
      <c r="C36">
        <f>VLOOKUP($A36,ScionOutput!$A$3:$BL$215,22,FALSE)</f>
        <v>25</v>
      </c>
      <c r="D36" t="str">
        <f>VLOOKUP($A36,ScionOutput!$A$3:$BL$215,23,FALSE)</f>
        <v>SF</v>
      </c>
      <c r="E36">
        <f>VLOOKUP($A36,ScionOutput!$A$3:$BL$215,6,FALSE)</f>
        <v>16</v>
      </c>
      <c r="F36" t="str">
        <f>VLOOKUP($A36,ScionOutput!$A$3:$BL$215,7,FALSE)</f>
        <v>WAS</v>
      </c>
      <c r="G36">
        <f>VLOOKUP($A36,ScionOutput!$A$3:$BL$215,26,FALSE)</f>
        <v>-145</v>
      </c>
      <c r="H36">
        <f>VLOOKUP($A36,ScionOutput!$A$3:$BL$215,10,FALSE)</f>
        <v>133</v>
      </c>
      <c r="I36" t="str">
        <f>VLOOKUP($A36,ScionOutput!$A$3:$BL$215,58,FALSE)</f>
        <v>No Play</v>
      </c>
      <c r="J36">
        <f>VLOOKUP($A36,ScionOutput!$A$3:$BL$215,59,FALSE)</f>
        <v>0</v>
      </c>
      <c r="K36">
        <f>VLOOKUP($A36,ScionOutput!$A$3:$BL$215,62,FALSE)</f>
        <v>0</v>
      </c>
      <c r="L36">
        <f>VLOOKUP($A36,ScionOutput!$A$3:$BL$215,63,FALSE)</f>
        <v>0</v>
      </c>
      <c r="M36" t="b">
        <f t="shared" si="1"/>
        <v>0</v>
      </c>
      <c r="N36">
        <f>VLOOKUP($A36,Outcomes!$B$3:$I$209,8,FALSE)</f>
        <v>7</v>
      </c>
      <c r="O36">
        <f t="shared" si="2"/>
        <v>-1</v>
      </c>
      <c r="P36">
        <f>VLOOKUP($A36,Outcomes!$B$3:$I$209,5,FALSE)</f>
        <v>3</v>
      </c>
      <c r="Q36">
        <f>VLOOKUP($A36,Outcomes!$B$3:$I$209,6,FALSE)</f>
        <v>4</v>
      </c>
      <c r="R36">
        <f>VLOOKUP($A36,Outcomes!$B$3:$I$209,7,FALSE)</f>
        <v>1</v>
      </c>
      <c r="S36" t="str">
        <f t="shared" si="3"/>
        <v>VisDog</v>
      </c>
      <c r="T36" t="str">
        <f t="shared" si="4"/>
        <v/>
      </c>
      <c r="U36" t="str">
        <f t="shared" si="0"/>
        <v/>
      </c>
      <c r="V36" t="str">
        <f t="shared" si="5"/>
        <v/>
      </c>
      <c r="W36" t="str">
        <f t="shared" si="6"/>
        <v/>
      </c>
      <c r="X36" s="2" t="str">
        <f t="shared" si="7"/>
        <v/>
      </c>
      <c r="Y36" t="str">
        <f>VLOOKUP($A36,ScionOutput!$A$3:$BL$215,64,FALSE)</f>
        <v xml:space="preserve">823218. LineStatEns probability points gap does not exceed threshold (no edge found)! StatOnlyEns probability points gap does not exceed threshold (no edge found)! No play due to strategy constraints. </v>
      </c>
    </row>
    <row r="37" spans="1:25" x14ac:dyDescent="0.2">
      <c r="A37">
        <v>822972</v>
      </c>
      <c r="B37" s="3">
        <f>VLOOKUP($A37,ScionOutput!$A$3:$BL$215,3,FALSE)</f>
        <v>46181</v>
      </c>
      <c r="C37">
        <f>VLOOKUP($A37,ScionOutput!$A$3:$BL$215,22,FALSE)</f>
        <v>27</v>
      </c>
      <c r="D37" t="str">
        <f>VLOOKUP($A37,ScionOutput!$A$3:$BL$215,23,FALSE)</f>
        <v>TB</v>
      </c>
      <c r="E37">
        <f>VLOOKUP($A37,ScionOutput!$A$3:$BL$215,6,FALSE)</f>
        <v>3</v>
      </c>
      <c r="F37" t="str">
        <f>VLOOKUP($A37,ScionOutput!$A$3:$BL$215,7,FALSE)</f>
        <v>BOS</v>
      </c>
      <c r="G37">
        <f>VLOOKUP($A37,ScionOutput!$A$3:$BL$215,26,FALSE)</f>
        <v>-102</v>
      </c>
      <c r="H37">
        <f>VLOOKUP($A37,ScionOutput!$A$3:$BL$215,10,FALSE)</f>
        <v>-106</v>
      </c>
      <c r="I37" t="str">
        <f>VLOOKUP($A37,ScionOutput!$A$3:$BL$215,58,FALSE)</f>
        <v>No Play</v>
      </c>
      <c r="J37">
        <f>VLOOKUP($A37,ScionOutput!$A$3:$BL$215,59,FALSE)</f>
        <v>0</v>
      </c>
      <c r="K37">
        <f>VLOOKUP($A37,ScionOutput!$A$3:$BL$215,62,FALSE)</f>
        <v>0</v>
      </c>
      <c r="L37">
        <f>VLOOKUP($A37,ScionOutput!$A$3:$BL$215,63,FALSE)</f>
        <v>0</v>
      </c>
      <c r="M37" t="b">
        <f t="shared" si="1"/>
        <v>0</v>
      </c>
      <c r="N37">
        <f>VLOOKUP($A37,Outcomes!$B$3:$I$209,8,FALSE)</f>
        <v>4</v>
      </c>
      <c r="O37">
        <f t="shared" si="2"/>
        <v>1</v>
      </c>
      <c r="P37">
        <f>VLOOKUP($A37,Outcomes!$B$3:$I$209,5,FALSE)</f>
        <v>3</v>
      </c>
      <c r="Q37">
        <f>VLOOKUP($A37,Outcomes!$B$3:$I$209,6,FALSE)</f>
        <v>1</v>
      </c>
      <c r="R37">
        <f>VLOOKUP($A37,Outcomes!$B$3:$I$209,7,FALSE)</f>
        <v>-2</v>
      </c>
      <c r="S37" t="str">
        <f t="shared" si="3"/>
        <v>HomDog</v>
      </c>
      <c r="T37" t="str">
        <f t="shared" si="4"/>
        <v/>
      </c>
      <c r="U37" t="str">
        <f t="shared" si="0"/>
        <v/>
      </c>
      <c r="V37" t="str">
        <f t="shared" si="5"/>
        <v/>
      </c>
      <c r="W37" t="str">
        <f t="shared" si="6"/>
        <v/>
      </c>
      <c r="X37" s="2" t="str">
        <f t="shared" si="7"/>
        <v/>
      </c>
      <c r="Y37" t="str">
        <f>VLOOKUP($A37,ScionOutput!$A$3:$BL$215,64,FALSE)</f>
        <v xml:space="preserve">822972. VF plays are disallowed. No play due to strategy constraints. </v>
      </c>
    </row>
    <row r="38" spans="1:25" x14ac:dyDescent="0.2">
      <c r="A38">
        <v>822806</v>
      </c>
      <c r="B38" s="3">
        <f>VLOOKUP($A38,ScionOutput!$A$3:$BL$215,3,FALSE)</f>
        <v>46181</v>
      </c>
      <c r="C38">
        <f>VLOOKUP($A38,ScionOutput!$A$3:$BL$215,22,FALSE)</f>
        <v>29</v>
      </c>
      <c r="D38" t="str">
        <f>VLOOKUP($A38,ScionOutput!$A$3:$BL$215,23,FALSE)</f>
        <v>TOR</v>
      </c>
      <c r="E38">
        <f>VLOOKUP($A38,ScionOutput!$A$3:$BL$215,6,FALSE)</f>
        <v>21</v>
      </c>
      <c r="F38" t="str">
        <f>VLOOKUP($A38,ScionOutput!$A$3:$BL$215,7,FALSE)</f>
        <v>PHI</v>
      </c>
      <c r="G38">
        <f>VLOOKUP($A38,ScionOutput!$A$3:$BL$215,26,FALSE)</f>
        <v>154</v>
      </c>
      <c r="H38">
        <f>VLOOKUP($A38,ScionOutput!$A$3:$BL$215,10,FALSE)</f>
        <v>-168</v>
      </c>
      <c r="I38" t="str">
        <f>VLOOKUP($A38,ScionOutput!$A$3:$BL$215,58,FALSE)</f>
        <v>No Play</v>
      </c>
      <c r="J38">
        <f>VLOOKUP($A38,ScionOutput!$A$3:$BL$215,59,FALSE)</f>
        <v>0</v>
      </c>
      <c r="K38">
        <f>VLOOKUP($A38,ScionOutput!$A$3:$BL$215,62,FALSE)</f>
        <v>0</v>
      </c>
      <c r="L38">
        <f>VLOOKUP($A38,ScionOutput!$A$3:$BL$215,63,FALSE)</f>
        <v>0</v>
      </c>
      <c r="M38" t="b">
        <f t="shared" si="1"/>
        <v>0</v>
      </c>
      <c r="N38">
        <f>VLOOKUP($A38,Outcomes!$B$3:$I$209,8,FALSE)</f>
        <v>7</v>
      </c>
      <c r="O38">
        <f t="shared" si="2"/>
        <v>-1</v>
      </c>
      <c r="P38">
        <f>VLOOKUP($A38,Outcomes!$B$3:$I$209,5,FALSE)</f>
        <v>2</v>
      </c>
      <c r="Q38">
        <f>VLOOKUP($A38,Outcomes!$B$3:$I$209,6,FALSE)</f>
        <v>5</v>
      </c>
      <c r="R38">
        <f>VLOOKUP($A38,Outcomes!$B$3:$I$209,7,FALSE)</f>
        <v>3</v>
      </c>
      <c r="S38" t="str">
        <f t="shared" si="3"/>
        <v>VisFave</v>
      </c>
      <c r="T38" t="str">
        <f t="shared" si="4"/>
        <v/>
      </c>
      <c r="U38" t="str">
        <f t="shared" si="0"/>
        <v/>
      </c>
      <c r="V38" t="str">
        <f t="shared" si="5"/>
        <v/>
      </c>
      <c r="W38" t="str">
        <f t="shared" si="6"/>
        <v/>
      </c>
      <c r="X38" s="2" t="str">
        <f t="shared" si="7"/>
        <v/>
      </c>
      <c r="Y38" t="str">
        <f>VLOOKUP($A38,ScionOutput!$A$3:$BL$215,64,FALSE)</f>
        <v xml:space="preserve">822806. LineStatEns is NoPlay as bookie-line outside range. StatOnlyEns is NoPlay as bookie-line outside range. No play due to strategy constraints. </v>
      </c>
    </row>
    <row r="39" spans="1:25" x14ac:dyDescent="0.2">
      <c r="A39">
        <v>824830</v>
      </c>
      <c r="B39" s="3">
        <f>VLOOKUP($A39,ScionOutput!$A$3:$BL$215,3,FALSE)</f>
        <v>46182</v>
      </c>
      <c r="C39">
        <f>VLOOKUP($A39,ScionOutput!$A$3:$BL$215,22,FALSE)</f>
        <v>2</v>
      </c>
      <c r="D39" t="str">
        <f>VLOOKUP($A39,ScionOutput!$A$3:$BL$215,23,FALSE)</f>
        <v>BAL</v>
      </c>
      <c r="E39">
        <f>VLOOKUP($A39,ScionOutput!$A$3:$BL$215,6,FALSE)</f>
        <v>24</v>
      </c>
      <c r="F39" t="str">
        <f>VLOOKUP($A39,ScionOutput!$A$3:$BL$215,7,FALSE)</f>
        <v>SEA</v>
      </c>
      <c r="G39">
        <f>VLOOKUP($A39,ScionOutput!$A$3:$BL$215,26,FALSE)</f>
        <v>103</v>
      </c>
      <c r="H39">
        <f>VLOOKUP($A39,ScionOutput!$A$3:$BL$215,10,FALSE)</f>
        <v>-112</v>
      </c>
      <c r="I39" t="str">
        <f>VLOOKUP($A39,ScionOutput!$A$3:$BL$215,58,FALSE)</f>
        <v>No Play</v>
      </c>
      <c r="J39">
        <f>VLOOKUP($A39,ScionOutput!$A$3:$BL$215,59,FALSE)</f>
        <v>0</v>
      </c>
      <c r="K39">
        <f>VLOOKUP($A39,ScionOutput!$A$3:$BL$215,62,FALSE)</f>
        <v>0</v>
      </c>
      <c r="L39">
        <f>VLOOKUP($A39,ScionOutput!$A$3:$BL$215,63,FALSE)</f>
        <v>0</v>
      </c>
      <c r="M39" t="b">
        <f t="shared" si="1"/>
        <v>0</v>
      </c>
      <c r="N39">
        <f>VLOOKUP($A39,Outcomes!$B$3:$I$209,8,FALSE)</f>
        <v>11</v>
      </c>
      <c r="O39">
        <f t="shared" si="2"/>
        <v>-1</v>
      </c>
      <c r="P39">
        <f>VLOOKUP($A39,Outcomes!$B$3:$I$209,5,FALSE)</f>
        <v>5</v>
      </c>
      <c r="Q39">
        <f>VLOOKUP($A39,Outcomes!$B$3:$I$209,6,FALSE)</f>
        <v>6</v>
      </c>
      <c r="R39">
        <f>VLOOKUP($A39,Outcomes!$B$3:$I$209,7,FALSE)</f>
        <v>1</v>
      </c>
      <c r="S39" t="str">
        <f t="shared" si="3"/>
        <v>VisFave</v>
      </c>
      <c r="T39" t="str">
        <f t="shared" si="4"/>
        <v/>
      </c>
      <c r="U39" t="str">
        <f t="shared" si="0"/>
        <v/>
      </c>
      <c r="V39" t="str">
        <f t="shared" si="5"/>
        <v/>
      </c>
      <c r="W39" t="str">
        <f t="shared" si="6"/>
        <v/>
      </c>
      <c r="X39" s="2" t="str">
        <f t="shared" si="7"/>
        <v/>
      </c>
      <c r="Y39" t="str">
        <f>VLOOKUP($A39,ScionOutput!$A$3:$BL$215,64,FALSE)</f>
        <v xml:space="preserve">824830. VF plays are disallowed. No play due to strategy constraints. </v>
      </c>
    </row>
    <row r="40" spans="1:25" x14ac:dyDescent="0.2">
      <c r="A40">
        <v>824023</v>
      </c>
      <c r="B40" s="3">
        <f>VLOOKUP($A40,ScionOutput!$A$3:$BL$215,3,FALSE)</f>
        <v>46182</v>
      </c>
      <c r="C40">
        <f>VLOOKUP($A40,ScionOutput!$A$3:$BL$215,22,FALSE)</f>
        <v>4</v>
      </c>
      <c r="D40" t="str">
        <f>VLOOKUP($A40,ScionOutput!$A$3:$BL$215,23,FALSE)</f>
        <v>LAA</v>
      </c>
      <c r="E40">
        <f>VLOOKUP($A40,ScionOutput!$A$3:$BL$215,6,FALSE)</f>
        <v>12</v>
      </c>
      <c r="F40" t="str">
        <f>VLOOKUP($A40,ScionOutput!$A$3:$BL$215,7,FALSE)</f>
        <v>HOU</v>
      </c>
      <c r="G40">
        <f>VLOOKUP($A40,ScionOutput!$A$3:$BL$215,26,FALSE)</f>
        <v>111</v>
      </c>
      <c r="H40">
        <f>VLOOKUP($A40,ScionOutput!$A$3:$BL$215,10,FALSE)</f>
        <v>-120</v>
      </c>
      <c r="I40" t="str">
        <f>VLOOKUP($A40,ScionOutput!$A$3:$BL$215,58,FALSE)</f>
        <v>No Play</v>
      </c>
      <c r="J40">
        <f>VLOOKUP($A40,ScionOutput!$A$3:$BL$215,59,FALSE)</f>
        <v>0</v>
      </c>
      <c r="K40">
        <f>VLOOKUP($A40,ScionOutput!$A$3:$BL$215,62,FALSE)</f>
        <v>0</v>
      </c>
      <c r="L40">
        <f>VLOOKUP($A40,ScionOutput!$A$3:$BL$215,63,FALSE)</f>
        <v>0</v>
      </c>
      <c r="M40" t="b">
        <f t="shared" si="1"/>
        <v>0</v>
      </c>
      <c r="N40">
        <f>VLOOKUP($A40,Outcomes!$B$3:$I$209,8,FALSE)</f>
        <v>11</v>
      </c>
      <c r="O40">
        <f t="shared" si="2"/>
        <v>1</v>
      </c>
      <c r="P40">
        <f>VLOOKUP($A40,Outcomes!$B$3:$I$209,5,FALSE)</f>
        <v>10</v>
      </c>
      <c r="Q40">
        <f>VLOOKUP($A40,Outcomes!$B$3:$I$209,6,FALSE)</f>
        <v>1</v>
      </c>
      <c r="R40">
        <f>VLOOKUP($A40,Outcomes!$B$3:$I$209,7,FALSE)</f>
        <v>-9</v>
      </c>
      <c r="S40" t="str">
        <f t="shared" si="3"/>
        <v>HomDog</v>
      </c>
      <c r="T40" t="str">
        <f t="shared" si="4"/>
        <v/>
      </c>
      <c r="U40" t="str">
        <f t="shared" si="0"/>
        <v/>
      </c>
      <c r="V40" t="str">
        <f t="shared" si="5"/>
        <v/>
      </c>
      <c r="W40" t="str">
        <f t="shared" si="6"/>
        <v/>
      </c>
      <c r="X40" s="2" t="str">
        <f t="shared" si="7"/>
        <v/>
      </c>
      <c r="Y40" t="str">
        <f>VLOOKUP($A40,ScionOutput!$A$3:$BL$215,64,FALSE)</f>
        <v xml:space="preserve">824023. VF plays are disallowed. No play due to strategy constraints. </v>
      </c>
    </row>
    <row r="41" spans="1:25" x14ac:dyDescent="0.2">
      <c r="A41">
        <v>824429</v>
      </c>
      <c r="B41" s="3">
        <f>VLOOKUP($A41,ScionOutput!$A$3:$BL$215,3,FALSE)</f>
        <v>46182</v>
      </c>
      <c r="C41">
        <f>VLOOKUP($A41,ScionOutput!$A$3:$BL$215,22,FALSE)</f>
        <v>7</v>
      </c>
      <c r="D41" t="str">
        <f>VLOOKUP($A41,ScionOutput!$A$3:$BL$215,23,FALSE)</f>
        <v>CLE</v>
      </c>
      <c r="E41">
        <f>VLOOKUP($A41,ScionOutput!$A$3:$BL$215,6,FALSE)</f>
        <v>19</v>
      </c>
      <c r="F41" t="str">
        <f>VLOOKUP($A41,ScionOutput!$A$3:$BL$215,7,FALSE)</f>
        <v>NYY</v>
      </c>
      <c r="G41">
        <f>VLOOKUP($A41,ScionOutput!$A$3:$BL$215,26,FALSE)</f>
        <v>107</v>
      </c>
      <c r="H41">
        <f>VLOOKUP($A41,ScionOutput!$A$3:$BL$215,10,FALSE)</f>
        <v>-116</v>
      </c>
      <c r="I41" t="str">
        <f>VLOOKUP($A41,ScionOutput!$A$3:$BL$215,58,FALSE)</f>
        <v>No Play</v>
      </c>
      <c r="J41">
        <f>VLOOKUP($A41,ScionOutput!$A$3:$BL$215,59,FALSE)</f>
        <v>0</v>
      </c>
      <c r="K41">
        <f>VLOOKUP($A41,ScionOutput!$A$3:$BL$215,62,FALSE)</f>
        <v>0</v>
      </c>
      <c r="L41">
        <f>VLOOKUP($A41,ScionOutput!$A$3:$BL$215,63,FALSE)</f>
        <v>0</v>
      </c>
      <c r="M41" t="b">
        <f t="shared" si="1"/>
        <v>0</v>
      </c>
      <c r="N41">
        <f>VLOOKUP($A41,Outcomes!$B$3:$I$209,8,FALSE)</f>
        <v>5</v>
      </c>
      <c r="O41">
        <f t="shared" si="2"/>
        <v>-1</v>
      </c>
      <c r="P41">
        <f>VLOOKUP($A41,Outcomes!$B$3:$I$209,5,FALSE)</f>
        <v>2</v>
      </c>
      <c r="Q41">
        <f>VLOOKUP($A41,Outcomes!$B$3:$I$209,6,FALSE)</f>
        <v>3</v>
      </c>
      <c r="R41">
        <f>VLOOKUP($A41,Outcomes!$B$3:$I$209,7,FALSE)</f>
        <v>1</v>
      </c>
      <c r="S41" t="str">
        <f t="shared" si="3"/>
        <v>VisFave</v>
      </c>
      <c r="T41" t="str">
        <f t="shared" si="4"/>
        <v/>
      </c>
      <c r="U41" t="str">
        <f t="shared" si="0"/>
        <v/>
      </c>
      <c r="V41" t="str">
        <f t="shared" si="5"/>
        <v/>
      </c>
      <c r="W41" t="str">
        <f t="shared" si="6"/>
        <v/>
      </c>
      <c r="X41" s="2" t="str">
        <f t="shared" si="7"/>
        <v/>
      </c>
      <c r="Y41" t="str">
        <f>VLOOKUP($A41,ScionOutput!$A$3:$BL$215,64,FALSE)</f>
        <v xml:space="preserve">824429. VF plays are disallowed. No play due to strategy constraints. </v>
      </c>
    </row>
    <row r="42" spans="1:25" x14ac:dyDescent="0.2">
      <c r="A42">
        <v>824347</v>
      </c>
      <c r="B42" s="3">
        <f>VLOOKUP($A42,ScionOutput!$A$3:$BL$215,3,FALSE)</f>
        <v>46182</v>
      </c>
      <c r="C42">
        <f>VLOOKUP($A42,ScionOutput!$A$3:$BL$215,22,FALSE)</f>
        <v>8</v>
      </c>
      <c r="D42" t="str">
        <f>VLOOKUP($A42,ScionOutput!$A$3:$BL$215,23,FALSE)</f>
        <v>COL</v>
      </c>
      <c r="E42">
        <f>VLOOKUP($A42,ScionOutput!$A$3:$BL$215,6,FALSE)</f>
        <v>5</v>
      </c>
      <c r="F42" t="str">
        <f>VLOOKUP($A42,ScionOutput!$A$3:$BL$215,7,FALSE)</f>
        <v>CHC</v>
      </c>
      <c r="G42">
        <f>VLOOKUP($A42,ScionOutput!$A$3:$BL$215,26,FALSE)</f>
        <v>141</v>
      </c>
      <c r="H42">
        <f>VLOOKUP($A42,ScionOutput!$A$3:$BL$215,10,FALSE)</f>
        <v>-153</v>
      </c>
      <c r="I42" t="str">
        <f>VLOOKUP($A42,ScionOutput!$A$3:$BL$215,58,FALSE)</f>
        <v>No Play</v>
      </c>
      <c r="J42">
        <f>VLOOKUP($A42,ScionOutput!$A$3:$BL$215,59,FALSE)</f>
        <v>0</v>
      </c>
      <c r="K42">
        <f>VLOOKUP($A42,ScionOutput!$A$3:$BL$215,62,FALSE)</f>
        <v>0</v>
      </c>
      <c r="L42">
        <f>VLOOKUP($A42,ScionOutput!$A$3:$BL$215,63,FALSE)</f>
        <v>0</v>
      </c>
      <c r="M42" t="b">
        <f t="shared" si="1"/>
        <v>0</v>
      </c>
      <c r="N42">
        <f>VLOOKUP($A42,Outcomes!$B$3:$I$209,8,FALSE)</f>
        <v>10</v>
      </c>
      <c r="O42">
        <f t="shared" si="2"/>
        <v>1</v>
      </c>
      <c r="P42">
        <f>VLOOKUP($A42,Outcomes!$B$3:$I$209,5,FALSE)</f>
        <v>7</v>
      </c>
      <c r="Q42">
        <f>VLOOKUP($A42,Outcomes!$B$3:$I$209,6,FALSE)</f>
        <v>3</v>
      </c>
      <c r="R42">
        <f>VLOOKUP($A42,Outcomes!$B$3:$I$209,7,FALSE)</f>
        <v>-4</v>
      </c>
      <c r="S42" t="str">
        <f t="shared" si="3"/>
        <v>HomDog</v>
      </c>
      <c r="T42" t="str">
        <f t="shared" si="4"/>
        <v/>
      </c>
      <c r="U42" t="str">
        <f t="shared" si="0"/>
        <v/>
      </c>
      <c r="V42" t="str">
        <f t="shared" si="5"/>
        <v/>
      </c>
      <c r="W42" t="str">
        <f t="shared" si="6"/>
        <v/>
      </c>
      <c r="X42" s="2" t="str">
        <f t="shared" si="7"/>
        <v/>
      </c>
      <c r="Y42" t="str">
        <f>VLOOKUP($A42,ScionOutput!$A$3:$BL$215,64,FALSE)</f>
        <v xml:space="preserve">824347. VF plays are disallowed. No play due to strategy constraints. </v>
      </c>
    </row>
    <row r="43" spans="1:25" x14ac:dyDescent="0.2">
      <c r="A43">
        <v>824591</v>
      </c>
      <c r="B43" s="3">
        <f>VLOOKUP($A43,ScionOutput!$A$3:$BL$215,3,FALSE)</f>
        <v>46182</v>
      </c>
      <c r="C43">
        <f>VLOOKUP($A43,ScionOutput!$A$3:$BL$215,22,FALSE)</f>
        <v>9</v>
      </c>
      <c r="D43" t="str">
        <f>VLOOKUP($A43,ScionOutput!$A$3:$BL$215,23,FALSE)</f>
        <v>CWS</v>
      </c>
      <c r="E43">
        <f>VLOOKUP($A43,ScionOutput!$A$3:$BL$215,6,FALSE)</f>
        <v>0</v>
      </c>
      <c r="F43" t="str">
        <f>VLOOKUP($A43,ScionOutput!$A$3:$BL$215,7,FALSE)</f>
        <v>ATL</v>
      </c>
      <c r="G43">
        <f>VLOOKUP($A43,ScionOutput!$A$3:$BL$215,26,FALSE)</f>
        <v>139</v>
      </c>
      <c r="H43">
        <f>VLOOKUP($A43,ScionOutput!$A$3:$BL$215,10,FALSE)</f>
        <v>-152</v>
      </c>
      <c r="I43" t="str">
        <f>VLOOKUP($A43,ScionOutput!$A$3:$BL$215,58,FALSE)</f>
        <v>No Play</v>
      </c>
      <c r="J43">
        <f>VLOOKUP($A43,ScionOutput!$A$3:$BL$215,59,FALSE)</f>
        <v>0</v>
      </c>
      <c r="K43">
        <f>VLOOKUP($A43,ScionOutput!$A$3:$BL$215,62,FALSE)</f>
        <v>0</v>
      </c>
      <c r="L43">
        <f>VLOOKUP($A43,ScionOutput!$A$3:$BL$215,63,FALSE)</f>
        <v>0</v>
      </c>
      <c r="M43" t="b">
        <f t="shared" si="1"/>
        <v>0</v>
      </c>
      <c r="N43">
        <f>VLOOKUP($A43,Outcomes!$B$3:$I$209,8,FALSE)</f>
        <v>11</v>
      </c>
      <c r="O43">
        <f t="shared" si="2"/>
        <v>1</v>
      </c>
      <c r="P43">
        <f>VLOOKUP($A43,Outcomes!$B$3:$I$209,5,FALSE)</f>
        <v>6</v>
      </c>
      <c r="Q43">
        <f>VLOOKUP($A43,Outcomes!$B$3:$I$209,6,FALSE)</f>
        <v>5</v>
      </c>
      <c r="R43">
        <f>VLOOKUP($A43,Outcomes!$B$3:$I$209,7,FALSE)</f>
        <v>-1</v>
      </c>
      <c r="S43" t="str">
        <f t="shared" si="3"/>
        <v>HomDog</v>
      </c>
      <c r="T43" t="str">
        <f t="shared" si="4"/>
        <v/>
      </c>
      <c r="U43" t="str">
        <f t="shared" si="0"/>
        <v/>
      </c>
      <c r="V43" t="str">
        <f t="shared" si="5"/>
        <v/>
      </c>
      <c r="W43" t="str">
        <f t="shared" si="6"/>
        <v/>
      </c>
      <c r="X43" s="2" t="str">
        <f t="shared" si="7"/>
        <v/>
      </c>
      <c r="Y43" t="str">
        <f>VLOOKUP($A43,ScionOutput!$A$3:$BL$215,64,FALSE)</f>
        <v xml:space="preserve">824591. LineStatEns price is outside allowable range! VF plays are disallowed. No play due to strategy constraints. </v>
      </c>
    </row>
    <row r="44" spans="1:25" x14ac:dyDescent="0.2">
      <c r="A44">
        <v>824267</v>
      </c>
      <c r="B44" s="3">
        <f>VLOOKUP($A44,ScionOutput!$A$3:$BL$215,3,FALSE)</f>
        <v>46182</v>
      </c>
      <c r="C44">
        <f>VLOOKUP($A44,ScionOutput!$A$3:$BL$215,22,FALSE)</f>
        <v>10</v>
      </c>
      <c r="D44" t="str">
        <f>VLOOKUP($A44,ScionOutput!$A$3:$BL$215,23,FALSE)</f>
        <v>DET</v>
      </c>
      <c r="E44">
        <f>VLOOKUP($A44,ScionOutput!$A$3:$BL$215,6,FALSE)</f>
        <v>15</v>
      </c>
      <c r="F44" t="str">
        <f>VLOOKUP($A44,ScionOutput!$A$3:$BL$215,7,FALSE)</f>
        <v>MIN</v>
      </c>
      <c r="G44">
        <f>VLOOKUP($A44,ScionOutput!$A$3:$BL$215,26,FALSE)</f>
        <v>-122</v>
      </c>
      <c r="H44">
        <f>VLOOKUP($A44,ScionOutput!$A$3:$BL$215,10,FALSE)</f>
        <v>112</v>
      </c>
      <c r="I44" t="str">
        <f>VLOOKUP($A44,ScionOutput!$A$3:$BL$215,58,FALSE)</f>
        <v>No Play</v>
      </c>
      <c r="J44">
        <f>VLOOKUP($A44,ScionOutput!$A$3:$BL$215,59,FALSE)</f>
        <v>0</v>
      </c>
      <c r="K44">
        <f>VLOOKUP($A44,ScionOutput!$A$3:$BL$215,62,FALSE)</f>
        <v>0</v>
      </c>
      <c r="L44">
        <f>VLOOKUP($A44,ScionOutput!$A$3:$BL$215,63,FALSE)</f>
        <v>0</v>
      </c>
      <c r="M44" t="b">
        <f t="shared" si="1"/>
        <v>0</v>
      </c>
      <c r="N44">
        <f>VLOOKUP($A44,Outcomes!$B$3:$I$209,8,FALSE)</f>
        <v>14</v>
      </c>
      <c r="O44">
        <f t="shared" si="2"/>
        <v>1</v>
      </c>
      <c r="P44">
        <f>VLOOKUP($A44,Outcomes!$B$3:$I$209,5,FALSE)</f>
        <v>10</v>
      </c>
      <c r="Q44">
        <f>VLOOKUP($A44,Outcomes!$B$3:$I$209,6,FALSE)</f>
        <v>4</v>
      </c>
      <c r="R44">
        <f>VLOOKUP($A44,Outcomes!$B$3:$I$209,7,FALSE)</f>
        <v>-6</v>
      </c>
      <c r="S44" t="str">
        <f t="shared" si="3"/>
        <v>HomFave</v>
      </c>
      <c r="T44" t="str">
        <f t="shared" si="4"/>
        <v/>
      </c>
      <c r="U44" t="str">
        <f t="shared" si="0"/>
        <v/>
      </c>
      <c r="V44" t="str">
        <f t="shared" si="5"/>
        <v/>
      </c>
      <c r="W44" t="str">
        <f t="shared" si="6"/>
        <v/>
      </c>
      <c r="X44" s="2" t="str">
        <f t="shared" si="7"/>
        <v/>
      </c>
      <c r="Y44" t="str">
        <f>VLOOKUP($A44,ScionOutput!$A$3:$BL$215,64,FALSE)</f>
        <v xml:space="preserve">824267. LineStatEns probability points gap does not exceed threshold (no edge found)! StatOnlyEns probability points gap does not exceed threshold (no edge found)! No play due to strategy constraints. </v>
      </c>
    </row>
    <row r="45" spans="1:25" x14ac:dyDescent="0.2">
      <c r="A45">
        <v>823858</v>
      </c>
      <c r="B45" s="3">
        <f>VLOOKUP($A45,ScionOutput!$A$3:$BL$215,3,FALSE)</f>
        <v>46182</v>
      </c>
      <c r="C45">
        <f>VLOOKUP($A45,ScionOutput!$A$3:$BL$215,22,FALSE)</f>
        <v>11</v>
      </c>
      <c r="D45" t="str">
        <f>VLOOKUP($A45,ScionOutput!$A$3:$BL$215,23,FALSE)</f>
        <v>FLO</v>
      </c>
      <c r="E45">
        <f>VLOOKUP($A45,ScionOutput!$A$3:$BL$215,6,FALSE)</f>
        <v>1</v>
      </c>
      <c r="F45" t="str">
        <f>VLOOKUP($A45,ScionOutput!$A$3:$BL$215,7,FALSE)</f>
        <v>ARZ</v>
      </c>
      <c r="G45">
        <f>VLOOKUP($A45,ScionOutput!$A$3:$BL$215,26,FALSE)</f>
        <v>-135</v>
      </c>
      <c r="H45">
        <f>VLOOKUP($A45,ScionOutput!$A$3:$BL$215,10,FALSE)</f>
        <v>124</v>
      </c>
      <c r="I45" t="str">
        <f>VLOOKUP($A45,ScionOutput!$A$3:$BL$215,58,FALSE)</f>
        <v>No Play</v>
      </c>
      <c r="J45">
        <f>VLOOKUP($A45,ScionOutput!$A$3:$BL$215,59,FALSE)</f>
        <v>0</v>
      </c>
      <c r="K45">
        <f>VLOOKUP($A45,ScionOutput!$A$3:$BL$215,62,FALSE)</f>
        <v>0</v>
      </c>
      <c r="L45">
        <f>VLOOKUP($A45,ScionOutput!$A$3:$BL$215,63,FALSE)</f>
        <v>0</v>
      </c>
      <c r="M45" t="b">
        <f t="shared" si="1"/>
        <v>0</v>
      </c>
      <c r="N45">
        <f>VLOOKUP($A45,Outcomes!$B$3:$I$209,8,FALSE)</f>
        <v>16</v>
      </c>
      <c r="O45">
        <f t="shared" si="2"/>
        <v>1</v>
      </c>
      <c r="P45">
        <f>VLOOKUP($A45,Outcomes!$B$3:$I$209,5,FALSE)</f>
        <v>10</v>
      </c>
      <c r="Q45">
        <f>VLOOKUP($A45,Outcomes!$B$3:$I$209,6,FALSE)</f>
        <v>6</v>
      </c>
      <c r="R45">
        <f>VLOOKUP($A45,Outcomes!$B$3:$I$209,7,FALSE)</f>
        <v>-4</v>
      </c>
      <c r="S45" t="str">
        <f t="shared" si="3"/>
        <v>HomFave</v>
      </c>
      <c r="T45" t="str">
        <f t="shared" si="4"/>
        <v/>
      </c>
      <c r="U45" t="str">
        <f t="shared" si="0"/>
        <v/>
      </c>
      <c r="V45" t="str">
        <f t="shared" si="5"/>
        <v/>
      </c>
      <c r="W45" t="str">
        <f t="shared" si="6"/>
        <v/>
      </c>
      <c r="X45" s="2" t="str">
        <f t="shared" si="7"/>
        <v/>
      </c>
      <c r="Y45" t="str">
        <f>VLOOKUP($A45,ScionOutput!$A$3:$BL$215,64,FALSE)</f>
        <v xml:space="preserve">823858. LineStatEns probability points gap does not exceed threshold (no edge found)! StatOnlyEns probability points gap does not exceed threshold (no edge found)! No play due to strategy constraints. </v>
      </c>
    </row>
    <row r="46" spans="1:25" x14ac:dyDescent="0.2">
      <c r="A46">
        <v>824105</v>
      </c>
      <c r="B46" s="3">
        <f>VLOOKUP($A46,ScionOutput!$A$3:$BL$215,3,FALSE)</f>
        <v>46182</v>
      </c>
      <c r="C46">
        <f>VLOOKUP($A46,ScionOutput!$A$3:$BL$215,22,FALSE)</f>
        <v>13</v>
      </c>
      <c r="D46" t="str">
        <f>VLOOKUP($A46,ScionOutput!$A$3:$BL$215,23,FALSE)</f>
        <v>KC</v>
      </c>
      <c r="E46">
        <f>VLOOKUP($A46,ScionOutput!$A$3:$BL$215,6,FALSE)</f>
        <v>28</v>
      </c>
      <c r="F46" t="str">
        <f>VLOOKUP($A46,ScionOutput!$A$3:$BL$215,7,FALSE)</f>
        <v>TEX</v>
      </c>
      <c r="G46">
        <f>VLOOKUP($A46,ScionOutput!$A$3:$BL$215,26,FALSE)</f>
        <v>110</v>
      </c>
      <c r="H46">
        <f>VLOOKUP($A46,ScionOutput!$A$3:$BL$215,10,FALSE)</f>
        <v>-120</v>
      </c>
      <c r="I46" t="str">
        <f>VLOOKUP($A46,ScionOutput!$A$3:$BL$215,58,FALSE)</f>
        <v>No Play</v>
      </c>
      <c r="J46">
        <f>VLOOKUP($A46,ScionOutput!$A$3:$BL$215,59,FALSE)</f>
        <v>0</v>
      </c>
      <c r="K46">
        <f>VLOOKUP($A46,ScionOutput!$A$3:$BL$215,62,FALSE)</f>
        <v>0</v>
      </c>
      <c r="L46">
        <f>VLOOKUP($A46,ScionOutput!$A$3:$BL$215,63,FALSE)</f>
        <v>0</v>
      </c>
      <c r="M46" t="b">
        <f t="shared" si="1"/>
        <v>0</v>
      </c>
      <c r="N46">
        <f>VLOOKUP($A46,Outcomes!$B$3:$I$209,8,FALSE)</f>
        <v>8</v>
      </c>
      <c r="O46">
        <f t="shared" si="2"/>
        <v>1</v>
      </c>
      <c r="P46">
        <f>VLOOKUP($A46,Outcomes!$B$3:$I$209,5,FALSE)</f>
        <v>5</v>
      </c>
      <c r="Q46">
        <f>VLOOKUP($A46,Outcomes!$B$3:$I$209,6,FALSE)</f>
        <v>3</v>
      </c>
      <c r="R46">
        <f>VLOOKUP($A46,Outcomes!$B$3:$I$209,7,FALSE)</f>
        <v>-2</v>
      </c>
      <c r="S46" t="str">
        <f t="shared" si="3"/>
        <v>HomDog</v>
      </c>
      <c r="T46" t="str">
        <f t="shared" si="4"/>
        <v/>
      </c>
      <c r="U46" t="str">
        <f t="shared" si="0"/>
        <v/>
      </c>
      <c r="V46" t="str">
        <f t="shared" si="5"/>
        <v/>
      </c>
      <c r="W46" t="str">
        <f t="shared" si="6"/>
        <v/>
      </c>
      <c r="X46" s="2" t="str">
        <f t="shared" si="7"/>
        <v/>
      </c>
      <c r="Y46" t="str">
        <f>VLOOKUP($A46,ScionOutput!$A$3:$BL$215,64,FALSE)</f>
        <v xml:space="preserve">824105. VF plays are disallowed. No play due to strategy constraints. </v>
      </c>
    </row>
    <row r="47" spans="1:25" x14ac:dyDescent="0.2">
      <c r="A47">
        <v>823620</v>
      </c>
      <c r="B47" s="3">
        <f>VLOOKUP($A47,ScionOutput!$A$3:$BL$215,3,FALSE)</f>
        <v>46182</v>
      </c>
      <c r="C47">
        <f>VLOOKUP($A47,ScionOutput!$A$3:$BL$215,22,FALSE)</f>
        <v>18</v>
      </c>
      <c r="D47" t="str">
        <f>VLOOKUP($A47,ScionOutput!$A$3:$BL$215,23,FALSE)</f>
        <v>NYM</v>
      </c>
      <c r="E47">
        <f>VLOOKUP($A47,ScionOutput!$A$3:$BL$215,6,FALSE)</f>
        <v>26</v>
      </c>
      <c r="F47" t="str">
        <f>VLOOKUP($A47,ScionOutput!$A$3:$BL$215,7,FALSE)</f>
        <v>STL</v>
      </c>
      <c r="G47">
        <f>VLOOKUP($A47,ScionOutput!$A$3:$BL$215,26,FALSE)</f>
        <v>-125</v>
      </c>
      <c r="H47">
        <f>VLOOKUP($A47,ScionOutput!$A$3:$BL$215,10,FALSE)</f>
        <v>115</v>
      </c>
      <c r="I47" t="str">
        <f>VLOOKUP($A47,ScionOutput!$A$3:$BL$215,58,FALSE)</f>
        <v>No Play</v>
      </c>
      <c r="J47">
        <f>VLOOKUP($A47,ScionOutput!$A$3:$BL$215,59,FALSE)</f>
        <v>0</v>
      </c>
      <c r="K47">
        <f>VLOOKUP($A47,ScionOutput!$A$3:$BL$215,62,FALSE)</f>
        <v>0</v>
      </c>
      <c r="L47">
        <f>VLOOKUP($A47,ScionOutput!$A$3:$BL$215,63,FALSE)</f>
        <v>0</v>
      </c>
      <c r="M47" t="b">
        <f t="shared" si="1"/>
        <v>0</v>
      </c>
      <c r="N47">
        <f>VLOOKUP($A47,Outcomes!$B$3:$I$209,8,FALSE)</f>
        <v>7</v>
      </c>
      <c r="O47">
        <f t="shared" si="2"/>
        <v>-1</v>
      </c>
      <c r="P47">
        <f>VLOOKUP($A47,Outcomes!$B$3:$I$209,5,FALSE)</f>
        <v>0</v>
      </c>
      <c r="Q47">
        <f>VLOOKUP($A47,Outcomes!$B$3:$I$209,6,FALSE)</f>
        <v>7</v>
      </c>
      <c r="R47">
        <f>VLOOKUP($A47,Outcomes!$B$3:$I$209,7,FALSE)</f>
        <v>7</v>
      </c>
      <c r="S47" t="str">
        <f t="shared" si="3"/>
        <v>VisDog</v>
      </c>
      <c r="T47" t="str">
        <f t="shared" si="4"/>
        <v/>
      </c>
      <c r="U47" t="str">
        <f t="shared" si="0"/>
        <v/>
      </c>
      <c r="V47" t="str">
        <f t="shared" si="5"/>
        <v/>
      </c>
      <c r="W47" t="str">
        <f t="shared" si="6"/>
        <v/>
      </c>
      <c r="X47" s="2" t="str">
        <f t="shared" si="7"/>
        <v/>
      </c>
      <c r="Y47" t="str">
        <f>VLOOKUP($A47,ScionOutput!$A$3:$BL$215,64,FALSE)</f>
        <v xml:space="preserve">823620. LineStatEns probability points gap does not exceed threshold (no edge found)! StatOnlyEns probability points gap does not exceed threshold (no edge found)! No play due to strategy constraints. </v>
      </c>
    </row>
    <row r="48" spans="1:25" x14ac:dyDescent="0.2">
      <c r="A48">
        <v>824999</v>
      </c>
      <c r="B48" s="3">
        <f>VLOOKUP($A48,ScionOutput!$A$3:$BL$215,3,FALSE)</f>
        <v>46182</v>
      </c>
      <c r="C48">
        <f>VLOOKUP($A48,ScionOutput!$A$3:$BL$215,22,FALSE)</f>
        <v>20</v>
      </c>
      <c r="D48" t="str">
        <f>VLOOKUP($A48,ScionOutput!$A$3:$BL$215,23,FALSE)</f>
        <v>OAK</v>
      </c>
      <c r="E48">
        <f>VLOOKUP($A48,ScionOutput!$A$3:$BL$215,6,FALSE)</f>
        <v>17</v>
      </c>
      <c r="F48" t="str">
        <f>VLOOKUP($A48,ScionOutput!$A$3:$BL$215,7,FALSE)</f>
        <v>MLW</v>
      </c>
      <c r="G48">
        <f>VLOOKUP($A48,ScionOutput!$A$3:$BL$215,26,FALSE)</f>
        <v>-106</v>
      </c>
      <c r="H48">
        <f>VLOOKUP($A48,ScionOutput!$A$3:$BL$215,10,FALSE)</f>
        <v>-102</v>
      </c>
      <c r="I48" t="str">
        <f>VLOOKUP($A48,ScionOutput!$A$3:$BL$215,58,FALSE)</f>
        <v>No Play</v>
      </c>
      <c r="J48">
        <f>VLOOKUP($A48,ScionOutput!$A$3:$BL$215,59,FALSE)</f>
        <v>0</v>
      </c>
      <c r="K48">
        <f>VLOOKUP($A48,ScionOutput!$A$3:$BL$215,62,FALSE)</f>
        <v>0</v>
      </c>
      <c r="L48">
        <f>VLOOKUP($A48,ScionOutput!$A$3:$BL$215,63,FALSE)</f>
        <v>0</v>
      </c>
      <c r="M48" t="b">
        <f t="shared" si="1"/>
        <v>0</v>
      </c>
      <c r="N48">
        <f>VLOOKUP($A48,Outcomes!$B$3:$I$209,8,FALSE)</f>
        <v>12</v>
      </c>
      <c r="O48">
        <f t="shared" si="2"/>
        <v>1</v>
      </c>
      <c r="P48">
        <f>VLOOKUP($A48,Outcomes!$B$3:$I$209,5,FALSE)</f>
        <v>7</v>
      </c>
      <c r="Q48">
        <f>VLOOKUP($A48,Outcomes!$B$3:$I$209,6,FALSE)</f>
        <v>5</v>
      </c>
      <c r="R48">
        <f>VLOOKUP($A48,Outcomes!$B$3:$I$209,7,FALSE)</f>
        <v>-2</v>
      </c>
      <c r="S48" t="str">
        <f t="shared" si="3"/>
        <v>HomFave</v>
      </c>
      <c r="T48" t="str">
        <f t="shared" si="4"/>
        <v/>
      </c>
      <c r="U48" t="str">
        <f t="shared" si="0"/>
        <v/>
      </c>
      <c r="V48" t="str">
        <f t="shared" si="5"/>
        <v/>
      </c>
      <c r="W48" t="str">
        <f t="shared" si="6"/>
        <v/>
      </c>
      <c r="X48" s="2" t="str">
        <f t="shared" si="7"/>
        <v/>
      </c>
      <c r="Y48" t="str">
        <f>VLOOKUP($A48,ScionOutput!$A$3:$BL$215,64,FALSE)</f>
        <v xml:space="preserve">824999. LineStatEns probability points gap does not exceed threshold (no edge found)! No play due to strategy constraints. </v>
      </c>
    </row>
    <row r="49" spans="1:25" x14ac:dyDescent="0.2">
      <c r="A49">
        <v>823374</v>
      </c>
      <c r="B49" s="3">
        <f>VLOOKUP($A49,ScionOutput!$A$3:$BL$215,3,FALSE)</f>
        <v>46182</v>
      </c>
      <c r="C49">
        <f>VLOOKUP($A49,ScionOutput!$A$3:$BL$215,22,FALSE)</f>
        <v>22</v>
      </c>
      <c r="D49" t="str">
        <f>VLOOKUP($A49,ScionOutput!$A$3:$BL$215,23,FALSE)</f>
        <v>PIT</v>
      </c>
      <c r="E49">
        <f>VLOOKUP($A49,ScionOutput!$A$3:$BL$215,6,FALSE)</f>
        <v>14</v>
      </c>
      <c r="F49" t="str">
        <f>VLOOKUP($A49,ScionOutput!$A$3:$BL$215,7,FALSE)</f>
        <v>LA</v>
      </c>
      <c r="G49">
        <f>VLOOKUP($A49,ScionOutput!$A$3:$BL$215,26,FALSE)</f>
        <v>-112</v>
      </c>
      <c r="H49">
        <f>VLOOKUP($A49,ScionOutput!$A$3:$BL$215,10,FALSE)</f>
        <v>104</v>
      </c>
      <c r="I49" t="str">
        <f>VLOOKUP($A49,ScionOutput!$A$3:$BL$215,58,FALSE)</f>
        <v>No Play</v>
      </c>
      <c r="J49">
        <f>VLOOKUP($A49,ScionOutput!$A$3:$BL$215,59,FALSE)</f>
        <v>0</v>
      </c>
      <c r="K49">
        <f>VLOOKUP($A49,ScionOutput!$A$3:$BL$215,62,FALSE)</f>
        <v>0</v>
      </c>
      <c r="L49">
        <f>VLOOKUP($A49,ScionOutput!$A$3:$BL$215,63,FALSE)</f>
        <v>0</v>
      </c>
      <c r="M49" t="b">
        <f t="shared" si="1"/>
        <v>0</v>
      </c>
      <c r="N49">
        <f>VLOOKUP($A49,Outcomes!$B$3:$I$209,8,FALSE)</f>
        <v>15</v>
      </c>
      <c r="O49">
        <f t="shared" si="2"/>
        <v>-1</v>
      </c>
      <c r="P49">
        <f>VLOOKUP($A49,Outcomes!$B$3:$I$209,5,FALSE)</f>
        <v>3</v>
      </c>
      <c r="Q49">
        <f>VLOOKUP($A49,Outcomes!$B$3:$I$209,6,FALSE)</f>
        <v>12</v>
      </c>
      <c r="R49">
        <f>VLOOKUP($A49,Outcomes!$B$3:$I$209,7,FALSE)</f>
        <v>9</v>
      </c>
      <c r="S49" t="str">
        <f t="shared" si="3"/>
        <v>VisDog</v>
      </c>
      <c r="T49" t="str">
        <f t="shared" si="4"/>
        <v/>
      </c>
      <c r="U49" t="str">
        <f t="shared" si="0"/>
        <v/>
      </c>
      <c r="V49" t="str">
        <f t="shared" si="5"/>
        <v/>
      </c>
      <c r="W49" t="str">
        <f t="shared" si="6"/>
        <v/>
      </c>
      <c r="X49" s="2" t="str">
        <f t="shared" si="7"/>
        <v/>
      </c>
      <c r="Y49" t="str">
        <f>VLOOKUP($A49,ScionOutput!$A$3:$BL$215,64,FALSE)</f>
        <v xml:space="preserve">823374. LineStatEns probability points gap does not exceed threshold (no edge found)! No play due to strategy constraints. </v>
      </c>
    </row>
    <row r="50" spans="1:25" x14ac:dyDescent="0.2">
      <c r="A50">
        <v>823290</v>
      </c>
      <c r="B50" s="3">
        <f>VLOOKUP($A50,ScionOutput!$A$3:$BL$215,3,FALSE)</f>
        <v>46182</v>
      </c>
      <c r="C50">
        <f>VLOOKUP($A50,ScionOutput!$A$3:$BL$215,22,FALSE)</f>
        <v>23</v>
      </c>
      <c r="D50" t="str">
        <f>VLOOKUP($A50,ScionOutput!$A$3:$BL$215,23,FALSE)</f>
        <v>SD</v>
      </c>
      <c r="E50">
        <f>VLOOKUP($A50,ScionOutput!$A$3:$BL$215,6,FALSE)</f>
        <v>6</v>
      </c>
      <c r="F50" t="str">
        <f>VLOOKUP($A50,ScionOutput!$A$3:$BL$215,7,FALSE)</f>
        <v>CIN</v>
      </c>
      <c r="G50">
        <f>VLOOKUP($A50,ScionOutput!$A$3:$BL$215,26,FALSE)</f>
        <v>114</v>
      </c>
      <c r="H50">
        <f>VLOOKUP($A50,ScionOutput!$A$3:$BL$215,10,FALSE)</f>
        <v>-123</v>
      </c>
      <c r="I50" t="str">
        <f>VLOOKUP($A50,ScionOutput!$A$3:$BL$215,58,FALSE)</f>
        <v>No Play</v>
      </c>
      <c r="J50">
        <f>VLOOKUP($A50,ScionOutput!$A$3:$BL$215,59,FALSE)</f>
        <v>0</v>
      </c>
      <c r="K50">
        <f>VLOOKUP($A50,ScionOutput!$A$3:$BL$215,62,FALSE)</f>
        <v>0</v>
      </c>
      <c r="L50">
        <f>VLOOKUP($A50,ScionOutput!$A$3:$BL$215,63,FALSE)</f>
        <v>0</v>
      </c>
      <c r="M50" t="b">
        <f t="shared" si="1"/>
        <v>0</v>
      </c>
      <c r="N50">
        <f>VLOOKUP($A50,Outcomes!$B$3:$I$209,8,FALSE)</f>
        <v>8</v>
      </c>
      <c r="O50">
        <f t="shared" si="2"/>
        <v>-1</v>
      </c>
      <c r="P50">
        <f>VLOOKUP($A50,Outcomes!$B$3:$I$209,5,FALSE)</f>
        <v>3</v>
      </c>
      <c r="Q50">
        <f>VLOOKUP($A50,Outcomes!$B$3:$I$209,6,FALSE)</f>
        <v>5</v>
      </c>
      <c r="R50">
        <f>VLOOKUP($A50,Outcomes!$B$3:$I$209,7,FALSE)</f>
        <v>2</v>
      </c>
      <c r="S50" t="str">
        <f t="shared" si="3"/>
        <v>VisFave</v>
      </c>
      <c r="T50" t="str">
        <f t="shared" si="4"/>
        <v/>
      </c>
      <c r="U50" t="str">
        <f t="shared" si="0"/>
        <v/>
      </c>
      <c r="V50" t="str">
        <f t="shared" si="5"/>
        <v/>
      </c>
      <c r="W50" t="str">
        <f t="shared" si="6"/>
        <v/>
      </c>
      <c r="X50" s="2" t="str">
        <f t="shared" si="7"/>
        <v/>
      </c>
      <c r="Y50" t="str">
        <f>VLOOKUP($A50,ScionOutput!$A$3:$BL$215,64,FALSE)</f>
        <v xml:space="preserve">823290. VF plays are disallowed. No play due to strategy constraints. </v>
      </c>
    </row>
    <row r="51" spans="1:25" x14ac:dyDescent="0.2">
      <c r="A51">
        <v>823214</v>
      </c>
      <c r="B51" s="3">
        <f>VLOOKUP($A51,ScionOutput!$A$3:$BL$215,3,FALSE)</f>
        <v>46182</v>
      </c>
      <c r="C51">
        <f>VLOOKUP($A51,ScionOutput!$A$3:$BL$215,22,FALSE)</f>
        <v>25</v>
      </c>
      <c r="D51" t="str">
        <f>VLOOKUP($A51,ScionOutput!$A$3:$BL$215,23,FALSE)</f>
        <v>SF</v>
      </c>
      <c r="E51">
        <f>VLOOKUP($A51,ScionOutput!$A$3:$BL$215,6,FALSE)</f>
        <v>16</v>
      </c>
      <c r="F51" t="str">
        <f>VLOOKUP($A51,ScionOutput!$A$3:$BL$215,7,FALSE)</f>
        <v>WAS</v>
      </c>
      <c r="G51">
        <f>VLOOKUP($A51,ScionOutput!$A$3:$BL$215,26,FALSE)</f>
        <v>-104</v>
      </c>
      <c r="H51">
        <f>VLOOKUP($A51,ScionOutput!$A$3:$BL$215,10,FALSE)</f>
        <v>-105</v>
      </c>
      <c r="I51" t="str">
        <f>VLOOKUP($A51,ScionOutput!$A$3:$BL$215,58,FALSE)</f>
        <v>No Play</v>
      </c>
      <c r="J51">
        <f>VLOOKUP($A51,ScionOutput!$A$3:$BL$215,59,FALSE)</f>
        <v>0</v>
      </c>
      <c r="K51">
        <f>VLOOKUP($A51,ScionOutput!$A$3:$BL$215,62,FALSE)</f>
        <v>0</v>
      </c>
      <c r="L51">
        <f>VLOOKUP($A51,ScionOutput!$A$3:$BL$215,63,FALSE)</f>
        <v>0</v>
      </c>
      <c r="M51" t="b">
        <f t="shared" si="1"/>
        <v>0</v>
      </c>
      <c r="N51">
        <f>VLOOKUP($A51,Outcomes!$B$3:$I$209,8,FALSE)</f>
        <v>9</v>
      </c>
      <c r="O51">
        <f t="shared" si="2"/>
        <v>-1</v>
      </c>
      <c r="P51">
        <f>VLOOKUP($A51,Outcomes!$B$3:$I$209,5,FALSE)</f>
        <v>3</v>
      </c>
      <c r="Q51">
        <f>VLOOKUP($A51,Outcomes!$B$3:$I$209,6,FALSE)</f>
        <v>6</v>
      </c>
      <c r="R51">
        <f>VLOOKUP($A51,Outcomes!$B$3:$I$209,7,FALSE)</f>
        <v>3</v>
      </c>
      <c r="S51" t="str">
        <f t="shared" si="3"/>
        <v>VisFave</v>
      </c>
      <c r="T51" t="str">
        <f t="shared" si="4"/>
        <v/>
      </c>
      <c r="U51" t="str">
        <f t="shared" si="0"/>
        <v/>
      </c>
      <c r="V51" t="str">
        <f t="shared" si="5"/>
        <v/>
      </c>
      <c r="W51" t="str">
        <f t="shared" si="6"/>
        <v/>
      </c>
      <c r="X51" s="2" t="str">
        <f t="shared" si="7"/>
        <v/>
      </c>
      <c r="Y51" t="str">
        <f>VLOOKUP($A51,ScionOutput!$A$3:$BL$215,64,FALSE)</f>
        <v xml:space="preserve">823214. VF plays are disallowed. No play due to strategy constraints. </v>
      </c>
    </row>
    <row r="52" spans="1:25" x14ac:dyDescent="0.2">
      <c r="A52">
        <v>822969</v>
      </c>
      <c r="B52" s="3">
        <f>VLOOKUP($A52,ScionOutput!$A$3:$BL$215,3,FALSE)</f>
        <v>46182</v>
      </c>
      <c r="C52">
        <f>VLOOKUP($A52,ScionOutput!$A$3:$BL$215,22,FALSE)</f>
        <v>27</v>
      </c>
      <c r="D52" t="str">
        <f>VLOOKUP($A52,ScionOutput!$A$3:$BL$215,23,FALSE)</f>
        <v>TB</v>
      </c>
      <c r="E52">
        <f>VLOOKUP($A52,ScionOutput!$A$3:$BL$215,6,FALSE)</f>
        <v>3</v>
      </c>
      <c r="F52" t="str">
        <f>VLOOKUP($A52,ScionOutput!$A$3:$BL$215,7,FALSE)</f>
        <v>BOS</v>
      </c>
      <c r="G52">
        <f>VLOOKUP($A52,ScionOutput!$A$3:$BL$215,26,FALSE)</f>
        <v>107</v>
      </c>
      <c r="H52">
        <f>VLOOKUP($A52,ScionOutput!$A$3:$BL$215,10,FALSE)</f>
        <v>-115</v>
      </c>
      <c r="I52" t="str">
        <f>VLOOKUP($A52,ScionOutput!$A$3:$BL$215,58,FALSE)</f>
        <v>No Play</v>
      </c>
      <c r="J52">
        <f>VLOOKUP($A52,ScionOutput!$A$3:$BL$215,59,FALSE)</f>
        <v>0</v>
      </c>
      <c r="K52">
        <f>VLOOKUP($A52,ScionOutput!$A$3:$BL$215,62,FALSE)</f>
        <v>0</v>
      </c>
      <c r="L52">
        <f>VLOOKUP($A52,ScionOutput!$A$3:$BL$215,63,FALSE)</f>
        <v>0</v>
      </c>
      <c r="M52" t="b">
        <f t="shared" si="1"/>
        <v>0</v>
      </c>
      <c r="N52">
        <f>VLOOKUP($A52,Outcomes!$B$3:$I$209,8,FALSE)</f>
        <v>7</v>
      </c>
      <c r="O52">
        <f t="shared" si="2"/>
        <v>1</v>
      </c>
      <c r="P52">
        <f>VLOOKUP($A52,Outcomes!$B$3:$I$209,5,FALSE)</f>
        <v>4</v>
      </c>
      <c r="Q52">
        <f>VLOOKUP($A52,Outcomes!$B$3:$I$209,6,FALSE)</f>
        <v>3</v>
      </c>
      <c r="R52">
        <f>VLOOKUP($A52,Outcomes!$B$3:$I$209,7,FALSE)</f>
        <v>-1</v>
      </c>
      <c r="S52" t="str">
        <f t="shared" si="3"/>
        <v>HomDog</v>
      </c>
      <c r="T52" t="str">
        <f t="shared" si="4"/>
        <v/>
      </c>
      <c r="U52" t="str">
        <f t="shared" si="0"/>
        <v/>
      </c>
      <c r="V52" t="str">
        <f t="shared" si="5"/>
        <v/>
      </c>
      <c r="W52" t="str">
        <f t="shared" si="6"/>
        <v/>
      </c>
      <c r="X52" s="2" t="str">
        <f t="shared" si="7"/>
        <v/>
      </c>
      <c r="Y52" t="str">
        <f>VLOOKUP($A52,ScionOutput!$A$3:$BL$215,64,FALSE)</f>
        <v xml:space="preserve">822969. VF plays are disallowed. No play due to strategy constraints. </v>
      </c>
    </row>
    <row r="53" spans="1:25" x14ac:dyDescent="0.2">
      <c r="A53">
        <v>822805</v>
      </c>
      <c r="B53" s="3">
        <f>VLOOKUP($A53,ScionOutput!$A$3:$BL$215,3,FALSE)</f>
        <v>46182</v>
      </c>
      <c r="C53">
        <f>VLOOKUP($A53,ScionOutput!$A$3:$BL$215,22,FALSE)</f>
        <v>29</v>
      </c>
      <c r="D53" t="str">
        <f>VLOOKUP($A53,ScionOutput!$A$3:$BL$215,23,FALSE)</f>
        <v>TOR</v>
      </c>
      <c r="E53">
        <f>VLOOKUP($A53,ScionOutput!$A$3:$BL$215,6,FALSE)</f>
        <v>21</v>
      </c>
      <c r="F53" t="str">
        <f>VLOOKUP($A53,ScionOutput!$A$3:$BL$215,7,FALSE)</f>
        <v>PHI</v>
      </c>
      <c r="G53">
        <f>VLOOKUP($A53,ScionOutput!$A$3:$BL$215,26,FALSE)</f>
        <v>-107</v>
      </c>
      <c r="H53">
        <f>VLOOKUP($A53,ScionOutput!$A$3:$BL$215,10,FALSE)</f>
        <v>-101</v>
      </c>
      <c r="I53" t="str">
        <f>VLOOKUP($A53,ScionOutput!$A$3:$BL$215,58,FALSE)</f>
        <v>HomFave</v>
      </c>
      <c r="J53">
        <f>VLOOKUP($A53,ScionOutput!$A$3:$BL$215,59,FALSE)</f>
        <v>2.2929999999999999E-2</v>
      </c>
      <c r="K53">
        <f>VLOOKUP($A53,ScionOutput!$A$3:$BL$215,62,FALSE)</f>
        <v>3</v>
      </c>
      <c r="L53">
        <f>VLOOKUP($A53,ScionOutput!$A$3:$BL$215,63,FALSE)</f>
        <v>0.8</v>
      </c>
      <c r="M53" t="b">
        <f t="shared" si="1"/>
        <v>0</v>
      </c>
      <c r="N53">
        <f>VLOOKUP($A53,Outcomes!$B$3:$I$209,8,FALSE)</f>
        <v>5</v>
      </c>
      <c r="O53">
        <f t="shared" si="2"/>
        <v>1</v>
      </c>
      <c r="P53">
        <f>VLOOKUP($A53,Outcomes!$B$3:$I$209,5,FALSE)</f>
        <v>3</v>
      </c>
      <c r="Q53">
        <f>VLOOKUP($A53,Outcomes!$B$3:$I$209,6,FALSE)</f>
        <v>2</v>
      </c>
      <c r="R53">
        <f>VLOOKUP($A53,Outcomes!$B$3:$I$209,7,FALSE)</f>
        <v>-1</v>
      </c>
      <c r="S53" t="str">
        <f t="shared" si="3"/>
        <v>HomFave</v>
      </c>
      <c r="T53" t="str">
        <f t="shared" si="4"/>
        <v/>
      </c>
      <c r="U53" t="str">
        <f t="shared" si="0"/>
        <v/>
      </c>
      <c r="V53" t="str">
        <f t="shared" si="5"/>
        <v/>
      </c>
      <c r="W53" t="str">
        <f t="shared" si="6"/>
        <v/>
      </c>
      <c r="X53" s="2" t="str">
        <f t="shared" si="7"/>
        <v/>
      </c>
      <c r="Y53" t="str">
        <f>VLOOKUP($A53,ScionOutput!$A$3:$BL$215,64,FALSE)</f>
        <v xml:space="preserve">822805. StatOnlyEns probability points gap does not exceed threshold (no edge found)! Play determined by LineStatEns only. </v>
      </c>
    </row>
    <row r="54" spans="1:25" x14ac:dyDescent="0.2">
      <c r="A54">
        <v>824831</v>
      </c>
      <c r="B54" s="3">
        <f>VLOOKUP($A54,ScionOutput!$A$3:$BL$215,3,FALSE)</f>
        <v>46183</v>
      </c>
      <c r="C54">
        <f>VLOOKUP($A54,ScionOutput!$A$3:$BL$215,22,FALSE)</f>
        <v>2</v>
      </c>
      <c r="D54" t="str">
        <f>VLOOKUP($A54,ScionOutput!$A$3:$BL$215,23,FALSE)</f>
        <v>BAL</v>
      </c>
      <c r="E54">
        <f>VLOOKUP($A54,ScionOutput!$A$3:$BL$215,6,FALSE)</f>
        <v>24</v>
      </c>
      <c r="F54" t="str">
        <f>VLOOKUP($A54,ScionOutput!$A$3:$BL$215,7,FALSE)</f>
        <v>SEA</v>
      </c>
      <c r="G54">
        <f>VLOOKUP($A54,ScionOutput!$A$3:$BL$215,26,FALSE)</f>
        <v>-104</v>
      </c>
      <c r="H54">
        <f>VLOOKUP($A54,ScionOutput!$A$3:$BL$215,10,FALSE)</f>
        <v>-104</v>
      </c>
      <c r="I54" t="str">
        <f>VLOOKUP($A54,ScionOutput!$A$3:$BL$215,58,FALSE)</f>
        <v>No Play</v>
      </c>
      <c r="J54">
        <f>VLOOKUP($A54,ScionOutput!$A$3:$BL$215,59,FALSE)</f>
        <v>0</v>
      </c>
      <c r="K54">
        <f>VLOOKUP($A54,ScionOutput!$A$3:$BL$215,62,FALSE)</f>
        <v>0</v>
      </c>
      <c r="L54">
        <f>VLOOKUP($A54,ScionOutput!$A$3:$BL$215,63,FALSE)</f>
        <v>0</v>
      </c>
      <c r="M54" t="b">
        <f t="shared" si="1"/>
        <v>0</v>
      </c>
      <c r="N54">
        <f>VLOOKUP($A54,Outcomes!$B$3:$I$209,8,FALSE)</f>
        <v>9</v>
      </c>
      <c r="O54">
        <f t="shared" si="2"/>
        <v>1</v>
      </c>
      <c r="P54">
        <f>VLOOKUP($A54,Outcomes!$B$3:$I$209,5,FALSE)</f>
        <v>7</v>
      </c>
      <c r="Q54">
        <f>VLOOKUP($A54,Outcomes!$B$3:$I$209,6,FALSE)</f>
        <v>2</v>
      </c>
      <c r="R54">
        <f>VLOOKUP($A54,Outcomes!$B$3:$I$209,7,FALSE)</f>
        <v>-5</v>
      </c>
      <c r="S54" t="str">
        <f t="shared" si="3"/>
        <v>HomDog</v>
      </c>
      <c r="T54" t="str">
        <f t="shared" si="4"/>
        <v/>
      </c>
      <c r="U54" t="str">
        <f t="shared" si="0"/>
        <v/>
      </c>
      <c r="V54" t="str">
        <f t="shared" si="5"/>
        <v/>
      </c>
      <c r="W54" t="str">
        <f t="shared" si="6"/>
        <v/>
      </c>
      <c r="X54" s="2" t="str">
        <f t="shared" si="7"/>
        <v/>
      </c>
      <c r="Y54" t="str">
        <f>VLOOKUP($A54,ScionOutput!$A$3:$BL$215,64,FALSE)</f>
        <v xml:space="preserve">824831. VF plays are disallowed. No play due to strategy constraints. </v>
      </c>
    </row>
    <row r="55" spans="1:25" x14ac:dyDescent="0.2">
      <c r="A55">
        <v>824022</v>
      </c>
      <c r="B55" s="3">
        <f>VLOOKUP($A55,ScionOutput!$A$3:$BL$215,3,FALSE)</f>
        <v>46183</v>
      </c>
      <c r="C55">
        <f>VLOOKUP($A55,ScionOutput!$A$3:$BL$215,22,FALSE)</f>
        <v>4</v>
      </c>
      <c r="D55" t="str">
        <f>VLOOKUP($A55,ScionOutput!$A$3:$BL$215,23,FALSE)</f>
        <v>LAA</v>
      </c>
      <c r="E55">
        <f>VLOOKUP($A55,ScionOutput!$A$3:$BL$215,6,FALSE)</f>
        <v>12</v>
      </c>
      <c r="F55" t="str">
        <f>VLOOKUP($A55,ScionOutput!$A$3:$BL$215,7,FALSE)</f>
        <v>HOU</v>
      </c>
      <c r="G55">
        <f>VLOOKUP($A55,ScionOutput!$A$3:$BL$215,26,FALSE)</f>
        <v>-111</v>
      </c>
      <c r="H55">
        <f>VLOOKUP($A55,ScionOutput!$A$3:$BL$215,10,FALSE)</f>
        <v>102</v>
      </c>
      <c r="I55" t="str">
        <f>VLOOKUP($A55,ScionOutput!$A$3:$BL$215,58,FALSE)</f>
        <v>No Play</v>
      </c>
      <c r="J55">
        <f>VLOOKUP($A55,ScionOutput!$A$3:$BL$215,59,FALSE)</f>
        <v>0</v>
      </c>
      <c r="K55">
        <f>VLOOKUP($A55,ScionOutput!$A$3:$BL$215,62,FALSE)</f>
        <v>0</v>
      </c>
      <c r="L55">
        <f>VLOOKUP($A55,ScionOutput!$A$3:$BL$215,63,FALSE)</f>
        <v>0</v>
      </c>
      <c r="M55" t="b">
        <f t="shared" si="1"/>
        <v>0</v>
      </c>
      <c r="N55">
        <f>VLOOKUP($A55,Outcomes!$B$3:$I$209,8,FALSE)</f>
        <v>5</v>
      </c>
      <c r="O55">
        <f t="shared" si="2"/>
        <v>1</v>
      </c>
      <c r="P55">
        <f>VLOOKUP($A55,Outcomes!$B$3:$I$209,5,FALSE)</f>
        <v>3</v>
      </c>
      <c r="Q55">
        <f>VLOOKUP($A55,Outcomes!$B$3:$I$209,6,FALSE)</f>
        <v>2</v>
      </c>
      <c r="R55">
        <f>VLOOKUP($A55,Outcomes!$B$3:$I$209,7,FALSE)</f>
        <v>-1</v>
      </c>
      <c r="S55" t="str">
        <f t="shared" si="3"/>
        <v>HomFave</v>
      </c>
      <c r="T55" t="str">
        <f t="shared" si="4"/>
        <v/>
      </c>
      <c r="U55" t="str">
        <f t="shared" si="0"/>
        <v/>
      </c>
      <c r="V55" t="str">
        <f t="shared" si="5"/>
        <v/>
      </c>
      <c r="W55" t="str">
        <f t="shared" si="6"/>
        <v/>
      </c>
      <c r="X55" s="2" t="str">
        <f t="shared" si="7"/>
        <v/>
      </c>
      <c r="Y55" t="str">
        <f>VLOOKUP($A55,ScionOutput!$A$3:$BL$215,64,FALSE)</f>
        <v xml:space="preserve">824022. LineStatEns probability points gap does not exceed threshold (no edge found)! StatOnlyEns probability points gap does not exceed threshold (no edge found)! No play due to strategy constraints. </v>
      </c>
    </row>
    <row r="56" spans="1:25" x14ac:dyDescent="0.2">
      <c r="A56">
        <v>824428</v>
      </c>
      <c r="B56" s="3">
        <f>VLOOKUP($A56,ScionOutput!$A$3:$BL$215,3,FALSE)</f>
        <v>46183</v>
      </c>
      <c r="C56">
        <f>VLOOKUP($A56,ScionOutput!$A$3:$BL$215,22,FALSE)</f>
        <v>7</v>
      </c>
      <c r="D56" t="str">
        <f>VLOOKUP($A56,ScionOutput!$A$3:$BL$215,23,FALSE)</f>
        <v>CLE</v>
      </c>
      <c r="E56">
        <f>VLOOKUP($A56,ScionOutput!$A$3:$BL$215,6,FALSE)</f>
        <v>19</v>
      </c>
      <c r="F56" t="str">
        <f>VLOOKUP($A56,ScionOutput!$A$3:$BL$215,7,FALSE)</f>
        <v>NYY</v>
      </c>
      <c r="G56">
        <f>VLOOKUP($A56,ScionOutput!$A$3:$BL$215,26,FALSE)</f>
        <v>-115</v>
      </c>
      <c r="H56">
        <f>VLOOKUP($A56,ScionOutput!$A$3:$BL$215,10,FALSE)</f>
        <v>106</v>
      </c>
      <c r="I56" t="str">
        <f>VLOOKUP($A56,ScionOutput!$A$3:$BL$215,58,FALSE)</f>
        <v>No Play</v>
      </c>
      <c r="J56">
        <f>VLOOKUP($A56,ScionOutput!$A$3:$BL$215,59,FALSE)</f>
        <v>0</v>
      </c>
      <c r="K56">
        <f>VLOOKUP($A56,ScionOutput!$A$3:$BL$215,62,FALSE)</f>
        <v>0</v>
      </c>
      <c r="L56">
        <f>VLOOKUP($A56,ScionOutput!$A$3:$BL$215,63,FALSE)</f>
        <v>0</v>
      </c>
      <c r="M56" t="b">
        <f t="shared" si="1"/>
        <v>0</v>
      </c>
      <c r="N56">
        <f>VLOOKUP($A56,Outcomes!$B$3:$I$209,8,FALSE)</f>
        <v>12</v>
      </c>
      <c r="O56">
        <f t="shared" si="2"/>
        <v>-1</v>
      </c>
      <c r="P56">
        <f>VLOOKUP($A56,Outcomes!$B$3:$I$209,5,FALSE)</f>
        <v>4</v>
      </c>
      <c r="Q56">
        <f>VLOOKUP($A56,Outcomes!$B$3:$I$209,6,FALSE)</f>
        <v>8</v>
      </c>
      <c r="R56">
        <f>VLOOKUP($A56,Outcomes!$B$3:$I$209,7,FALSE)</f>
        <v>4</v>
      </c>
      <c r="S56" t="str">
        <f t="shared" si="3"/>
        <v>VisDog</v>
      </c>
      <c r="T56" t="str">
        <f t="shared" si="4"/>
        <v/>
      </c>
      <c r="U56" t="str">
        <f t="shared" si="0"/>
        <v/>
      </c>
      <c r="V56" t="str">
        <f t="shared" si="5"/>
        <v/>
      </c>
      <c r="W56" t="str">
        <f t="shared" si="6"/>
        <v/>
      </c>
      <c r="X56" s="2" t="str">
        <f t="shared" si="7"/>
        <v/>
      </c>
      <c r="Y56" t="str">
        <f>VLOOKUP($A56,ScionOutput!$A$3:$BL$215,64,FALSE)</f>
        <v xml:space="preserve">824428. LineStatEns probability points gap does not exceed threshold (no edge found)! StatOnlyEns probability points gap does not exceed threshold (no edge found)! No play due to strategy constraints. </v>
      </c>
    </row>
    <row r="57" spans="1:25" x14ac:dyDescent="0.2">
      <c r="A57">
        <v>824348</v>
      </c>
      <c r="B57" s="3">
        <f>VLOOKUP($A57,ScionOutput!$A$3:$BL$215,3,FALSE)</f>
        <v>46183</v>
      </c>
      <c r="C57">
        <f>VLOOKUP($A57,ScionOutput!$A$3:$BL$215,22,FALSE)</f>
        <v>8</v>
      </c>
      <c r="D57" t="str">
        <f>VLOOKUP($A57,ScionOutput!$A$3:$BL$215,23,FALSE)</f>
        <v>COL</v>
      </c>
      <c r="E57">
        <f>VLOOKUP($A57,ScionOutput!$A$3:$BL$215,6,FALSE)</f>
        <v>5</v>
      </c>
      <c r="F57" t="str">
        <f>VLOOKUP($A57,ScionOutput!$A$3:$BL$215,7,FALSE)</f>
        <v>CHC</v>
      </c>
      <c r="G57">
        <f>VLOOKUP($A57,ScionOutput!$A$3:$BL$215,26,FALSE)</f>
        <v>149</v>
      </c>
      <c r="H57">
        <f>VLOOKUP($A57,ScionOutput!$A$3:$BL$215,10,FALSE)</f>
        <v>-162</v>
      </c>
      <c r="I57" t="str">
        <f>VLOOKUP($A57,ScionOutput!$A$3:$BL$215,58,FALSE)</f>
        <v>No Play</v>
      </c>
      <c r="J57">
        <f>VLOOKUP($A57,ScionOutput!$A$3:$BL$215,59,FALSE)</f>
        <v>0</v>
      </c>
      <c r="K57">
        <f>VLOOKUP($A57,ScionOutput!$A$3:$BL$215,62,FALSE)</f>
        <v>0</v>
      </c>
      <c r="L57">
        <f>VLOOKUP($A57,ScionOutput!$A$3:$BL$215,63,FALSE)</f>
        <v>0</v>
      </c>
      <c r="M57" t="b">
        <f t="shared" si="1"/>
        <v>0</v>
      </c>
      <c r="N57">
        <f>VLOOKUP($A57,Outcomes!$B$3:$I$209,8,FALSE)</f>
        <v>5</v>
      </c>
      <c r="O57">
        <f t="shared" si="2"/>
        <v>1</v>
      </c>
      <c r="P57">
        <f>VLOOKUP($A57,Outcomes!$B$3:$I$209,5,FALSE)</f>
        <v>3</v>
      </c>
      <c r="Q57">
        <f>VLOOKUP($A57,Outcomes!$B$3:$I$209,6,FALSE)</f>
        <v>2</v>
      </c>
      <c r="R57">
        <f>VLOOKUP($A57,Outcomes!$B$3:$I$209,7,FALSE)</f>
        <v>-1</v>
      </c>
      <c r="S57" t="str">
        <f t="shared" si="3"/>
        <v>HomDog</v>
      </c>
      <c r="T57" t="str">
        <f t="shared" si="4"/>
        <v/>
      </c>
      <c r="U57" t="str">
        <f t="shared" si="0"/>
        <v/>
      </c>
      <c r="V57" t="str">
        <f t="shared" si="5"/>
        <v/>
      </c>
      <c r="W57" t="str">
        <f t="shared" si="6"/>
        <v/>
      </c>
      <c r="X57" s="2" t="str">
        <f t="shared" si="7"/>
        <v/>
      </c>
      <c r="Y57" t="str">
        <f>VLOOKUP($A57,ScionOutput!$A$3:$BL$215,64,FALSE)</f>
        <v xml:space="preserve">824348. VF plays are disallowed. No play due to strategy constraints. </v>
      </c>
    </row>
    <row r="58" spans="1:25" x14ac:dyDescent="0.2">
      <c r="A58">
        <v>824590</v>
      </c>
      <c r="B58" s="3">
        <f>VLOOKUP($A58,ScionOutput!$A$3:$BL$215,3,FALSE)</f>
        <v>46183</v>
      </c>
      <c r="C58">
        <f>VLOOKUP($A58,ScionOutput!$A$3:$BL$215,22,FALSE)</f>
        <v>9</v>
      </c>
      <c r="D58" t="str">
        <f>VLOOKUP($A58,ScionOutput!$A$3:$BL$215,23,FALSE)</f>
        <v>CWS</v>
      </c>
      <c r="E58">
        <f>VLOOKUP($A58,ScionOutput!$A$3:$BL$215,6,FALSE)</f>
        <v>0</v>
      </c>
      <c r="F58" t="str">
        <f>VLOOKUP($A58,ScionOutput!$A$3:$BL$215,7,FALSE)</f>
        <v>ATL</v>
      </c>
      <c r="G58">
        <f>VLOOKUP($A58,ScionOutput!$A$3:$BL$215,26,FALSE)</f>
        <v>132</v>
      </c>
      <c r="H58">
        <f>VLOOKUP($A58,ScionOutput!$A$3:$BL$215,10,FALSE)</f>
        <v>-143</v>
      </c>
      <c r="I58" t="str">
        <f>VLOOKUP($A58,ScionOutput!$A$3:$BL$215,58,FALSE)</f>
        <v>No Play</v>
      </c>
      <c r="J58">
        <f>VLOOKUP($A58,ScionOutput!$A$3:$BL$215,59,FALSE)</f>
        <v>0</v>
      </c>
      <c r="K58">
        <f>VLOOKUP($A58,ScionOutput!$A$3:$BL$215,62,FALSE)</f>
        <v>0</v>
      </c>
      <c r="L58">
        <f>VLOOKUP($A58,ScionOutput!$A$3:$BL$215,63,FALSE)</f>
        <v>0</v>
      </c>
      <c r="M58" t="b">
        <f t="shared" si="1"/>
        <v>0</v>
      </c>
      <c r="N58">
        <f>VLOOKUP($A58,Outcomes!$B$3:$I$209,8,FALSE)</f>
        <v>3</v>
      </c>
      <c r="O58">
        <f t="shared" si="2"/>
        <v>1</v>
      </c>
      <c r="P58">
        <f>VLOOKUP($A58,Outcomes!$B$3:$I$209,5,FALSE)</f>
        <v>2</v>
      </c>
      <c r="Q58">
        <f>VLOOKUP($A58,Outcomes!$B$3:$I$209,6,FALSE)</f>
        <v>1</v>
      </c>
      <c r="R58">
        <f>VLOOKUP($A58,Outcomes!$B$3:$I$209,7,FALSE)</f>
        <v>-1</v>
      </c>
      <c r="S58" t="str">
        <f t="shared" si="3"/>
        <v>HomDog</v>
      </c>
      <c r="T58" t="str">
        <f t="shared" si="4"/>
        <v/>
      </c>
      <c r="U58" t="str">
        <f t="shared" si="0"/>
        <v/>
      </c>
      <c r="V58" t="str">
        <f t="shared" si="5"/>
        <v/>
      </c>
      <c r="W58" t="str">
        <f t="shared" si="6"/>
        <v/>
      </c>
      <c r="X58" s="2" t="str">
        <f t="shared" si="7"/>
        <v/>
      </c>
      <c r="Y58" t="str">
        <f>VLOOKUP($A58,ScionOutput!$A$3:$BL$215,64,FALSE)</f>
        <v xml:space="preserve">824590. LineStatEns price is outside allowable range! StatOnlyEns price is outside allowable range! No play due to strategy constraints. </v>
      </c>
    </row>
    <row r="59" spans="1:25" x14ac:dyDescent="0.2">
      <c r="A59">
        <v>824266</v>
      </c>
      <c r="B59" s="3">
        <f>VLOOKUP($A59,ScionOutput!$A$3:$BL$215,3,FALSE)</f>
        <v>46183</v>
      </c>
      <c r="C59">
        <f>VLOOKUP($A59,ScionOutput!$A$3:$BL$215,22,FALSE)</f>
        <v>10</v>
      </c>
      <c r="D59" t="str">
        <f>VLOOKUP($A59,ScionOutput!$A$3:$BL$215,23,FALSE)</f>
        <v>DET</v>
      </c>
      <c r="E59">
        <f>VLOOKUP($A59,ScionOutput!$A$3:$BL$215,6,FALSE)</f>
        <v>15</v>
      </c>
      <c r="F59" t="str">
        <f>VLOOKUP($A59,ScionOutput!$A$3:$BL$215,7,FALSE)</f>
        <v>MIN</v>
      </c>
      <c r="G59">
        <f>VLOOKUP($A59,ScionOutput!$A$3:$BL$215,26,FALSE)</f>
        <v>-164</v>
      </c>
      <c r="H59">
        <f>VLOOKUP($A59,ScionOutput!$A$3:$BL$215,10,FALSE)</f>
        <v>150</v>
      </c>
      <c r="I59" t="str">
        <f>VLOOKUP($A59,ScionOutput!$A$3:$BL$215,58,FALSE)</f>
        <v>No Play</v>
      </c>
      <c r="J59">
        <f>VLOOKUP($A59,ScionOutput!$A$3:$BL$215,59,FALSE)</f>
        <v>0</v>
      </c>
      <c r="K59">
        <f>VLOOKUP($A59,ScionOutput!$A$3:$BL$215,62,FALSE)</f>
        <v>0</v>
      </c>
      <c r="L59">
        <f>VLOOKUP($A59,ScionOutput!$A$3:$BL$215,63,FALSE)</f>
        <v>0</v>
      </c>
      <c r="M59" t="b">
        <f t="shared" si="1"/>
        <v>0</v>
      </c>
      <c r="N59">
        <f>VLOOKUP($A59,Outcomes!$B$3:$I$209,8,FALSE)</f>
        <v>10</v>
      </c>
      <c r="O59">
        <f t="shared" si="2"/>
        <v>-1</v>
      </c>
      <c r="P59">
        <f>VLOOKUP($A59,Outcomes!$B$3:$I$209,5,FALSE)</f>
        <v>4</v>
      </c>
      <c r="Q59">
        <f>VLOOKUP($A59,Outcomes!$B$3:$I$209,6,FALSE)</f>
        <v>6</v>
      </c>
      <c r="R59">
        <f>VLOOKUP($A59,Outcomes!$B$3:$I$209,7,FALSE)</f>
        <v>2</v>
      </c>
      <c r="S59" t="str">
        <f t="shared" si="3"/>
        <v>VisDog</v>
      </c>
      <c r="T59" t="str">
        <f t="shared" si="4"/>
        <v/>
      </c>
      <c r="U59" t="str">
        <f t="shared" si="0"/>
        <v/>
      </c>
      <c r="V59" t="str">
        <f t="shared" si="5"/>
        <v/>
      </c>
      <c r="W59" t="str">
        <f t="shared" si="6"/>
        <v/>
      </c>
      <c r="X59" s="2" t="str">
        <f t="shared" si="7"/>
        <v/>
      </c>
      <c r="Y59" t="str">
        <f>VLOOKUP($A59,ScionOutput!$A$3:$BL$215,64,FALSE)</f>
        <v xml:space="preserve">824266. V_SP is Null, team-based avg used. NoPlay as V_SP is Null. </v>
      </c>
    </row>
    <row r="60" spans="1:25" x14ac:dyDescent="0.2">
      <c r="A60">
        <v>823856</v>
      </c>
      <c r="B60" s="3">
        <f>VLOOKUP($A60,ScionOutput!$A$3:$BL$215,3,FALSE)</f>
        <v>46183</v>
      </c>
      <c r="C60">
        <f>VLOOKUP($A60,ScionOutput!$A$3:$BL$215,22,FALSE)</f>
        <v>11</v>
      </c>
      <c r="D60" t="str">
        <f>VLOOKUP($A60,ScionOutput!$A$3:$BL$215,23,FALSE)</f>
        <v>FLO</v>
      </c>
      <c r="E60">
        <f>VLOOKUP($A60,ScionOutput!$A$3:$BL$215,6,FALSE)</f>
        <v>1</v>
      </c>
      <c r="F60" t="str">
        <f>VLOOKUP($A60,ScionOutput!$A$3:$BL$215,7,FALSE)</f>
        <v>ARZ</v>
      </c>
      <c r="G60">
        <f>VLOOKUP($A60,ScionOutput!$A$3:$BL$215,26,FALSE)</f>
        <v>102</v>
      </c>
      <c r="H60">
        <f>VLOOKUP($A60,ScionOutput!$A$3:$BL$215,10,FALSE)</f>
        <v>-111</v>
      </c>
      <c r="I60" t="str">
        <f>VLOOKUP($A60,ScionOutput!$A$3:$BL$215,58,FALSE)</f>
        <v>HomDog</v>
      </c>
      <c r="J60">
        <f>VLOOKUP($A60,ScionOutput!$A$3:$BL$215,59,FALSE)</f>
        <v>1.519E-2</v>
      </c>
      <c r="K60">
        <f>VLOOKUP($A60,ScionOutput!$A$3:$BL$215,62,FALSE)</f>
        <v>5</v>
      </c>
      <c r="L60">
        <f>VLOOKUP($A60,ScionOutput!$A$3:$BL$215,63,FALSE)</f>
        <v>0.6</v>
      </c>
      <c r="M60" t="b">
        <f t="shared" si="1"/>
        <v>1</v>
      </c>
      <c r="N60">
        <f>VLOOKUP($A60,Outcomes!$B$3:$I$209,8,FALSE)</f>
        <v>8</v>
      </c>
      <c r="O60">
        <f t="shared" si="2"/>
        <v>1</v>
      </c>
      <c r="P60">
        <f>VLOOKUP($A60,Outcomes!$B$3:$I$209,5,FALSE)</f>
        <v>8</v>
      </c>
      <c r="Q60">
        <f>VLOOKUP($A60,Outcomes!$B$3:$I$209,6,FALSE)</f>
        <v>0</v>
      </c>
      <c r="R60">
        <f>VLOOKUP($A60,Outcomes!$B$3:$I$209,7,FALSE)</f>
        <v>-8</v>
      </c>
      <c r="S60" t="str">
        <f t="shared" si="3"/>
        <v>HomDog</v>
      </c>
      <c r="T60">
        <f t="shared" si="4"/>
        <v>1</v>
      </c>
      <c r="U60">
        <f t="shared" si="0"/>
        <v>100</v>
      </c>
      <c r="V60">
        <f t="shared" si="5"/>
        <v>202</v>
      </c>
      <c r="W60">
        <f t="shared" si="6"/>
        <v>102</v>
      </c>
      <c r="X60" s="2">
        <f t="shared" si="7"/>
        <v>1.02</v>
      </c>
      <c r="Y60" t="str">
        <f>VLOOKUP($A60,ScionOutput!$A$3:$BL$215,64,FALSE)</f>
        <v xml:space="preserve">823856. Play determined by LineStatEns and StatOnlyEns agreement. </v>
      </c>
    </row>
    <row r="61" spans="1:25" x14ac:dyDescent="0.2">
      <c r="A61">
        <v>824103</v>
      </c>
      <c r="B61" s="3">
        <f>VLOOKUP($A61,ScionOutput!$A$3:$BL$215,3,FALSE)</f>
        <v>46183</v>
      </c>
      <c r="C61">
        <f>VLOOKUP($A61,ScionOutput!$A$3:$BL$215,22,FALSE)</f>
        <v>13</v>
      </c>
      <c r="D61" t="str">
        <f>VLOOKUP($A61,ScionOutput!$A$3:$BL$215,23,FALSE)</f>
        <v>KC</v>
      </c>
      <c r="E61">
        <f>VLOOKUP($A61,ScionOutput!$A$3:$BL$215,6,FALSE)</f>
        <v>28</v>
      </c>
      <c r="F61" t="str">
        <f>VLOOKUP($A61,ScionOutput!$A$3:$BL$215,7,FALSE)</f>
        <v>TEX</v>
      </c>
      <c r="G61">
        <f>VLOOKUP($A61,ScionOutput!$A$3:$BL$215,26,FALSE)</f>
        <v>108</v>
      </c>
      <c r="H61">
        <f>VLOOKUP($A61,ScionOutput!$A$3:$BL$215,10,FALSE)</f>
        <v>-117</v>
      </c>
      <c r="I61" t="str">
        <f>VLOOKUP($A61,ScionOutput!$A$3:$BL$215,58,FALSE)</f>
        <v>No Play</v>
      </c>
      <c r="J61">
        <f>VLOOKUP($A61,ScionOutput!$A$3:$BL$215,59,FALSE)</f>
        <v>0</v>
      </c>
      <c r="K61">
        <f>VLOOKUP($A61,ScionOutput!$A$3:$BL$215,62,FALSE)</f>
        <v>0</v>
      </c>
      <c r="L61">
        <f>VLOOKUP($A61,ScionOutput!$A$3:$BL$215,63,FALSE)</f>
        <v>0</v>
      </c>
      <c r="M61" t="b">
        <f t="shared" si="1"/>
        <v>0</v>
      </c>
      <c r="N61">
        <f>VLOOKUP($A61,Outcomes!$B$3:$I$209,8,FALSE)</f>
        <v>10</v>
      </c>
      <c r="O61">
        <f t="shared" si="2"/>
        <v>-1</v>
      </c>
      <c r="P61">
        <f>VLOOKUP($A61,Outcomes!$B$3:$I$209,5,FALSE)</f>
        <v>4</v>
      </c>
      <c r="Q61">
        <f>VLOOKUP($A61,Outcomes!$B$3:$I$209,6,FALSE)</f>
        <v>6</v>
      </c>
      <c r="R61">
        <f>VLOOKUP($A61,Outcomes!$B$3:$I$209,7,FALSE)</f>
        <v>2</v>
      </c>
      <c r="S61" t="str">
        <f t="shared" si="3"/>
        <v>VisFave</v>
      </c>
      <c r="T61" t="str">
        <f t="shared" si="4"/>
        <v/>
      </c>
      <c r="U61" t="str">
        <f t="shared" si="0"/>
        <v/>
      </c>
      <c r="V61" t="str">
        <f t="shared" si="5"/>
        <v/>
      </c>
      <c r="W61" t="str">
        <f t="shared" si="6"/>
        <v/>
      </c>
      <c r="X61" s="2" t="str">
        <f t="shared" si="7"/>
        <v/>
      </c>
      <c r="Y61" t="str">
        <f>VLOOKUP($A61,ScionOutput!$A$3:$BL$215,64,FALSE)</f>
        <v xml:space="preserve">824103. VF plays are disallowed. No play due to strategy constraints. </v>
      </c>
    </row>
    <row r="62" spans="1:25" x14ac:dyDescent="0.2">
      <c r="A62">
        <v>823618</v>
      </c>
      <c r="B62" s="3">
        <f>VLOOKUP($A62,ScionOutput!$A$3:$BL$215,3,FALSE)</f>
        <v>46183</v>
      </c>
      <c r="C62">
        <f>VLOOKUP($A62,ScionOutput!$A$3:$BL$215,22,FALSE)</f>
        <v>18</v>
      </c>
      <c r="D62" t="str">
        <f>VLOOKUP($A62,ScionOutput!$A$3:$BL$215,23,FALSE)</f>
        <v>NYM</v>
      </c>
      <c r="E62">
        <f>VLOOKUP($A62,ScionOutput!$A$3:$BL$215,6,FALSE)</f>
        <v>26</v>
      </c>
      <c r="F62" t="str">
        <f>VLOOKUP($A62,ScionOutput!$A$3:$BL$215,7,FALSE)</f>
        <v>STL</v>
      </c>
      <c r="G62">
        <f>VLOOKUP($A62,ScionOutput!$A$3:$BL$215,26,FALSE)</f>
        <v>-128</v>
      </c>
      <c r="H62">
        <f>VLOOKUP($A62,ScionOutput!$A$3:$BL$215,10,FALSE)</f>
        <v>118</v>
      </c>
      <c r="I62" t="str">
        <f>VLOOKUP($A62,ScionOutput!$A$3:$BL$215,58,FALSE)</f>
        <v>No Play</v>
      </c>
      <c r="J62">
        <f>VLOOKUP($A62,ScionOutput!$A$3:$BL$215,59,FALSE)</f>
        <v>0</v>
      </c>
      <c r="K62">
        <f>VLOOKUP($A62,ScionOutput!$A$3:$BL$215,62,FALSE)</f>
        <v>0</v>
      </c>
      <c r="L62">
        <f>VLOOKUP($A62,ScionOutput!$A$3:$BL$215,63,FALSE)</f>
        <v>0</v>
      </c>
      <c r="M62" t="b">
        <f t="shared" si="1"/>
        <v>0</v>
      </c>
      <c r="N62">
        <f>VLOOKUP($A62,Outcomes!$B$3:$I$209,8,FALSE)</f>
        <v>11</v>
      </c>
      <c r="O62">
        <f t="shared" si="2"/>
        <v>-1</v>
      </c>
      <c r="P62">
        <f>VLOOKUP($A62,Outcomes!$B$3:$I$209,5,FALSE)</f>
        <v>2</v>
      </c>
      <c r="Q62">
        <f>VLOOKUP($A62,Outcomes!$B$3:$I$209,6,FALSE)</f>
        <v>9</v>
      </c>
      <c r="R62">
        <f>VLOOKUP($A62,Outcomes!$B$3:$I$209,7,FALSE)</f>
        <v>7</v>
      </c>
      <c r="S62" t="str">
        <f t="shared" si="3"/>
        <v>VisDog</v>
      </c>
      <c r="T62" t="str">
        <f t="shared" si="4"/>
        <v/>
      </c>
      <c r="U62" t="str">
        <f t="shared" si="0"/>
        <v/>
      </c>
      <c r="V62" t="str">
        <f t="shared" si="5"/>
        <v/>
      </c>
      <c r="W62" t="str">
        <f t="shared" si="6"/>
        <v/>
      </c>
      <c r="X62" s="2" t="str">
        <f t="shared" si="7"/>
        <v/>
      </c>
      <c r="Y62" t="str">
        <f>VLOOKUP($A62,ScionOutput!$A$3:$BL$215,64,FALSE)</f>
        <v xml:space="preserve">823618. LineStatEns probability points gap does not exceed threshold (no edge found)! StatOnlyEns probability points gap does not exceed threshold (no edge found)! No play due to strategy constraints. </v>
      </c>
    </row>
    <row r="63" spans="1:25" x14ac:dyDescent="0.2">
      <c r="A63">
        <v>824996</v>
      </c>
      <c r="B63" s="3">
        <f>VLOOKUP($A63,ScionOutput!$A$3:$BL$215,3,FALSE)</f>
        <v>46183</v>
      </c>
      <c r="C63">
        <f>VLOOKUP($A63,ScionOutput!$A$3:$BL$215,22,FALSE)</f>
        <v>20</v>
      </c>
      <c r="D63" t="str">
        <f>VLOOKUP($A63,ScionOutput!$A$3:$BL$215,23,FALSE)</f>
        <v>OAK</v>
      </c>
      <c r="E63">
        <f>VLOOKUP($A63,ScionOutput!$A$3:$BL$215,6,FALSE)</f>
        <v>17</v>
      </c>
      <c r="F63" t="str">
        <f>VLOOKUP($A63,ScionOutput!$A$3:$BL$215,7,FALSE)</f>
        <v>MLW</v>
      </c>
      <c r="G63">
        <f>VLOOKUP($A63,ScionOutput!$A$3:$BL$215,26,FALSE)</f>
        <v>-105</v>
      </c>
      <c r="H63">
        <f>VLOOKUP($A63,ScionOutput!$A$3:$BL$215,10,FALSE)</f>
        <v>-103</v>
      </c>
      <c r="I63" t="str">
        <f>VLOOKUP($A63,ScionOutput!$A$3:$BL$215,58,FALSE)</f>
        <v>VisDog</v>
      </c>
      <c r="J63">
        <f>VLOOKUP($A63,ScionOutput!$A$3:$BL$215,59,FALSE)</f>
        <v>-6.2359999999999999E-2</v>
      </c>
      <c r="K63">
        <f>VLOOKUP($A63,ScionOutput!$A$3:$BL$215,62,FALSE)</f>
        <v>5</v>
      </c>
      <c r="L63">
        <f>VLOOKUP($A63,ScionOutput!$A$3:$BL$215,63,FALSE)</f>
        <v>0.98</v>
      </c>
      <c r="M63" t="b">
        <f t="shared" si="1"/>
        <v>0</v>
      </c>
      <c r="N63">
        <f>VLOOKUP($A63,Outcomes!$B$3:$I$209,8,FALSE)</f>
        <v>7</v>
      </c>
      <c r="O63">
        <f t="shared" si="2"/>
        <v>1</v>
      </c>
      <c r="P63">
        <f>VLOOKUP($A63,Outcomes!$B$3:$I$209,5,FALSE)</f>
        <v>4</v>
      </c>
      <c r="Q63">
        <f>VLOOKUP($A63,Outcomes!$B$3:$I$209,6,FALSE)</f>
        <v>3</v>
      </c>
      <c r="R63">
        <f>VLOOKUP($A63,Outcomes!$B$3:$I$209,7,FALSE)</f>
        <v>-1</v>
      </c>
      <c r="S63" t="str">
        <f t="shared" si="3"/>
        <v>HomFave</v>
      </c>
      <c r="T63">
        <f t="shared" si="4"/>
        <v>0</v>
      </c>
      <c r="U63">
        <f t="shared" si="0"/>
        <v>103</v>
      </c>
      <c r="V63">
        <f t="shared" si="5"/>
        <v>0</v>
      </c>
      <c r="W63">
        <f t="shared" si="6"/>
        <v>-103</v>
      </c>
      <c r="X63" s="2">
        <f t="shared" si="7"/>
        <v>-1</v>
      </c>
      <c r="Y63" t="str">
        <f>VLOOKUP($A63,ScionOutput!$A$3:$BL$215,64,FALSE)</f>
        <v xml:space="preserve">824996. Play determined by StatOnlyEns when it disagrees with LineStatEns. </v>
      </c>
    </row>
    <row r="64" spans="1:25" x14ac:dyDescent="0.2">
      <c r="A64">
        <v>823372</v>
      </c>
      <c r="B64" s="3">
        <f>VLOOKUP($A64,ScionOutput!$A$3:$BL$215,3,FALSE)</f>
        <v>46183</v>
      </c>
      <c r="C64">
        <f>VLOOKUP($A64,ScionOutput!$A$3:$BL$215,22,FALSE)</f>
        <v>22</v>
      </c>
      <c r="D64" t="str">
        <f>VLOOKUP($A64,ScionOutput!$A$3:$BL$215,23,FALSE)</f>
        <v>PIT</v>
      </c>
      <c r="E64">
        <f>VLOOKUP($A64,ScionOutput!$A$3:$BL$215,6,FALSE)</f>
        <v>14</v>
      </c>
      <c r="F64" t="str">
        <f>VLOOKUP($A64,ScionOutput!$A$3:$BL$215,7,FALSE)</f>
        <v>LA</v>
      </c>
      <c r="G64">
        <f>VLOOKUP($A64,ScionOutput!$A$3:$BL$215,26,FALSE)</f>
        <v>175</v>
      </c>
      <c r="H64">
        <f>VLOOKUP($A64,ScionOutput!$A$3:$BL$215,10,FALSE)</f>
        <v>-193</v>
      </c>
      <c r="I64" t="str">
        <f>VLOOKUP($A64,ScionOutput!$A$3:$BL$215,58,FALSE)</f>
        <v>No Play</v>
      </c>
      <c r="J64">
        <f>VLOOKUP($A64,ScionOutput!$A$3:$BL$215,59,FALSE)</f>
        <v>0</v>
      </c>
      <c r="K64">
        <f>VLOOKUP($A64,ScionOutput!$A$3:$BL$215,62,FALSE)</f>
        <v>0</v>
      </c>
      <c r="L64">
        <f>VLOOKUP($A64,ScionOutput!$A$3:$BL$215,63,FALSE)</f>
        <v>0</v>
      </c>
      <c r="M64" t="b">
        <f t="shared" si="1"/>
        <v>0</v>
      </c>
      <c r="N64">
        <f>VLOOKUP($A64,Outcomes!$B$3:$I$209,8,FALSE)</f>
        <v>17</v>
      </c>
      <c r="O64">
        <f t="shared" si="2"/>
        <v>1</v>
      </c>
      <c r="P64">
        <f>VLOOKUP($A64,Outcomes!$B$3:$I$209,5,FALSE)</f>
        <v>9</v>
      </c>
      <c r="Q64">
        <f>VLOOKUP($A64,Outcomes!$B$3:$I$209,6,FALSE)</f>
        <v>8</v>
      </c>
      <c r="R64">
        <f>VLOOKUP($A64,Outcomes!$B$3:$I$209,7,FALSE)</f>
        <v>-1</v>
      </c>
      <c r="S64" t="str">
        <f t="shared" si="3"/>
        <v>HomDog</v>
      </c>
      <c r="T64" t="str">
        <f t="shared" si="4"/>
        <v/>
      </c>
      <c r="U64" t="str">
        <f t="shared" si="0"/>
        <v/>
      </c>
      <c r="V64" t="str">
        <f t="shared" si="5"/>
        <v/>
      </c>
      <c r="W64" t="str">
        <f t="shared" si="6"/>
        <v/>
      </c>
      <c r="X64" s="2" t="str">
        <f t="shared" si="7"/>
        <v/>
      </c>
      <c r="Y64" t="str">
        <f>VLOOKUP($A64,ScionOutput!$A$3:$BL$215,64,FALSE)</f>
        <v xml:space="preserve">823372. LineStatEns is NoPlay as bookie-line outside range. StatOnlyEns is NoPlay as bookie-line outside range. No play due to strategy constraints. </v>
      </c>
    </row>
    <row r="65" spans="1:25" x14ac:dyDescent="0.2">
      <c r="A65">
        <v>823287</v>
      </c>
      <c r="B65" s="3">
        <f>VLOOKUP($A65,ScionOutput!$A$3:$BL$215,3,FALSE)</f>
        <v>46183</v>
      </c>
      <c r="C65">
        <f>VLOOKUP($A65,ScionOutput!$A$3:$BL$215,22,FALSE)</f>
        <v>23</v>
      </c>
      <c r="D65" t="str">
        <f>VLOOKUP($A65,ScionOutput!$A$3:$BL$215,23,FALSE)</f>
        <v>SD</v>
      </c>
      <c r="E65">
        <f>VLOOKUP($A65,ScionOutput!$A$3:$BL$215,6,FALSE)</f>
        <v>6</v>
      </c>
      <c r="F65" t="str">
        <f>VLOOKUP($A65,ScionOutput!$A$3:$BL$215,7,FALSE)</f>
        <v>CIN</v>
      </c>
      <c r="G65">
        <f>VLOOKUP($A65,ScionOutput!$A$3:$BL$215,26,FALSE)</f>
        <v>-158</v>
      </c>
      <c r="H65">
        <f>VLOOKUP($A65,ScionOutput!$A$3:$BL$215,10,FALSE)</f>
        <v>145</v>
      </c>
      <c r="I65" t="str">
        <f>VLOOKUP($A65,ScionOutput!$A$3:$BL$215,58,FALSE)</f>
        <v>No Play</v>
      </c>
      <c r="J65">
        <f>VLOOKUP($A65,ScionOutput!$A$3:$BL$215,59,FALSE)</f>
        <v>0</v>
      </c>
      <c r="K65">
        <f>VLOOKUP($A65,ScionOutput!$A$3:$BL$215,62,FALSE)</f>
        <v>0</v>
      </c>
      <c r="L65">
        <f>VLOOKUP($A65,ScionOutput!$A$3:$BL$215,63,FALSE)</f>
        <v>0</v>
      </c>
      <c r="M65" t="b">
        <f t="shared" si="1"/>
        <v>0</v>
      </c>
      <c r="N65">
        <f>VLOOKUP($A65,Outcomes!$B$3:$I$209,8,FALSE)</f>
        <v>9</v>
      </c>
      <c r="O65">
        <f t="shared" si="2"/>
        <v>1</v>
      </c>
      <c r="P65">
        <f>VLOOKUP($A65,Outcomes!$B$3:$I$209,5,FALSE)</f>
        <v>5</v>
      </c>
      <c r="Q65">
        <f>VLOOKUP($A65,Outcomes!$B$3:$I$209,6,FALSE)</f>
        <v>4</v>
      </c>
      <c r="R65">
        <f>VLOOKUP($A65,Outcomes!$B$3:$I$209,7,FALSE)</f>
        <v>-1</v>
      </c>
      <c r="S65" t="str">
        <f t="shared" si="3"/>
        <v>HomFave</v>
      </c>
      <c r="T65" t="str">
        <f t="shared" si="4"/>
        <v/>
      </c>
      <c r="U65" t="str">
        <f t="shared" si="0"/>
        <v/>
      </c>
      <c r="V65" t="str">
        <f t="shared" si="5"/>
        <v/>
      </c>
      <c r="W65" t="str">
        <f t="shared" si="6"/>
        <v/>
      </c>
      <c r="X65" s="2" t="str">
        <f t="shared" si="7"/>
        <v/>
      </c>
      <c r="Y65" t="str">
        <f>VLOOKUP($A65,ScionOutput!$A$3:$BL$215,64,FALSE)</f>
        <v xml:space="preserve">823287. LineStatEns is NoPlay as bookie-line outside range. StatOnlyEns is NoPlay as bookie-line outside range. No play due to strategy constraints. </v>
      </c>
    </row>
    <row r="66" spans="1:25" x14ac:dyDescent="0.2">
      <c r="A66">
        <v>823215</v>
      </c>
      <c r="B66" s="3">
        <f>VLOOKUP($A66,ScionOutput!$A$3:$BL$215,3,FALSE)</f>
        <v>46183</v>
      </c>
      <c r="C66">
        <f>VLOOKUP($A66,ScionOutput!$A$3:$BL$215,22,FALSE)</f>
        <v>25</v>
      </c>
      <c r="D66" t="str">
        <f>VLOOKUP($A66,ScionOutput!$A$3:$BL$215,23,FALSE)</f>
        <v>SF</v>
      </c>
      <c r="E66">
        <f>VLOOKUP($A66,ScionOutput!$A$3:$BL$215,6,FALSE)</f>
        <v>16</v>
      </c>
      <c r="F66" t="str">
        <f>VLOOKUP($A66,ScionOutput!$A$3:$BL$215,7,FALSE)</f>
        <v>WAS</v>
      </c>
      <c r="G66">
        <f>VLOOKUP($A66,ScionOutput!$A$3:$BL$215,26,FALSE)</f>
        <v>-105</v>
      </c>
      <c r="H66">
        <f>VLOOKUP($A66,ScionOutput!$A$3:$BL$215,10,FALSE)</f>
        <v>-103</v>
      </c>
      <c r="I66" t="str">
        <f>VLOOKUP($A66,ScionOutput!$A$3:$BL$215,58,FALSE)</f>
        <v>VisDog</v>
      </c>
      <c r="J66">
        <f>VLOOKUP($A66,ScionOutput!$A$3:$BL$215,59,FALSE)</f>
        <v>-3.236E-2</v>
      </c>
      <c r="K66">
        <f>VLOOKUP($A66,ScionOutput!$A$3:$BL$215,62,FALSE)</f>
        <v>3</v>
      </c>
      <c r="L66">
        <f>VLOOKUP($A66,ScionOutput!$A$3:$BL$215,63,FALSE)</f>
        <v>0.93</v>
      </c>
      <c r="M66" t="b">
        <f t="shared" si="1"/>
        <v>0</v>
      </c>
      <c r="N66">
        <f>VLOOKUP($A66,Outcomes!$B$3:$I$209,8,FALSE)</f>
        <v>21</v>
      </c>
      <c r="O66">
        <f t="shared" si="2"/>
        <v>1</v>
      </c>
      <c r="P66">
        <f>VLOOKUP($A66,Outcomes!$B$3:$I$209,5,FALSE)</f>
        <v>11</v>
      </c>
      <c r="Q66">
        <f>VLOOKUP($A66,Outcomes!$B$3:$I$209,6,FALSE)</f>
        <v>10</v>
      </c>
      <c r="R66">
        <f>VLOOKUP($A66,Outcomes!$B$3:$I$209,7,FALSE)</f>
        <v>-1</v>
      </c>
      <c r="S66" t="str">
        <f t="shared" si="3"/>
        <v>HomFave</v>
      </c>
      <c r="T66" t="str">
        <f t="shared" si="4"/>
        <v/>
      </c>
      <c r="U66" t="str">
        <f t="shared" ref="U66:U129" si="8">IF(T66="","",IF(G66&lt;H66,IF(I66="HomFave",ABS(G66),IF(H66&lt;0,ABS(H66),100)),IF(I66="VisFave",ABS(H66),IF(G66&lt;0,ABS(G66),100))))</f>
        <v/>
      </c>
      <c r="V66" t="str">
        <f t="shared" si="5"/>
        <v/>
      </c>
      <c r="W66" t="str">
        <f t="shared" si="6"/>
        <v/>
      </c>
      <c r="X66" s="2" t="str">
        <f t="shared" si="7"/>
        <v/>
      </c>
      <c r="Y66" t="str">
        <f>VLOOKUP($A66,ScionOutput!$A$3:$BL$215,64,FALSE)</f>
        <v xml:space="preserve">823215. StatOnlyEns probability points gap does not exceed threshold (no edge found)! Play determined by LineStatEns only. </v>
      </c>
    </row>
    <row r="67" spans="1:25" x14ac:dyDescent="0.2">
      <c r="A67">
        <v>822970</v>
      </c>
      <c r="B67" s="3">
        <f>VLOOKUP($A67,ScionOutput!$A$3:$BL$215,3,FALSE)</f>
        <v>46183</v>
      </c>
      <c r="C67">
        <f>VLOOKUP($A67,ScionOutput!$A$3:$BL$215,22,FALSE)</f>
        <v>27</v>
      </c>
      <c r="D67" t="str">
        <f>VLOOKUP($A67,ScionOutput!$A$3:$BL$215,23,FALSE)</f>
        <v>TB</v>
      </c>
      <c r="E67">
        <f>VLOOKUP($A67,ScionOutput!$A$3:$BL$215,6,FALSE)</f>
        <v>3</v>
      </c>
      <c r="F67" t="str">
        <f>VLOOKUP($A67,ScionOutput!$A$3:$BL$215,7,FALSE)</f>
        <v>BOS</v>
      </c>
      <c r="G67">
        <f>VLOOKUP($A67,ScionOutput!$A$3:$BL$215,26,FALSE)</f>
        <v>-154</v>
      </c>
      <c r="H67">
        <f>VLOOKUP($A67,ScionOutput!$A$3:$BL$215,10,FALSE)</f>
        <v>142</v>
      </c>
      <c r="I67" t="str">
        <f>VLOOKUP($A67,ScionOutput!$A$3:$BL$215,58,FALSE)</f>
        <v>No Play</v>
      </c>
      <c r="J67">
        <f>VLOOKUP($A67,ScionOutput!$A$3:$BL$215,59,FALSE)</f>
        <v>0</v>
      </c>
      <c r="K67">
        <f>VLOOKUP($A67,ScionOutput!$A$3:$BL$215,62,FALSE)</f>
        <v>0</v>
      </c>
      <c r="L67">
        <f>VLOOKUP($A67,ScionOutput!$A$3:$BL$215,63,FALSE)</f>
        <v>0</v>
      </c>
      <c r="M67" t="b">
        <f t="shared" ref="M67:M130" si="9">ISNUMBER(SEARCH("Play determined by LineStatEns and StatOnlyEns agreement", Y67))</f>
        <v>0</v>
      </c>
      <c r="N67">
        <f>VLOOKUP($A67,Outcomes!$B$3:$I$209,8,FALSE)</f>
        <v>12</v>
      </c>
      <c r="O67">
        <f t="shared" ref="O67:O130" si="10">IF(P67&gt;Q67,1,IF(P67&lt;Q67,-1,0))</f>
        <v>1</v>
      </c>
      <c r="P67">
        <f>VLOOKUP($A67,Outcomes!$B$3:$I$209,5,FALSE)</f>
        <v>7</v>
      </c>
      <c r="Q67">
        <f>VLOOKUP($A67,Outcomes!$B$3:$I$209,6,FALSE)</f>
        <v>5</v>
      </c>
      <c r="R67">
        <f>VLOOKUP($A67,Outcomes!$B$3:$I$209,7,FALSE)</f>
        <v>-2</v>
      </c>
      <c r="S67" t="str">
        <f t="shared" ref="S67:S130" si="11">IF(R67=0,"Push",IF(G67&lt;H67,IF(R67&lt;0,"HomFave","VisDog"),IF(R67&gt;0,"VisFave","HomDog")))</f>
        <v>HomFave</v>
      </c>
      <c r="T67" t="str">
        <f t="shared" ref="T67:T130" si="12">IF(OR(R67=0,I67="No Play",K67&lt;&gt;5),"",IF(S67=I67,1,0))</f>
        <v/>
      </c>
      <c r="U67" t="str">
        <f t="shared" si="8"/>
        <v/>
      </c>
      <c r="V67" t="str">
        <f t="shared" ref="V67:V130" si="13">IF(T67="","",IF(T67=0,0,IF(G67&lt;H67,IF(I67="HomFave",U67+100,IF(H67&lt;0,100+U67,U67+ABS(H67))),IF(I67="VisFave",U67+100,IF(G67&lt;0,100+U67,U67+ABS(G67))))))</f>
        <v/>
      </c>
      <c r="W67" t="str">
        <f t="shared" ref="W67:W130" si="14">IF(T67="","",V67-U67)</f>
        <v/>
      </c>
      <c r="X67" s="2" t="str">
        <f t="shared" ref="X67:X130" si="15">IF(T67="","",W67/U67)</f>
        <v/>
      </c>
      <c r="Y67" t="str">
        <f>VLOOKUP($A67,ScionOutput!$A$3:$BL$215,64,FALSE)</f>
        <v xml:space="preserve">822970. LineStatEns is NoPlay as bookie-line outside range. StatOnlyEns is NoPlay as bookie-line outside range. No play due to strategy constraints. </v>
      </c>
    </row>
    <row r="68" spans="1:25" x14ac:dyDescent="0.2">
      <c r="A68">
        <v>822804</v>
      </c>
      <c r="B68" s="3">
        <f>VLOOKUP($A68,ScionOutput!$A$3:$BL$215,3,FALSE)</f>
        <v>46183</v>
      </c>
      <c r="C68">
        <f>VLOOKUP($A68,ScionOutput!$A$3:$BL$215,22,FALSE)</f>
        <v>29</v>
      </c>
      <c r="D68" t="str">
        <f>VLOOKUP($A68,ScionOutput!$A$3:$BL$215,23,FALSE)</f>
        <v>TOR</v>
      </c>
      <c r="E68">
        <f>VLOOKUP($A68,ScionOutput!$A$3:$BL$215,6,FALSE)</f>
        <v>21</v>
      </c>
      <c r="F68" t="str">
        <f>VLOOKUP($A68,ScionOutput!$A$3:$BL$215,7,FALSE)</f>
        <v>PHI</v>
      </c>
      <c r="G68">
        <f>VLOOKUP($A68,ScionOutput!$A$3:$BL$215,26,FALSE)</f>
        <v>114</v>
      </c>
      <c r="H68">
        <f>VLOOKUP($A68,ScionOutput!$A$3:$BL$215,10,FALSE)</f>
        <v>-124</v>
      </c>
      <c r="I68" t="str">
        <f>VLOOKUP($A68,ScionOutput!$A$3:$BL$215,58,FALSE)</f>
        <v>No Play</v>
      </c>
      <c r="J68">
        <f>VLOOKUP($A68,ScionOutput!$A$3:$BL$215,59,FALSE)</f>
        <v>0</v>
      </c>
      <c r="K68">
        <f>VLOOKUP($A68,ScionOutput!$A$3:$BL$215,62,FALSE)</f>
        <v>0</v>
      </c>
      <c r="L68">
        <f>VLOOKUP($A68,ScionOutput!$A$3:$BL$215,63,FALSE)</f>
        <v>0</v>
      </c>
      <c r="M68" t="b">
        <f t="shared" si="9"/>
        <v>0</v>
      </c>
      <c r="N68">
        <f>VLOOKUP($A68,Outcomes!$B$3:$I$209,8,FALSE)</f>
        <v>11</v>
      </c>
      <c r="O68">
        <f t="shared" si="10"/>
        <v>-1</v>
      </c>
      <c r="P68">
        <f>VLOOKUP($A68,Outcomes!$B$3:$I$209,5,FALSE)</f>
        <v>4</v>
      </c>
      <c r="Q68">
        <f>VLOOKUP($A68,Outcomes!$B$3:$I$209,6,FALSE)</f>
        <v>7</v>
      </c>
      <c r="R68">
        <f>VLOOKUP($A68,Outcomes!$B$3:$I$209,7,FALSE)</f>
        <v>3</v>
      </c>
      <c r="S68" t="str">
        <f t="shared" si="11"/>
        <v>VisFave</v>
      </c>
      <c r="T68" t="str">
        <f t="shared" si="12"/>
        <v/>
      </c>
      <c r="U68" t="str">
        <f t="shared" si="8"/>
        <v/>
      </c>
      <c r="V68" t="str">
        <f t="shared" si="13"/>
        <v/>
      </c>
      <c r="W68" t="str">
        <f t="shared" si="14"/>
        <v/>
      </c>
      <c r="X68" s="2" t="str">
        <f t="shared" si="15"/>
        <v/>
      </c>
      <c r="Y68" t="str">
        <f>VLOOKUP($A68,ScionOutput!$A$3:$BL$215,64,FALSE)</f>
        <v xml:space="preserve">822804. VF plays are disallowed. No play due to strategy constraints. </v>
      </c>
    </row>
    <row r="69" spans="1:25" x14ac:dyDescent="0.2">
      <c r="A69">
        <v>824827</v>
      </c>
      <c r="B69" s="3">
        <f>VLOOKUP($A69,ScionOutput!$A$3:$BL$215,3,FALSE)</f>
        <v>46184</v>
      </c>
      <c r="C69">
        <f>VLOOKUP($A69,ScionOutput!$A$3:$BL$215,22,FALSE)</f>
        <v>2</v>
      </c>
      <c r="D69" t="str">
        <f>VLOOKUP($A69,ScionOutput!$A$3:$BL$215,23,FALSE)</f>
        <v>BAL</v>
      </c>
      <c r="E69">
        <f>VLOOKUP($A69,ScionOutput!$A$3:$BL$215,6,FALSE)</f>
        <v>24</v>
      </c>
      <c r="F69" t="str">
        <f>VLOOKUP($A69,ScionOutput!$A$3:$BL$215,7,FALSE)</f>
        <v>SEA</v>
      </c>
      <c r="G69">
        <f>VLOOKUP($A69,ScionOutput!$A$3:$BL$215,26,FALSE)</f>
        <v>100</v>
      </c>
      <c r="H69">
        <f>VLOOKUP($A69,ScionOutput!$A$3:$BL$215,10,FALSE)</f>
        <v>-110</v>
      </c>
      <c r="I69" t="str">
        <f>VLOOKUP($A69,ScionOutput!$A$3:$BL$215,58,FALSE)</f>
        <v>No Play</v>
      </c>
      <c r="J69">
        <f>VLOOKUP($A69,ScionOutput!$A$3:$BL$215,59,FALSE)</f>
        <v>0</v>
      </c>
      <c r="K69">
        <f>VLOOKUP($A69,ScionOutput!$A$3:$BL$215,62,FALSE)</f>
        <v>0</v>
      </c>
      <c r="L69">
        <f>VLOOKUP($A69,ScionOutput!$A$3:$BL$215,63,FALSE)</f>
        <v>0</v>
      </c>
      <c r="M69" t="b">
        <f t="shared" si="9"/>
        <v>0</v>
      </c>
      <c r="N69">
        <f>VLOOKUP($A69,Outcomes!$B$3:$I$209,8,FALSE)</f>
        <v>12</v>
      </c>
      <c r="O69">
        <f t="shared" si="10"/>
        <v>1</v>
      </c>
      <c r="P69">
        <f>VLOOKUP($A69,Outcomes!$B$3:$I$209,5,FALSE)</f>
        <v>7</v>
      </c>
      <c r="Q69">
        <f>VLOOKUP($A69,Outcomes!$B$3:$I$209,6,FALSE)</f>
        <v>5</v>
      </c>
      <c r="R69">
        <f>VLOOKUP($A69,Outcomes!$B$3:$I$209,7,FALSE)</f>
        <v>-2</v>
      </c>
      <c r="S69" t="str">
        <f t="shared" si="11"/>
        <v>HomDog</v>
      </c>
      <c r="T69" t="str">
        <f t="shared" si="12"/>
        <v/>
      </c>
      <c r="U69" t="str">
        <f t="shared" si="8"/>
        <v/>
      </c>
      <c r="V69" t="str">
        <f t="shared" si="13"/>
        <v/>
      </c>
      <c r="W69" t="str">
        <f t="shared" si="14"/>
        <v/>
      </c>
      <c r="X69" s="2" t="str">
        <f t="shared" si="15"/>
        <v/>
      </c>
      <c r="Y69" t="str">
        <f>VLOOKUP($A69,ScionOutput!$A$3:$BL$215,64,FALSE)</f>
        <v xml:space="preserve">824827. VF plays are disallowed. No play due to strategy constraints. </v>
      </c>
    </row>
    <row r="70" spans="1:25" x14ac:dyDescent="0.2">
      <c r="A70">
        <v>824346</v>
      </c>
      <c r="B70" s="3">
        <f>VLOOKUP($A70,ScionOutput!$A$3:$BL$215,3,FALSE)</f>
        <v>46184</v>
      </c>
      <c r="C70">
        <f>VLOOKUP($A70,ScionOutput!$A$3:$BL$215,22,FALSE)</f>
        <v>8</v>
      </c>
      <c r="D70" t="str">
        <f>VLOOKUP($A70,ScionOutput!$A$3:$BL$215,23,FALSE)</f>
        <v>COL</v>
      </c>
      <c r="E70">
        <f>VLOOKUP($A70,ScionOutput!$A$3:$BL$215,6,FALSE)</f>
        <v>5</v>
      </c>
      <c r="F70" t="str">
        <f>VLOOKUP($A70,ScionOutput!$A$3:$BL$215,7,FALSE)</f>
        <v>CHC</v>
      </c>
      <c r="G70">
        <f>VLOOKUP($A70,ScionOutput!$A$3:$BL$215,26,FALSE)</f>
        <v>132</v>
      </c>
      <c r="H70">
        <f>VLOOKUP($A70,ScionOutput!$A$3:$BL$215,10,FALSE)</f>
        <v>-146</v>
      </c>
      <c r="I70" t="str">
        <f>VLOOKUP($A70,ScionOutput!$A$3:$BL$215,58,FALSE)</f>
        <v>No Play</v>
      </c>
      <c r="J70">
        <f>VLOOKUP($A70,ScionOutput!$A$3:$BL$215,59,FALSE)</f>
        <v>0</v>
      </c>
      <c r="K70">
        <f>VLOOKUP($A70,ScionOutput!$A$3:$BL$215,62,FALSE)</f>
        <v>0</v>
      </c>
      <c r="L70">
        <f>VLOOKUP($A70,ScionOutput!$A$3:$BL$215,63,FALSE)</f>
        <v>0</v>
      </c>
      <c r="M70" t="b">
        <f t="shared" si="9"/>
        <v>0</v>
      </c>
      <c r="N70">
        <f>VLOOKUP($A70,Outcomes!$B$3:$I$209,8,FALSE)</f>
        <v>12</v>
      </c>
      <c r="O70">
        <f t="shared" si="10"/>
        <v>-1</v>
      </c>
      <c r="P70">
        <f>VLOOKUP($A70,Outcomes!$B$3:$I$209,5,FALSE)</f>
        <v>3</v>
      </c>
      <c r="Q70">
        <f>VLOOKUP($A70,Outcomes!$B$3:$I$209,6,FALSE)</f>
        <v>9</v>
      </c>
      <c r="R70">
        <f>VLOOKUP($A70,Outcomes!$B$3:$I$209,7,FALSE)</f>
        <v>6</v>
      </c>
      <c r="S70" t="str">
        <f t="shared" si="11"/>
        <v>VisFave</v>
      </c>
      <c r="T70" t="str">
        <f t="shared" si="12"/>
        <v/>
      </c>
      <c r="U70" t="str">
        <f t="shared" si="8"/>
        <v/>
      </c>
      <c r="V70" t="str">
        <f t="shared" si="13"/>
        <v/>
      </c>
      <c r="W70" t="str">
        <f t="shared" si="14"/>
        <v/>
      </c>
      <c r="X70" s="2" t="str">
        <f t="shared" si="15"/>
        <v/>
      </c>
      <c r="Y70" t="str">
        <f>VLOOKUP($A70,ScionOutput!$A$3:$BL$215,64,FALSE)</f>
        <v xml:space="preserve">824346. LineStatEns price is outside allowable range! VF plays are disallowed. No play due to strategy constraints. </v>
      </c>
    </row>
    <row r="71" spans="1:25" x14ac:dyDescent="0.2">
      <c r="A71">
        <v>824265</v>
      </c>
      <c r="B71" s="3">
        <f>VLOOKUP($A71,ScionOutput!$A$3:$BL$215,3,FALSE)</f>
        <v>46184</v>
      </c>
      <c r="C71">
        <f>VLOOKUP($A71,ScionOutput!$A$3:$BL$215,22,FALSE)</f>
        <v>10</v>
      </c>
      <c r="D71" t="str">
        <f>VLOOKUP($A71,ScionOutput!$A$3:$BL$215,23,FALSE)</f>
        <v>DET</v>
      </c>
      <c r="E71">
        <f>VLOOKUP($A71,ScionOutput!$A$3:$BL$215,6,FALSE)</f>
        <v>15</v>
      </c>
      <c r="F71" t="str">
        <f>VLOOKUP($A71,ScionOutput!$A$3:$BL$215,7,FALSE)</f>
        <v>MIN</v>
      </c>
      <c r="G71">
        <f>VLOOKUP($A71,ScionOutput!$A$3:$BL$215,26,FALSE)</f>
        <v>-120</v>
      </c>
      <c r="H71">
        <f>VLOOKUP($A71,ScionOutput!$A$3:$BL$215,10,FALSE)</f>
        <v>109</v>
      </c>
      <c r="I71" t="str">
        <f>VLOOKUP($A71,ScionOutput!$A$3:$BL$215,58,FALSE)</f>
        <v>No Play</v>
      </c>
      <c r="J71">
        <f>VLOOKUP($A71,ScionOutput!$A$3:$BL$215,59,FALSE)</f>
        <v>0</v>
      </c>
      <c r="K71">
        <f>VLOOKUP($A71,ScionOutput!$A$3:$BL$215,62,FALSE)</f>
        <v>0</v>
      </c>
      <c r="L71">
        <f>VLOOKUP($A71,ScionOutput!$A$3:$BL$215,63,FALSE)</f>
        <v>0</v>
      </c>
      <c r="M71" t="b">
        <f t="shared" si="9"/>
        <v>0</v>
      </c>
      <c r="N71">
        <f>VLOOKUP($A71,Outcomes!$B$3:$I$209,8,FALSE)</f>
        <v>11</v>
      </c>
      <c r="O71">
        <f t="shared" si="10"/>
        <v>1</v>
      </c>
      <c r="P71">
        <f>VLOOKUP($A71,Outcomes!$B$3:$I$209,5,FALSE)</f>
        <v>11</v>
      </c>
      <c r="Q71">
        <f>VLOOKUP($A71,Outcomes!$B$3:$I$209,6,FALSE)</f>
        <v>0</v>
      </c>
      <c r="R71">
        <f>VLOOKUP($A71,Outcomes!$B$3:$I$209,7,FALSE)</f>
        <v>-11</v>
      </c>
      <c r="S71" t="str">
        <f t="shared" si="11"/>
        <v>HomFave</v>
      </c>
      <c r="T71" t="str">
        <f t="shared" si="12"/>
        <v/>
      </c>
      <c r="U71" t="str">
        <f t="shared" si="8"/>
        <v/>
      </c>
      <c r="V71" t="str">
        <f t="shared" si="13"/>
        <v/>
      </c>
      <c r="W71" t="str">
        <f t="shared" si="14"/>
        <v/>
      </c>
      <c r="X71" s="2" t="str">
        <f t="shared" si="15"/>
        <v/>
      </c>
      <c r="Y71" t="str">
        <f>VLOOKUP($A71,ScionOutput!$A$3:$BL$215,64,FALSE)</f>
        <v xml:space="preserve">824265. LineStatEns probability points gap does not exceed threshold (no edge found)! StatOnlyEns probability points gap does not exceed threshold (no edge found)! No play due to strategy constraints. </v>
      </c>
    </row>
    <row r="72" spans="1:25" x14ac:dyDescent="0.2">
      <c r="A72">
        <v>823855</v>
      </c>
      <c r="B72" s="3">
        <f>VLOOKUP($A72,ScionOutput!$A$3:$BL$215,3,FALSE)</f>
        <v>46184</v>
      </c>
      <c r="C72">
        <f>VLOOKUP($A72,ScionOutput!$A$3:$BL$215,22,FALSE)</f>
        <v>11</v>
      </c>
      <c r="D72" t="str">
        <f>VLOOKUP($A72,ScionOutput!$A$3:$BL$215,23,FALSE)</f>
        <v>FLO</v>
      </c>
      <c r="E72">
        <f>VLOOKUP($A72,ScionOutput!$A$3:$BL$215,6,FALSE)</f>
        <v>1</v>
      </c>
      <c r="F72" t="str">
        <f>VLOOKUP($A72,ScionOutput!$A$3:$BL$215,7,FALSE)</f>
        <v>ARZ</v>
      </c>
      <c r="G72">
        <f>VLOOKUP($A72,ScionOutput!$A$3:$BL$215,26,FALSE)</f>
        <v>-108</v>
      </c>
      <c r="H72">
        <f>VLOOKUP($A72,ScionOutput!$A$3:$BL$215,10,FALSE)</f>
        <v>-102</v>
      </c>
      <c r="I72" t="str">
        <f>VLOOKUP($A72,ScionOutput!$A$3:$BL$215,58,FALSE)</f>
        <v>HomFave</v>
      </c>
      <c r="J72">
        <f>VLOOKUP($A72,ScionOutput!$A$3:$BL$215,59,FALSE)</f>
        <v>2.3029999999999998E-2</v>
      </c>
      <c r="K72">
        <f>VLOOKUP($A72,ScionOutput!$A$3:$BL$215,62,FALSE)</f>
        <v>1</v>
      </c>
      <c r="L72">
        <f>VLOOKUP($A72,ScionOutput!$A$3:$BL$215,63,FALSE)</f>
        <v>0.93</v>
      </c>
      <c r="M72" t="b">
        <f t="shared" si="9"/>
        <v>1</v>
      </c>
      <c r="N72">
        <f>VLOOKUP($A72,Outcomes!$B$3:$I$209,8,FALSE)</f>
        <v>2</v>
      </c>
      <c r="O72">
        <f t="shared" si="10"/>
        <v>1</v>
      </c>
      <c r="P72">
        <f>VLOOKUP($A72,Outcomes!$B$3:$I$209,5,FALSE)</f>
        <v>2</v>
      </c>
      <c r="Q72">
        <f>VLOOKUP($A72,Outcomes!$B$3:$I$209,6,FALSE)</f>
        <v>0</v>
      </c>
      <c r="R72">
        <f>VLOOKUP($A72,Outcomes!$B$3:$I$209,7,FALSE)</f>
        <v>-2</v>
      </c>
      <c r="S72" t="str">
        <f t="shared" si="11"/>
        <v>HomFave</v>
      </c>
      <c r="T72" t="str">
        <f t="shared" si="12"/>
        <v/>
      </c>
      <c r="U72" t="str">
        <f t="shared" si="8"/>
        <v/>
      </c>
      <c r="V72" t="str">
        <f t="shared" si="13"/>
        <v/>
      </c>
      <c r="W72" t="str">
        <f t="shared" si="14"/>
        <v/>
      </c>
      <c r="X72" s="2" t="str">
        <f t="shared" si="15"/>
        <v/>
      </c>
      <c r="Y72" t="str">
        <f>VLOOKUP($A72,ScionOutput!$A$3:$BL$215,64,FALSE)</f>
        <v xml:space="preserve">823855. Play determined by LineStatEns and StatOnlyEns agreement. </v>
      </c>
    </row>
    <row r="73" spans="1:25" x14ac:dyDescent="0.2">
      <c r="A73">
        <v>824101</v>
      </c>
      <c r="B73" s="3">
        <f>VLOOKUP($A73,ScionOutput!$A$3:$BL$215,3,FALSE)</f>
        <v>46184</v>
      </c>
      <c r="C73">
        <f>VLOOKUP($A73,ScionOutput!$A$3:$BL$215,22,FALSE)</f>
        <v>13</v>
      </c>
      <c r="D73" t="str">
        <f>VLOOKUP($A73,ScionOutput!$A$3:$BL$215,23,FALSE)</f>
        <v>KC</v>
      </c>
      <c r="E73">
        <f>VLOOKUP($A73,ScionOutput!$A$3:$BL$215,6,FALSE)</f>
        <v>28</v>
      </c>
      <c r="F73" t="str">
        <f>VLOOKUP($A73,ScionOutput!$A$3:$BL$215,7,FALSE)</f>
        <v>TEX</v>
      </c>
      <c r="G73">
        <f>VLOOKUP($A73,ScionOutput!$A$3:$BL$215,26,FALSE)</f>
        <v>-115</v>
      </c>
      <c r="H73">
        <f>VLOOKUP($A73,ScionOutput!$A$3:$BL$215,10,FALSE)</f>
        <v>104</v>
      </c>
      <c r="I73" t="str">
        <f>VLOOKUP($A73,ScionOutput!$A$3:$BL$215,58,FALSE)</f>
        <v>HomFave</v>
      </c>
      <c r="J73">
        <f>VLOOKUP($A73,ScionOutput!$A$3:$BL$215,59,FALSE)</f>
        <v>8.2000000000000007E-3</v>
      </c>
      <c r="K73">
        <f>VLOOKUP($A73,ScionOutput!$A$3:$BL$215,62,FALSE)</f>
        <v>3</v>
      </c>
      <c r="L73">
        <f>VLOOKUP($A73,ScionOutput!$A$3:$BL$215,63,FALSE)</f>
        <v>0.87</v>
      </c>
      <c r="M73" t="b">
        <f t="shared" si="9"/>
        <v>0</v>
      </c>
      <c r="N73">
        <f>VLOOKUP($A73,Outcomes!$B$3:$I$209,8,FALSE)</f>
        <v>6</v>
      </c>
      <c r="O73">
        <f t="shared" si="10"/>
        <v>-1</v>
      </c>
      <c r="P73">
        <f>VLOOKUP($A73,Outcomes!$B$3:$I$209,5,FALSE)</f>
        <v>2</v>
      </c>
      <c r="Q73">
        <f>VLOOKUP($A73,Outcomes!$B$3:$I$209,6,FALSE)</f>
        <v>4</v>
      </c>
      <c r="R73">
        <f>VLOOKUP($A73,Outcomes!$B$3:$I$209,7,FALSE)</f>
        <v>2</v>
      </c>
      <c r="S73" t="str">
        <f t="shared" si="11"/>
        <v>VisDog</v>
      </c>
      <c r="T73" t="str">
        <f t="shared" si="12"/>
        <v/>
      </c>
      <c r="U73" t="str">
        <f t="shared" si="8"/>
        <v/>
      </c>
      <c r="V73" t="str">
        <f t="shared" si="13"/>
        <v/>
      </c>
      <c r="W73" t="str">
        <f t="shared" si="14"/>
        <v/>
      </c>
      <c r="X73" s="2" t="str">
        <f t="shared" si="15"/>
        <v/>
      </c>
      <c r="Y73" t="str">
        <f>VLOOKUP($A73,ScionOutput!$A$3:$BL$215,64,FALSE)</f>
        <v xml:space="preserve">824101. StatOnlyEns probability points gap does not exceed threshold (no edge found)! Play determined by LineStatEns only. </v>
      </c>
    </row>
    <row r="74" spans="1:25" x14ac:dyDescent="0.2">
      <c r="A74">
        <v>823619</v>
      </c>
      <c r="B74" s="3">
        <f>VLOOKUP($A74,ScionOutput!$A$3:$BL$215,3,FALSE)</f>
        <v>46184</v>
      </c>
      <c r="C74">
        <f>VLOOKUP($A74,ScionOutput!$A$3:$BL$215,22,FALSE)</f>
        <v>18</v>
      </c>
      <c r="D74" t="str">
        <f>VLOOKUP($A74,ScionOutput!$A$3:$BL$215,23,FALSE)</f>
        <v>NYM</v>
      </c>
      <c r="E74">
        <f>VLOOKUP($A74,ScionOutput!$A$3:$BL$215,6,FALSE)</f>
        <v>26</v>
      </c>
      <c r="F74" t="str">
        <f>VLOOKUP($A74,ScionOutput!$A$3:$BL$215,7,FALSE)</f>
        <v>STL</v>
      </c>
      <c r="G74">
        <f>VLOOKUP($A74,ScionOutput!$A$3:$BL$215,26,FALSE)</f>
        <v>-135</v>
      </c>
      <c r="H74">
        <f>VLOOKUP($A74,ScionOutput!$A$3:$BL$215,10,FALSE)</f>
        <v>122</v>
      </c>
      <c r="I74" t="str">
        <f>VLOOKUP($A74,ScionOutput!$A$3:$BL$215,58,FALSE)</f>
        <v>No Play</v>
      </c>
      <c r="J74">
        <f>VLOOKUP($A74,ScionOutput!$A$3:$BL$215,59,FALSE)</f>
        <v>0</v>
      </c>
      <c r="K74">
        <f>VLOOKUP($A74,ScionOutput!$A$3:$BL$215,62,FALSE)</f>
        <v>0</v>
      </c>
      <c r="L74">
        <f>VLOOKUP($A74,ScionOutput!$A$3:$BL$215,63,FALSE)</f>
        <v>0</v>
      </c>
      <c r="M74" t="b">
        <f t="shared" si="9"/>
        <v>0</v>
      </c>
      <c r="N74">
        <f>VLOOKUP($A74,Outcomes!$B$3:$I$209,8,FALSE)</f>
        <v>9</v>
      </c>
      <c r="O74">
        <f t="shared" si="10"/>
        <v>1</v>
      </c>
      <c r="P74">
        <f>VLOOKUP($A74,Outcomes!$B$3:$I$209,5,FALSE)</f>
        <v>5</v>
      </c>
      <c r="Q74">
        <f>VLOOKUP($A74,Outcomes!$B$3:$I$209,6,FALSE)</f>
        <v>4</v>
      </c>
      <c r="R74">
        <f>VLOOKUP($A74,Outcomes!$B$3:$I$209,7,FALSE)</f>
        <v>-1</v>
      </c>
      <c r="S74" t="str">
        <f t="shared" si="11"/>
        <v>HomFave</v>
      </c>
      <c r="T74" t="str">
        <f t="shared" si="12"/>
        <v/>
      </c>
      <c r="U74" t="str">
        <f t="shared" si="8"/>
        <v/>
      </c>
      <c r="V74" t="str">
        <f t="shared" si="13"/>
        <v/>
      </c>
      <c r="W74" t="str">
        <f t="shared" si="14"/>
        <v/>
      </c>
      <c r="X74" s="2" t="str">
        <f t="shared" si="15"/>
        <v/>
      </c>
      <c r="Y74" t="str">
        <f>VLOOKUP($A74,ScionOutput!$A$3:$BL$215,64,FALSE)</f>
        <v xml:space="preserve">823619. LineStatEns probability points gap does not exceed threshold (no edge found)! StatOnlyEns probability points gap does not exceed threshold (no edge found)! No play due to strategy constraints. </v>
      </c>
    </row>
    <row r="75" spans="1:25" x14ac:dyDescent="0.2">
      <c r="A75">
        <v>823371</v>
      </c>
      <c r="B75" s="3">
        <f>VLOOKUP($A75,ScionOutput!$A$3:$BL$215,3,FALSE)</f>
        <v>46184</v>
      </c>
      <c r="C75">
        <f>VLOOKUP($A75,ScionOutput!$A$3:$BL$215,22,FALSE)</f>
        <v>22</v>
      </c>
      <c r="D75" t="str">
        <f>VLOOKUP($A75,ScionOutput!$A$3:$BL$215,23,FALSE)</f>
        <v>PIT</v>
      </c>
      <c r="E75">
        <f>VLOOKUP($A75,ScionOutput!$A$3:$BL$215,6,FALSE)</f>
        <v>14</v>
      </c>
      <c r="F75" t="str">
        <f>VLOOKUP($A75,ScionOutput!$A$3:$BL$215,7,FALSE)</f>
        <v>LA</v>
      </c>
      <c r="G75">
        <f>VLOOKUP($A75,ScionOutput!$A$3:$BL$215,26,FALSE)</f>
        <v>137</v>
      </c>
      <c r="H75">
        <f>VLOOKUP($A75,ScionOutput!$A$3:$BL$215,10,FALSE)</f>
        <v>-152</v>
      </c>
      <c r="I75" t="str">
        <f>VLOOKUP($A75,ScionOutput!$A$3:$BL$215,58,FALSE)</f>
        <v>No Play</v>
      </c>
      <c r="J75">
        <f>VLOOKUP($A75,ScionOutput!$A$3:$BL$215,59,FALSE)</f>
        <v>0</v>
      </c>
      <c r="K75">
        <f>VLOOKUP($A75,ScionOutput!$A$3:$BL$215,62,FALSE)</f>
        <v>0</v>
      </c>
      <c r="L75">
        <f>VLOOKUP($A75,ScionOutput!$A$3:$BL$215,63,FALSE)</f>
        <v>0</v>
      </c>
      <c r="M75" t="b">
        <f t="shared" si="9"/>
        <v>0</v>
      </c>
      <c r="N75">
        <f>VLOOKUP($A75,Outcomes!$B$3:$I$209,8,FALSE)</f>
        <v>14</v>
      </c>
      <c r="O75">
        <f t="shared" si="10"/>
        <v>-1</v>
      </c>
      <c r="P75">
        <f>VLOOKUP($A75,Outcomes!$B$3:$I$209,5,FALSE)</f>
        <v>6</v>
      </c>
      <c r="Q75">
        <f>VLOOKUP($A75,Outcomes!$B$3:$I$209,6,FALSE)</f>
        <v>8</v>
      </c>
      <c r="R75">
        <f>VLOOKUP($A75,Outcomes!$B$3:$I$209,7,FALSE)</f>
        <v>2</v>
      </c>
      <c r="S75" t="str">
        <f t="shared" si="11"/>
        <v>VisFave</v>
      </c>
      <c r="T75" t="str">
        <f t="shared" si="12"/>
        <v/>
      </c>
      <c r="U75" t="str">
        <f t="shared" si="8"/>
        <v/>
      </c>
      <c r="V75" t="str">
        <f t="shared" si="13"/>
        <v/>
      </c>
      <c r="W75" t="str">
        <f t="shared" si="14"/>
        <v/>
      </c>
      <c r="X75" s="2" t="str">
        <f t="shared" si="15"/>
        <v/>
      </c>
      <c r="Y75" t="str">
        <f>VLOOKUP($A75,ScionOutput!$A$3:$BL$215,64,FALSE)</f>
        <v xml:space="preserve">823371. VF plays are disallowed. No play due to strategy constraints. </v>
      </c>
    </row>
    <row r="76" spans="1:25" x14ac:dyDescent="0.2">
      <c r="A76">
        <v>824826</v>
      </c>
      <c r="B76" s="3">
        <f>VLOOKUP($A76,ScionOutput!$A$3:$BL$215,3,FALSE)</f>
        <v>46185</v>
      </c>
      <c r="C76">
        <f>VLOOKUP($A76,ScionOutput!$A$3:$BL$215,22,FALSE)</f>
        <v>2</v>
      </c>
      <c r="D76" t="str">
        <f>VLOOKUP($A76,ScionOutput!$A$3:$BL$215,23,FALSE)</f>
        <v>BAL</v>
      </c>
      <c r="E76">
        <f>VLOOKUP($A76,ScionOutput!$A$3:$BL$215,6,FALSE)</f>
        <v>23</v>
      </c>
      <c r="F76" t="str">
        <f>VLOOKUP($A76,ScionOutput!$A$3:$BL$215,7,FALSE)</f>
        <v>SD</v>
      </c>
      <c r="G76">
        <f>VLOOKUP($A76,ScionOutput!$A$3:$BL$215,26,FALSE)</f>
        <v>-122</v>
      </c>
      <c r="H76">
        <f>VLOOKUP($A76,ScionOutput!$A$3:$BL$215,10,FALSE)</f>
        <v>113</v>
      </c>
      <c r="I76" t="str">
        <f>VLOOKUP($A76,ScionOutput!$A$3:$BL$215,58,FALSE)</f>
        <v>No Play</v>
      </c>
      <c r="J76">
        <f>VLOOKUP($A76,ScionOutput!$A$3:$BL$215,59,FALSE)</f>
        <v>0</v>
      </c>
      <c r="K76">
        <f>VLOOKUP($A76,ScionOutput!$A$3:$BL$215,62,FALSE)</f>
        <v>0</v>
      </c>
      <c r="L76">
        <f>VLOOKUP($A76,ScionOutput!$A$3:$BL$215,63,FALSE)</f>
        <v>0</v>
      </c>
      <c r="M76" t="b">
        <f t="shared" si="9"/>
        <v>0</v>
      </c>
      <c r="N76">
        <f>VLOOKUP($A76,Outcomes!$B$3:$I$209,8,FALSE)</f>
        <v>10</v>
      </c>
      <c r="O76">
        <f t="shared" si="10"/>
        <v>1</v>
      </c>
      <c r="P76">
        <f>VLOOKUP($A76,Outcomes!$B$3:$I$209,5,FALSE)</f>
        <v>7</v>
      </c>
      <c r="Q76">
        <f>VLOOKUP($A76,Outcomes!$B$3:$I$209,6,FALSE)</f>
        <v>3</v>
      </c>
      <c r="R76">
        <f>VLOOKUP($A76,Outcomes!$B$3:$I$209,7,FALSE)</f>
        <v>-4</v>
      </c>
      <c r="S76" t="str">
        <f t="shared" si="11"/>
        <v>HomFave</v>
      </c>
      <c r="T76" t="str">
        <f t="shared" si="12"/>
        <v/>
      </c>
      <c r="U76" t="str">
        <f t="shared" si="8"/>
        <v/>
      </c>
      <c r="V76" t="str">
        <f t="shared" si="13"/>
        <v/>
      </c>
      <c r="W76" t="str">
        <f t="shared" si="14"/>
        <v/>
      </c>
      <c r="X76" s="2" t="str">
        <f t="shared" si="15"/>
        <v/>
      </c>
      <c r="Y76" t="str">
        <f>VLOOKUP($A76,ScionOutput!$A$3:$BL$215,64,FALSE)</f>
        <v xml:space="preserve">824826. LineStatEns probability points gap does not exceed threshold (no edge found)! StatOnlyEns probability points gap does not exceed threshold (no edge found)! No play due to strategy constraints. </v>
      </c>
    </row>
    <row r="77" spans="1:25" x14ac:dyDescent="0.2">
      <c r="A77">
        <v>824752</v>
      </c>
      <c r="B77" s="3">
        <f>VLOOKUP($A77,ScionOutput!$A$3:$BL$215,3,FALSE)</f>
        <v>46185</v>
      </c>
      <c r="C77">
        <f>VLOOKUP($A77,ScionOutput!$A$3:$BL$215,22,FALSE)</f>
        <v>3</v>
      </c>
      <c r="D77" t="str">
        <f>VLOOKUP($A77,ScionOutput!$A$3:$BL$215,23,FALSE)</f>
        <v>BOS</v>
      </c>
      <c r="E77">
        <f>VLOOKUP($A77,ScionOutput!$A$3:$BL$215,6,FALSE)</f>
        <v>28</v>
      </c>
      <c r="F77" t="str">
        <f>VLOOKUP($A77,ScionOutput!$A$3:$BL$215,7,FALSE)</f>
        <v>TEX</v>
      </c>
      <c r="G77">
        <f>VLOOKUP($A77,ScionOutput!$A$3:$BL$215,26,FALSE)</f>
        <v>-126</v>
      </c>
      <c r="H77">
        <f>VLOOKUP($A77,ScionOutput!$A$3:$BL$215,10,FALSE)</f>
        <v>117</v>
      </c>
      <c r="I77" t="str">
        <f>VLOOKUP($A77,ScionOutput!$A$3:$BL$215,58,FALSE)</f>
        <v>No Play</v>
      </c>
      <c r="J77">
        <f>VLOOKUP($A77,ScionOutput!$A$3:$BL$215,59,FALSE)</f>
        <v>0</v>
      </c>
      <c r="K77">
        <f>VLOOKUP($A77,ScionOutput!$A$3:$BL$215,62,FALSE)</f>
        <v>0</v>
      </c>
      <c r="L77">
        <f>VLOOKUP($A77,ScionOutput!$A$3:$BL$215,63,FALSE)</f>
        <v>0</v>
      </c>
      <c r="M77" t="b">
        <f t="shared" si="9"/>
        <v>0</v>
      </c>
      <c r="N77">
        <f>VLOOKUP($A77,Outcomes!$B$3:$I$209,8,FALSE)</f>
        <v>11</v>
      </c>
      <c r="O77">
        <f t="shared" si="10"/>
        <v>1</v>
      </c>
      <c r="P77">
        <f>VLOOKUP($A77,Outcomes!$B$3:$I$209,5,FALSE)</f>
        <v>10</v>
      </c>
      <c r="Q77">
        <f>VLOOKUP($A77,Outcomes!$B$3:$I$209,6,FALSE)</f>
        <v>1</v>
      </c>
      <c r="R77">
        <f>VLOOKUP($A77,Outcomes!$B$3:$I$209,7,FALSE)</f>
        <v>-9</v>
      </c>
      <c r="S77" t="str">
        <f t="shared" si="11"/>
        <v>HomFave</v>
      </c>
      <c r="T77" t="str">
        <f t="shared" si="12"/>
        <v/>
      </c>
      <c r="U77" t="str">
        <f t="shared" si="8"/>
        <v/>
      </c>
      <c r="V77" t="str">
        <f t="shared" si="13"/>
        <v/>
      </c>
      <c r="W77" t="str">
        <f t="shared" si="14"/>
        <v/>
      </c>
      <c r="X77" s="2" t="str">
        <f t="shared" si="15"/>
        <v/>
      </c>
      <c r="Y77" t="str">
        <f>VLOOKUP($A77,ScionOutput!$A$3:$BL$215,64,FALSE)</f>
        <v xml:space="preserve">824752. LineStatEns probability points gap does not exceed threshold (no edge found)! StatOnlyEns probability points gap does not exceed threshold (no edge found)! No play due to strategy constraints. </v>
      </c>
    </row>
    <row r="78" spans="1:25" x14ac:dyDescent="0.2">
      <c r="A78">
        <v>824020</v>
      </c>
      <c r="B78" s="3">
        <f>VLOOKUP($A78,ScionOutput!$A$3:$BL$215,3,FALSE)</f>
        <v>46185</v>
      </c>
      <c r="C78">
        <f>VLOOKUP($A78,ScionOutput!$A$3:$BL$215,22,FALSE)</f>
        <v>4</v>
      </c>
      <c r="D78" t="str">
        <f>VLOOKUP($A78,ScionOutput!$A$3:$BL$215,23,FALSE)</f>
        <v>LAA</v>
      </c>
      <c r="E78">
        <f>VLOOKUP($A78,ScionOutput!$A$3:$BL$215,6,FALSE)</f>
        <v>27</v>
      </c>
      <c r="F78" t="str">
        <f>VLOOKUP($A78,ScionOutput!$A$3:$BL$215,7,FALSE)</f>
        <v>TB</v>
      </c>
      <c r="G78">
        <f>VLOOKUP($A78,ScionOutput!$A$3:$BL$215,26,FALSE)</f>
        <v>148</v>
      </c>
      <c r="H78">
        <f>VLOOKUP($A78,ScionOutput!$A$3:$BL$215,10,FALSE)</f>
        <v>-162</v>
      </c>
      <c r="I78" t="str">
        <f>VLOOKUP($A78,ScionOutput!$A$3:$BL$215,58,FALSE)</f>
        <v>No Play</v>
      </c>
      <c r="J78">
        <f>VLOOKUP($A78,ScionOutput!$A$3:$BL$215,59,FALSE)</f>
        <v>0</v>
      </c>
      <c r="K78">
        <f>VLOOKUP($A78,ScionOutput!$A$3:$BL$215,62,FALSE)</f>
        <v>0</v>
      </c>
      <c r="L78">
        <f>VLOOKUP($A78,ScionOutput!$A$3:$BL$215,63,FALSE)</f>
        <v>0</v>
      </c>
      <c r="M78" t="b">
        <f t="shared" si="9"/>
        <v>0</v>
      </c>
      <c r="N78">
        <f>VLOOKUP($A78,Outcomes!$B$3:$I$209,8,FALSE)</f>
        <v>7</v>
      </c>
      <c r="O78">
        <f t="shared" si="10"/>
        <v>1</v>
      </c>
      <c r="P78">
        <f>VLOOKUP($A78,Outcomes!$B$3:$I$209,5,FALSE)</f>
        <v>4</v>
      </c>
      <c r="Q78">
        <f>VLOOKUP($A78,Outcomes!$B$3:$I$209,6,FALSE)</f>
        <v>3</v>
      </c>
      <c r="R78">
        <f>VLOOKUP($A78,Outcomes!$B$3:$I$209,7,FALSE)</f>
        <v>-1</v>
      </c>
      <c r="S78" t="str">
        <f t="shared" si="11"/>
        <v>HomDog</v>
      </c>
      <c r="T78" t="str">
        <f t="shared" si="12"/>
        <v/>
      </c>
      <c r="U78" t="str">
        <f t="shared" si="8"/>
        <v/>
      </c>
      <c r="V78" t="str">
        <f t="shared" si="13"/>
        <v/>
      </c>
      <c r="W78" t="str">
        <f t="shared" si="14"/>
        <v/>
      </c>
      <c r="X78" s="2" t="str">
        <f t="shared" si="15"/>
        <v/>
      </c>
      <c r="Y78" t="str">
        <f>VLOOKUP($A78,ScionOutput!$A$3:$BL$215,64,FALSE)</f>
        <v xml:space="preserve">824020. VF plays are disallowed. No play due to strategy constraints. </v>
      </c>
    </row>
    <row r="79" spans="1:25" x14ac:dyDescent="0.2">
      <c r="A79">
        <v>824507</v>
      </c>
      <c r="B79" s="3">
        <f>VLOOKUP($A79,ScionOutput!$A$3:$BL$215,3,FALSE)</f>
        <v>46185</v>
      </c>
      <c r="C79">
        <f>VLOOKUP($A79,ScionOutput!$A$3:$BL$215,22,FALSE)</f>
        <v>6</v>
      </c>
      <c r="D79" t="str">
        <f>VLOOKUP($A79,ScionOutput!$A$3:$BL$215,23,FALSE)</f>
        <v>CIN</v>
      </c>
      <c r="E79">
        <f>VLOOKUP($A79,ScionOutput!$A$3:$BL$215,6,FALSE)</f>
        <v>1</v>
      </c>
      <c r="F79" t="str">
        <f>VLOOKUP($A79,ScionOutput!$A$3:$BL$215,7,FALSE)</f>
        <v>ARZ</v>
      </c>
      <c r="G79">
        <f>VLOOKUP($A79,ScionOutput!$A$3:$BL$215,26,FALSE)</f>
        <v>-110</v>
      </c>
      <c r="H79">
        <f>VLOOKUP($A79,ScionOutput!$A$3:$BL$215,10,FALSE)</f>
        <v>101</v>
      </c>
      <c r="I79" t="str">
        <f>VLOOKUP($A79,ScionOutput!$A$3:$BL$215,58,FALSE)</f>
        <v>VisDog</v>
      </c>
      <c r="J79">
        <f>VLOOKUP($A79,ScionOutput!$A$3:$BL$215,59,FALSE)</f>
        <v>-3.2870000000000003E-2</v>
      </c>
      <c r="K79">
        <f>VLOOKUP($A79,ScionOutput!$A$3:$BL$215,62,FALSE)</f>
        <v>3</v>
      </c>
      <c r="L79">
        <f>VLOOKUP($A79,ScionOutput!$A$3:$BL$215,63,FALSE)</f>
        <v>0.73</v>
      </c>
      <c r="M79" t="b">
        <f t="shared" si="9"/>
        <v>0</v>
      </c>
      <c r="N79">
        <f>VLOOKUP($A79,Outcomes!$B$3:$I$209,8,FALSE)</f>
        <v>7</v>
      </c>
      <c r="O79">
        <f t="shared" si="10"/>
        <v>-1</v>
      </c>
      <c r="P79">
        <f>VLOOKUP($A79,Outcomes!$B$3:$I$209,5,FALSE)</f>
        <v>2</v>
      </c>
      <c r="Q79">
        <f>VLOOKUP($A79,Outcomes!$B$3:$I$209,6,FALSE)</f>
        <v>5</v>
      </c>
      <c r="R79">
        <f>VLOOKUP($A79,Outcomes!$B$3:$I$209,7,FALSE)</f>
        <v>3</v>
      </c>
      <c r="S79" t="str">
        <f t="shared" si="11"/>
        <v>VisDog</v>
      </c>
      <c r="T79" t="str">
        <f t="shared" si="12"/>
        <v/>
      </c>
      <c r="U79" t="str">
        <f t="shared" si="8"/>
        <v/>
      </c>
      <c r="V79" t="str">
        <f t="shared" si="13"/>
        <v/>
      </c>
      <c r="W79" t="str">
        <f t="shared" si="14"/>
        <v/>
      </c>
      <c r="X79" s="2" t="str">
        <f t="shared" si="15"/>
        <v/>
      </c>
      <c r="Y79" t="str">
        <f>VLOOKUP($A79,ScionOutput!$A$3:$BL$215,64,FALSE)</f>
        <v xml:space="preserve">824507. StatOnlyEns probability points gap does not exceed threshold (no edge found)! Play determined by LineStatEns only. </v>
      </c>
    </row>
    <row r="80" spans="1:25" x14ac:dyDescent="0.2">
      <c r="A80">
        <v>824425</v>
      </c>
      <c r="B80" s="3">
        <f>VLOOKUP($A80,ScionOutput!$A$3:$BL$215,3,FALSE)</f>
        <v>46185</v>
      </c>
      <c r="C80">
        <f>VLOOKUP($A80,ScionOutput!$A$3:$BL$215,22,FALSE)</f>
        <v>7</v>
      </c>
      <c r="D80" t="str">
        <f>VLOOKUP($A80,ScionOutput!$A$3:$BL$215,23,FALSE)</f>
        <v>CLE</v>
      </c>
      <c r="E80">
        <f>VLOOKUP($A80,ScionOutput!$A$3:$BL$215,6,FALSE)</f>
        <v>10</v>
      </c>
      <c r="F80" t="str">
        <f>VLOOKUP($A80,ScionOutput!$A$3:$BL$215,7,FALSE)</f>
        <v>DET</v>
      </c>
      <c r="G80">
        <f>VLOOKUP($A80,ScionOutput!$A$3:$BL$215,26,FALSE)</f>
        <v>-116</v>
      </c>
      <c r="H80">
        <f>VLOOKUP($A80,ScionOutput!$A$3:$BL$215,10,FALSE)</f>
        <v>107</v>
      </c>
      <c r="I80" t="str">
        <f>VLOOKUP($A80,ScionOutput!$A$3:$BL$215,58,FALSE)</f>
        <v>VisDog</v>
      </c>
      <c r="J80">
        <f>VLOOKUP($A80,ScionOutput!$A$3:$BL$215,59,FALSE)</f>
        <v>-3.644E-2</v>
      </c>
      <c r="K80">
        <f>VLOOKUP($A80,ScionOutput!$A$3:$BL$215,62,FALSE)</f>
        <v>3</v>
      </c>
      <c r="L80">
        <f>VLOOKUP($A80,ScionOutput!$A$3:$BL$215,63,FALSE)</f>
        <v>0.73</v>
      </c>
      <c r="M80" t="b">
        <f t="shared" si="9"/>
        <v>0</v>
      </c>
      <c r="N80">
        <f>VLOOKUP($A80,Outcomes!$B$3:$I$209,8,FALSE)</f>
        <v>5</v>
      </c>
      <c r="O80">
        <f t="shared" si="10"/>
        <v>1</v>
      </c>
      <c r="P80">
        <f>VLOOKUP($A80,Outcomes!$B$3:$I$209,5,FALSE)</f>
        <v>3</v>
      </c>
      <c r="Q80">
        <f>VLOOKUP($A80,Outcomes!$B$3:$I$209,6,FALSE)</f>
        <v>2</v>
      </c>
      <c r="R80">
        <f>VLOOKUP($A80,Outcomes!$B$3:$I$209,7,FALSE)</f>
        <v>-1</v>
      </c>
      <c r="S80" t="str">
        <f t="shared" si="11"/>
        <v>HomFave</v>
      </c>
      <c r="T80" t="str">
        <f t="shared" si="12"/>
        <v/>
      </c>
      <c r="U80" t="str">
        <f t="shared" si="8"/>
        <v/>
      </c>
      <c r="V80" t="str">
        <f t="shared" si="13"/>
        <v/>
      </c>
      <c r="W80" t="str">
        <f t="shared" si="14"/>
        <v/>
      </c>
      <c r="X80" s="2" t="str">
        <f t="shared" si="15"/>
        <v/>
      </c>
      <c r="Y80" t="str">
        <f>VLOOKUP($A80,ScionOutput!$A$3:$BL$215,64,FALSE)</f>
        <v xml:space="preserve">824425. StatOnlyEns probability points gap does not exceed threshold (no edge found)! Play determined by LineStatEns only. </v>
      </c>
    </row>
    <row r="81" spans="1:25" x14ac:dyDescent="0.2">
      <c r="A81">
        <v>824588</v>
      </c>
      <c r="B81" s="3">
        <f>VLOOKUP($A81,ScionOutput!$A$3:$BL$215,3,FALSE)</f>
        <v>46185</v>
      </c>
      <c r="C81">
        <f>VLOOKUP($A81,ScionOutput!$A$3:$BL$215,22,FALSE)</f>
        <v>9</v>
      </c>
      <c r="D81" t="str">
        <f>VLOOKUP($A81,ScionOutput!$A$3:$BL$215,23,FALSE)</f>
        <v>CWS</v>
      </c>
      <c r="E81">
        <f>VLOOKUP($A81,ScionOutput!$A$3:$BL$215,6,FALSE)</f>
        <v>14</v>
      </c>
      <c r="F81" t="str">
        <f>VLOOKUP($A81,ScionOutput!$A$3:$BL$215,7,FALSE)</f>
        <v>LA</v>
      </c>
      <c r="G81">
        <f>VLOOKUP($A81,ScionOutput!$A$3:$BL$215,26,FALSE)</f>
        <v>134</v>
      </c>
      <c r="H81">
        <f>VLOOKUP($A81,ScionOutput!$A$3:$BL$215,10,FALSE)</f>
        <v>-146</v>
      </c>
      <c r="I81" t="str">
        <f>VLOOKUP($A81,ScionOutput!$A$3:$BL$215,58,FALSE)</f>
        <v>No Play</v>
      </c>
      <c r="J81">
        <f>VLOOKUP($A81,ScionOutput!$A$3:$BL$215,59,FALSE)</f>
        <v>0</v>
      </c>
      <c r="K81">
        <f>VLOOKUP($A81,ScionOutput!$A$3:$BL$215,62,FALSE)</f>
        <v>0</v>
      </c>
      <c r="L81">
        <f>VLOOKUP($A81,ScionOutput!$A$3:$BL$215,63,FALSE)</f>
        <v>0</v>
      </c>
      <c r="M81" t="b">
        <f t="shared" si="9"/>
        <v>0</v>
      </c>
      <c r="N81">
        <f>VLOOKUP($A81,Outcomes!$B$3:$I$209,8,FALSE)</f>
        <v>10</v>
      </c>
      <c r="O81">
        <f t="shared" si="10"/>
        <v>1</v>
      </c>
      <c r="P81">
        <f>VLOOKUP($A81,Outcomes!$B$3:$I$209,5,FALSE)</f>
        <v>8</v>
      </c>
      <c r="Q81">
        <f>VLOOKUP($A81,Outcomes!$B$3:$I$209,6,FALSE)</f>
        <v>2</v>
      </c>
      <c r="R81">
        <f>VLOOKUP($A81,Outcomes!$B$3:$I$209,7,FALSE)</f>
        <v>-6</v>
      </c>
      <c r="S81" t="str">
        <f t="shared" si="11"/>
        <v>HomDog</v>
      </c>
      <c r="T81" t="str">
        <f t="shared" si="12"/>
        <v/>
      </c>
      <c r="U81" t="str">
        <f t="shared" si="8"/>
        <v/>
      </c>
      <c r="V81" t="str">
        <f t="shared" si="13"/>
        <v/>
      </c>
      <c r="W81" t="str">
        <f t="shared" si="14"/>
        <v/>
      </c>
      <c r="X81" s="2" t="str">
        <f t="shared" si="15"/>
        <v/>
      </c>
      <c r="Y81" t="str">
        <f>VLOOKUP($A81,ScionOutput!$A$3:$BL$215,64,FALSE)</f>
        <v xml:space="preserve">824588. LineStatEns price is outside allowable range! VF plays are disallowed. No play due to strategy constraints. </v>
      </c>
    </row>
    <row r="82" spans="1:25" x14ac:dyDescent="0.2">
      <c r="A82">
        <v>824102</v>
      </c>
      <c r="B82" s="3">
        <f>VLOOKUP($A82,ScionOutput!$A$3:$BL$215,3,FALSE)</f>
        <v>46185</v>
      </c>
      <c r="C82">
        <f>VLOOKUP($A82,ScionOutput!$A$3:$BL$215,22,FALSE)</f>
        <v>13</v>
      </c>
      <c r="D82" t="str">
        <f>VLOOKUP($A82,ScionOutput!$A$3:$BL$215,23,FALSE)</f>
        <v>KC</v>
      </c>
      <c r="E82">
        <f>VLOOKUP($A82,ScionOutput!$A$3:$BL$215,6,FALSE)</f>
        <v>12</v>
      </c>
      <c r="F82" t="str">
        <f>VLOOKUP($A82,ScionOutput!$A$3:$BL$215,7,FALSE)</f>
        <v>HOU</v>
      </c>
      <c r="G82">
        <f>VLOOKUP($A82,ScionOutput!$A$3:$BL$215,26,FALSE)</f>
        <v>100</v>
      </c>
      <c r="H82">
        <f>VLOOKUP($A82,ScionOutput!$A$3:$BL$215,10,FALSE)</f>
        <v>-109</v>
      </c>
      <c r="I82" t="str">
        <f>VLOOKUP($A82,ScionOutput!$A$3:$BL$215,58,FALSE)</f>
        <v>No Play</v>
      </c>
      <c r="J82">
        <f>VLOOKUP($A82,ScionOutput!$A$3:$BL$215,59,FALSE)</f>
        <v>0</v>
      </c>
      <c r="K82">
        <f>VLOOKUP($A82,ScionOutput!$A$3:$BL$215,62,FALSE)</f>
        <v>0</v>
      </c>
      <c r="L82">
        <f>VLOOKUP($A82,ScionOutput!$A$3:$BL$215,63,FALSE)</f>
        <v>0</v>
      </c>
      <c r="M82" t="b">
        <f t="shared" si="9"/>
        <v>0</v>
      </c>
      <c r="N82">
        <f>VLOOKUP($A82,Outcomes!$B$3:$I$209,8,FALSE)</f>
        <v>18</v>
      </c>
      <c r="O82">
        <f t="shared" si="10"/>
        <v>-1</v>
      </c>
      <c r="P82">
        <f>VLOOKUP($A82,Outcomes!$B$3:$I$209,5,FALSE)</f>
        <v>8</v>
      </c>
      <c r="Q82">
        <f>VLOOKUP($A82,Outcomes!$B$3:$I$209,6,FALSE)</f>
        <v>10</v>
      </c>
      <c r="R82">
        <f>VLOOKUP($A82,Outcomes!$B$3:$I$209,7,FALSE)</f>
        <v>2</v>
      </c>
      <c r="S82" t="str">
        <f t="shared" si="11"/>
        <v>VisFave</v>
      </c>
      <c r="T82" t="str">
        <f t="shared" si="12"/>
        <v/>
      </c>
      <c r="U82" t="str">
        <f t="shared" si="8"/>
        <v/>
      </c>
      <c r="V82" t="str">
        <f t="shared" si="13"/>
        <v/>
      </c>
      <c r="W82" t="str">
        <f t="shared" si="14"/>
        <v/>
      </c>
      <c r="X82" s="2" t="str">
        <f t="shared" si="15"/>
        <v/>
      </c>
      <c r="Y82" t="str">
        <f>VLOOKUP($A82,ScionOutput!$A$3:$BL$215,64,FALSE)</f>
        <v xml:space="preserve">824102. VF plays are disallowed. No play due to strategy constraints. </v>
      </c>
    </row>
    <row r="83" spans="1:25" x14ac:dyDescent="0.2">
      <c r="A83">
        <v>823695</v>
      </c>
      <c r="B83" s="3">
        <f>VLOOKUP($A83,ScionOutput!$A$3:$BL$215,3,FALSE)</f>
        <v>46185</v>
      </c>
      <c r="C83">
        <f>VLOOKUP($A83,ScionOutput!$A$3:$BL$215,22,FALSE)</f>
        <v>15</v>
      </c>
      <c r="D83" t="str">
        <f>VLOOKUP($A83,ScionOutput!$A$3:$BL$215,23,FALSE)</f>
        <v>MIN</v>
      </c>
      <c r="E83">
        <f>VLOOKUP($A83,ScionOutput!$A$3:$BL$215,6,FALSE)</f>
        <v>26</v>
      </c>
      <c r="F83" t="str">
        <f>VLOOKUP($A83,ScionOutput!$A$3:$BL$215,7,FALSE)</f>
        <v>STL</v>
      </c>
      <c r="G83">
        <f>VLOOKUP($A83,ScionOutput!$A$3:$BL$215,26,FALSE)</f>
        <v>-130</v>
      </c>
      <c r="H83">
        <f>VLOOKUP($A83,ScionOutput!$A$3:$BL$215,10,FALSE)</f>
        <v>120</v>
      </c>
      <c r="I83" t="str">
        <f>VLOOKUP($A83,ScionOutput!$A$3:$BL$215,58,FALSE)</f>
        <v>No Play</v>
      </c>
      <c r="J83">
        <f>VLOOKUP($A83,ScionOutput!$A$3:$BL$215,59,FALSE)</f>
        <v>0</v>
      </c>
      <c r="K83">
        <f>VLOOKUP($A83,ScionOutput!$A$3:$BL$215,62,FALSE)</f>
        <v>0</v>
      </c>
      <c r="L83">
        <f>VLOOKUP($A83,ScionOutput!$A$3:$BL$215,63,FALSE)</f>
        <v>0</v>
      </c>
      <c r="M83" t="b">
        <f t="shared" si="9"/>
        <v>0</v>
      </c>
      <c r="N83">
        <f>VLOOKUP($A83,Outcomes!$B$3:$I$209,8,FALSE)</f>
        <v>17</v>
      </c>
      <c r="O83">
        <f t="shared" si="10"/>
        <v>1</v>
      </c>
      <c r="P83">
        <f>VLOOKUP($A83,Outcomes!$B$3:$I$209,5,FALSE)</f>
        <v>9</v>
      </c>
      <c r="Q83">
        <f>VLOOKUP($A83,Outcomes!$B$3:$I$209,6,FALSE)</f>
        <v>8</v>
      </c>
      <c r="R83">
        <f>VLOOKUP($A83,Outcomes!$B$3:$I$209,7,FALSE)</f>
        <v>-1</v>
      </c>
      <c r="S83" t="str">
        <f t="shared" si="11"/>
        <v>HomFave</v>
      </c>
      <c r="T83" t="str">
        <f t="shared" si="12"/>
        <v/>
      </c>
      <c r="U83" t="str">
        <f t="shared" si="8"/>
        <v/>
      </c>
      <c r="V83" t="str">
        <f t="shared" si="13"/>
        <v/>
      </c>
      <c r="W83" t="str">
        <f t="shared" si="14"/>
        <v/>
      </c>
      <c r="X83" s="2" t="str">
        <f t="shared" si="15"/>
        <v/>
      </c>
      <c r="Y83" t="str">
        <f>VLOOKUP($A83,ScionOutput!$A$3:$BL$215,64,FALSE)</f>
        <v xml:space="preserve">823695. LineStatEns probability points gap does not exceed threshold (no edge found)! StatOnlyEns probability points gap does not exceed threshold (no edge found)! No play due to strategy constraints. </v>
      </c>
    </row>
    <row r="84" spans="1:25" x14ac:dyDescent="0.2">
      <c r="A84">
        <v>822726</v>
      </c>
      <c r="B84" s="3">
        <f>VLOOKUP($A84,ScionOutput!$A$3:$BL$215,3,FALSE)</f>
        <v>46185</v>
      </c>
      <c r="C84">
        <f>VLOOKUP($A84,ScionOutput!$A$3:$BL$215,22,FALSE)</f>
        <v>16</v>
      </c>
      <c r="D84" t="str">
        <f>VLOOKUP($A84,ScionOutput!$A$3:$BL$215,23,FALSE)</f>
        <v>WAS</v>
      </c>
      <c r="E84">
        <f>VLOOKUP($A84,ScionOutput!$A$3:$BL$215,6,FALSE)</f>
        <v>24</v>
      </c>
      <c r="F84" t="str">
        <f>VLOOKUP($A84,ScionOutput!$A$3:$BL$215,7,FALSE)</f>
        <v>SEA</v>
      </c>
      <c r="G84">
        <f>VLOOKUP($A84,ScionOutput!$A$3:$BL$215,26,FALSE)</f>
        <v>126</v>
      </c>
      <c r="H84">
        <f>VLOOKUP($A84,ScionOutput!$A$3:$BL$215,10,FALSE)</f>
        <v>-137</v>
      </c>
      <c r="I84" t="str">
        <f>VLOOKUP($A84,ScionOutput!$A$3:$BL$215,58,FALSE)</f>
        <v>No Play</v>
      </c>
      <c r="J84">
        <f>VLOOKUP($A84,ScionOutput!$A$3:$BL$215,59,FALSE)</f>
        <v>0</v>
      </c>
      <c r="K84">
        <f>VLOOKUP($A84,ScionOutput!$A$3:$BL$215,62,FALSE)</f>
        <v>0</v>
      </c>
      <c r="L84">
        <f>VLOOKUP($A84,ScionOutput!$A$3:$BL$215,63,FALSE)</f>
        <v>0</v>
      </c>
      <c r="M84" t="b">
        <f t="shared" si="9"/>
        <v>0</v>
      </c>
      <c r="N84">
        <f>VLOOKUP($A84,Outcomes!$B$3:$I$209,8,FALSE)</f>
        <v>12</v>
      </c>
      <c r="O84">
        <f t="shared" si="10"/>
        <v>-1</v>
      </c>
      <c r="P84">
        <f>VLOOKUP($A84,Outcomes!$B$3:$I$209,5,FALSE)</f>
        <v>2</v>
      </c>
      <c r="Q84">
        <f>VLOOKUP($A84,Outcomes!$B$3:$I$209,6,FALSE)</f>
        <v>10</v>
      </c>
      <c r="R84">
        <f>VLOOKUP($A84,Outcomes!$B$3:$I$209,7,FALSE)</f>
        <v>8</v>
      </c>
      <c r="S84" t="str">
        <f t="shared" si="11"/>
        <v>VisFave</v>
      </c>
      <c r="T84" t="str">
        <f t="shared" si="12"/>
        <v/>
      </c>
      <c r="U84" t="str">
        <f t="shared" si="8"/>
        <v/>
      </c>
      <c r="V84" t="str">
        <f t="shared" si="13"/>
        <v/>
      </c>
      <c r="W84" t="str">
        <f t="shared" si="14"/>
        <v/>
      </c>
      <c r="X84" s="2" t="str">
        <f t="shared" si="15"/>
        <v/>
      </c>
      <c r="Y84" t="str">
        <f>VLOOKUP($A84,ScionOutput!$A$3:$BL$215,64,FALSE)</f>
        <v xml:space="preserve">822726. VF plays are disallowed. No play due to strategy constraints. </v>
      </c>
    </row>
    <row r="85" spans="1:25" x14ac:dyDescent="0.2">
      <c r="A85">
        <v>823778</v>
      </c>
      <c r="B85" s="3">
        <f>VLOOKUP($A85,ScionOutput!$A$3:$BL$215,3,FALSE)</f>
        <v>46185</v>
      </c>
      <c r="C85">
        <f>VLOOKUP($A85,ScionOutput!$A$3:$BL$215,22,FALSE)</f>
        <v>17</v>
      </c>
      <c r="D85" t="str">
        <f>VLOOKUP($A85,ScionOutput!$A$3:$BL$215,23,FALSE)</f>
        <v>MLW</v>
      </c>
      <c r="E85">
        <f>VLOOKUP($A85,ScionOutput!$A$3:$BL$215,6,FALSE)</f>
        <v>21</v>
      </c>
      <c r="F85" t="str">
        <f>VLOOKUP($A85,ScionOutput!$A$3:$BL$215,7,FALSE)</f>
        <v>PHI</v>
      </c>
      <c r="G85">
        <f>VLOOKUP($A85,ScionOutput!$A$3:$BL$215,26,FALSE)</f>
        <v>-236</v>
      </c>
      <c r="H85">
        <f>VLOOKUP($A85,ScionOutput!$A$3:$BL$215,10,FALSE)</f>
        <v>213</v>
      </c>
      <c r="I85" t="str">
        <f>VLOOKUP($A85,ScionOutput!$A$3:$BL$215,58,FALSE)</f>
        <v>No Play</v>
      </c>
      <c r="J85">
        <f>VLOOKUP($A85,ScionOutput!$A$3:$BL$215,59,FALSE)</f>
        <v>0</v>
      </c>
      <c r="K85">
        <f>VLOOKUP($A85,ScionOutput!$A$3:$BL$215,62,FALSE)</f>
        <v>0</v>
      </c>
      <c r="L85">
        <f>VLOOKUP($A85,ScionOutput!$A$3:$BL$215,63,FALSE)</f>
        <v>0</v>
      </c>
      <c r="M85" t="b">
        <f t="shared" si="9"/>
        <v>0</v>
      </c>
      <c r="N85">
        <f>VLOOKUP($A85,Outcomes!$B$3:$I$209,8,FALSE)</f>
        <v>6</v>
      </c>
      <c r="O85">
        <f t="shared" si="10"/>
        <v>1</v>
      </c>
      <c r="P85">
        <f>VLOOKUP($A85,Outcomes!$B$3:$I$209,5,FALSE)</f>
        <v>6</v>
      </c>
      <c r="Q85">
        <f>VLOOKUP($A85,Outcomes!$B$3:$I$209,6,FALSE)</f>
        <v>0</v>
      </c>
      <c r="R85">
        <f>VLOOKUP($A85,Outcomes!$B$3:$I$209,7,FALSE)</f>
        <v>-6</v>
      </c>
      <c r="S85" t="str">
        <f t="shared" si="11"/>
        <v>HomFave</v>
      </c>
      <c r="T85" t="str">
        <f t="shared" si="12"/>
        <v/>
      </c>
      <c r="U85" t="str">
        <f t="shared" si="8"/>
        <v/>
      </c>
      <c r="V85" t="str">
        <f t="shared" si="13"/>
        <v/>
      </c>
      <c r="W85" t="str">
        <f t="shared" si="14"/>
        <v/>
      </c>
      <c r="X85" s="2" t="str">
        <f t="shared" si="15"/>
        <v/>
      </c>
      <c r="Y85" t="str">
        <f>VLOOKUP($A85,ScionOutput!$A$3:$BL$215,64,FALSE)</f>
        <v xml:space="preserve">823778. V_SP is Null, team-based avg used. NoPlay as V_SP is Null. </v>
      </c>
    </row>
    <row r="86" spans="1:25" x14ac:dyDescent="0.2">
      <c r="A86">
        <v>823617</v>
      </c>
      <c r="B86" s="3">
        <f>VLOOKUP($A86,ScionOutput!$A$3:$BL$215,3,FALSE)</f>
        <v>46185</v>
      </c>
      <c r="C86">
        <f>VLOOKUP($A86,ScionOutput!$A$3:$BL$215,22,FALSE)</f>
        <v>18</v>
      </c>
      <c r="D86" t="str">
        <f>VLOOKUP($A86,ScionOutput!$A$3:$BL$215,23,FALSE)</f>
        <v>NYM</v>
      </c>
      <c r="E86">
        <f>VLOOKUP($A86,ScionOutput!$A$3:$BL$215,6,FALSE)</f>
        <v>0</v>
      </c>
      <c r="F86" t="str">
        <f>VLOOKUP($A86,ScionOutput!$A$3:$BL$215,7,FALSE)</f>
        <v>ATL</v>
      </c>
      <c r="G86">
        <f>VLOOKUP($A86,ScionOutput!$A$3:$BL$215,26,FALSE)</f>
        <v>-123</v>
      </c>
      <c r="H86">
        <f>VLOOKUP($A86,ScionOutput!$A$3:$BL$215,10,FALSE)</f>
        <v>113</v>
      </c>
      <c r="I86" t="str">
        <f>VLOOKUP($A86,ScionOutput!$A$3:$BL$215,58,FALSE)</f>
        <v>VisDog</v>
      </c>
      <c r="J86">
        <f>VLOOKUP($A86,ScionOutput!$A$3:$BL$215,59,FALSE)</f>
        <v>-6.0199999999999997E-2</v>
      </c>
      <c r="K86">
        <f>VLOOKUP($A86,ScionOutput!$A$3:$BL$215,62,FALSE)</f>
        <v>5</v>
      </c>
      <c r="L86">
        <f>VLOOKUP($A86,ScionOutput!$A$3:$BL$215,63,FALSE)</f>
        <v>0.73</v>
      </c>
      <c r="M86" t="b">
        <f t="shared" si="9"/>
        <v>1</v>
      </c>
      <c r="N86">
        <f>VLOOKUP($A86,Outcomes!$B$3:$I$209,8,FALSE)</f>
        <v>12</v>
      </c>
      <c r="O86">
        <f t="shared" si="10"/>
        <v>1</v>
      </c>
      <c r="P86">
        <f>VLOOKUP($A86,Outcomes!$B$3:$I$209,5,FALSE)</f>
        <v>7</v>
      </c>
      <c r="Q86">
        <f>VLOOKUP($A86,Outcomes!$B$3:$I$209,6,FALSE)</f>
        <v>5</v>
      </c>
      <c r="R86">
        <f>VLOOKUP($A86,Outcomes!$B$3:$I$209,7,FALSE)</f>
        <v>-2</v>
      </c>
      <c r="S86" t="str">
        <f t="shared" si="11"/>
        <v>HomFave</v>
      </c>
      <c r="T86">
        <f t="shared" si="12"/>
        <v>0</v>
      </c>
      <c r="U86">
        <f t="shared" si="8"/>
        <v>100</v>
      </c>
      <c r="V86">
        <f t="shared" si="13"/>
        <v>0</v>
      </c>
      <c r="W86">
        <f t="shared" si="14"/>
        <v>-100</v>
      </c>
      <c r="X86" s="2">
        <f t="shared" si="15"/>
        <v>-1</v>
      </c>
      <c r="Y86" t="str">
        <f>VLOOKUP($A86,ScionOutput!$A$3:$BL$215,64,FALSE)</f>
        <v xml:space="preserve">823617. Play determined by LineStatEns and StatOnlyEns agreement. </v>
      </c>
    </row>
    <row r="87" spans="1:25" x14ac:dyDescent="0.2">
      <c r="A87">
        <v>824997</v>
      </c>
      <c r="B87" s="3">
        <f>VLOOKUP($A87,ScionOutput!$A$3:$BL$215,3,FALSE)</f>
        <v>46185</v>
      </c>
      <c r="C87">
        <f>VLOOKUP($A87,ScionOutput!$A$3:$BL$215,22,FALSE)</f>
        <v>20</v>
      </c>
      <c r="D87" t="str">
        <f>VLOOKUP($A87,ScionOutput!$A$3:$BL$215,23,FALSE)</f>
        <v>OAK</v>
      </c>
      <c r="E87">
        <f>VLOOKUP($A87,ScionOutput!$A$3:$BL$215,6,FALSE)</f>
        <v>8</v>
      </c>
      <c r="F87" t="str">
        <f>VLOOKUP($A87,ScionOutput!$A$3:$BL$215,7,FALSE)</f>
        <v>COL</v>
      </c>
      <c r="G87">
        <f>VLOOKUP($A87,ScionOutput!$A$3:$BL$215,26,FALSE)</f>
        <v>-207</v>
      </c>
      <c r="H87">
        <f>VLOOKUP($A87,ScionOutput!$A$3:$BL$215,10,FALSE)</f>
        <v>188</v>
      </c>
      <c r="I87" t="str">
        <f>VLOOKUP($A87,ScionOutput!$A$3:$BL$215,58,FALSE)</f>
        <v>No Play</v>
      </c>
      <c r="J87">
        <f>VLOOKUP($A87,ScionOutput!$A$3:$BL$215,59,FALSE)</f>
        <v>0</v>
      </c>
      <c r="K87">
        <f>VLOOKUP($A87,ScionOutput!$A$3:$BL$215,62,FALSE)</f>
        <v>0</v>
      </c>
      <c r="L87">
        <f>VLOOKUP($A87,ScionOutput!$A$3:$BL$215,63,FALSE)</f>
        <v>0</v>
      </c>
      <c r="M87" t="b">
        <f t="shared" si="9"/>
        <v>0</v>
      </c>
      <c r="N87">
        <f>VLOOKUP($A87,Outcomes!$B$3:$I$209,8,FALSE)</f>
        <v>10</v>
      </c>
      <c r="O87">
        <f t="shared" si="10"/>
        <v>1</v>
      </c>
      <c r="P87">
        <f>VLOOKUP($A87,Outcomes!$B$3:$I$209,5,FALSE)</f>
        <v>6</v>
      </c>
      <c r="Q87">
        <f>VLOOKUP($A87,Outcomes!$B$3:$I$209,6,FALSE)</f>
        <v>4</v>
      </c>
      <c r="R87">
        <f>VLOOKUP($A87,Outcomes!$B$3:$I$209,7,FALSE)</f>
        <v>-2</v>
      </c>
      <c r="S87" t="str">
        <f t="shared" si="11"/>
        <v>HomFave</v>
      </c>
      <c r="T87" t="str">
        <f t="shared" si="12"/>
        <v/>
      </c>
      <c r="U87" t="str">
        <f t="shared" si="8"/>
        <v/>
      </c>
      <c r="V87" t="str">
        <f t="shared" si="13"/>
        <v/>
      </c>
      <c r="W87" t="str">
        <f t="shared" si="14"/>
        <v/>
      </c>
      <c r="X87" s="2" t="str">
        <f t="shared" si="15"/>
        <v/>
      </c>
      <c r="Y87" t="str">
        <f>VLOOKUP($A87,ScionOutput!$A$3:$BL$215,64,FALSE)</f>
        <v xml:space="preserve">824997. V_SP is Null, team-based avg used. NoPlay as V_SP is Null. </v>
      </c>
    </row>
    <row r="88" spans="1:25" x14ac:dyDescent="0.2">
      <c r="A88">
        <v>823370</v>
      </c>
      <c r="B88" s="3">
        <f>VLOOKUP($A88,ScionOutput!$A$3:$BL$215,3,FALSE)</f>
        <v>46185</v>
      </c>
      <c r="C88">
        <f>VLOOKUP($A88,ScionOutput!$A$3:$BL$215,22,FALSE)</f>
        <v>22</v>
      </c>
      <c r="D88" t="str">
        <f>VLOOKUP($A88,ScionOutput!$A$3:$BL$215,23,FALSE)</f>
        <v>PIT</v>
      </c>
      <c r="E88">
        <f>VLOOKUP($A88,ScionOutput!$A$3:$BL$215,6,FALSE)</f>
        <v>11</v>
      </c>
      <c r="F88" t="str">
        <f>VLOOKUP($A88,ScionOutput!$A$3:$BL$215,7,FALSE)</f>
        <v>FLO</v>
      </c>
      <c r="G88">
        <f>VLOOKUP($A88,ScionOutput!$A$3:$BL$215,26,FALSE)</f>
        <v>-137</v>
      </c>
      <c r="H88">
        <f>VLOOKUP($A88,ScionOutput!$A$3:$BL$215,10,FALSE)</f>
        <v>127</v>
      </c>
      <c r="I88" t="str">
        <f>VLOOKUP($A88,ScionOutput!$A$3:$BL$215,58,FALSE)</f>
        <v>No Play</v>
      </c>
      <c r="J88">
        <f>VLOOKUP($A88,ScionOutput!$A$3:$BL$215,59,FALSE)</f>
        <v>0</v>
      </c>
      <c r="K88">
        <f>VLOOKUP($A88,ScionOutput!$A$3:$BL$215,62,FALSE)</f>
        <v>0</v>
      </c>
      <c r="L88">
        <f>VLOOKUP($A88,ScionOutput!$A$3:$BL$215,63,FALSE)</f>
        <v>0</v>
      </c>
      <c r="M88" t="b">
        <f t="shared" si="9"/>
        <v>0</v>
      </c>
      <c r="N88">
        <f>VLOOKUP($A88,Outcomes!$B$3:$I$209,8,FALSE)</f>
        <v>11</v>
      </c>
      <c r="O88">
        <f t="shared" si="10"/>
        <v>-1</v>
      </c>
      <c r="P88">
        <f>VLOOKUP($A88,Outcomes!$B$3:$I$209,5,FALSE)</f>
        <v>3</v>
      </c>
      <c r="Q88">
        <f>VLOOKUP($A88,Outcomes!$B$3:$I$209,6,FALSE)</f>
        <v>8</v>
      </c>
      <c r="R88">
        <f>VLOOKUP($A88,Outcomes!$B$3:$I$209,7,FALSE)</f>
        <v>5</v>
      </c>
      <c r="S88" t="str">
        <f t="shared" si="11"/>
        <v>VisDog</v>
      </c>
      <c r="T88" t="str">
        <f t="shared" si="12"/>
        <v/>
      </c>
      <c r="U88" t="str">
        <f t="shared" si="8"/>
        <v/>
      </c>
      <c r="V88" t="str">
        <f t="shared" si="13"/>
        <v/>
      </c>
      <c r="W88" t="str">
        <f t="shared" si="14"/>
        <v/>
      </c>
      <c r="X88" s="2" t="str">
        <f t="shared" si="15"/>
        <v/>
      </c>
      <c r="Y88" t="str">
        <f>VLOOKUP($A88,ScionOutput!$A$3:$BL$215,64,FALSE)</f>
        <v xml:space="preserve">823370. LineStatEns probability points gap does not exceed threshold (no edge found)! StatOnlyEns probability points gap does not exceed threshold (no edge found)! No play due to strategy constraints. </v>
      </c>
    </row>
    <row r="89" spans="1:25" x14ac:dyDescent="0.2">
      <c r="A89">
        <v>823211</v>
      </c>
      <c r="B89" s="3">
        <f>VLOOKUP($A89,ScionOutput!$A$3:$BL$215,3,FALSE)</f>
        <v>46185</v>
      </c>
      <c r="C89">
        <f>VLOOKUP($A89,ScionOutput!$A$3:$BL$215,22,FALSE)</f>
        <v>25</v>
      </c>
      <c r="D89" t="str">
        <f>VLOOKUP($A89,ScionOutput!$A$3:$BL$215,23,FALSE)</f>
        <v>SF</v>
      </c>
      <c r="E89">
        <f>VLOOKUP($A89,ScionOutput!$A$3:$BL$215,6,FALSE)</f>
        <v>5</v>
      </c>
      <c r="F89" t="str">
        <f>VLOOKUP($A89,ScionOutput!$A$3:$BL$215,7,FALSE)</f>
        <v>CHC</v>
      </c>
      <c r="G89">
        <f>VLOOKUP($A89,ScionOutput!$A$3:$BL$215,26,FALSE)</f>
        <v>-120</v>
      </c>
      <c r="H89">
        <f>VLOOKUP($A89,ScionOutput!$A$3:$BL$215,10,FALSE)</f>
        <v>111</v>
      </c>
      <c r="I89" t="str">
        <f>VLOOKUP($A89,ScionOutput!$A$3:$BL$215,58,FALSE)</f>
        <v>No Play</v>
      </c>
      <c r="J89">
        <f>VLOOKUP($A89,ScionOutput!$A$3:$BL$215,59,FALSE)</f>
        <v>0</v>
      </c>
      <c r="K89">
        <f>VLOOKUP($A89,ScionOutput!$A$3:$BL$215,62,FALSE)</f>
        <v>0</v>
      </c>
      <c r="L89">
        <f>VLOOKUP($A89,ScionOutput!$A$3:$BL$215,63,FALSE)</f>
        <v>0</v>
      </c>
      <c r="M89" t="b">
        <f t="shared" si="9"/>
        <v>0</v>
      </c>
      <c r="N89">
        <f>VLOOKUP($A89,Outcomes!$B$3:$I$209,8,FALSE)</f>
        <v>6</v>
      </c>
      <c r="O89">
        <f t="shared" si="10"/>
        <v>-1</v>
      </c>
      <c r="P89">
        <f>VLOOKUP($A89,Outcomes!$B$3:$I$209,5,FALSE)</f>
        <v>1</v>
      </c>
      <c r="Q89">
        <f>VLOOKUP($A89,Outcomes!$B$3:$I$209,6,FALSE)</f>
        <v>5</v>
      </c>
      <c r="R89">
        <f>VLOOKUP($A89,Outcomes!$B$3:$I$209,7,FALSE)</f>
        <v>4</v>
      </c>
      <c r="S89" t="str">
        <f t="shared" si="11"/>
        <v>VisDog</v>
      </c>
      <c r="T89" t="str">
        <f t="shared" si="12"/>
        <v/>
      </c>
      <c r="U89" t="str">
        <f t="shared" si="8"/>
        <v/>
      </c>
      <c r="V89" t="str">
        <f t="shared" si="13"/>
        <v/>
      </c>
      <c r="W89" t="str">
        <f t="shared" si="14"/>
        <v/>
      </c>
      <c r="X89" s="2" t="str">
        <f t="shared" si="15"/>
        <v/>
      </c>
      <c r="Y89" t="str">
        <f>VLOOKUP($A89,ScionOutput!$A$3:$BL$215,64,FALSE)</f>
        <v xml:space="preserve">823211. LineStatEns probability points gap does not exceed threshold (no edge found)! No play due to strategy constraints. </v>
      </c>
    </row>
    <row r="90" spans="1:25" x14ac:dyDescent="0.2">
      <c r="A90">
        <v>822803</v>
      </c>
      <c r="B90" s="3">
        <f>VLOOKUP($A90,ScionOutput!$A$3:$BL$215,3,FALSE)</f>
        <v>46185</v>
      </c>
      <c r="C90">
        <f>VLOOKUP($A90,ScionOutput!$A$3:$BL$215,22,FALSE)</f>
        <v>29</v>
      </c>
      <c r="D90" t="str">
        <f>VLOOKUP($A90,ScionOutput!$A$3:$BL$215,23,FALSE)</f>
        <v>TOR</v>
      </c>
      <c r="E90">
        <f>VLOOKUP($A90,ScionOutput!$A$3:$BL$215,6,FALSE)</f>
        <v>19</v>
      </c>
      <c r="F90" t="str">
        <f>VLOOKUP($A90,ScionOutput!$A$3:$BL$215,7,FALSE)</f>
        <v>NYY</v>
      </c>
      <c r="G90">
        <f>VLOOKUP($A90,ScionOutput!$A$3:$BL$215,26,FALSE)</f>
        <v>-108</v>
      </c>
      <c r="H90">
        <f>VLOOKUP($A90,ScionOutput!$A$3:$BL$215,10,FALSE)</f>
        <v>100</v>
      </c>
      <c r="I90" t="str">
        <f>VLOOKUP($A90,ScionOutput!$A$3:$BL$215,58,FALSE)</f>
        <v>VisDog</v>
      </c>
      <c r="J90">
        <f>VLOOKUP($A90,ScionOutput!$A$3:$BL$215,59,FALSE)</f>
        <v>-2.9430000000000001E-2</v>
      </c>
      <c r="K90">
        <f>VLOOKUP($A90,ScionOutput!$A$3:$BL$215,62,FALSE)</f>
        <v>5</v>
      </c>
      <c r="L90">
        <f>VLOOKUP($A90,ScionOutput!$A$3:$BL$215,63,FALSE)</f>
        <v>0.8</v>
      </c>
      <c r="M90" t="b">
        <f t="shared" si="9"/>
        <v>1</v>
      </c>
      <c r="N90">
        <f>VLOOKUP($A90,Outcomes!$B$3:$I$209,8,FALSE)</f>
        <v>13</v>
      </c>
      <c r="O90">
        <f t="shared" si="10"/>
        <v>1</v>
      </c>
      <c r="P90">
        <f>VLOOKUP($A90,Outcomes!$B$3:$I$209,5,FALSE)</f>
        <v>8</v>
      </c>
      <c r="Q90">
        <f>VLOOKUP($A90,Outcomes!$B$3:$I$209,6,FALSE)</f>
        <v>5</v>
      </c>
      <c r="R90">
        <f>VLOOKUP($A90,Outcomes!$B$3:$I$209,7,FALSE)</f>
        <v>-3</v>
      </c>
      <c r="S90" t="str">
        <f t="shared" si="11"/>
        <v>HomFave</v>
      </c>
      <c r="T90">
        <f t="shared" si="12"/>
        <v>0</v>
      </c>
      <c r="U90">
        <f t="shared" si="8"/>
        <v>100</v>
      </c>
      <c r="V90">
        <f t="shared" si="13"/>
        <v>0</v>
      </c>
      <c r="W90">
        <f t="shared" si="14"/>
        <v>-100</v>
      </c>
      <c r="X90" s="2">
        <f t="shared" si="15"/>
        <v>-1</v>
      </c>
      <c r="Y90" t="str">
        <f>VLOOKUP($A90,ScionOutput!$A$3:$BL$215,64,FALSE)</f>
        <v xml:space="preserve">822803. Play determined by LineStatEns and StatOnlyEns agreement. </v>
      </c>
    </row>
    <row r="91" spans="1:25" x14ac:dyDescent="0.2">
      <c r="A91">
        <v>824828</v>
      </c>
      <c r="B91" s="3">
        <f>VLOOKUP($A91,ScionOutput!$A$3:$BL$215,3,FALSE)</f>
        <v>46186</v>
      </c>
      <c r="C91">
        <f>VLOOKUP($A91,ScionOutput!$A$3:$BL$215,22,FALSE)</f>
        <v>2</v>
      </c>
      <c r="D91" t="str">
        <f>VLOOKUP($A91,ScionOutput!$A$3:$BL$215,23,FALSE)</f>
        <v>BAL</v>
      </c>
      <c r="E91">
        <f>VLOOKUP($A91,ScionOutput!$A$3:$BL$215,6,FALSE)</f>
        <v>23</v>
      </c>
      <c r="F91" t="str">
        <f>VLOOKUP($A91,ScionOutput!$A$3:$BL$215,7,FALSE)</f>
        <v>SD</v>
      </c>
      <c r="G91">
        <f>VLOOKUP($A91,ScionOutput!$A$3:$BL$215,26,FALSE)</f>
        <v>-116</v>
      </c>
      <c r="H91">
        <f>VLOOKUP($A91,ScionOutput!$A$3:$BL$215,10,FALSE)</f>
        <v>107</v>
      </c>
      <c r="I91" t="str">
        <f>VLOOKUP($A91,ScionOutput!$A$3:$BL$215,58,FALSE)</f>
        <v>No Play</v>
      </c>
      <c r="J91">
        <f>VLOOKUP($A91,ScionOutput!$A$3:$BL$215,59,FALSE)</f>
        <v>0</v>
      </c>
      <c r="K91">
        <f>VLOOKUP($A91,ScionOutput!$A$3:$BL$215,62,FALSE)</f>
        <v>0</v>
      </c>
      <c r="L91">
        <f>VLOOKUP($A91,ScionOutput!$A$3:$BL$215,63,FALSE)</f>
        <v>0</v>
      </c>
      <c r="M91" t="b">
        <f t="shared" si="9"/>
        <v>0</v>
      </c>
      <c r="N91">
        <f>VLOOKUP($A91,Outcomes!$B$3:$I$209,8,FALSE)</f>
        <v>12</v>
      </c>
      <c r="O91">
        <f t="shared" si="10"/>
        <v>-1</v>
      </c>
      <c r="P91">
        <f>VLOOKUP($A91,Outcomes!$B$3:$I$209,5,FALSE)</f>
        <v>3</v>
      </c>
      <c r="Q91">
        <f>VLOOKUP($A91,Outcomes!$B$3:$I$209,6,FALSE)</f>
        <v>9</v>
      </c>
      <c r="R91">
        <f>VLOOKUP($A91,Outcomes!$B$3:$I$209,7,FALSE)</f>
        <v>6</v>
      </c>
      <c r="S91" t="str">
        <f t="shared" si="11"/>
        <v>VisDog</v>
      </c>
      <c r="T91" t="str">
        <f t="shared" si="12"/>
        <v/>
      </c>
      <c r="U91" t="str">
        <f t="shared" si="8"/>
        <v/>
      </c>
      <c r="V91" t="str">
        <f t="shared" si="13"/>
        <v/>
      </c>
      <c r="W91" t="str">
        <f t="shared" si="14"/>
        <v/>
      </c>
      <c r="X91" s="2" t="str">
        <f t="shared" si="15"/>
        <v/>
      </c>
      <c r="Y91" t="str">
        <f>VLOOKUP($A91,ScionOutput!$A$3:$BL$215,64,FALSE)</f>
        <v xml:space="preserve">824828. LineStatEns probability points gap does not exceed threshold (no edge found)! StatOnlyEns probability points gap does not exceed threshold (no edge found)! No play due to strategy constraints. </v>
      </c>
    </row>
    <row r="92" spans="1:25" x14ac:dyDescent="0.2">
      <c r="A92">
        <v>824749</v>
      </c>
      <c r="B92" s="3">
        <f>VLOOKUP($A92,ScionOutput!$A$3:$BL$215,3,FALSE)</f>
        <v>46186</v>
      </c>
      <c r="C92">
        <f>VLOOKUP($A92,ScionOutput!$A$3:$BL$215,22,FALSE)</f>
        <v>3</v>
      </c>
      <c r="D92" t="str">
        <f>VLOOKUP($A92,ScionOutput!$A$3:$BL$215,23,FALSE)</f>
        <v>BOS</v>
      </c>
      <c r="E92">
        <f>VLOOKUP($A92,ScionOutput!$A$3:$BL$215,6,FALSE)</f>
        <v>28</v>
      </c>
      <c r="F92" t="str">
        <f>VLOOKUP($A92,ScionOutput!$A$3:$BL$215,7,FALSE)</f>
        <v>TEX</v>
      </c>
      <c r="G92">
        <f>VLOOKUP($A92,ScionOutput!$A$3:$BL$215,26,FALSE)</f>
        <v>-111</v>
      </c>
      <c r="H92">
        <f>VLOOKUP($A92,ScionOutput!$A$3:$BL$215,10,FALSE)</f>
        <v>102</v>
      </c>
      <c r="I92" t="str">
        <f>VLOOKUP($A92,ScionOutput!$A$3:$BL$215,58,FALSE)</f>
        <v>No Play</v>
      </c>
      <c r="J92">
        <f>VLOOKUP($A92,ScionOutput!$A$3:$BL$215,59,FALSE)</f>
        <v>0</v>
      </c>
      <c r="K92">
        <f>VLOOKUP($A92,ScionOutput!$A$3:$BL$215,62,FALSE)</f>
        <v>0</v>
      </c>
      <c r="L92">
        <f>VLOOKUP($A92,ScionOutput!$A$3:$BL$215,63,FALSE)</f>
        <v>0</v>
      </c>
      <c r="M92" t="b">
        <f t="shared" si="9"/>
        <v>0</v>
      </c>
      <c r="N92">
        <f>VLOOKUP($A92,Outcomes!$B$3:$I$209,8,FALSE)</f>
        <v>9</v>
      </c>
      <c r="O92">
        <f t="shared" si="10"/>
        <v>1</v>
      </c>
      <c r="P92">
        <f>VLOOKUP($A92,Outcomes!$B$3:$I$209,5,FALSE)</f>
        <v>6</v>
      </c>
      <c r="Q92">
        <f>VLOOKUP($A92,Outcomes!$B$3:$I$209,6,FALSE)</f>
        <v>3</v>
      </c>
      <c r="R92">
        <f>VLOOKUP($A92,Outcomes!$B$3:$I$209,7,FALSE)</f>
        <v>-3</v>
      </c>
      <c r="S92" t="str">
        <f t="shared" si="11"/>
        <v>HomFave</v>
      </c>
      <c r="T92" t="str">
        <f t="shared" si="12"/>
        <v/>
      </c>
      <c r="U92" t="str">
        <f t="shared" si="8"/>
        <v/>
      </c>
      <c r="V92" t="str">
        <f t="shared" si="13"/>
        <v/>
      </c>
      <c r="W92" t="str">
        <f t="shared" si="14"/>
        <v/>
      </c>
      <c r="X92" s="2" t="str">
        <f t="shared" si="15"/>
        <v/>
      </c>
      <c r="Y92" t="str">
        <f>VLOOKUP($A92,ScionOutput!$A$3:$BL$215,64,FALSE)</f>
        <v xml:space="preserve">824749. LineStatEns probability points gap does not exceed threshold (no edge found)! StatOnlyEns probability points gap does not exceed threshold (no edge found)! No play due to strategy constraints. </v>
      </c>
    </row>
    <row r="93" spans="1:25" x14ac:dyDescent="0.2">
      <c r="A93">
        <v>824019</v>
      </c>
      <c r="B93" s="3">
        <f>VLOOKUP($A93,ScionOutput!$A$3:$BL$215,3,FALSE)</f>
        <v>46186</v>
      </c>
      <c r="C93">
        <f>VLOOKUP($A93,ScionOutput!$A$3:$BL$215,22,FALSE)</f>
        <v>4</v>
      </c>
      <c r="D93" t="str">
        <f>VLOOKUP($A93,ScionOutput!$A$3:$BL$215,23,FALSE)</f>
        <v>LAA</v>
      </c>
      <c r="E93">
        <f>VLOOKUP($A93,ScionOutput!$A$3:$BL$215,6,FALSE)</f>
        <v>27</v>
      </c>
      <c r="F93" t="str">
        <f>VLOOKUP($A93,ScionOutput!$A$3:$BL$215,7,FALSE)</f>
        <v>TB</v>
      </c>
      <c r="G93">
        <f>VLOOKUP($A93,ScionOutput!$A$3:$BL$215,26,FALSE)</f>
        <v>102</v>
      </c>
      <c r="H93">
        <f>VLOOKUP($A93,ScionOutput!$A$3:$BL$215,10,FALSE)</f>
        <v>-110</v>
      </c>
      <c r="I93" t="str">
        <f>VLOOKUP($A93,ScionOutput!$A$3:$BL$215,58,FALSE)</f>
        <v>No Play</v>
      </c>
      <c r="J93">
        <f>VLOOKUP($A93,ScionOutput!$A$3:$BL$215,59,FALSE)</f>
        <v>0</v>
      </c>
      <c r="K93">
        <f>VLOOKUP($A93,ScionOutput!$A$3:$BL$215,62,FALSE)</f>
        <v>0</v>
      </c>
      <c r="L93">
        <f>VLOOKUP($A93,ScionOutput!$A$3:$BL$215,63,FALSE)</f>
        <v>0</v>
      </c>
      <c r="M93" t="b">
        <f t="shared" si="9"/>
        <v>0</v>
      </c>
      <c r="N93">
        <f>VLOOKUP($A93,Outcomes!$B$3:$I$209,8,FALSE)</f>
        <v>8</v>
      </c>
      <c r="O93">
        <f t="shared" si="10"/>
        <v>1</v>
      </c>
      <c r="P93">
        <f>VLOOKUP($A93,Outcomes!$B$3:$I$209,5,FALSE)</f>
        <v>8</v>
      </c>
      <c r="Q93">
        <f>VLOOKUP($A93,Outcomes!$B$3:$I$209,6,FALSE)</f>
        <v>0</v>
      </c>
      <c r="R93">
        <f>VLOOKUP($A93,Outcomes!$B$3:$I$209,7,FALSE)</f>
        <v>-8</v>
      </c>
      <c r="S93" t="str">
        <f t="shared" si="11"/>
        <v>HomDog</v>
      </c>
      <c r="T93" t="str">
        <f t="shared" si="12"/>
        <v/>
      </c>
      <c r="U93" t="str">
        <f t="shared" si="8"/>
        <v/>
      </c>
      <c r="V93" t="str">
        <f t="shared" si="13"/>
        <v/>
      </c>
      <c r="W93" t="str">
        <f t="shared" si="14"/>
        <v/>
      </c>
      <c r="X93" s="2" t="str">
        <f t="shared" si="15"/>
        <v/>
      </c>
      <c r="Y93" t="str">
        <f>VLOOKUP($A93,ScionOutput!$A$3:$BL$215,64,FALSE)</f>
        <v xml:space="preserve">824019. VF plays are disallowed. No play due to strategy constraints. </v>
      </c>
    </row>
    <row r="94" spans="1:25" x14ac:dyDescent="0.2">
      <c r="A94">
        <v>824508</v>
      </c>
      <c r="B94" s="3">
        <f>VLOOKUP($A94,ScionOutput!$A$3:$BL$215,3,FALSE)</f>
        <v>46186</v>
      </c>
      <c r="C94">
        <f>VLOOKUP($A94,ScionOutput!$A$3:$BL$215,22,FALSE)</f>
        <v>6</v>
      </c>
      <c r="D94" t="str">
        <f>VLOOKUP($A94,ScionOutput!$A$3:$BL$215,23,FALSE)</f>
        <v>CIN</v>
      </c>
      <c r="E94">
        <f>VLOOKUP($A94,ScionOutput!$A$3:$BL$215,6,FALSE)</f>
        <v>1</v>
      </c>
      <c r="F94" t="str">
        <f>VLOOKUP($A94,ScionOutput!$A$3:$BL$215,7,FALSE)</f>
        <v>ARZ</v>
      </c>
      <c r="G94">
        <f>VLOOKUP($A94,ScionOutput!$A$3:$BL$215,26,FALSE)</f>
        <v>136</v>
      </c>
      <c r="H94">
        <f>VLOOKUP($A94,ScionOutput!$A$3:$BL$215,10,FALSE)</f>
        <v>-148</v>
      </c>
      <c r="I94" t="str">
        <f>VLOOKUP($A94,ScionOutput!$A$3:$BL$215,58,FALSE)</f>
        <v>No Play</v>
      </c>
      <c r="J94">
        <f>VLOOKUP($A94,ScionOutput!$A$3:$BL$215,59,FALSE)</f>
        <v>0</v>
      </c>
      <c r="K94">
        <f>VLOOKUP($A94,ScionOutput!$A$3:$BL$215,62,FALSE)</f>
        <v>0</v>
      </c>
      <c r="L94">
        <f>VLOOKUP($A94,ScionOutput!$A$3:$BL$215,63,FALSE)</f>
        <v>0</v>
      </c>
      <c r="M94" t="b">
        <f t="shared" si="9"/>
        <v>0</v>
      </c>
      <c r="N94">
        <f>VLOOKUP($A94,Outcomes!$B$3:$I$209,8,FALSE)</f>
        <v>3</v>
      </c>
      <c r="O94">
        <f t="shared" si="10"/>
        <v>1</v>
      </c>
      <c r="P94">
        <f>VLOOKUP($A94,Outcomes!$B$3:$I$209,5,FALSE)</f>
        <v>2</v>
      </c>
      <c r="Q94">
        <f>VLOOKUP($A94,Outcomes!$B$3:$I$209,6,FALSE)</f>
        <v>1</v>
      </c>
      <c r="R94">
        <f>VLOOKUP($A94,Outcomes!$B$3:$I$209,7,FALSE)</f>
        <v>-1</v>
      </c>
      <c r="S94" t="str">
        <f t="shared" si="11"/>
        <v>HomDog</v>
      </c>
      <c r="T94" t="str">
        <f t="shared" si="12"/>
        <v/>
      </c>
      <c r="U94" t="str">
        <f t="shared" si="8"/>
        <v/>
      </c>
      <c r="V94" t="str">
        <f t="shared" si="13"/>
        <v/>
      </c>
      <c r="W94" t="str">
        <f t="shared" si="14"/>
        <v/>
      </c>
      <c r="X94" s="2" t="str">
        <f t="shared" si="15"/>
        <v/>
      </c>
      <c r="Y94" t="str">
        <f>VLOOKUP($A94,ScionOutput!$A$3:$BL$215,64,FALSE)</f>
        <v xml:space="preserve">824508. VF plays are disallowed. No play due to strategy constraints. </v>
      </c>
    </row>
    <row r="95" spans="1:25" x14ac:dyDescent="0.2">
      <c r="A95">
        <v>824426</v>
      </c>
      <c r="B95" s="3">
        <f>VLOOKUP($A95,ScionOutput!$A$3:$BL$215,3,FALSE)</f>
        <v>46186</v>
      </c>
      <c r="C95">
        <f>VLOOKUP($A95,ScionOutput!$A$3:$BL$215,22,FALSE)</f>
        <v>7</v>
      </c>
      <c r="D95" t="str">
        <f>VLOOKUP($A95,ScionOutput!$A$3:$BL$215,23,FALSE)</f>
        <v>CLE</v>
      </c>
      <c r="E95">
        <f>VLOOKUP($A95,ScionOutput!$A$3:$BL$215,6,FALSE)</f>
        <v>10</v>
      </c>
      <c r="F95" t="str">
        <f>VLOOKUP($A95,ScionOutput!$A$3:$BL$215,7,FALSE)</f>
        <v>DET</v>
      </c>
      <c r="G95">
        <f>VLOOKUP($A95,ScionOutput!$A$3:$BL$215,26,FALSE)</f>
        <v>121</v>
      </c>
      <c r="H95">
        <f>VLOOKUP($A95,ScionOutput!$A$3:$BL$215,10,FALSE)</f>
        <v>-131</v>
      </c>
      <c r="I95" t="str">
        <f>VLOOKUP($A95,ScionOutput!$A$3:$BL$215,58,FALSE)</f>
        <v>No Play</v>
      </c>
      <c r="J95">
        <f>VLOOKUP($A95,ScionOutput!$A$3:$BL$215,59,FALSE)</f>
        <v>0</v>
      </c>
      <c r="K95">
        <f>VLOOKUP($A95,ScionOutput!$A$3:$BL$215,62,FALSE)</f>
        <v>0</v>
      </c>
      <c r="L95">
        <f>VLOOKUP($A95,ScionOutput!$A$3:$BL$215,63,FALSE)</f>
        <v>0</v>
      </c>
      <c r="M95" t="b">
        <f t="shared" si="9"/>
        <v>0</v>
      </c>
      <c r="N95">
        <f>VLOOKUP($A95,Outcomes!$B$3:$I$209,8,FALSE)</f>
        <v>4</v>
      </c>
      <c r="O95">
        <f t="shared" si="10"/>
        <v>1</v>
      </c>
      <c r="P95">
        <f>VLOOKUP($A95,Outcomes!$B$3:$I$209,5,FALSE)</f>
        <v>3</v>
      </c>
      <c r="Q95">
        <f>VLOOKUP($A95,Outcomes!$B$3:$I$209,6,FALSE)</f>
        <v>1</v>
      </c>
      <c r="R95">
        <f>VLOOKUP($A95,Outcomes!$B$3:$I$209,7,FALSE)</f>
        <v>-2</v>
      </c>
      <c r="S95" t="str">
        <f t="shared" si="11"/>
        <v>HomDog</v>
      </c>
      <c r="T95" t="str">
        <f t="shared" si="12"/>
        <v/>
      </c>
      <c r="U95" t="str">
        <f t="shared" si="8"/>
        <v/>
      </c>
      <c r="V95" t="str">
        <f t="shared" si="13"/>
        <v/>
      </c>
      <c r="W95" t="str">
        <f t="shared" si="14"/>
        <v/>
      </c>
      <c r="X95" s="2" t="str">
        <f t="shared" si="15"/>
        <v/>
      </c>
      <c r="Y95" t="str">
        <f>VLOOKUP($A95,ScionOutput!$A$3:$BL$215,64,FALSE)</f>
        <v xml:space="preserve">824426. VF plays are disallowed. No play due to strategy constraints. </v>
      </c>
    </row>
    <row r="96" spans="1:25" x14ac:dyDescent="0.2">
      <c r="A96">
        <v>824587</v>
      </c>
      <c r="B96" s="3">
        <f>VLOOKUP($A96,ScionOutput!$A$3:$BL$215,3,FALSE)</f>
        <v>46186</v>
      </c>
      <c r="C96">
        <f>VLOOKUP($A96,ScionOutput!$A$3:$BL$215,22,FALSE)</f>
        <v>9</v>
      </c>
      <c r="D96" t="str">
        <f>VLOOKUP($A96,ScionOutput!$A$3:$BL$215,23,FALSE)</f>
        <v>CWS</v>
      </c>
      <c r="E96">
        <f>VLOOKUP($A96,ScionOutput!$A$3:$BL$215,6,FALSE)</f>
        <v>14</v>
      </c>
      <c r="F96" t="str">
        <f>VLOOKUP($A96,ScionOutput!$A$3:$BL$215,7,FALSE)</f>
        <v>LA</v>
      </c>
      <c r="G96">
        <f>VLOOKUP($A96,ScionOutput!$A$3:$BL$215,26,FALSE)</f>
        <v>185</v>
      </c>
      <c r="H96">
        <f>VLOOKUP($A96,ScionOutput!$A$3:$BL$215,10,FALSE)</f>
        <v>-203</v>
      </c>
      <c r="I96" t="str">
        <f>VLOOKUP($A96,ScionOutput!$A$3:$BL$215,58,FALSE)</f>
        <v>No Play</v>
      </c>
      <c r="J96">
        <f>VLOOKUP($A96,ScionOutput!$A$3:$BL$215,59,FALSE)</f>
        <v>0</v>
      </c>
      <c r="K96">
        <f>VLOOKUP($A96,ScionOutput!$A$3:$BL$215,62,FALSE)</f>
        <v>0</v>
      </c>
      <c r="L96">
        <f>VLOOKUP($A96,ScionOutput!$A$3:$BL$215,63,FALSE)</f>
        <v>0</v>
      </c>
      <c r="M96" t="b">
        <f t="shared" si="9"/>
        <v>0</v>
      </c>
      <c r="N96">
        <f>VLOOKUP($A96,Outcomes!$B$3:$I$209,8,FALSE)</f>
        <v>8</v>
      </c>
      <c r="O96">
        <f t="shared" si="10"/>
        <v>-1</v>
      </c>
      <c r="P96">
        <f>VLOOKUP($A96,Outcomes!$B$3:$I$209,5,FALSE)</f>
        <v>1</v>
      </c>
      <c r="Q96">
        <f>VLOOKUP($A96,Outcomes!$B$3:$I$209,6,FALSE)</f>
        <v>7</v>
      </c>
      <c r="R96">
        <f>VLOOKUP($A96,Outcomes!$B$3:$I$209,7,FALSE)</f>
        <v>6</v>
      </c>
      <c r="S96" t="str">
        <f t="shared" si="11"/>
        <v>VisFave</v>
      </c>
      <c r="T96" t="str">
        <f t="shared" si="12"/>
        <v/>
      </c>
      <c r="U96" t="str">
        <f t="shared" si="8"/>
        <v/>
      </c>
      <c r="V96" t="str">
        <f t="shared" si="13"/>
        <v/>
      </c>
      <c r="W96" t="str">
        <f t="shared" si="14"/>
        <v/>
      </c>
      <c r="X96" s="2" t="str">
        <f t="shared" si="15"/>
        <v/>
      </c>
      <c r="Y96" t="str">
        <f>VLOOKUP($A96,ScionOutput!$A$3:$BL$215,64,FALSE)</f>
        <v xml:space="preserve">824587. LineStatEns is NoPlay as bookie-line outside range. StatOnlyEns is NoPlay as bookie-line outside range. No play due to strategy constraints. </v>
      </c>
    </row>
    <row r="97" spans="1:25" x14ac:dyDescent="0.2">
      <c r="A97">
        <v>824100</v>
      </c>
      <c r="B97" s="3">
        <f>VLOOKUP($A97,ScionOutput!$A$3:$BL$215,3,FALSE)</f>
        <v>46186</v>
      </c>
      <c r="C97">
        <f>VLOOKUP($A97,ScionOutput!$A$3:$BL$215,22,FALSE)</f>
        <v>13</v>
      </c>
      <c r="D97" t="str">
        <f>VLOOKUP($A97,ScionOutput!$A$3:$BL$215,23,FALSE)</f>
        <v>KC</v>
      </c>
      <c r="E97">
        <f>VLOOKUP($A97,ScionOutput!$A$3:$BL$215,6,FALSE)</f>
        <v>12</v>
      </c>
      <c r="F97" t="str">
        <f>VLOOKUP($A97,ScionOutput!$A$3:$BL$215,7,FALSE)</f>
        <v>HOU</v>
      </c>
      <c r="G97">
        <f>VLOOKUP($A97,ScionOutput!$A$3:$BL$215,26,FALSE)</f>
        <v>-121</v>
      </c>
      <c r="H97">
        <f>VLOOKUP($A97,ScionOutput!$A$3:$BL$215,10,FALSE)</f>
        <v>112</v>
      </c>
      <c r="I97" t="str">
        <f>VLOOKUP($A97,ScionOutput!$A$3:$BL$215,58,FALSE)</f>
        <v>VisDog</v>
      </c>
      <c r="J97">
        <f>VLOOKUP($A97,ScionOutput!$A$3:$BL$215,59,FALSE)</f>
        <v>-5.7189999999999998E-2</v>
      </c>
      <c r="K97">
        <f>VLOOKUP($A97,ScionOutput!$A$3:$BL$215,62,FALSE)</f>
        <v>5</v>
      </c>
      <c r="L97">
        <f>VLOOKUP($A97,ScionOutput!$A$3:$BL$215,63,FALSE)</f>
        <v>0.67</v>
      </c>
      <c r="M97" t="b">
        <f t="shared" si="9"/>
        <v>1</v>
      </c>
      <c r="N97">
        <f>VLOOKUP($A97,Outcomes!$B$3:$I$209,8,FALSE)</f>
        <v>15</v>
      </c>
      <c r="O97">
        <f t="shared" si="10"/>
        <v>-1</v>
      </c>
      <c r="P97">
        <f>VLOOKUP($A97,Outcomes!$B$3:$I$209,5,FALSE)</f>
        <v>7</v>
      </c>
      <c r="Q97">
        <f>VLOOKUP($A97,Outcomes!$B$3:$I$209,6,FALSE)</f>
        <v>8</v>
      </c>
      <c r="R97">
        <f>VLOOKUP($A97,Outcomes!$B$3:$I$209,7,FALSE)</f>
        <v>1</v>
      </c>
      <c r="S97" t="str">
        <f t="shared" si="11"/>
        <v>VisDog</v>
      </c>
      <c r="T97">
        <f t="shared" si="12"/>
        <v>1</v>
      </c>
      <c r="U97">
        <f t="shared" si="8"/>
        <v>100</v>
      </c>
      <c r="V97">
        <f t="shared" si="13"/>
        <v>212</v>
      </c>
      <c r="W97">
        <f t="shared" si="14"/>
        <v>112</v>
      </c>
      <c r="X97" s="2">
        <f t="shared" si="15"/>
        <v>1.1200000000000001</v>
      </c>
      <c r="Y97" t="str">
        <f>VLOOKUP($A97,ScionOutput!$A$3:$BL$215,64,FALSE)</f>
        <v xml:space="preserve">824100. Play determined by LineStatEns and StatOnlyEns agreement. </v>
      </c>
    </row>
    <row r="98" spans="1:25" x14ac:dyDescent="0.2">
      <c r="A98">
        <v>823694</v>
      </c>
      <c r="B98" s="3">
        <f>VLOOKUP($A98,ScionOutput!$A$3:$BL$215,3,FALSE)</f>
        <v>46186</v>
      </c>
      <c r="C98">
        <f>VLOOKUP($A98,ScionOutput!$A$3:$BL$215,22,FALSE)</f>
        <v>15</v>
      </c>
      <c r="D98" t="str">
        <f>VLOOKUP($A98,ScionOutput!$A$3:$BL$215,23,FALSE)</f>
        <v>MIN</v>
      </c>
      <c r="E98">
        <f>VLOOKUP($A98,ScionOutput!$A$3:$BL$215,6,FALSE)</f>
        <v>26</v>
      </c>
      <c r="F98" t="str">
        <f>VLOOKUP($A98,ScionOutput!$A$3:$BL$215,7,FALSE)</f>
        <v>STL</v>
      </c>
      <c r="G98">
        <f>VLOOKUP($A98,ScionOutput!$A$3:$BL$215,26,FALSE)</f>
        <v>102</v>
      </c>
      <c r="H98">
        <f>VLOOKUP($A98,ScionOutput!$A$3:$BL$215,10,FALSE)</f>
        <v>-110</v>
      </c>
      <c r="I98" t="str">
        <f>VLOOKUP($A98,ScionOutput!$A$3:$BL$215,58,FALSE)</f>
        <v>HomDog</v>
      </c>
      <c r="J98">
        <f>VLOOKUP($A98,ScionOutput!$A$3:$BL$215,59,FALSE)</f>
        <v>1.4109999999999999E-2</v>
      </c>
      <c r="K98">
        <f>VLOOKUP($A98,ScionOutput!$A$3:$BL$215,62,FALSE)</f>
        <v>5</v>
      </c>
      <c r="L98">
        <f>VLOOKUP($A98,ScionOutput!$A$3:$BL$215,63,FALSE)</f>
        <v>0.53</v>
      </c>
      <c r="M98" t="b">
        <f t="shared" si="9"/>
        <v>1</v>
      </c>
      <c r="N98">
        <f>VLOOKUP($A98,Outcomes!$B$3:$I$209,8,FALSE)</f>
        <v>15</v>
      </c>
      <c r="O98">
        <f t="shared" si="10"/>
        <v>-1</v>
      </c>
      <c r="P98">
        <f>VLOOKUP($A98,Outcomes!$B$3:$I$209,5,FALSE)</f>
        <v>6</v>
      </c>
      <c r="Q98">
        <f>VLOOKUP($A98,Outcomes!$B$3:$I$209,6,FALSE)</f>
        <v>9</v>
      </c>
      <c r="R98">
        <f>VLOOKUP($A98,Outcomes!$B$3:$I$209,7,FALSE)</f>
        <v>3</v>
      </c>
      <c r="S98" t="str">
        <f t="shared" si="11"/>
        <v>VisFave</v>
      </c>
      <c r="T98">
        <f t="shared" si="12"/>
        <v>0</v>
      </c>
      <c r="U98">
        <f t="shared" si="8"/>
        <v>100</v>
      </c>
      <c r="V98">
        <f t="shared" si="13"/>
        <v>0</v>
      </c>
      <c r="W98">
        <f t="shared" si="14"/>
        <v>-100</v>
      </c>
      <c r="X98" s="2">
        <f t="shared" si="15"/>
        <v>-1</v>
      </c>
      <c r="Y98" t="str">
        <f>VLOOKUP($A98,ScionOutput!$A$3:$BL$215,64,FALSE)</f>
        <v xml:space="preserve">823694. Play determined by LineStatEns and StatOnlyEns agreement. </v>
      </c>
    </row>
    <row r="99" spans="1:25" x14ac:dyDescent="0.2">
      <c r="A99">
        <v>822725</v>
      </c>
      <c r="B99" s="3">
        <f>VLOOKUP($A99,ScionOutput!$A$3:$BL$215,3,FALSE)</f>
        <v>46186</v>
      </c>
      <c r="C99">
        <f>VLOOKUP($A99,ScionOutput!$A$3:$BL$215,22,FALSE)</f>
        <v>16</v>
      </c>
      <c r="D99" t="str">
        <f>VLOOKUP($A99,ScionOutput!$A$3:$BL$215,23,FALSE)</f>
        <v>WAS</v>
      </c>
      <c r="E99">
        <f>VLOOKUP($A99,ScionOutput!$A$3:$BL$215,6,FALSE)</f>
        <v>24</v>
      </c>
      <c r="F99" t="str">
        <f>VLOOKUP($A99,ScionOutput!$A$3:$BL$215,7,FALSE)</f>
        <v>SEA</v>
      </c>
      <c r="G99">
        <f>VLOOKUP($A99,ScionOutput!$A$3:$BL$215,26,FALSE)</f>
        <v>-116</v>
      </c>
      <c r="H99">
        <f>VLOOKUP($A99,ScionOutput!$A$3:$BL$215,10,FALSE)</f>
        <v>108</v>
      </c>
      <c r="I99" t="str">
        <f>VLOOKUP($A99,ScionOutput!$A$3:$BL$215,58,FALSE)</f>
        <v>VisDog</v>
      </c>
      <c r="J99">
        <f>VLOOKUP($A99,ScionOutput!$A$3:$BL$215,59,FALSE)</f>
        <v>-4.7640000000000002E-2</v>
      </c>
      <c r="K99">
        <f>VLOOKUP($A99,ScionOutput!$A$3:$BL$215,62,FALSE)</f>
        <v>5</v>
      </c>
      <c r="L99">
        <f>VLOOKUP($A99,ScionOutput!$A$3:$BL$215,63,FALSE)</f>
        <v>0.73</v>
      </c>
      <c r="M99" t="b">
        <f t="shared" si="9"/>
        <v>1</v>
      </c>
      <c r="N99">
        <f>VLOOKUP($A99,Outcomes!$B$3:$I$209,8,FALSE)</f>
        <v>11</v>
      </c>
      <c r="O99">
        <f t="shared" si="10"/>
        <v>1</v>
      </c>
      <c r="P99">
        <f>VLOOKUP($A99,Outcomes!$B$3:$I$209,5,FALSE)</f>
        <v>8</v>
      </c>
      <c r="Q99">
        <f>VLOOKUP($A99,Outcomes!$B$3:$I$209,6,FALSE)</f>
        <v>3</v>
      </c>
      <c r="R99">
        <f>VLOOKUP($A99,Outcomes!$B$3:$I$209,7,FALSE)</f>
        <v>-5</v>
      </c>
      <c r="S99" t="str">
        <f t="shared" si="11"/>
        <v>HomFave</v>
      </c>
      <c r="T99">
        <f t="shared" si="12"/>
        <v>0</v>
      </c>
      <c r="U99">
        <f t="shared" si="8"/>
        <v>100</v>
      </c>
      <c r="V99">
        <f t="shared" si="13"/>
        <v>0</v>
      </c>
      <c r="W99">
        <f t="shared" si="14"/>
        <v>-100</v>
      </c>
      <c r="X99" s="2">
        <f t="shared" si="15"/>
        <v>-1</v>
      </c>
      <c r="Y99" t="str">
        <f>VLOOKUP($A99,ScionOutput!$A$3:$BL$215,64,FALSE)</f>
        <v xml:space="preserve">822725. Play determined by LineStatEns and StatOnlyEns agreement. </v>
      </c>
    </row>
    <row r="100" spans="1:25" x14ac:dyDescent="0.2">
      <c r="A100">
        <v>823776</v>
      </c>
      <c r="B100" s="3">
        <f>VLOOKUP($A100,ScionOutput!$A$3:$BL$215,3,FALSE)</f>
        <v>46186</v>
      </c>
      <c r="C100">
        <f>VLOOKUP($A100,ScionOutput!$A$3:$BL$215,22,FALSE)</f>
        <v>17</v>
      </c>
      <c r="D100" t="str">
        <f>VLOOKUP($A100,ScionOutput!$A$3:$BL$215,23,FALSE)</f>
        <v>MLW</v>
      </c>
      <c r="E100">
        <f>VLOOKUP($A100,ScionOutput!$A$3:$BL$215,6,FALSE)</f>
        <v>21</v>
      </c>
      <c r="F100" t="str">
        <f>VLOOKUP($A100,ScionOutput!$A$3:$BL$215,7,FALSE)</f>
        <v>PHI</v>
      </c>
      <c r="G100">
        <f>VLOOKUP($A100,ScionOutput!$A$3:$BL$215,26,FALSE)</f>
        <v>-163</v>
      </c>
      <c r="H100">
        <f>VLOOKUP($A100,ScionOutput!$A$3:$BL$215,10,FALSE)</f>
        <v>150</v>
      </c>
      <c r="I100" t="str">
        <f>VLOOKUP($A100,ScionOutput!$A$3:$BL$215,58,FALSE)</f>
        <v>No Play</v>
      </c>
      <c r="J100">
        <f>VLOOKUP($A100,ScionOutput!$A$3:$BL$215,59,FALSE)</f>
        <v>0</v>
      </c>
      <c r="K100">
        <f>VLOOKUP($A100,ScionOutput!$A$3:$BL$215,62,FALSE)</f>
        <v>0</v>
      </c>
      <c r="L100">
        <f>VLOOKUP($A100,ScionOutput!$A$3:$BL$215,63,FALSE)</f>
        <v>0</v>
      </c>
      <c r="M100" t="b">
        <f t="shared" si="9"/>
        <v>0</v>
      </c>
      <c r="N100">
        <f>VLOOKUP($A100,Outcomes!$B$3:$I$209,8,FALSE)</f>
        <v>17</v>
      </c>
      <c r="O100">
        <f t="shared" si="10"/>
        <v>-1</v>
      </c>
      <c r="P100">
        <f>VLOOKUP($A100,Outcomes!$B$3:$I$209,5,FALSE)</f>
        <v>8</v>
      </c>
      <c r="Q100">
        <f>VLOOKUP($A100,Outcomes!$B$3:$I$209,6,FALSE)</f>
        <v>9</v>
      </c>
      <c r="R100">
        <f>VLOOKUP($A100,Outcomes!$B$3:$I$209,7,FALSE)</f>
        <v>1</v>
      </c>
      <c r="S100" t="str">
        <f t="shared" si="11"/>
        <v>VisDog</v>
      </c>
      <c r="T100" t="str">
        <f t="shared" si="12"/>
        <v/>
      </c>
      <c r="U100" t="str">
        <f t="shared" si="8"/>
        <v/>
      </c>
      <c r="V100" t="str">
        <f t="shared" si="13"/>
        <v/>
      </c>
      <c r="W100" t="str">
        <f t="shared" si="14"/>
        <v/>
      </c>
      <c r="X100" s="2" t="str">
        <f t="shared" si="15"/>
        <v/>
      </c>
      <c r="Y100" t="str">
        <f>VLOOKUP($A100,ScionOutput!$A$3:$BL$215,64,FALSE)</f>
        <v xml:space="preserve">823776. LineStatEns is NoPlay as bookie-line outside range. StatOnlyEns is NoPlay as bookie-line outside range. No play due to strategy constraints. </v>
      </c>
    </row>
    <row r="101" spans="1:25" x14ac:dyDescent="0.2">
      <c r="A101">
        <v>823616</v>
      </c>
      <c r="B101" s="3">
        <f>VLOOKUP($A101,ScionOutput!$A$3:$BL$215,3,FALSE)</f>
        <v>46186</v>
      </c>
      <c r="C101">
        <f>VLOOKUP($A101,ScionOutput!$A$3:$BL$215,22,FALSE)</f>
        <v>18</v>
      </c>
      <c r="D101" t="str">
        <f>VLOOKUP($A101,ScionOutput!$A$3:$BL$215,23,FALSE)</f>
        <v>NYM</v>
      </c>
      <c r="E101">
        <f>VLOOKUP($A101,ScionOutput!$A$3:$BL$215,6,FALSE)</f>
        <v>0</v>
      </c>
      <c r="F101" t="str">
        <f>VLOOKUP($A101,ScionOutput!$A$3:$BL$215,7,FALSE)</f>
        <v>ATL</v>
      </c>
      <c r="G101">
        <f>VLOOKUP($A101,ScionOutput!$A$3:$BL$215,26,FALSE)</f>
        <v>-114</v>
      </c>
      <c r="H101">
        <f>VLOOKUP($A101,ScionOutput!$A$3:$BL$215,10,FALSE)</f>
        <v>105</v>
      </c>
      <c r="I101" t="str">
        <f>VLOOKUP($A101,ScionOutput!$A$3:$BL$215,58,FALSE)</f>
        <v>No Play</v>
      </c>
      <c r="J101">
        <f>VLOOKUP($A101,ScionOutput!$A$3:$BL$215,59,FALSE)</f>
        <v>0</v>
      </c>
      <c r="K101">
        <f>VLOOKUP($A101,ScionOutput!$A$3:$BL$215,62,FALSE)</f>
        <v>0</v>
      </c>
      <c r="L101">
        <f>VLOOKUP($A101,ScionOutput!$A$3:$BL$215,63,FALSE)</f>
        <v>0</v>
      </c>
      <c r="M101" t="b">
        <f t="shared" si="9"/>
        <v>0</v>
      </c>
      <c r="N101">
        <f>VLOOKUP($A101,Outcomes!$B$3:$I$209,8,FALSE)</f>
        <v>4</v>
      </c>
      <c r="O101">
        <f t="shared" si="10"/>
        <v>-1</v>
      </c>
      <c r="P101">
        <f>VLOOKUP($A101,Outcomes!$B$3:$I$209,5,FALSE)</f>
        <v>1</v>
      </c>
      <c r="Q101">
        <f>VLOOKUP($A101,Outcomes!$B$3:$I$209,6,FALSE)</f>
        <v>3</v>
      </c>
      <c r="R101">
        <f>VLOOKUP($A101,Outcomes!$B$3:$I$209,7,FALSE)</f>
        <v>2</v>
      </c>
      <c r="S101" t="str">
        <f t="shared" si="11"/>
        <v>VisDog</v>
      </c>
      <c r="T101" t="str">
        <f t="shared" si="12"/>
        <v/>
      </c>
      <c r="U101" t="str">
        <f t="shared" si="8"/>
        <v/>
      </c>
      <c r="V101" t="str">
        <f t="shared" si="13"/>
        <v/>
      </c>
      <c r="W101" t="str">
        <f t="shared" si="14"/>
        <v/>
      </c>
      <c r="X101" s="2" t="str">
        <f t="shared" si="15"/>
        <v/>
      </c>
      <c r="Y101" t="str">
        <f>VLOOKUP($A101,ScionOutput!$A$3:$BL$215,64,FALSE)</f>
        <v xml:space="preserve">823616. LineStatEns probability points gap does not exceed threshold (no edge found)! No play due to strategy constraints. </v>
      </c>
    </row>
    <row r="102" spans="1:25" x14ac:dyDescent="0.2">
      <c r="A102">
        <v>824995</v>
      </c>
      <c r="B102" s="3">
        <f>VLOOKUP($A102,ScionOutput!$A$3:$BL$215,3,FALSE)</f>
        <v>46186</v>
      </c>
      <c r="C102">
        <f>VLOOKUP($A102,ScionOutput!$A$3:$BL$215,22,FALSE)</f>
        <v>20</v>
      </c>
      <c r="D102" t="str">
        <f>VLOOKUP($A102,ScionOutput!$A$3:$BL$215,23,FALSE)</f>
        <v>OAK</v>
      </c>
      <c r="E102">
        <f>VLOOKUP($A102,ScionOutput!$A$3:$BL$215,6,FALSE)</f>
        <v>8</v>
      </c>
      <c r="F102" t="str">
        <f>VLOOKUP($A102,ScionOutput!$A$3:$BL$215,7,FALSE)</f>
        <v>COL</v>
      </c>
      <c r="G102">
        <f>VLOOKUP($A102,ScionOutput!$A$3:$BL$215,26,FALSE)</f>
        <v>-148</v>
      </c>
      <c r="H102">
        <f>VLOOKUP($A102,ScionOutput!$A$3:$BL$215,10,FALSE)</f>
        <v>136</v>
      </c>
      <c r="I102" t="str">
        <f>VLOOKUP($A102,ScionOutput!$A$3:$BL$215,58,FALSE)</f>
        <v>No Play</v>
      </c>
      <c r="J102">
        <f>VLOOKUP($A102,ScionOutput!$A$3:$BL$215,59,FALSE)</f>
        <v>0</v>
      </c>
      <c r="K102">
        <f>VLOOKUP($A102,ScionOutput!$A$3:$BL$215,62,FALSE)</f>
        <v>0</v>
      </c>
      <c r="L102">
        <f>VLOOKUP($A102,ScionOutput!$A$3:$BL$215,63,FALSE)</f>
        <v>0</v>
      </c>
      <c r="M102" t="b">
        <f t="shared" si="9"/>
        <v>0</v>
      </c>
      <c r="N102">
        <f>VLOOKUP($A102,Outcomes!$B$3:$I$209,8,FALSE)</f>
        <v>12</v>
      </c>
      <c r="O102">
        <f t="shared" si="10"/>
        <v>1</v>
      </c>
      <c r="P102">
        <f>VLOOKUP($A102,Outcomes!$B$3:$I$209,5,FALSE)</f>
        <v>7</v>
      </c>
      <c r="Q102">
        <f>VLOOKUP($A102,Outcomes!$B$3:$I$209,6,FALSE)</f>
        <v>5</v>
      </c>
      <c r="R102">
        <f>VLOOKUP($A102,Outcomes!$B$3:$I$209,7,FALSE)</f>
        <v>-2</v>
      </c>
      <c r="S102" t="str">
        <f t="shared" si="11"/>
        <v>HomFave</v>
      </c>
      <c r="T102" t="str">
        <f t="shared" si="12"/>
        <v/>
      </c>
      <c r="U102" t="str">
        <f t="shared" si="8"/>
        <v/>
      </c>
      <c r="V102" t="str">
        <f t="shared" si="13"/>
        <v/>
      </c>
      <c r="W102" t="str">
        <f t="shared" si="14"/>
        <v/>
      </c>
      <c r="X102" s="2" t="str">
        <f t="shared" si="15"/>
        <v/>
      </c>
      <c r="Y102" t="str">
        <f>VLOOKUP($A102,ScionOutput!$A$3:$BL$215,64,FALSE)</f>
        <v xml:space="preserve">824995. H_SP is Null, team-based avg used. NoPlay as H_SP is Null. </v>
      </c>
    </row>
    <row r="103" spans="1:25" x14ac:dyDescent="0.2">
      <c r="A103">
        <v>823369</v>
      </c>
      <c r="B103" s="3">
        <f>VLOOKUP($A103,ScionOutput!$A$3:$BL$215,3,FALSE)</f>
        <v>46186</v>
      </c>
      <c r="C103">
        <f>VLOOKUP($A103,ScionOutput!$A$3:$BL$215,22,FALSE)</f>
        <v>22</v>
      </c>
      <c r="D103" t="str">
        <f>VLOOKUP($A103,ScionOutput!$A$3:$BL$215,23,FALSE)</f>
        <v>PIT</v>
      </c>
      <c r="E103">
        <f>VLOOKUP($A103,ScionOutput!$A$3:$BL$215,6,FALSE)</f>
        <v>11</v>
      </c>
      <c r="F103" t="str">
        <f>VLOOKUP($A103,ScionOutput!$A$3:$BL$215,7,FALSE)</f>
        <v>FLO</v>
      </c>
      <c r="G103">
        <f>VLOOKUP($A103,ScionOutput!$A$3:$BL$215,26,FALSE)</f>
        <v>-110</v>
      </c>
      <c r="H103">
        <f>VLOOKUP($A103,ScionOutput!$A$3:$BL$215,10,FALSE)</f>
        <v>102</v>
      </c>
      <c r="I103" t="str">
        <f>VLOOKUP($A103,ScionOutput!$A$3:$BL$215,58,FALSE)</f>
        <v>VisDog</v>
      </c>
      <c r="J103">
        <f>VLOOKUP($A103,ScionOutput!$A$3:$BL$215,59,FALSE)</f>
        <v>-2.4109999999999999E-2</v>
      </c>
      <c r="K103">
        <f>VLOOKUP($A103,ScionOutput!$A$3:$BL$215,62,FALSE)</f>
        <v>5</v>
      </c>
      <c r="L103">
        <f>VLOOKUP($A103,ScionOutput!$A$3:$BL$215,63,FALSE)</f>
        <v>0.6</v>
      </c>
      <c r="M103" t="b">
        <f t="shared" si="9"/>
        <v>1</v>
      </c>
      <c r="N103">
        <f>VLOOKUP($A103,Outcomes!$B$3:$I$209,8,FALSE)</f>
        <v>5</v>
      </c>
      <c r="O103">
        <f t="shared" si="10"/>
        <v>1</v>
      </c>
      <c r="P103">
        <f>VLOOKUP($A103,Outcomes!$B$3:$I$209,5,FALSE)</f>
        <v>3</v>
      </c>
      <c r="Q103">
        <f>VLOOKUP($A103,Outcomes!$B$3:$I$209,6,FALSE)</f>
        <v>2</v>
      </c>
      <c r="R103">
        <f>VLOOKUP($A103,Outcomes!$B$3:$I$209,7,FALSE)</f>
        <v>-1</v>
      </c>
      <c r="S103" t="str">
        <f t="shared" si="11"/>
        <v>HomFave</v>
      </c>
      <c r="T103">
        <f t="shared" si="12"/>
        <v>0</v>
      </c>
      <c r="U103">
        <f t="shared" si="8"/>
        <v>100</v>
      </c>
      <c r="V103">
        <f t="shared" si="13"/>
        <v>0</v>
      </c>
      <c r="W103">
        <f t="shared" si="14"/>
        <v>-100</v>
      </c>
      <c r="X103" s="2">
        <f t="shared" si="15"/>
        <v>-1</v>
      </c>
      <c r="Y103" t="str">
        <f>VLOOKUP($A103,ScionOutput!$A$3:$BL$215,64,FALSE)</f>
        <v xml:space="preserve">823369. Play determined by LineStatEns and StatOnlyEns agreement. </v>
      </c>
    </row>
    <row r="104" spans="1:25" x14ac:dyDescent="0.2">
      <c r="A104">
        <v>823213</v>
      </c>
      <c r="B104" s="3">
        <f>VLOOKUP($A104,ScionOutput!$A$3:$BL$215,3,FALSE)</f>
        <v>46186</v>
      </c>
      <c r="C104">
        <f>VLOOKUP($A104,ScionOutput!$A$3:$BL$215,22,FALSE)</f>
        <v>25</v>
      </c>
      <c r="D104" t="str">
        <f>VLOOKUP($A104,ScionOutput!$A$3:$BL$215,23,FALSE)</f>
        <v>SF</v>
      </c>
      <c r="E104">
        <f>VLOOKUP($A104,ScionOutput!$A$3:$BL$215,6,FALSE)</f>
        <v>5</v>
      </c>
      <c r="F104" t="str">
        <f>VLOOKUP($A104,ScionOutput!$A$3:$BL$215,7,FALSE)</f>
        <v>CHC</v>
      </c>
      <c r="G104">
        <f>VLOOKUP($A104,ScionOutput!$A$3:$BL$215,26,FALSE)</f>
        <v>105</v>
      </c>
      <c r="H104">
        <f>VLOOKUP($A104,ScionOutput!$A$3:$BL$215,10,FALSE)</f>
        <v>-114</v>
      </c>
      <c r="I104" t="str">
        <f>VLOOKUP($A104,ScionOutput!$A$3:$BL$215,58,FALSE)</f>
        <v>No Play</v>
      </c>
      <c r="J104">
        <f>VLOOKUP($A104,ScionOutput!$A$3:$BL$215,59,FALSE)</f>
        <v>0</v>
      </c>
      <c r="K104">
        <f>VLOOKUP($A104,ScionOutput!$A$3:$BL$215,62,FALSE)</f>
        <v>0</v>
      </c>
      <c r="L104">
        <f>VLOOKUP($A104,ScionOutput!$A$3:$BL$215,63,FALSE)</f>
        <v>0</v>
      </c>
      <c r="M104" t="b">
        <f t="shared" si="9"/>
        <v>0</v>
      </c>
      <c r="N104">
        <f>VLOOKUP($A104,Outcomes!$B$3:$I$209,8,FALSE)</f>
        <v>7</v>
      </c>
      <c r="O104">
        <f t="shared" si="10"/>
        <v>-1</v>
      </c>
      <c r="P104">
        <f>VLOOKUP($A104,Outcomes!$B$3:$I$209,5,FALSE)</f>
        <v>1</v>
      </c>
      <c r="Q104">
        <f>VLOOKUP($A104,Outcomes!$B$3:$I$209,6,FALSE)</f>
        <v>6</v>
      </c>
      <c r="R104">
        <f>VLOOKUP($A104,Outcomes!$B$3:$I$209,7,FALSE)</f>
        <v>5</v>
      </c>
      <c r="S104" t="str">
        <f t="shared" si="11"/>
        <v>VisFave</v>
      </c>
      <c r="T104" t="str">
        <f t="shared" si="12"/>
        <v/>
      </c>
      <c r="U104" t="str">
        <f t="shared" si="8"/>
        <v/>
      </c>
      <c r="V104" t="str">
        <f t="shared" si="13"/>
        <v/>
      </c>
      <c r="W104" t="str">
        <f t="shared" si="14"/>
        <v/>
      </c>
      <c r="X104" s="2" t="str">
        <f t="shared" si="15"/>
        <v/>
      </c>
      <c r="Y104" t="str">
        <f>VLOOKUP($A104,ScionOutput!$A$3:$BL$215,64,FALSE)</f>
        <v xml:space="preserve">823213. VF plays are disallowed. No play due to strategy constraints. </v>
      </c>
    </row>
    <row r="105" spans="1:25" x14ac:dyDescent="0.2">
      <c r="A105">
        <v>822802</v>
      </c>
      <c r="B105" s="3">
        <f>VLOOKUP($A105,ScionOutput!$A$3:$BL$215,3,FALSE)</f>
        <v>46186</v>
      </c>
      <c r="C105">
        <f>VLOOKUP($A105,ScionOutput!$A$3:$BL$215,22,FALSE)</f>
        <v>29</v>
      </c>
      <c r="D105" t="str">
        <f>VLOOKUP($A105,ScionOutput!$A$3:$BL$215,23,FALSE)</f>
        <v>TOR</v>
      </c>
      <c r="E105">
        <f>VLOOKUP($A105,ScionOutput!$A$3:$BL$215,6,FALSE)</f>
        <v>19</v>
      </c>
      <c r="F105" t="str">
        <f>VLOOKUP($A105,ScionOutput!$A$3:$BL$215,7,FALSE)</f>
        <v>NYY</v>
      </c>
      <c r="G105">
        <f>VLOOKUP($A105,ScionOutput!$A$3:$BL$215,26,FALSE)</f>
        <v>105</v>
      </c>
      <c r="H105">
        <f>VLOOKUP($A105,ScionOutput!$A$3:$BL$215,10,FALSE)</f>
        <v>-114</v>
      </c>
      <c r="I105" t="str">
        <f>VLOOKUP($A105,ScionOutput!$A$3:$BL$215,58,FALSE)</f>
        <v>No Play</v>
      </c>
      <c r="J105">
        <f>VLOOKUP($A105,ScionOutput!$A$3:$BL$215,59,FALSE)</f>
        <v>0</v>
      </c>
      <c r="K105">
        <f>VLOOKUP($A105,ScionOutput!$A$3:$BL$215,62,FALSE)</f>
        <v>0</v>
      </c>
      <c r="L105">
        <f>VLOOKUP($A105,ScionOutput!$A$3:$BL$215,63,FALSE)</f>
        <v>0</v>
      </c>
      <c r="M105" t="b">
        <f t="shared" si="9"/>
        <v>0</v>
      </c>
      <c r="N105">
        <f>VLOOKUP($A105,Outcomes!$B$3:$I$209,8,FALSE)</f>
        <v>4</v>
      </c>
      <c r="O105">
        <f t="shared" si="10"/>
        <v>-1</v>
      </c>
      <c r="P105">
        <f>VLOOKUP($A105,Outcomes!$B$3:$I$209,5,FALSE)</f>
        <v>1</v>
      </c>
      <c r="Q105">
        <f>VLOOKUP($A105,Outcomes!$B$3:$I$209,6,FALSE)</f>
        <v>3</v>
      </c>
      <c r="R105">
        <f>VLOOKUP($A105,Outcomes!$B$3:$I$209,7,FALSE)</f>
        <v>2</v>
      </c>
      <c r="S105" t="str">
        <f t="shared" si="11"/>
        <v>VisFave</v>
      </c>
      <c r="T105" t="str">
        <f t="shared" si="12"/>
        <v/>
      </c>
      <c r="U105" t="str">
        <f t="shared" si="8"/>
        <v/>
      </c>
      <c r="V105" t="str">
        <f t="shared" si="13"/>
        <v/>
      </c>
      <c r="W105" t="str">
        <f t="shared" si="14"/>
        <v/>
      </c>
      <c r="X105" s="2" t="str">
        <f t="shared" si="15"/>
        <v/>
      </c>
      <c r="Y105" t="str">
        <f>VLOOKUP($A105,ScionOutput!$A$3:$BL$215,64,FALSE)</f>
        <v xml:space="preserve">822802. VF plays are disallowed. No play due to strategy constraints. </v>
      </c>
    </row>
    <row r="106" spans="1:25" x14ac:dyDescent="0.2">
      <c r="A106">
        <v>824823</v>
      </c>
      <c r="B106" s="3">
        <f>VLOOKUP($A106,ScionOutput!$A$3:$BL$215,3,FALSE)</f>
        <v>46187</v>
      </c>
      <c r="C106">
        <f>VLOOKUP($A106,ScionOutput!$A$3:$BL$215,22,FALSE)</f>
        <v>2</v>
      </c>
      <c r="D106" t="str">
        <f>VLOOKUP($A106,ScionOutput!$A$3:$BL$215,23,FALSE)</f>
        <v>BAL</v>
      </c>
      <c r="E106">
        <f>VLOOKUP($A106,ScionOutput!$A$3:$BL$215,6,FALSE)</f>
        <v>23</v>
      </c>
      <c r="F106" t="str">
        <f>VLOOKUP($A106,ScionOutput!$A$3:$BL$215,7,FALSE)</f>
        <v>SD</v>
      </c>
      <c r="G106">
        <f>VLOOKUP($A106,ScionOutput!$A$3:$BL$215,26,FALSE)</f>
        <v>-134</v>
      </c>
      <c r="H106">
        <f>VLOOKUP($A106,ScionOutput!$A$3:$BL$215,10,FALSE)</f>
        <v>123</v>
      </c>
      <c r="I106" t="str">
        <f>VLOOKUP($A106,ScionOutput!$A$3:$BL$215,58,FALSE)</f>
        <v>No Play</v>
      </c>
      <c r="J106">
        <f>VLOOKUP($A106,ScionOutput!$A$3:$BL$215,59,FALSE)</f>
        <v>0</v>
      </c>
      <c r="K106">
        <f>VLOOKUP($A106,ScionOutput!$A$3:$BL$215,62,FALSE)</f>
        <v>0</v>
      </c>
      <c r="L106">
        <f>VLOOKUP($A106,ScionOutput!$A$3:$BL$215,63,FALSE)</f>
        <v>0</v>
      </c>
      <c r="M106" t="b">
        <f t="shared" si="9"/>
        <v>0</v>
      </c>
      <c r="N106">
        <f>VLOOKUP($A106,Outcomes!$B$3:$I$209,8,FALSE)</f>
        <v>7</v>
      </c>
      <c r="O106">
        <f t="shared" si="10"/>
        <v>-1</v>
      </c>
      <c r="P106">
        <f>VLOOKUP($A106,Outcomes!$B$3:$I$209,5,FALSE)</f>
        <v>2</v>
      </c>
      <c r="Q106">
        <f>VLOOKUP($A106,Outcomes!$B$3:$I$209,6,FALSE)</f>
        <v>5</v>
      </c>
      <c r="R106">
        <f>VLOOKUP($A106,Outcomes!$B$3:$I$209,7,FALSE)</f>
        <v>3</v>
      </c>
      <c r="S106" t="str">
        <f t="shared" si="11"/>
        <v>VisDog</v>
      </c>
      <c r="T106" t="str">
        <f t="shared" si="12"/>
        <v/>
      </c>
      <c r="U106" t="str">
        <f t="shared" si="8"/>
        <v/>
      </c>
      <c r="V106" t="str">
        <f t="shared" si="13"/>
        <v/>
      </c>
      <c r="W106" t="str">
        <f t="shared" si="14"/>
        <v/>
      </c>
      <c r="X106" s="2" t="str">
        <f t="shared" si="15"/>
        <v/>
      </c>
      <c r="Y106" t="str">
        <f>VLOOKUP($A106,ScionOutput!$A$3:$BL$215,64,FALSE)</f>
        <v xml:space="preserve">824823. LineStatEns probability points gap does not exceed threshold (no edge found)! StatOnlyEns probability points gap does not exceed threshold (no edge found)! No play due to strategy constraints. </v>
      </c>
    </row>
    <row r="107" spans="1:25" x14ac:dyDescent="0.2">
      <c r="A107">
        <v>824751</v>
      </c>
      <c r="B107" s="3">
        <f>VLOOKUP($A107,ScionOutput!$A$3:$BL$215,3,FALSE)</f>
        <v>46187</v>
      </c>
      <c r="C107">
        <f>VLOOKUP($A107,ScionOutput!$A$3:$BL$215,22,FALSE)</f>
        <v>3</v>
      </c>
      <c r="D107" t="str">
        <f>VLOOKUP($A107,ScionOutput!$A$3:$BL$215,23,FALSE)</f>
        <v>BOS</v>
      </c>
      <c r="E107">
        <f>VLOOKUP($A107,ScionOutput!$A$3:$BL$215,6,FALSE)</f>
        <v>28</v>
      </c>
      <c r="F107" t="str">
        <f>VLOOKUP($A107,ScionOutput!$A$3:$BL$215,7,FALSE)</f>
        <v>TEX</v>
      </c>
      <c r="G107">
        <f>VLOOKUP($A107,ScionOutput!$A$3:$BL$215,26,FALSE)</f>
        <v>-107</v>
      </c>
      <c r="H107">
        <f>VLOOKUP($A107,ScionOutput!$A$3:$BL$215,10,FALSE)</f>
        <v>-101</v>
      </c>
      <c r="I107" t="str">
        <f>VLOOKUP($A107,ScionOutput!$A$3:$BL$215,58,FALSE)</f>
        <v>VisDog</v>
      </c>
      <c r="J107">
        <f>VLOOKUP($A107,ScionOutput!$A$3:$BL$215,59,FALSE)</f>
        <v>-1.7069999999999998E-2</v>
      </c>
      <c r="K107">
        <f>VLOOKUP($A107,ScionOutput!$A$3:$BL$215,62,FALSE)</f>
        <v>3</v>
      </c>
      <c r="L107">
        <f>VLOOKUP($A107,ScionOutput!$A$3:$BL$215,63,FALSE)</f>
        <v>0.6</v>
      </c>
      <c r="M107" t="b">
        <f t="shared" si="9"/>
        <v>0</v>
      </c>
      <c r="N107">
        <f>VLOOKUP($A107,Outcomes!$B$3:$I$209,8,FALSE)</f>
        <v>10</v>
      </c>
      <c r="O107">
        <f t="shared" si="10"/>
        <v>-1</v>
      </c>
      <c r="P107">
        <f>VLOOKUP($A107,Outcomes!$B$3:$I$209,5,FALSE)</f>
        <v>4</v>
      </c>
      <c r="Q107">
        <f>VLOOKUP($A107,Outcomes!$B$3:$I$209,6,FALSE)</f>
        <v>6</v>
      </c>
      <c r="R107">
        <f>VLOOKUP($A107,Outcomes!$B$3:$I$209,7,FALSE)</f>
        <v>2</v>
      </c>
      <c r="S107" t="str">
        <f t="shared" si="11"/>
        <v>VisDog</v>
      </c>
      <c r="T107" t="str">
        <f t="shared" si="12"/>
        <v/>
      </c>
      <c r="U107" t="str">
        <f t="shared" si="8"/>
        <v/>
      </c>
      <c r="V107" t="str">
        <f t="shared" si="13"/>
        <v/>
      </c>
      <c r="W107" t="str">
        <f t="shared" si="14"/>
        <v/>
      </c>
      <c r="X107" s="2" t="str">
        <f t="shared" si="15"/>
        <v/>
      </c>
      <c r="Y107" t="str">
        <f>VLOOKUP($A107,ScionOutput!$A$3:$BL$215,64,FALSE)</f>
        <v xml:space="preserve">824751. StatOnlyEns probability points gap does not exceed threshold (no edge found)! Play determined by LineStatEns only. </v>
      </c>
    </row>
    <row r="108" spans="1:25" x14ac:dyDescent="0.2">
      <c r="A108">
        <v>824021</v>
      </c>
      <c r="B108" s="3">
        <f>VLOOKUP($A108,ScionOutput!$A$3:$BL$215,3,FALSE)</f>
        <v>46187</v>
      </c>
      <c r="C108">
        <f>VLOOKUP($A108,ScionOutput!$A$3:$BL$215,22,FALSE)</f>
        <v>4</v>
      </c>
      <c r="D108" t="str">
        <f>VLOOKUP($A108,ScionOutput!$A$3:$BL$215,23,FALSE)</f>
        <v>LAA</v>
      </c>
      <c r="E108">
        <f>VLOOKUP($A108,ScionOutput!$A$3:$BL$215,6,FALSE)</f>
        <v>27</v>
      </c>
      <c r="F108" t="str">
        <f>VLOOKUP($A108,ScionOutput!$A$3:$BL$215,7,FALSE)</f>
        <v>TB</v>
      </c>
      <c r="G108">
        <f>VLOOKUP($A108,ScionOutput!$A$3:$BL$215,26,FALSE)</f>
        <v>106</v>
      </c>
      <c r="H108">
        <f>VLOOKUP($A108,ScionOutput!$A$3:$BL$215,10,FALSE)</f>
        <v>-115</v>
      </c>
      <c r="I108" t="str">
        <f>VLOOKUP($A108,ScionOutput!$A$3:$BL$215,58,FALSE)</f>
        <v>No Play</v>
      </c>
      <c r="J108">
        <f>VLOOKUP($A108,ScionOutput!$A$3:$BL$215,59,FALSE)</f>
        <v>0</v>
      </c>
      <c r="K108">
        <f>VLOOKUP($A108,ScionOutput!$A$3:$BL$215,62,FALSE)</f>
        <v>0</v>
      </c>
      <c r="L108">
        <f>VLOOKUP($A108,ScionOutput!$A$3:$BL$215,63,FALSE)</f>
        <v>0</v>
      </c>
      <c r="M108" t="b">
        <f t="shared" si="9"/>
        <v>0</v>
      </c>
      <c r="N108">
        <f>VLOOKUP($A108,Outcomes!$B$3:$I$209,8,FALSE)</f>
        <v>11</v>
      </c>
      <c r="O108">
        <f t="shared" si="10"/>
        <v>-1</v>
      </c>
      <c r="P108">
        <f>VLOOKUP($A108,Outcomes!$B$3:$I$209,5,FALSE)</f>
        <v>3</v>
      </c>
      <c r="Q108">
        <f>VLOOKUP($A108,Outcomes!$B$3:$I$209,6,FALSE)</f>
        <v>8</v>
      </c>
      <c r="R108">
        <f>VLOOKUP($A108,Outcomes!$B$3:$I$209,7,FALSE)</f>
        <v>5</v>
      </c>
      <c r="S108" t="str">
        <f t="shared" si="11"/>
        <v>VisFave</v>
      </c>
      <c r="T108" t="str">
        <f t="shared" si="12"/>
        <v/>
      </c>
      <c r="U108" t="str">
        <f t="shared" si="8"/>
        <v/>
      </c>
      <c r="V108" t="str">
        <f t="shared" si="13"/>
        <v/>
      </c>
      <c r="W108" t="str">
        <f t="shared" si="14"/>
        <v/>
      </c>
      <c r="X108" s="2" t="str">
        <f t="shared" si="15"/>
        <v/>
      </c>
      <c r="Y108" t="str">
        <f>VLOOKUP($A108,ScionOutput!$A$3:$BL$215,64,FALSE)</f>
        <v xml:space="preserve">824021. V_SP is Null, team-based avg used. NoPlay as V_SP is Null. </v>
      </c>
    </row>
    <row r="109" spans="1:25" x14ac:dyDescent="0.2">
      <c r="A109">
        <v>824506</v>
      </c>
      <c r="B109" s="3">
        <f>VLOOKUP($A109,ScionOutput!$A$3:$BL$215,3,FALSE)</f>
        <v>46187</v>
      </c>
      <c r="C109">
        <f>VLOOKUP($A109,ScionOutput!$A$3:$BL$215,22,FALSE)</f>
        <v>6</v>
      </c>
      <c r="D109" t="str">
        <f>VLOOKUP($A109,ScionOutput!$A$3:$BL$215,23,FALSE)</f>
        <v>CIN</v>
      </c>
      <c r="E109">
        <f>VLOOKUP($A109,ScionOutput!$A$3:$BL$215,6,FALSE)</f>
        <v>1</v>
      </c>
      <c r="F109" t="str">
        <f>VLOOKUP($A109,ScionOutput!$A$3:$BL$215,7,FALSE)</f>
        <v>ARZ</v>
      </c>
      <c r="G109">
        <f>VLOOKUP($A109,ScionOutput!$A$3:$BL$215,26,FALSE)</f>
        <v>-101</v>
      </c>
      <c r="H109">
        <f>VLOOKUP($A109,ScionOutput!$A$3:$BL$215,10,FALSE)</f>
        <v>-107</v>
      </c>
      <c r="I109" t="str">
        <f>VLOOKUP($A109,ScionOutput!$A$3:$BL$215,58,FALSE)</f>
        <v>No Play</v>
      </c>
      <c r="J109">
        <f>VLOOKUP($A109,ScionOutput!$A$3:$BL$215,59,FALSE)</f>
        <v>0</v>
      </c>
      <c r="K109">
        <f>VLOOKUP($A109,ScionOutput!$A$3:$BL$215,62,FALSE)</f>
        <v>0</v>
      </c>
      <c r="L109">
        <f>VLOOKUP($A109,ScionOutput!$A$3:$BL$215,63,FALSE)</f>
        <v>0</v>
      </c>
      <c r="M109" t="b">
        <f t="shared" si="9"/>
        <v>0</v>
      </c>
      <c r="N109">
        <f>VLOOKUP($A109,Outcomes!$B$3:$I$209,8,FALSE)</f>
        <v>8</v>
      </c>
      <c r="O109">
        <f t="shared" si="10"/>
        <v>-1</v>
      </c>
      <c r="P109">
        <f>VLOOKUP($A109,Outcomes!$B$3:$I$209,5,FALSE)</f>
        <v>3</v>
      </c>
      <c r="Q109">
        <f>VLOOKUP($A109,Outcomes!$B$3:$I$209,6,FALSE)</f>
        <v>5</v>
      </c>
      <c r="R109">
        <f>VLOOKUP($A109,Outcomes!$B$3:$I$209,7,FALSE)</f>
        <v>2</v>
      </c>
      <c r="S109" t="str">
        <f t="shared" si="11"/>
        <v>VisFave</v>
      </c>
      <c r="T109" t="str">
        <f t="shared" si="12"/>
        <v/>
      </c>
      <c r="U109" t="str">
        <f t="shared" si="8"/>
        <v/>
      </c>
      <c r="V109" t="str">
        <f t="shared" si="13"/>
        <v/>
      </c>
      <c r="W109" t="str">
        <f t="shared" si="14"/>
        <v/>
      </c>
      <c r="X109" s="2" t="str">
        <f t="shared" si="15"/>
        <v/>
      </c>
      <c r="Y109" t="str">
        <f>VLOOKUP($A109,ScionOutput!$A$3:$BL$215,64,FALSE)</f>
        <v xml:space="preserve">824506. VF plays are disallowed. No play due to strategy constraints. </v>
      </c>
    </row>
    <row r="110" spans="1:25" x14ac:dyDescent="0.2">
      <c r="A110">
        <v>824586</v>
      </c>
      <c r="B110" s="3">
        <f>VLOOKUP($A110,ScionOutput!$A$3:$BL$215,3,FALSE)</f>
        <v>46187</v>
      </c>
      <c r="C110">
        <f>VLOOKUP($A110,ScionOutput!$A$3:$BL$215,22,FALSE)</f>
        <v>9</v>
      </c>
      <c r="D110" t="str">
        <f>VLOOKUP($A110,ScionOutput!$A$3:$BL$215,23,FALSE)</f>
        <v>CWS</v>
      </c>
      <c r="E110">
        <f>VLOOKUP($A110,ScionOutput!$A$3:$BL$215,6,FALSE)</f>
        <v>14</v>
      </c>
      <c r="F110" t="str">
        <f>VLOOKUP($A110,ScionOutput!$A$3:$BL$215,7,FALSE)</f>
        <v>LA</v>
      </c>
      <c r="G110">
        <f>VLOOKUP($A110,ScionOutput!$A$3:$BL$215,26,FALSE)</f>
        <v>171</v>
      </c>
      <c r="H110">
        <f>VLOOKUP($A110,ScionOutput!$A$3:$BL$215,10,FALSE)</f>
        <v>-188</v>
      </c>
      <c r="I110" t="str">
        <f>VLOOKUP($A110,ScionOutput!$A$3:$BL$215,58,FALSE)</f>
        <v>No Play</v>
      </c>
      <c r="J110">
        <f>VLOOKUP($A110,ScionOutput!$A$3:$BL$215,59,FALSE)</f>
        <v>0</v>
      </c>
      <c r="K110">
        <f>VLOOKUP($A110,ScionOutput!$A$3:$BL$215,62,FALSE)</f>
        <v>0</v>
      </c>
      <c r="L110">
        <f>VLOOKUP($A110,ScionOutput!$A$3:$BL$215,63,FALSE)</f>
        <v>0</v>
      </c>
      <c r="M110" t="b">
        <f t="shared" si="9"/>
        <v>0</v>
      </c>
      <c r="N110">
        <f>VLOOKUP($A110,Outcomes!$B$3:$I$209,8,FALSE)</f>
        <v>10</v>
      </c>
      <c r="O110">
        <f t="shared" si="10"/>
        <v>1</v>
      </c>
      <c r="P110">
        <f>VLOOKUP($A110,Outcomes!$B$3:$I$209,5,FALSE)</f>
        <v>6</v>
      </c>
      <c r="Q110">
        <f>VLOOKUP($A110,Outcomes!$B$3:$I$209,6,FALSE)</f>
        <v>4</v>
      </c>
      <c r="R110">
        <f>VLOOKUP($A110,Outcomes!$B$3:$I$209,7,FALSE)</f>
        <v>-2</v>
      </c>
      <c r="S110" t="str">
        <f t="shared" si="11"/>
        <v>HomDog</v>
      </c>
      <c r="T110" t="str">
        <f t="shared" si="12"/>
        <v/>
      </c>
      <c r="U110" t="str">
        <f t="shared" si="8"/>
        <v/>
      </c>
      <c r="V110" t="str">
        <f t="shared" si="13"/>
        <v/>
      </c>
      <c r="W110" t="str">
        <f t="shared" si="14"/>
        <v/>
      </c>
      <c r="X110" s="2" t="str">
        <f t="shared" si="15"/>
        <v/>
      </c>
      <c r="Y110" t="str">
        <f>VLOOKUP($A110,ScionOutput!$A$3:$BL$215,64,FALSE)</f>
        <v xml:space="preserve">824586. LineStatEns is NoPlay as bookie-line outside range. StatOnlyEns is NoPlay as bookie-line outside range. No play due to strategy constraints. </v>
      </c>
    </row>
    <row r="111" spans="1:25" x14ac:dyDescent="0.2">
      <c r="A111">
        <v>824099</v>
      </c>
      <c r="B111" s="3">
        <f>VLOOKUP($A111,ScionOutput!$A$3:$BL$215,3,FALSE)</f>
        <v>46187</v>
      </c>
      <c r="C111">
        <f>VLOOKUP($A111,ScionOutput!$A$3:$BL$215,22,FALSE)</f>
        <v>13</v>
      </c>
      <c r="D111" t="str">
        <f>VLOOKUP($A111,ScionOutput!$A$3:$BL$215,23,FALSE)</f>
        <v>KC</v>
      </c>
      <c r="E111">
        <f>VLOOKUP($A111,ScionOutput!$A$3:$BL$215,6,FALSE)</f>
        <v>12</v>
      </c>
      <c r="F111" t="str">
        <f>VLOOKUP($A111,ScionOutput!$A$3:$BL$215,7,FALSE)</f>
        <v>HOU</v>
      </c>
      <c r="G111">
        <f>VLOOKUP($A111,ScionOutput!$A$3:$BL$215,26,FALSE)</f>
        <v>-116</v>
      </c>
      <c r="H111">
        <f>VLOOKUP($A111,ScionOutput!$A$3:$BL$215,10,FALSE)</f>
        <v>107</v>
      </c>
      <c r="I111" t="str">
        <f>VLOOKUP($A111,ScionOutput!$A$3:$BL$215,58,FALSE)</f>
        <v>VisDog</v>
      </c>
      <c r="J111">
        <f>VLOOKUP($A111,ScionOutput!$A$3:$BL$215,59,FALSE)</f>
        <v>-4.6440000000000002E-2</v>
      </c>
      <c r="K111">
        <f>VLOOKUP($A111,ScionOutput!$A$3:$BL$215,62,FALSE)</f>
        <v>3</v>
      </c>
      <c r="L111">
        <f>VLOOKUP($A111,ScionOutput!$A$3:$BL$215,63,FALSE)</f>
        <v>0.73</v>
      </c>
      <c r="M111" t="b">
        <f t="shared" si="9"/>
        <v>0</v>
      </c>
      <c r="N111">
        <f>VLOOKUP($A111,Outcomes!$B$3:$I$209,8,FALSE)</f>
        <v>4</v>
      </c>
      <c r="O111">
        <f t="shared" si="10"/>
        <v>1</v>
      </c>
      <c r="P111">
        <f>VLOOKUP($A111,Outcomes!$B$3:$I$209,5,FALSE)</f>
        <v>4</v>
      </c>
      <c r="Q111">
        <f>VLOOKUP($A111,Outcomes!$B$3:$I$209,6,FALSE)</f>
        <v>0</v>
      </c>
      <c r="R111">
        <f>VLOOKUP($A111,Outcomes!$B$3:$I$209,7,FALSE)</f>
        <v>-4</v>
      </c>
      <c r="S111" t="str">
        <f t="shared" si="11"/>
        <v>HomFave</v>
      </c>
      <c r="T111" t="str">
        <f t="shared" si="12"/>
        <v/>
      </c>
      <c r="U111" t="str">
        <f t="shared" si="8"/>
        <v/>
      </c>
      <c r="V111" t="str">
        <f t="shared" si="13"/>
        <v/>
      </c>
      <c r="W111" t="str">
        <f t="shared" si="14"/>
        <v/>
      </c>
      <c r="X111" s="2" t="str">
        <f t="shared" si="15"/>
        <v/>
      </c>
      <c r="Y111" t="str">
        <f>VLOOKUP($A111,ScionOutput!$A$3:$BL$215,64,FALSE)</f>
        <v xml:space="preserve">824099. StatOnlyEns probability points gap does not exceed threshold (no edge found)! Play determined by LineStatEns only. </v>
      </c>
    </row>
    <row r="112" spans="1:25" x14ac:dyDescent="0.2">
      <c r="A112">
        <v>823693</v>
      </c>
      <c r="B112" s="3">
        <f>VLOOKUP($A112,ScionOutput!$A$3:$BL$215,3,FALSE)</f>
        <v>46187</v>
      </c>
      <c r="C112">
        <f>VLOOKUP($A112,ScionOutput!$A$3:$BL$215,22,FALSE)</f>
        <v>15</v>
      </c>
      <c r="D112" t="str">
        <f>VLOOKUP($A112,ScionOutput!$A$3:$BL$215,23,FALSE)</f>
        <v>MIN</v>
      </c>
      <c r="E112">
        <f>VLOOKUP($A112,ScionOutput!$A$3:$BL$215,6,FALSE)</f>
        <v>26</v>
      </c>
      <c r="F112" t="str">
        <f>VLOOKUP($A112,ScionOutput!$A$3:$BL$215,7,FALSE)</f>
        <v>STL</v>
      </c>
      <c r="G112">
        <f>VLOOKUP($A112,ScionOutput!$A$3:$BL$215,26,FALSE)</f>
        <v>-108</v>
      </c>
      <c r="H112">
        <f>VLOOKUP($A112,ScionOutput!$A$3:$BL$215,10,FALSE)</f>
        <v>100</v>
      </c>
      <c r="I112" t="str">
        <f>VLOOKUP($A112,ScionOutput!$A$3:$BL$215,58,FALSE)</f>
        <v>No Play</v>
      </c>
      <c r="J112">
        <f>VLOOKUP($A112,ScionOutput!$A$3:$BL$215,59,FALSE)</f>
        <v>0</v>
      </c>
      <c r="K112">
        <f>VLOOKUP($A112,ScionOutput!$A$3:$BL$215,62,FALSE)</f>
        <v>0</v>
      </c>
      <c r="L112">
        <f>VLOOKUP($A112,ScionOutput!$A$3:$BL$215,63,FALSE)</f>
        <v>0</v>
      </c>
      <c r="M112" t="b">
        <f t="shared" si="9"/>
        <v>0</v>
      </c>
      <c r="N112">
        <f>VLOOKUP($A112,Outcomes!$B$3:$I$209,8,FALSE)</f>
        <v>9</v>
      </c>
      <c r="O112">
        <f t="shared" si="10"/>
        <v>1</v>
      </c>
      <c r="P112">
        <f>VLOOKUP($A112,Outcomes!$B$3:$I$209,5,FALSE)</f>
        <v>5</v>
      </c>
      <c r="Q112">
        <f>VLOOKUP($A112,Outcomes!$B$3:$I$209,6,FALSE)</f>
        <v>4</v>
      </c>
      <c r="R112">
        <f>VLOOKUP($A112,Outcomes!$B$3:$I$209,7,FALSE)</f>
        <v>-1</v>
      </c>
      <c r="S112" t="str">
        <f t="shared" si="11"/>
        <v>HomFave</v>
      </c>
      <c r="T112" t="str">
        <f t="shared" si="12"/>
        <v/>
      </c>
      <c r="U112" t="str">
        <f t="shared" si="8"/>
        <v/>
      </c>
      <c r="V112" t="str">
        <f t="shared" si="13"/>
        <v/>
      </c>
      <c r="W112" t="str">
        <f t="shared" si="14"/>
        <v/>
      </c>
      <c r="X112" s="2" t="str">
        <f t="shared" si="15"/>
        <v/>
      </c>
      <c r="Y112" t="str">
        <f>VLOOKUP($A112,ScionOutput!$A$3:$BL$215,64,FALSE)</f>
        <v xml:space="preserve">823693. LineStatEns probability points gap does not exceed threshold (no edge found)! StatOnlyEns probability points gap does not exceed threshold (no edge found)! No play due to strategy constraints. </v>
      </c>
    </row>
    <row r="113" spans="1:25" x14ac:dyDescent="0.2">
      <c r="A113">
        <v>822722</v>
      </c>
      <c r="B113" s="3">
        <f>VLOOKUP($A113,ScionOutput!$A$3:$BL$215,3,FALSE)</f>
        <v>46187</v>
      </c>
      <c r="C113">
        <f>VLOOKUP($A113,ScionOutput!$A$3:$BL$215,22,FALSE)</f>
        <v>16</v>
      </c>
      <c r="D113" t="str">
        <f>VLOOKUP($A113,ScionOutput!$A$3:$BL$215,23,FALSE)</f>
        <v>WAS</v>
      </c>
      <c r="E113">
        <f>VLOOKUP($A113,ScionOutput!$A$3:$BL$215,6,FALSE)</f>
        <v>24</v>
      </c>
      <c r="F113" t="str">
        <f>VLOOKUP($A113,ScionOutput!$A$3:$BL$215,7,FALSE)</f>
        <v>SEA</v>
      </c>
      <c r="G113">
        <f>VLOOKUP($A113,ScionOutput!$A$3:$BL$215,26,FALSE)</f>
        <v>119</v>
      </c>
      <c r="H113">
        <f>VLOOKUP($A113,ScionOutput!$A$3:$BL$215,10,FALSE)</f>
        <v>-129</v>
      </c>
      <c r="I113" t="str">
        <f>VLOOKUP($A113,ScionOutput!$A$3:$BL$215,58,FALSE)</f>
        <v>No Play</v>
      </c>
      <c r="J113">
        <f>VLOOKUP($A113,ScionOutput!$A$3:$BL$215,59,FALSE)</f>
        <v>0</v>
      </c>
      <c r="K113">
        <f>VLOOKUP($A113,ScionOutput!$A$3:$BL$215,62,FALSE)</f>
        <v>0</v>
      </c>
      <c r="L113">
        <f>VLOOKUP($A113,ScionOutput!$A$3:$BL$215,63,FALSE)</f>
        <v>0</v>
      </c>
      <c r="M113" t="b">
        <f t="shared" si="9"/>
        <v>0</v>
      </c>
      <c r="N113">
        <f>VLOOKUP($A113,Outcomes!$B$3:$I$209,8,FALSE)</f>
        <v>11</v>
      </c>
      <c r="O113">
        <f t="shared" si="10"/>
        <v>1</v>
      </c>
      <c r="P113">
        <f>VLOOKUP($A113,Outcomes!$B$3:$I$209,5,FALSE)</f>
        <v>10</v>
      </c>
      <c r="Q113">
        <f>VLOOKUP($A113,Outcomes!$B$3:$I$209,6,FALSE)</f>
        <v>1</v>
      </c>
      <c r="R113">
        <f>VLOOKUP($A113,Outcomes!$B$3:$I$209,7,FALSE)</f>
        <v>-9</v>
      </c>
      <c r="S113" t="str">
        <f t="shared" si="11"/>
        <v>HomDog</v>
      </c>
      <c r="T113" t="str">
        <f t="shared" si="12"/>
        <v/>
      </c>
      <c r="U113" t="str">
        <f t="shared" si="8"/>
        <v/>
      </c>
      <c r="V113" t="str">
        <f t="shared" si="13"/>
        <v/>
      </c>
      <c r="W113" t="str">
        <f t="shared" si="14"/>
        <v/>
      </c>
      <c r="X113" s="2" t="str">
        <f t="shared" si="15"/>
        <v/>
      </c>
      <c r="Y113" t="str">
        <f>VLOOKUP($A113,ScionOutput!$A$3:$BL$215,64,FALSE)</f>
        <v xml:space="preserve">822722. VF plays are disallowed. No play due to strategy constraints. </v>
      </c>
    </row>
    <row r="114" spans="1:25" x14ac:dyDescent="0.2">
      <c r="A114">
        <v>823777</v>
      </c>
      <c r="B114" s="3">
        <f>VLOOKUP($A114,ScionOutput!$A$3:$BL$215,3,FALSE)</f>
        <v>46187</v>
      </c>
      <c r="C114">
        <f>VLOOKUP($A114,ScionOutput!$A$3:$BL$215,22,FALSE)</f>
        <v>17</v>
      </c>
      <c r="D114" t="str">
        <f>VLOOKUP($A114,ScionOutput!$A$3:$BL$215,23,FALSE)</f>
        <v>MLW</v>
      </c>
      <c r="E114">
        <f>VLOOKUP($A114,ScionOutput!$A$3:$BL$215,6,FALSE)</f>
        <v>21</v>
      </c>
      <c r="F114" t="str">
        <f>VLOOKUP($A114,ScionOutput!$A$3:$BL$215,7,FALSE)</f>
        <v>PHI</v>
      </c>
      <c r="G114">
        <f>VLOOKUP($A114,ScionOutput!$A$3:$BL$215,26,FALSE)</f>
        <v>113</v>
      </c>
      <c r="H114">
        <f>VLOOKUP($A114,ScionOutput!$A$3:$BL$215,10,FALSE)</f>
        <v>-122</v>
      </c>
      <c r="I114" t="str">
        <f>VLOOKUP($A114,ScionOutput!$A$3:$BL$215,58,FALSE)</f>
        <v>No Play</v>
      </c>
      <c r="J114">
        <f>VLOOKUP($A114,ScionOutput!$A$3:$BL$215,59,FALSE)</f>
        <v>0</v>
      </c>
      <c r="K114">
        <f>VLOOKUP($A114,ScionOutput!$A$3:$BL$215,62,FALSE)</f>
        <v>0</v>
      </c>
      <c r="L114">
        <f>VLOOKUP($A114,ScionOutput!$A$3:$BL$215,63,FALSE)</f>
        <v>0</v>
      </c>
      <c r="M114" t="b">
        <f t="shared" si="9"/>
        <v>0</v>
      </c>
      <c r="N114">
        <f>VLOOKUP($A114,Outcomes!$B$3:$I$209,8,FALSE)</f>
        <v>4</v>
      </c>
      <c r="O114">
        <f t="shared" si="10"/>
        <v>1</v>
      </c>
      <c r="P114">
        <f>VLOOKUP($A114,Outcomes!$B$3:$I$209,5,FALSE)</f>
        <v>4</v>
      </c>
      <c r="Q114">
        <f>VLOOKUP($A114,Outcomes!$B$3:$I$209,6,FALSE)</f>
        <v>0</v>
      </c>
      <c r="R114">
        <f>VLOOKUP($A114,Outcomes!$B$3:$I$209,7,FALSE)</f>
        <v>-4</v>
      </c>
      <c r="S114" t="str">
        <f t="shared" si="11"/>
        <v>HomDog</v>
      </c>
      <c r="T114" t="str">
        <f t="shared" si="12"/>
        <v/>
      </c>
      <c r="U114" t="str">
        <f t="shared" si="8"/>
        <v/>
      </c>
      <c r="V114" t="str">
        <f t="shared" si="13"/>
        <v/>
      </c>
      <c r="W114" t="str">
        <f t="shared" si="14"/>
        <v/>
      </c>
      <c r="X114" s="2" t="str">
        <f t="shared" si="15"/>
        <v/>
      </c>
      <c r="Y114" t="str">
        <f>VLOOKUP($A114,ScionOutput!$A$3:$BL$215,64,FALSE)</f>
        <v xml:space="preserve">823777. VF plays are disallowed. No play due to strategy constraints. </v>
      </c>
    </row>
    <row r="115" spans="1:25" x14ac:dyDescent="0.2">
      <c r="A115">
        <v>823615</v>
      </c>
      <c r="B115" s="3">
        <f>VLOOKUP($A115,ScionOutput!$A$3:$BL$215,3,FALSE)</f>
        <v>46187</v>
      </c>
      <c r="C115">
        <f>VLOOKUP($A115,ScionOutput!$A$3:$BL$215,22,FALSE)</f>
        <v>18</v>
      </c>
      <c r="D115" t="str">
        <f>VLOOKUP($A115,ScionOutput!$A$3:$BL$215,23,FALSE)</f>
        <v>NYM</v>
      </c>
      <c r="E115">
        <f>VLOOKUP($A115,ScionOutput!$A$3:$BL$215,6,FALSE)</f>
        <v>0</v>
      </c>
      <c r="F115" t="str">
        <f>VLOOKUP($A115,ScionOutput!$A$3:$BL$215,7,FALSE)</f>
        <v>ATL</v>
      </c>
      <c r="G115">
        <f>VLOOKUP($A115,ScionOutput!$A$3:$BL$215,26,FALSE)</f>
        <v>-122</v>
      </c>
      <c r="H115">
        <f>VLOOKUP($A115,ScionOutput!$A$3:$BL$215,10,FALSE)</f>
        <v>113</v>
      </c>
      <c r="I115" t="str">
        <f>VLOOKUP($A115,ScionOutput!$A$3:$BL$215,58,FALSE)</f>
        <v>No Play</v>
      </c>
      <c r="J115">
        <f>VLOOKUP($A115,ScionOutput!$A$3:$BL$215,59,FALSE)</f>
        <v>0</v>
      </c>
      <c r="K115">
        <f>VLOOKUP($A115,ScionOutput!$A$3:$BL$215,62,FALSE)</f>
        <v>0</v>
      </c>
      <c r="L115">
        <f>VLOOKUP($A115,ScionOutput!$A$3:$BL$215,63,FALSE)</f>
        <v>0</v>
      </c>
      <c r="M115" t="b">
        <f t="shared" si="9"/>
        <v>0</v>
      </c>
      <c r="N115">
        <f>VLOOKUP($A115,Outcomes!$B$3:$I$209,8,FALSE)</f>
        <v>9</v>
      </c>
      <c r="O115">
        <f t="shared" si="10"/>
        <v>1</v>
      </c>
      <c r="P115">
        <f>VLOOKUP($A115,Outcomes!$B$3:$I$209,5,FALSE)</f>
        <v>8</v>
      </c>
      <c r="Q115">
        <f>VLOOKUP($A115,Outcomes!$B$3:$I$209,6,FALSE)</f>
        <v>1</v>
      </c>
      <c r="R115">
        <f>VLOOKUP($A115,Outcomes!$B$3:$I$209,7,FALSE)</f>
        <v>-7</v>
      </c>
      <c r="S115" t="str">
        <f t="shared" si="11"/>
        <v>HomFave</v>
      </c>
      <c r="T115" t="str">
        <f t="shared" si="12"/>
        <v/>
      </c>
      <c r="U115" t="str">
        <f t="shared" si="8"/>
        <v/>
      </c>
      <c r="V115" t="str">
        <f t="shared" si="13"/>
        <v/>
      </c>
      <c r="W115" t="str">
        <f t="shared" si="14"/>
        <v/>
      </c>
      <c r="X115" s="2" t="str">
        <f t="shared" si="15"/>
        <v/>
      </c>
      <c r="Y115" t="str">
        <f>VLOOKUP($A115,ScionOutput!$A$3:$BL$215,64,FALSE)</f>
        <v xml:space="preserve">823615. LineStatEns probability points gap does not exceed threshold (no edge found)! No play due to strategy constraints. </v>
      </c>
    </row>
    <row r="116" spans="1:25" x14ac:dyDescent="0.2">
      <c r="A116">
        <v>824994</v>
      </c>
      <c r="B116" s="3">
        <f>VLOOKUP($A116,ScionOutput!$A$3:$BL$215,3,FALSE)</f>
        <v>46187</v>
      </c>
      <c r="C116">
        <f>VLOOKUP($A116,ScionOutput!$A$3:$BL$215,22,FALSE)</f>
        <v>20</v>
      </c>
      <c r="D116" t="str">
        <f>VLOOKUP($A116,ScionOutput!$A$3:$BL$215,23,FALSE)</f>
        <v>OAK</v>
      </c>
      <c r="E116">
        <f>VLOOKUP($A116,ScionOutput!$A$3:$BL$215,6,FALSE)</f>
        <v>8</v>
      </c>
      <c r="F116" t="str">
        <f>VLOOKUP($A116,ScionOutput!$A$3:$BL$215,7,FALSE)</f>
        <v>COL</v>
      </c>
      <c r="G116">
        <f>VLOOKUP($A116,ScionOutput!$A$3:$BL$215,26,FALSE)</f>
        <v>-188</v>
      </c>
      <c r="H116">
        <f>VLOOKUP($A116,ScionOutput!$A$3:$BL$215,10,FALSE)</f>
        <v>171</v>
      </c>
      <c r="I116" t="str">
        <f>VLOOKUP($A116,ScionOutput!$A$3:$BL$215,58,FALSE)</f>
        <v>No Play</v>
      </c>
      <c r="J116">
        <f>VLOOKUP($A116,ScionOutput!$A$3:$BL$215,59,FALSE)</f>
        <v>0</v>
      </c>
      <c r="K116">
        <f>VLOOKUP($A116,ScionOutput!$A$3:$BL$215,62,FALSE)</f>
        <v>0</v>
      </c>
      <c r="L116">
        <f>VLOOKUP($A116,ScionOutput!$A$3:$BL$215,63,FALSE)</f>
        <v>0</v>
      </c>
      <c r="M116" t="b">
        <f t="shared" si="9"/>
        <v>0</v>
      </c>
      <c r="N116">
        <f>VLOOKUP($A116,Outcomes!$B$3:$I$209,8,FALSE)</f>
        <v>32</v>
      </c>
      <c r="O116">
        <f t="shared" si="10"/>
        <v>-1</v>
      </c>
      <c r="P116">
        <f>VLOOKUP($A116,Outcomes!$B$3:$I$209,5,FALSE)</f>
        <v>9</v>
      </c>
      <c r="Q116">
        <f>VLOOKUP($A116,Outcomes!$B$3:$I$209,6,FALSE)</f>
        <v>23</v>
      </c>
      <c r="R116">
        <f>VLOOKUP($A116,Outcomes!$B$3:$I$209,7,FALSE)</f>
        <v>14</v>
      </c>
      <c r="S116" t="str">
        <f t="shared" si="11"/>
        <v>VisDog</v>
      </c>
      <c r="T116" t="str">
        <f t="shared" si="12"/>
        <v/>
      </c>
      <c r="U116" t="str">
        <f t="shared" si="8"/>
        <v/>
      </c>
      <c r="V116" t="str">
        <f t="shared" si="13"/>
        <v/>
      </c>
      <c r="W116" t="str">
        <f t="shared" si="14"/>
        <v/>
      </c>
      <c r="X116" s="2" t="str">
        <f t="shared" si="15"/>
        <v/>
      </c>
      <c r="Y116" t="str">
        <f>VLOOKUP($A116,ScionOutput!$A$3:$BL$215,64,FALSE)</f>
        <v xml:space="preserve">824994. LineStatEns is NoPlay as bookie-line outside range. StatOnlyEns is NoPlay as bookie-line outside range. No play due to strategy constraints. </v>
      </c>
    </row>
    <row r="117" spans="1:25" x14ac:dyDescent="0.2">
      <c r="A117">
        <v>823368</v>
      </c>
      <c r="B117" s="3">
        <f>VLOOKUP($A117,ScionOutput!$A$3:$BL$215,3,FALSE)</f>
        <v>46187</v>
      </c>
      <c r="C117">
        <f>VLOOKUP($A117,ScionOutput!$A$3:$BL$215,22,FALSE)</f>
        <v>22</v>
      </c>
      <c r="D117" t="str">
        <f>VLOOKUP($A117,ScionOutput!$A$3:$BL$215,23,FALSE)</f>
        <v>PIT</v>
      </c>
      <c r="E117">
        <f>VLOOKUP($A117,ScionOutput!$A$3:$BL$215,6,FALSE)</f>
        <v>11</v>
      </c>
      <c r="F117" t="str">
        <f>VLOOKUP($A117,ScionOutput!$A$3:$BL$215,7,FALSE)</f>
        <v>FLO</v>
      </c>
      <c r="G117">
        <f>VLOOKUP($A117,ScionOutput!$A$3:$BL$215,26,FALSE)</f>
        <v>-150</v>
      </c>
      <c r="H117">
        <f>VLOOKUP($A117,ScionOutput!$A$3:$BL$215,10,FALSE)</f>
        <v>138</v>
      </c>
      <c r="I117" t="str">
        <f>VLOOKUP($A117,ScionOutput!$A$3:$BL$215,58,FALSE)</f>
        <v>No Play</v>
      </c>
      <c r="J117">
        <f>VLOOKUP($A117,ScionOutput!$A$3:$BL$215,59,FALSE)</f>
        <v>0</v>
      </c>
      <c r="K117">
        <f>VLOOKUP($A117,ScionOutput!$A$3:$BL$215,62,FALSE)</f>
        <v>0</v>
      </c>
      <c r="L117">
        <f>VLOOKUP($A117,ScionOutput!$A$3:$BL$215,63,FALSE)</f>
        <v>0</v>
      </c>
      <c r="M117" t="b">
        <f t="shared" si="9"/>
        <v>0</v>
      </c>
      <c r="N117">
        <f>VLOOKUP($A117,Outcomes!$B$3:$I$209,8,FALSE)</f>
        <v>6</v>
      </c>
      <c r="O117">
        <f t="shared" si="10"/>
        <v>-1</v>
      </c>
      <c r="P117">
        <f>VLOOKUP($A117,Outcomes!$B$3:$I$209,5,FALSE)</f>
        <v>2</v>
      </c>
      <c r="Q117">
        <f>VLOOKUP($A117,Outcomes!$B$3:$I$209,6,FALSE)</f>
        <v>4</v>
      </c>
      <c r="R117">
        <f>VLOOKUP($A117,Outcomes!$B$3:$I$209,7,FALSE)</f>
        <v>2</v>
      </c>
      <c r="S117" t="str">
        <f t="shared" si="11"/>
        <v>VisDog</v>
      </c>
      <c r="T117" t="str">
        <f t="shared" si="12"/>
        <v/>
      </c>
      <c r="U117" t="str">
        <f t="shared" si="8"/>
        <v/>
      </c>
      <c r="V117" t="str">
        <f t="shared" si="13"/>
        <v/>
      </c>
      <c r="W117" t="str">
        <f t="shared" si="14"/>
        <v/>
      </c>
      <c r="X117" s="2" t="str">
        <f t="shared" si="15"/>
        <v/>
      </c>
      <c r="Y117" t="str">
        <f>VLOOKUP($A117,ScionOutput!$A$3:$BL$215,64,FALSE)</f>
        <v xml:space="preserve">823368. LineStatEns probability points gap does not exceed threshold (no edge found)! No play due to strategy constraints. </v>
      </c>
    </row>
    <row r="118" spans="1:25" x14ac:dyDescent="0.2">
      <c r="A118">
        <v>823212</v>
      </c>
      <c r="B118" s="3">
        <f>VLOOKUP($A118,ScionOutput!$A$3:$BL$215,3,FALSE)</f>
        <v>46187</v>
      </c>
      <c r="C118">
        <f>VLOOKUP($A118,ScionOutput!$A$3:$BL$215,22,FALSE)</f>
        <v>25</v>
      </c>
      <c r="D118" t="str">
        <f>VLOOKUP($A118,ScionOutput!$A$3:$BL$215,23,FALSE)</f>
        <v>SF</v>
      </c>
      <c r="E118">
        <f>VLOOKUP($A118,ScionOutput!$A$3:$BL$215,6,FALSE)</f>
        <v>5</v>
      </c>
      <c r="F118" t="str">
        <f>VLOOKUP($A118,ScionOutput!$A$3:$BL$215,7,FALSE)</f>
        <v>CHC</v>
      </c>
      <c r="G118">
        <f>VLOOKUP($A118,ScionOutput!$A$3:$BL$215,26,FALSE)</f>
        <v>-124</v>
      </c>
      <c r="H118">
        <f>VLOOKUP($A118,ScionOutput!$A$3:$BL$215,10,FALSE)</f>
        <v>115</v>
      </c>
      <c r="I118" t="str">
        <f>VLOOKUP($A118,ScionOutput!$A$3:$BL$215,58,FALSE)</f>
        <v>No Play</v>
      </c>
      <c r="J118">
        <f>VLOOKUP($A118,ScionOutput!$A$3:$BL$215,59,FALSE)</f>
        <v>0</v>
      </c>
      <c r="K118">
        <f>VLOOKUP($A118,ScionOutput!$A$3:$BL$215,62,FALSE)</f>
        <v>0</v>
      </c>
      <c r="L118">
        <f>VLOOKUP($A118,ScionOutput!$A$3:$BL$215,63,FALSE)</f>
        <v>0</v>
      </c>
      <c r="M118" t="b">
        <f t="shared" si="9"/>
        <v>0</v>
      </c>
      <c r="N118">
        <f>VLOOKUP($A118,Outcomes!$B$3:$I$209,8,FALSE)</f>
        <v>6</v>
      </c>
      <c r="O118">
        <f t="shared" si="10"/>
        <v>1</v>
      </c>
      <c r="P118">
        <f>VLOOKUP($A118,Outcomes!$B$3:$I$209,5,FALSE)</f>
        <v>5</v>
      </c>
      <c r="Q118">
        <f>VLOOKUP($A118,Outcomes!$B$3:$I$209,6,FALSE)</f>
        <v>1</v>
      </c>
      <c r="R118">
        <f>VLOOKUP($A118,Outcomes!$B$3:$I$209,7,FALSE)</f>
        <v>-4</v>
      </c>
      <c r="S118" t="str">
        <f t="shared" si="11"/>
        <v>HomFave</v>
      </c>
      <c r="T118" t="str">
        <f t="shared" si="12"/>
        <v/>
      </c>
      <c r="U118" t="str">
        <f t="shared" si="8"/>
        <v/>
      </c>
      <c r="V118" t="str">
        <f t="shared" si="13"/>
        <v/>
      </c>
      <c r="W118" t="str">
        <f t="shared" si="14"/>
        <v/>
      </c>
      <c r="X118" s="2" t="str">
        <f t="shared" si="15"/>
        <v/>
      </c>
      <c r="Y118" t="str">
        <f>VLOOKUP($A118,ScionOutput!$A$3:$BL$215,64,FALSE)</f>
        <v xml:space="preserve">823212. V_SP is Null, team-based avg used. NoPlay as V_SP is Null. </v>
      </c>
    </row>
    <row r="119" spans="1:25" x14ac:dyDescent="0.2">
      <c r="A119">
        <v>822801</v>
      </c>
      <c r="B119" s="3">
        <f>VLOOKUP($A119,ScionOutput!$A$3:$BL$215,3,FALSE)</f>
        <v>46187</v>
      </c>
      <c r="C119">
        <f>VLOOKUP($A119,ScionOutput!$A$3:$BL$215,22,FALSE)</f>
        <v>29</v>
      </c>
      <c r="D119" t="str">
        <f>VLOOKUP($A119,ScionOutput!$A$3:$BL$215,23,FALSE)</f>
        <v>TOR</v>
      </c>
      <c r="E119">
        <f>VLOOKUP($A119,ScionOutput!$A$3:$BL$215,6,FALSE)</f>
        <v>19</v>
      </c>
      <c r="F119" t="str">
        <f>VLOOKUP($A119,ScionOutput!$A$3:$BL$215,7,FALSE)</f>
        <v>NYY</v>
      </c>
      <c r="G119">
        <f>VLOOKUP($A119,ScionOutput!$A$3:$BL$215,26,FALSE)</f>
        <v>112</v>
      </c>
      <c r="H119">
        <f>VLOOKUP($A119,ScionOutput!$A$3:$BL$215,10,FALSE)</f>
        <v>-121</v>
      </c>
      <c r="I119" t="str">
        <f>VLOOKUP($A119,ScionOutput!$A$3:$BL$215,58,FALSE)</f>
        <v>No Play</v>
      </c>
      <c r="J119">
        <f>VLOOKUP($A119,ScionOutput!$A$3:$BL$215,59,FALSE)</f>
        <v>0</v>
      </c>
      <c r="K119">
        <f>VLOOKUP($A119,ScionOutput!$A$3:$BL$215,62,FALSE)</f>
        <v>0</v>
      </c>
      <c r="L119">
        <f>VLOOKUP($A119,ScionOutput!$A$3:$BL$215,63,FALSE)</f>
        <v>0</v>
      </c>
      <c r="M119" t="b">
        <f t="shared" si="9"/>
        <v>0</v>
      </c>
      <c r="N119">
        <f>VLOOKUP($A119,Outcomes!$B$3:$I$209,8,FALSE)</f>
        <v>11</v>
      </c>
      <c r="O119">
        <f t="shared" si="10"/>
        <v>-1</v>
      </c>
      <c r="P119">
        <f>VLOOKUP($A119,Outcomes!$B$3:$I$209,5,FALSE)</f>
        <v>3</v>
      </c>
      <c r="Q119">
        <f>VLOOKUP($A119,Outcomes!$B$3:$I$209,6,FALSE)</f>
        <v>8</v>
      </c>
      <c r="R119">
        <f>VLOOKUP($A119,Outcomes!$B$3:$I$209,7,FALSE)</f>
        <v>5</v>
      </c>
      <c r="S119" t="str">
        <f t="shared" si="11"/>
        <v>VisFave</v>
      </c>
      <c r="T119" t="str">
        <f t="shared" si="12"/>
        <v/>
      </c>
      <c r="U119" t="str">
        <f t="shared" si="8"/>
        <v/>
      </c>
      <c r="V119" t="str">
        <f t="shared" si="13"/>
        <v/>
      </c>
      <c r="W119" t="str">
        <f t="shared" si="14"/>
        <v/>
      </c>
      <c r="X119" s="2" t="str">
        <f t="shared" si="15"/>
        <v/>
      </c>
      <c r="Y119" t="str">
        <f>VLOOKUP($A119,ScionOutput!$A$3:$BL$215,64,FALSE)</f>
        <v xml:space="preserve">822801. VF plays are disallowed. No play due to strategy constraints. </v>
      </c>
    </row>
    <row r="120" spans="1:25" x14ac:dyDescent="0.2">
      <c r="A120">
        <v>825071</v>
      </c>
      <c r="B120" s="3">
        <f>VLOOKUP($A120,ScionOutput!$A$3:$BL$215,3,FALSE)</f>
        <v>46188</v>
      </c>
      <c r="C120">
        <f>VLOOKUP($A120,ScionOutput!$A$3:$BL$215,22,FALSE)</f>
        <v>1</v>
      </c>
      <c r="D120" t="str">
        <f>VLOOKUP($A120,ScionOutput!$A$3:$BL$215,23,FALSE)</f>
        <v>ARZ</v>
      </c>
      <c r="E120">
        <f>VLOOKUP($A120,ScionOutput!$A$3:$BL$215,6,FALSE)</f>
        <v>4</v>
      </c>
      <c r="F120" t="str">
        <f>VLOOKUP($A120,ScionOutput!$A$3:$BL$215,7,FALSE)</f>
        <v>LAA</v>
      </c>
      <c r="G120">
        <f>VLOOKUP($A120,ScionOutput!$A$3:$BL$215,26,FALSE)</f>
        <v>-125</v>
      </c>
      <c r="H120">
        <f>VLOOKUP($A120,ScionOutput!$A$3:$BL$215,10,FALSE)</f>
        <v>116</v>
      </c>
      <c r="I120" t="str">
        <f>VLOOKUP($A120,ScionOutput!$A$3:$BL$215,58,FALSE)</f>
        <v>No Play</v>
      </c>
      <c r="J120">
        <f>VLOOKUP($A120,ScionOutput!$A$3:$BL$215,59,FALSE)</f>
        <v>0</v>
      </c>
      <c r="K120">
        <f>VLOOKUP($A120,ScionOutput!$A$3:$BL$215,62,FALSE)</f>
        <v>0</v>
      </c>
      <c r="L120">
        <f>VLOOKUP($A120,ScionOutput!$A$3:$BL$215,63,FALSE)</f>
        <v>0</v>
      </c>
      <c r="M120" t="b">
        <f t="shared" si="9"/>
        <v>0</v>
      </c>
      <c r="N120">
        <f>VLOOKUP($A120,Outcomes!$B$3:$I$209,8,FALSE)</f>
        <v>7</v>
      </c>
      <c r="O120">
        <f t="shared" si="10"/>
        <v>1</v>
      </c>
      <c r="P120">
        <f>VLOOKUP($A120,Outcomes!$B$3:$I$209,5,FALSE)</f>
        <v>4</v>
      </c>
      <c r="Q120">
        <f>VLOOKUP($A120,Outcomes!$B$3:$I$209,6,FALSE)</f>
        <v>3</v>
      </c>
      <c r="R120">
        <f>VLOOKUP($A120,Outcomes!$B$3:$I$209,7,FALSE)</f>
        <v>-1</v>
      </c>
      <c r="S120" t="str">
        <f t="shared" si="11"/>
        <v>HomFave</v>
      </c>
      <c r="T120" t="str">
        <f t="shared" si="12"/>
        <v/>
      </c>
      <c r="U120" t="str">
        <f t="shared" si="8"/>
        <v/>
      </c>
      <c r="V120" t="str">
        <f t="shared" si="13"/>
        <v/>
      </c>
      <c r="W120" t="str">
        <f t="shared" si="14"/>
        <v/>
      </c>
      <c r="X120" s="2" t="str">
        <f t="shared" si="15"/>
        <v/>
      </c>
      <c r="Y120" t="str">
        <f>VLOOKUP($A120,ScionOutput!$A$3:$BL$215,64,FALSE)</f>
        <v xml:space="preserve">825071. LineStatEns probability points gap does not exceed threshold (no edge found)! StatOnlyEns probability points gap does not exceed threshold (no edge found)! No play due to strategy constraints. </v>
      </c>
    </row>
    <row r="121" spans="1:25" x14ac:dyDescent="0.2">
      <c r="A121">
        <v>824666</v>
      </c>
      <c r="B121" s="3">
        <f>VLOOKUP($A121,ScionOutput!$A$3:$BL$215,3,FALSE)</f>
        <v>46188</v>
      </c>
      <c r="C121">
        <f>VLOOKUP($A121,ScionOutput!$A$3:$BL$215,22,FALSE)</f>
        <v>5</v>
      </c>
      <c r="D121" t="str">
        <f>VLOOKUP($A121,ScionOutput!$A$3:$BL$215,23,FALSE)</f>
        <v>CHC</v>
      </c>
      <c r="E121">
        <f>VLOOKUP($A121,ScionOutput!$A$3:$BL$215,6,FALSE)</f>
        <v>8</v>
      </c>
      <c r="F121" t="str">
        <f>VLOOKUP($A121,ScionOutput!$A$3:$BL$215,7,FALSE)</f>
        <v>COL</v>
      </c>
      <c r="G121">
        <f>VLOOKUP($A121,ScionOutput!$A$3:$BL$215,26,FALSE)</f>
        <v>-205</v>
      </c>
      <c r="H121">
        <f>VLOOKUP($A121,ScionOutput!$A$3:$BL$215,10,FALSE)</f>
        <v>186</v>
      </c>
      <c r="I121" t="str">
        <f>VLOOKUP($A121,ScionOutput!$A$3:$BL$215,58,FALSE)</f>
        <v>No Play</v>
      </c>
      <c r="J121">
        <f>VLOOKUP($A121,ScionOutput!$A$3:$BL$215,59,FALSE)</f>
        <v>0</v>
      </c>
      <c r="K121">
        <f>VLOOKUP($A121,ScionOutput!$A$3:$BL$215,62,FALSE)</f>
        <v>0</v>
      </c>
      <c r="L121">
        <f>VLOOKUP($A121,ScionOutput!$A$3:$BL$215,63,FALSE)</f>
        <v>0</v>
      </c>
      <c r="M121" t="b">
        <f t="shared" si="9"/>
        <v>0</v>
      </c>
      <c r="N121">
        <f>VLOOKUP($A121,Outcomes!$B$3:$I$209,8,FALSE)</f>
        <v>9</v>
      </c>
      <c r="O121">
        <f t="shared" si="10"/>
        <v>1</v>
      </c>
      <c r="P121">
        <f>VLOOKUP($A121,Outcomes!$B$3:$I$209,5,FALSE)</f>
        <v>5</v>
      </c>
      <c r="Q121">
        <f>VLOOKUP($A121,Outcomes!$B$3:$I$209,6,FALSE)</f>
        <v>4</v>
      </c>
      <c r="R121">
        <f>VLOOKUP($A121,Outcomes!$B$3:$I$209,7,FALSE)</f>
        <v>-1</v>
      </c>
      <c r="S121" t="str">
        <f t="shared" si="11"/>
        <v>HomFave</v>
      </c>
      <c r="T121" t="str">
        <f t="shared" si="12"/>
        <v/>
      </c>
      <c r="U121" t="str">
        <f t="shared" si="8"/>
        <v/>
      </c>
      <c r="V121" t="str">
        <f t="shared" si="13"/>
        <v/>
      </c>
      <c r="W121" t="str">
        <f t="shared" si="14"/>
        <v/>
      </c>
      <c r="X121" s="2" t="str">
        <f t="shared" si="15"/>
        <v/>
      </c>
      <c r="Y121" t="str">
        <f>VLOOKUP($A121,ScionOutput!$A$3:$BL$215,64,FALSE)</f>
        <v xml:space="preserve">824666. LineStatEns is NoPlay as bookie-line outside range. StatOnlyEns is NoPlay as bookie-line outside range. No play due to strategy constraints. </v>
      </c>
    </row>
    <row r="122" spans="1:25" x14ac:dyDescent="0.2">
      <c r="A122">
        <v>824505</v>
      </c>
      <c r="B122" s="3">
        <f>VLOOKUP($A122,ScionOutput!$A$3:$BL$215,3,FALSE)</f>
        <v>46188</v>
      </c>
      <c r="C122">
        <f>VLOOKUP($A122,ScionOutput!$A$3:$BL$215,22,FALSE)</f>
        <v>6</v>
      </c>
      <c r="D122" t="str">
        <f>VLOOKUP($A122,ScionOutput!$A$3:$BL$215,23,FALSE)</f>
        <v>CIN</v>
      </c>
      <c r="E122">
        <f>VLOOKUP($A122,ScionOutput!$A$3:$BL$215,6,FALSE)</f>
        <v>18</v>
      </c>
      <c r="F122" t="str">
        <f>VLOOKUP($A122,ScionOutput!$A$3:$BL$215,7,FALSE)</f>
        <v>NYM</v>
      </c>
      <c r="G122">
        <f>VLOOKUP($A122,ScionOutput!$A$3:$BL$215,26,FALSE)</f>
        <v>-131</v>
      </c>
      <c r="H122">
        <f>VLOOKUP($A122,ScionOutput!$A$3:$BL$215,10,FALSE)</f>
        <v>121</v>
      </c>
      <c r="I122" t="str">
        <f>VLOOKUP($A122,ScionOutput!$A$3:$BL$215,58,FALSE)</f>
        <v>No Play</v>
      </c>
      <c r="J122">
        <f>VLOOKUP($A122,ScionOutput!$A$3:$BL$215,59,FALSE)</f>
        <v>0</v>
      </c>
      <c r="K122">
        <f>VLOOKUP($A122,ScionOutput!$A$3:$BL$215,62,FALSE)</f>
        <v>0</v>
      </c>
      <c r="L122">
        <f>VLOOKUP($A122,ScionOutput!$A$3:$BL$215,63,FALSE)</f>
        <v>0</v>
      </c>
      <c r="M122" t="b">
        <f t="shared" si="9"/>
        <v>0</v>
      </c>
      <c r="N122">
        <f>VLOOKUP($A122,Outcomes!$B$3:$I$209,8,FALSE)</f>
        <v>12</v>
      </c>
      <c r="O122">
        <f t="shared" si="10"/>
        <v>1</v>
      </c>
      <c r="P122">
        <f>VLOOKUP($A122,Outcomes!$B$3:$I$209,5,FALSE)</f>
        <v>12</v>
      </c>
      <c r="Q122">
        <f>VLOOKUP($A122,Outcomes!$B$3:$I$209,6,FALSE)</f>
        <v>0</v>
      </c>
      <c r="R122">
        <f>VLOOKUP($A122,Outcomes!$B$3:$I$209,7,FALSE)</f>
        <v>-12</v>
      </c>
      <c r="S122" t="str">
        <f t="shared" si="11"/>
        <v>HomFave</v>
      </c>
      <c r="T122" t="str">
        <f t="shared" si="12"/>
        <v/>
      </c>
      <c r="U122" t="str">
        <f t="shared" si="8"/>
        <v/>
      </c>
      <c r="V122" t="str">
        <f t="shared" si="13"/>
        <v/>
      </c>
      <c r="W122" t="str">
        <f t="shared" si="14"/>
        <v/>
      </c>
      <c r="X122" s="2" t="str">
        <f t="shared" si="15"/>
        <v/>
      </c>
      <c r="Y122" t="str">
        <f>VLOOKUP($A122,ScionOutput!$A$3:$BL$215,64,FALSE)</f>
        <v xml:space="preserve">824505. LineStatEns probability points gap does not exceed threshold (no edge found)! StatOnlyEns probability points gap does not exceed threshold (no edge found)! No play due to strategy constraints. </v>
      </c>
    </row>
    <row r="123" spans="1:25" x14ac:dyDescent="0.2">
      <c r="A123">
        <v>824181</v>
      </c>
      <c r="B123" s="3">
        <f>VLOOKUP($A123,ScionOutput!$A$3:$BL$215,3,FALSE)</f>
        <v>46188</v>
      </c>
      <c r="C123">
        <f>VLOOKUP($A123,ScionOutput!$A$3:$BL$215,22,FALSE)</f>
        <v>12</v>
      </c>
      <c r="D123" t="str">
        <f>VLOOKUP($A123,ScionOutput!$A$3:$BL$215,23,FALSE)</f>
        <v>HOU</v>
      </c>
      <c r="E123">
        <f>VLOOKUP($A123,ScionOutput!$A$3:$BL$215,6,FALSE)</f>
        <v>10</v>
      </c>
      <c r="F123" t="str">
        <f>VLOOKUP($A123,ScionOutput!$A$3:$BL$215,7,FALSE)</f>
        <v>DET</v>
      </c>
      <c r="G123">
        <f>VLOOKUP($A123,ScionOutput!$A$3:$BL$215,26,FALSE)</f>
        <v>-114</v>
      </c>
      <c r="H123">
        <f>VLOOKUP($A123,ScionOutput!$A$3:$BL$215,10,FALSE)</f>
        <v>106</v>
      </c>
      <c r="I123" t="str">
        <f>VLOOKUP($A123,ScionOutput!$A$3:$BL$215,58,FALSE)</f>
        <v>VisDog</v>
      </c>
      <c r="J123">
        <f>VLOOKUP($A123,ScionOutput!$A$3:$BL$215,59,FALSE)</f>
        <v>-3.322E-2</v>
      </c>
      <c r="K123">
        <f>VLOOKUP($A123,ScionOutput!$A$3:$BL$215,62,FALSE)</f>
        <v>5</v>
      </c>
      <c r="L123">
        <f>VLOOKUP($A123,ScionOutput!$A$3:$BL$215,63,FALSE)</f>
        <v>0.8</v>
      </c>
      <c r="M123" t="b">
        <f t="shared" si="9"/>
        <v>1</v>
      </c>
      <c r="N123">
        <f>VLOOKUP($A123,Outcomes!$B$3:$I$209,8,FALSE)</f>
        <v>12</v>
      </c>
      <c r="O123">
        <f t="shared" si="10"/>
        <v>-1</v>
      </c>
      <c r="P123">
        <f>VLOOKUP($A123,Outcomes!$B$3:$I$209,5,FALSE)</f>
        <v>3</v>
      </c>
      <c r="Q123">
        <f>VLOOKUP($A123,Outcomes!$B$3:$I$209,6,FALSE)</f>
        <v>9</v>
      </c>
      <c r="R123">
        <f>VLOOKUP($A123,Outcomes!$B$3:$I$209,7,FALSE)</f>
        <v>6</v>
      </c>
      <c r="S123" t="str">
        <f t="shared" si="11"/>
        <v>VisDog</v>
      </c>
      <c r="T123">
        <f t="shared" si="12"/>
        <v>1</v>
      </c>
      <c r="U123">
        <f t="shared" si="8"/>
        <v>100</v>
      </c>
      <c r="V123">
        <f t="shared" si="13"/>
        <v>206</v>
      </c>
      <c r="W123">
        <f t="shared" si="14"/>
        <v>106</v>
      </c>
      <c r="X123" s="2">
        <f t="shared" si="15"/>
        <v>1.06</v>
      </c>
      <c r="Y123" t="str">
        <f>VLOOKUP($A123,ScionOutput!$A$3:$BL$215,64,FALSE)</f>
        <v xml:space="preserve">824181. Play determined by LineStatEns and StatOnlyEns agreement. </v>
      </c>
    </row>
    <row r="124" spans="1:25" x14ac:dyDescent="0.2">
      <c r="A124">
        <v>823938</v>
      </c>
      <c r="B124" s="3">
        <f>VLOOKUP($A124,ScionOutput!$A$3:$BL$215,3,FALSE)</f>
        <v>46188</v>
      </c>
      <c r="C124">
        <f>VLOOKUP($A124,ScionOutput!$A$3:$BL$215,22,FALSE)</f>
        <v>14</v>
      </c>
      <c r="D124" t="str">
        <f>VLOOKUP($A124,ScionOutput!$A$3:$BL$215,23,FALSE)</f>
        <v>LA</v>
      </c>
      <c r="E124">
        <f>VLOOKUP($A124,ScionOutput!$A$3:$BL$215,6,FALSE)</f>
        <v>27</v>
      </c>
      <c r="F124" t="str">
        <f>VLOOKUP($A124,ScionOutput!$A$3:$BL$215,7,FALSE)</f>
        <v>TB</v>
      </c>
      <c r="G124">
        <f>VLOOKUP($A124,ScionOutput!$A$3:$BL$215,26,FALSE)</f>
        <v>-172</v>
      </c>
      <c r="H124">
        <f>VLOOKUP($A124,ScionOutput!$A$3:$BL$215,10,FALSE)</f>
        <v>158</v>
      </c>
      <c r="I124" t="str">
        <f>VLOOKUP($A124,ScionOutput!$A$3:$BL$215,58,FALSE)</f>
        <v>No Play</v>
      </c>
      <c r="J124">
        <f>VLOOKUP($A124,ScionOutput!$A$3:$BL$215,59,FALSE)</f>
        <v>0</v>
      </c>
      <c r="K124">
        <f>VLOOKUP($A124,ScionOutput!$A$3:$BL$215,62,FALSE)</f>
        <v>0</v>
      </c>
      <c r="L124">
        <f>VLOOKUP($A124,ScionOutput!$A$3:$BL$215,63,FALSE)</f>
        <v>0</v>
      </c>
      <c r="M124" t="b">
        <f t="shared" si="9"/>
        <v>0</v>
      </c>
      <c r="N124">
        <f>VLOOKUP($A124,Outcomes!$B$3:$I$209,8,FALSE)</f>
        <v>7</v>
      </c>
      <c r="O124">
        <f t="shared" si="10"/>
        <v>1</v>
      </c>
      <c r="P124">
        <f>VLOOKUP($A124,Outcomes!$B$3:$I$209,5,FALSE)</f>
        <v>4</v>
      </c>
      <c r="Q124">
        <f>VLOOKUP($A124,Outcomes!$B$3:$I$209,6,FALSE)</f>
        <v>3</v>
      </c>
      <c r="R124">
        <f>VLOOKUP($A124,Outcomes!$B$3:$I$209,7,FALSE)</f>
        <v>-1</v>
      </c>
      <c r="S124" t="str">
        <f t="shared" si="11"/>
        <v>HomFave</v>
      </c>
      <c r="T124" t="str">
        <f t="shared" si="12"/>
        <v/>
      </c>
      <c r="U124" t="str">
        <f t="shared" si="8"/>
        <v/>
      </c>
      <c r="V124" t="str">
        <f t="shared" si="13"/>
        <v/>
      </c>
      <c r="W124" t="str">
        <f t="shared" si="14"/>
        <v/>
      </c>
      <c r="X124" s="2" t="str">
        <f t="shared" si="15"/>
        <v/>
      </c>
      <c r="Y124" t="str">
        <f>VLOOKUP($A124,ScionOutput!$A$3:$BL$215,64,FALSE)</f>
        <v xml:space="preserve">823938. LineStatEns is NoPlay as bookie-line outside range. StatOnlyEns is NoPlay as bookie-line outside range. No play due to strategy constraints. </v>
      </c>
    </row>
    <row r="125" spans="1:25" x14ac:dyDescent="0.2">
      <c r="A125">
        <v>822724</v>
      </c>
      <c r="B125" s="3">
        <f>VLOOKUP($A125,ScionOutput!$A$3:$BL$215,3,FALSE)</f>
        <v>46188</v>
      </c>
      <c r="C125">
        <f>VLOOKUP($A125,ScionOutput!$A$3:$BL$215,22,FALSE)</f>
        <v>16</v>
      </c>
      <c r="D125" t="str">
        <f>VLOOKUP($A125,ScionOutput!$A$3:$BL$215,23,FALSE)</f>
        <v>WAS</v>
      </c>
      <c r="E125">
        <f>VLOOKUP($A125,ScionOutput!$A$3:$BL$215,6,FALSE)</f>
        <v>13</v>
      </c>
      <c r="F125" t="str">
        <f>VLOOKUP($A125,ScionOutput!$A$3:$BL$215,7,FALSE)</f>
        <v>KC</v>
      </c>
      <c r="G125">
        <f>VLOOKUP($A125,ScionOutput!$A$3:$BL$215,26,FALSE)</f>
        <v>-127</v>
      </c>
      <c r="H125">
        <f>VLOOKUP($A125,ScionOutput!$A$3:$BL$215,10,FALSE)</f>
        <v>118</v>
      </c>
      <c r="I125" t="str">
        <f>VLOOKUP($A125,ScionOutput!$A$3:$BL$215,58,FALSE)</f>
        <v>No Play</v>
      </c>
      <c r="J125">
        <f>VLOOKUP($A125,ScionOutput!$A$3:$BL$215,59,FALSE)</f>
        <v>0</v>
      </c>
      <c r="K125">
        <f>VLOOKUP($A125,ScionOutput!$A$3:$BL$215,62,FALSE)</f>
        <v>0</v>
      </c>
      <c r="L125">
        <f>VLOOKUP($A125,ScionOutput!$A$3:$BL$215,63,FALSE)</f>
        <v>0</v>
      </c>
      <c r="M125" t="b">
        <f t="shared" si="9"/>
        <v>0</v>
      </c>
      <c r="N125">
        <f>VLOOKUP($A125,Outcomes!$B$3:$I$209,8,FALSE)</f>
        <v>10</v>
      </c>
      <c r="O125">
        <f t="shared" si="10"/>
        <v>1</v>
      </c>
      <c r="P125">
        <f>VLOOKUP($A125,Outcomes!$B$3:$I$209,5,FALSE)</f>
        <v>7</v>
      </c>
      <c r="Q125">
        <f>VLOOKUP($A125,Outcomes!$B$3:$I$209,6,FALSE)</f>
        <v>3</v>
      </c>
      <c r="R125">
        <f>VLOOKUP($A125,Outcomes!$B$3:$I$209,7,FALSE)</f>
        <v>-4</v>
      </c>
      <c r="S125" t="str">
        <f t="shared" si="11"/>
        <v>HomFave</v>
      </c>
      <c r="T125" t="str">
        <f t="shared" si="12"/>
        <v/>
      </c>
      <c r="U125" t="str">
        <f t="shared" si="8"/>
        <v/>
      </c>
      <c r="V125" t="str">
        <f t="shared" si="13"/>
        <v/>
      </c>
      <c r="W125" t="str">
        <f t="shared" si="14"/>
        <v/>
      </c>
      <c r="X125" s="2" t="str">
        <f t="shared" si="15"/>
        <v/>
      </c>
      <c r="Y125" t="str">
        <f>VLOOKUP($A125,ScionOutput!$A$3:$BL$215,64,FALSE)</f>
        <v xml:space="preserve">822724. V_SP is Null, team-based avg used. NoPlay as V_SP is Null. </v>
      </c>
    </row>
    <row r="126" spans="1:25" x14ac:dyDescent="0.2">
      <c r="A126">
        <v>824993</v>
      </c>
      <c r="B126" s="3">
        <f>VLOOKUP($A126,ScionOutput!$A$3:$BL$215,3,FALSE)</f>
        <v>46188</v>
      </c>
      <c r="C126">
        <f>VLOOKUP($A126,ScionOutput!$A$3:$BL$215,22,FALSE)</f>
        <v>20</v>
      </c>
      <c r="D126" t="str">
        <f>VLOOKUP($A126,ScionOutput!$A$3:$BL$215,23,FALSE)</f>
        <v>OAK</v>
      </c>
      <c r="E126">
        <f>VLOOKUP($A126,ScionOutput!$A$3:$BL$215,6,FALSE)</f>
        <v>22</v>
      </c>
      <c r="F126" t="str">
        <f>VLOOKUP($A126,ScionOutput!$A$3:$BL$215,7,FALSE)</f>
        <v>PIT</v>
      </c>
      <c r="G126">
        <f>VLOOKUP($A126,ScionOutput!$A$3:$BL$215,26,FALSE)</f>
        <v>-116</v>
      </c>
      <c r="H126">
        <f>VLOOKUP($A126,ScionOutput!$A$3:$BL$215,10,FALSE)</f>
        <v>107</v>
      </c>
      <c r="I126" t="str">
        <f>VLOOKUP($A126,ScionOutput!$A$3:$BL$215,58,FALSE)</f>
        <v>HomFave</v>
      </c>
      <c r="J126">
        <f>VLOOKUP($A126,ScionOutput!$A$3:$BL$215,59,FALSE)</f>
        <v>1.3559999999999999E-2</v>
      </c>
      <c r="K126">
        <f>VLOOKUP($A126,ScionOutput!$A$3:$BL$215,62,FALSE)</f>
        <v>1</v>
      </c>
      <c r="L126">
        <f>VLOOKUP($A126,ScionOutput!$A$3:$BL$215,63,FALSE)</f>
        <v>1</v>
      </c>
      <c r="M126" t="b">
        <f t="shared" si="9"/>
        <v>1</v>
      </c>
      <c r="N126">
        <f>VLOOKUP($A126,Outcomes!$B$3:$I$209,8,FALSE)</f>
        <v>13</v>
      </c>
      <c r="O126">
        <f t="shared" si="10"/>
        <v>1</v>
      </c>
      <c r="P126">
        <f>VLOOKUP($A126,Outcomes!$B$3:$I$209,5,FALSE)</f>
        <v>11</v>
      </c>
      <c r="Q126">
        <f>VLOOKUP($A126,Outcomes!$B$3:$I$209,6,FALSE)</f>
        <v>2</v>
      </c>
      <c r="R126">
        <f>VLOOKUP($A126,Outcomes!$B$3:$I$209,7,FALSE)</f>
        <v>-9</v>
      </c>
      <c r="S126" t="str">
        <f t="shared" si="11"/>
        <v>HomFave</v>
      </c>
      <c r="T126" t="str">
        <f t="shared" si="12"/>
        <v/>
      </c>
      <c r="U126" t="str">
        <f t="shared" si="8"/>
        <v/>
      </c>
      <c r="V126" t="str">
        <f t="shared" si="13"/>
        <v/>
      </c>
      <c r="W126" t="str">
        <f t="shared" si="14"/>
        <v/>
      </c>
      <c r="X126" s="2" t="str">
        <f t="shared" si="15"/>
        <v/>
      </c>
      <c r="Y126" t="str">
        <f>VLOOKUP($A126,ScionOutput!$A$3:$BL$215,64,FALSE)</f>
        <v xml:space="preserve">824993. Play determined by LineStatEns and StatOnlyEns agreement. </v>
      </c>
    </row>
    <row r="127" spans="1:25" x14ac:dyDescent="0.2">
      <c r="A127">
        <v>823452</v>
      </c>
      <c r="B127" s="3">
        <f>VLOOKUP($A127,ScionOutput!$A$3:$BL$215,3,FALSE)</f>
        <v>46188</v>
      </c>
      <c r="C127">
        <f>VLOOKUP($A127,ScionOutput!$A$3:$BL$215,22,FALSE)</f>
        <v>21</v>
      </c>
      <c r="D127" t="str">
        <f>VLOOKUP($A127,ScionOutput!$A$3:$BL$215,23,FALSE)</f>
        <v>PHI</v>
      </c>
      <c r="E127">
        <f>VLOOKUP($A127,ScionOutput!$A$3:$BL$215,6,FALSE)</f>
        <v>11</v>
      </c>
      <c r="F127" t="str">
        <f>VLOOKUP($A127,ScionOutput!$A$3:$BL$215,7,FALSE)</f>
        <v>FLO</v>
      </c>
      <c r="G127">
        <f>VLOOKUP($A127,ScionOutput!$A$3:$BL$215,26,FALSE)</f>
        <v>-186</v>
      </c>
      <c r="H127">
        <f>VLOOKUP($A127,ScionOutput!$A$3:$BL$215,10,FALSE)</f>
        <v>170</v>
      </c>
      <c r="I127" t="str">
        <f>VLOOKUP($A127,ScionOutput!$A$3:$BL$215,58,FALSE)</f>
        <v>No Play</v>
      </c>
      <c r="J127">
        <f>VLOOKUP($A127,ScionOutput!$A$3:$BL$215,59,FALSE)</f>
        <v>0</v>
      </c>
      <c r="K127">
        <f>VLOOKUP($A127,ScionOutput!$A$3:$BL$215,62,FALSE)</f>
        <v>0</v>
      </c>
      <c r="L127">
        <f>VLOOKUP($A127,ScionOutput!$A$3:$BL$215,63,FALSE)</f>
        <v>0</v>
      </c>
      <c r="M127" t="b">
        <f t="shared" si="9"/>
        <v>0</v>
      </c>
      <c r="N127">
        <f>VLOOKUP($A127,Outcomes!$B$3:$I$209,8,FALSE)</f>
        <v>7</v>
      </c>
      <c r="O127">
        <f t="shared" si="10"/>
        <v>1</v>
      </c>
      <c r="P127">
        <f>VLOOKUP($A127,Outcomes!$B$3:$I$209,5,FALSE)</f>
        <v>7</v>
      </c>
      <c r="Q127">
        <f>VLOOKUP($A127,Outcomes!$B$3:$I$209,6,FALSE)</f>
        <v>0</v>
      </c>
      <c r="R127">
        <f>VLOOKUP($A127,Outcomes!$B$3:$I$209,7,FALSE)</f>
        <v>-7</v>
      </c>
      <c r="S127" t="str">
        <f t="shared" si="11"/>
        <v>HomFave</v>
      </c>
      <c r="T127" t="str">
        <f t="shared" si="12"/>
        <v/>
      </c>
      <c r="U127" t="str">
        <f t="shared" si="8"/>
        <v/>
      </c>
      <c r="V127" t="str">
        <f t="shared" si="13"/>
        <v/>
      </c>
      <c r="W127" t="str">
        <f t="shared" si="14"/>
        <v/>
      </c>
      <c r="X127" s="2" t="str">
        <f t="shared" si="15"/>
        <v/>
      </c>
      <c r="Y127" t="str">
        <f>VLOOKUP($A127,ScionOutput!$A$3:$BL$215,64,FALSE)</f>
        <v xml:space="preserve">823452. LineStatEns is NoPlay as bookie-line outside range. StatOnlyEns is NoPlay as bookie-line outside range. No play due to strategy constraints. </v>
      </c>
    </row>
    <row r="128" spans="1:25" x14ac:dyDescent="0.2">
      <c r="A128">
        <v>823046</v>
      </c>
      <c r="B128" s="3">
        <f>VLOOKUP($A128,ScionOutput!$A$3:$BL$215,3,FALSE)</f>
        <v>46188</v>
      </c>
      <c r="C128">
        <f>VLOOKUP($A128,ScionOutput!$A$3:$BL$215,22,FALSE)</f>
        <v>26</v>
      </c>
      <c r="D128" t="str">
        <f>VLOOKUP($A128,ScionOutput!$A$3:$BL$215,23,FALSE)</f>
        <v>STL</v>
      </c>
      <c r="E128">
        <f>VLOOKUP($A128,ScionOutput!$A$3:$BL$215,6,FALSE)</f>
        <v>23</v>
      </c>
      <c r="F128" t="str">
        <f>VLOOKUP($A128,ScionOutput!$A$3:$BL$215,7,FALSE)</f>
        <v>SD</v>
      </c>
      <c r="G128">
        <f>VLOOKUP($A128,ScionOutput!$A$3:$BL$215,26,FALSE)</f>
        <v>-159</v>
      </c>
      <c r="H128">
        <f>VLOOKUP($A128,ScionOutput!$A$3:$BL$215,10,FALSE)</f>
        <v>146</v>
      </c>
      <c r="I128" t="str">
        <f>VLOOKUP($A128,ScionOutput!$A$3:$BL$215,58,FALSE)</f>
        <v>No Play</v>
      </c>
      <c r="J128">
        <f>VLOOKUP($A128,ScionOutput!$A$3:$BL$215,59,FALSE)</f>
        <v>0</v>
      </c>
      <c r="K128">
        <f>VLOOKUP($A128,ScionOutput!$A$3:$BL$215,62,FALSE)</f>
        <v>0</v>
      </c>
      <c r="L128">
        <f>VLOOKUP($A128,ScionOutput!$A$3:$BL$215,63,FALSE)</f>
        <v>0</v>
      </c>
      <c r="M128" t="b">
        <f t="shared" si="9"/>
        <v>0</v>
      </c>
      <c r="N128">
        <f>VLOOKUP($A128,Outcomes!$B$3:$I$209,8,FALSE)</f>
        <v>3</v>
      </c>
      <c r="O128">
        <f t="shared" si="10"/>
        <v>1</v>
      </c>
      <c r="P128">
        <f>VLOOKUP($A128,Outcomes!$B$3:$I$209,5,FALSE)</f>
        <v>3</v>
      </c>
      <c r="Q128">
        <f>VLOOKUP($A128,Outcomes!$B$3:$I$209,6,FALSE)</f>
        <v>0</v>
      </c>
      <c r="R128">
        <f>VLOOKUP($A128,Outcomes!$B$3:$I$209,7,FALSE)</f>
        <v>-3</v>
      </c>
      <c r="S128" t="str">
        <f t="shared" si="11"/>
        <v>HomFave</v>
      </c>
      <c r="T128" t="str">
        <f t="shared" si="12"/>
        <v/>
      </c>
      <c r="U128" t="str">
        <f t="shared" si="8"/>
        <v/>
      </c>
      <c r="V128" t="str">
        <f t="shared" si="13"/>
        <v/>
      </c>
      <c r="W128" t="str">
        <f t="shared" si="14"/>
        <v/>
      </c>
      <c r="X128" s="2" t="str">
        <f t="shared" si="15"/>
        <v/>
      </c>
      <c r="Y128" t="str">
        <f>VLOOKUP($A128,ScionOutput!$A$3:$BL$215,64,FALSE)</f>
        <v xml:space="preserve">823046. LineStatEns is NoPlay as bookie-line outside range. StatOnlyEns is NoPlay as bookie-line outside range. No play due to strategy constraints. </v>
      </c>
    </row>
    <row r="129" spans="1:25" x14ac:dyDescent="0.2">
      <c r="A129">
        <v>822887</v>
      </c>
      <c r="B129" s="3">
        <f>VLOOKUP($A129,ScionOutput!$A$3:$BL$215,3,FALSE)</f>
        <v>46188</v>
      </c>
      <c r="C129">
        <f>VLOOKUP($A129,ScionOutput!$A$3:$BL$215,22,FALSE)</f>
        <v>28</v>
      </c>
      <c r="D129" t="str">
        <f>VLOOKUP($A129,ScionOutput!$A$3:$BL$215,23,FALSE)</f>
        <v>TEX</v>
      </c>
      <c r="E129">
        <f>VLOOKUP($A129,ScionOutput!$A$3:$BL$215,6,FALSE)</f>
        <v>15</v>
      </c>
      <c r="F129" t="str">
        <f>VLOOKUP($A129,ScionOutput!$A$3:$BL$215,7,FALSE)</f>
        <v>MIN</v>
      </c>
      <c r="G129">
        <f>VLOOKUP($A129,ScionOutput!$A$3:$BL$215,26,FALSE)</f>
        <v>-150</v>
      </c>
      <c r="H129">
        <f>VLOOKUP($A129,ScionOutput!$A$3:$BL$215,10,FALSE)</f>
        <v>138</v>
      </c>
      <c r="I129" t="str">
        <f>VLOOKUP($A129,ScionOutput!$A$3:$BL$215,58,FALSE)</f>
        <v>No Play</v>
      </c>
      <c r="J129">
        <f>VLOOKUP($A129,ScionOutput!$A$3:$BL$215,59,FALSE)</f>
        <v>0</v>
      </c>
      <c r="K129">
        <f>VLOOKUP($A129,ScionOutput!$A$3:$BL$215,62,FALSE)</f>
        <v>0</v>
      </c>
      <c r="L129">
        <f>VLOOKUP($A129,ScionOutput!$A$3:$BL$215,63,FALSE)</f>
        <v>0</v>
      </c>
      <c r="M129" t="b">
        <f t="shared" si="9"/>
        <v>0</v>
      </c>
      <c r="N129">
        <f>VLOOKUP($A129,Outcomes!$B$3:$I$209,8,FALSE)</f>
        <v>6</v>
      </c>
      <c r="O129">
        <f t="shared" si="10"/>
        <v>-1</v>
      </c>
      <c r="P129">
        <f>VLOOKUP($A129,Outcomes!$B$3:$I$209,5,FALSE)</f>
        <v>2</v>
      </c>
      <c r="Q129">
        <f>VLOOKUP($A129,Outcomes!$B$3:$I$209,6,FALSE)</f>
        <v>4</v>
      </c>
      <c r="R129">
        <f>VLOOKUP($A129,Outcomes!$B$3:$I$209,7,FALSE)</f>
        <v>2</v>
      </c>
      <c r="S129" t="str">
        <f t="shared" si="11"/>
        <v>VisDog</v>
      </c>
      <c r="T129" t="str">
        <f t="shared" si="12"/>
        <v/>
      </c>
      <c r="U129" t="str">
        <f t="shared" si="8"/>
        <v/>
      </c>
      <c r="V129" t="str">
        <f t="shared" si="13"/>
        <v/>
      </c>
      <c r="W129" t="str">
        <f t="shared" si="14"/>
        <v/>
      </c>
      <c r="X129" s="2" t="str">
        <f t="shared" si="15"/>
        <v/>
      </c>
      <c r="Y129" t="str">
        <f>VLOOKUP($A129,ScionOutput!$A$3:$BL$215,64,FALSE)</f>
        <v xml:space="preserve">822887. LineStatEns probability points gap does not exceed threshold (no edge found)! StatOnlyEns probability points gap does not exceed threshold (no edge found)! No play due to strategy constraints. </v>
      </c>
    </row>
    <row r="130" spans="1:25" x14ac:dyDescent="0.2">
      <c r="A130">
        <v>824912</v>
      </c>
      <c r="B130" s="3">
        <f>VLOOKUP($A130,ScionOutput!$A$3:$BL$215,3,FALSE)</f>
        <v>46189</v>
      </c>
      <c r="C130">
        <f>VLOOKUP($A130,ScionOutput!$A$3:$BL$215,22,FALSE)</f>
        <v>0</v>
      </c>
      <c r="D130" t="str">
        <f>VLOOKUP($A130,ScionOutput!$A$3:$BL$215,23,FALSE)</f>
        <v>ATL</v>
      </c>
      <c r="E130">
        <f>VLOOKUP($A130,ScionOutput!$A$3:$BL$215,6,FALSE)</f>
        <v>25</v>
      </c>
      <c r="F130" t="str">
        <f>VLOOKUP($A130,ScionOutput!$A$3:$BL$215,7,FALSE)</f>
        <v>SF</v>
      </c>
      <c r="G130">
        <f>VLOOKUP($A130,ScionOutput!$A$3:$BL$215,26,FALSE)</f>
        <v>-169</v>
      </c>
      <c r="H130">
        <f>VLOOKUP($A130,ScionOutput!$A$3:$BL$215,10,FALSE)</f>
        <v>154</v>
      </c>
      <c r="I130" t="str">
        <f>VLOOKUP($A130,ScionOutput!$A$3:$BL$215,58,FALSE)</f>
        <v>No Play</v>
      </c>
      <c r="J130">
        <f>VLOOKUP($A130,ScionOutput!$A$3:$BL$215,59,FALSE)</f>
        <v>0</v>
      </c>
      <c r="K130">
        <f>VLOOKUP($A130,ScionOutput!$A$3:$BL$215,62,FALSE)</f>
        <v>0</v>
      </c>
      <c r="L130">
        <f>VLOOKUP($A130,ScionOutput!$A$3:$BL$215,63,FALSE)</f>
        <v>0</v>
      </c>
      <c r="M130" t="b">
        <f t="shared" si="9"/>
        <v>0</v>
      </c>
      <c r="N130">
        <f>VLOOKUP($A130,Outcomes!$B$3:$I$209,8,FALSE)</f>
        <v>9</v>
      </c>
      <c r="O130">
        <f t="shared" si="10"/>
        <v>-1</v>
      </c>
      <c r="P130">
        <f>VLOOKUP($A130,Outcomes!$B$3:$I$209,5,FALSE)</f>
        <v>2</v>
      </c>
      <c r="Q130">
        <f>VLOOKUP($A130,Outcomes!$B$3:$I$209,6,FALSE)</f>
        <v>7</v>
      </c>
      <c r="R130">
        <f>VLOOKUP($A130,Outcomes!$B$3:$I$209,7,FALSE)</f>
        <v>5</v>
      </c>
      <c r="S130" t="str">
        <f t="shared" si="11"/>
        <v>VisDog</v>
      </c>
      <c r="T130" t="str">
        <f t="shared" si="12"/>
        <v/>
      </c>
      <c r="U130" t="str">
        <f t="shared" ref="U130:U193" si="16">IF(T130="","",IF(G130&lt;H130,IF(I130="HomFave",ABS(G130),IF(H130&lt;0,ABS(H130),100)),IF(I130="VisFave",ABS(H130),IF(G130&lt;0,ABS(G130),100))))</f>
        <v/>
      </c>
      <c r="V130" t="str">
        <f t="shared" si="13"/>
        <v/>
      </c>
      <c r="W130" t="str">
        <f t="shared" si="14"/>
        <v/>
      </c>
      <c r="X130" s="2" t="str">
        <f t="shared" si="15"/>
        <v/>
      </c>
      <c r="Y130" t="str">
        <f>VLOOKUP($A130,ScionOutput!$A$3:$BL$215,64,FALSE)</f>
        <v xml:space="preserve">824912. LineStatEns is NoPlay as bookie-line outside range. StatOnlyEns is NoPlay as bookie-line outside range. No play due to strategy constraints. </v>
      </c>
    </row>
    <row r="131" spans="1:25" x14ac:dyDescent="0.2">
      <c r="A131">
        <v>825070</v>
      </c>
      <c r="B131" s="3">
        <f>VLOOKUP($A131,ScionOutput!$A$3:$BL$215,3,FALSE)</f>
        <v>46189</v>
      </c>
      <c r="C131">
        <f>VLOOKUP($A131,ScionOutput!$A$3:$BL$215,22,FALSE)</f>
        <v>1</v>
      </c>
      <c r="D131" t="str">
        <f>VLOOKUP($A131,ScionOutput!$A$3:$BL$215,23,FALSE)</f>
        <v>ARZ</v>
      </c>
      <c r="E131">
        <f>VLOOKUP($A131,ScionOutput!$A$3:$BL$215,6,FALSE)</f>
        <v>4</v>
      </c>
      <c r="F131" t="str">
        <f>VLOOKUP($A131,ScionOutput!$A$3:$BL$215,7,FALSE)</f>
        <v>LAA</v>
      </c>
      <c r="G131">
        <f>VLOOKUP($A131,ScionOutput!$A$3:$BL$215,26,FALSE)</f>
        <v>-101</v>
      </c>
      <c r="H131">
        <f>VLOOKUP($A131,ScionOutput!$A$3:$BL$215,10,FALSE)</f>
        <v>-107</v>
      </c>
      <c r="I131" t="str">
        <f>VLOOKUP($A131,ScionOutput!$A$3:$BL$215,58,FALSE)</f>
        <v>No Play</v>
      </c>
      <c r="J131">
        <f>VLOOKUP($A131,ScionOutput!$A$3:$BL$215,59,FALSE)</f>
        <v>0</v>
      </c>
      <c r="K131">
        <f>VLOOKUP($A131,ScionOutput!$A$3:$BL$215,62,FALSE)</f>
        <v>0</v>
      </c>
      <c r="L131">
        <f>VLOOKUP($A131,ScionOutput!$A$3:$BL$215,63,FALSE)</f>
        <v>0</v>
      </c>
      <c r="M131" t="b">
        <f t="shared" ref="M131:M194" si="17">ISNUMBER(SEARCH("Play determined by LineStatEns and StatOnlyEns agreement", Y131))</f>
        <v>0</v>
      </c>
      <c r="N131">
        <f>VLOOKUP($A131,Outcomes!$B$3:$I$209,8,FALSE)</f>
        <v>7</v>
      </c>
      <c r="O131">
        <f t="shared" ref="O131:O194" si="18">IF(P131&gt;Q131,1,IF(P131&lt;Q131,-1,0))</f>
        <v>-1</v>
      </c>
      <c r="P131">
        <f>VLOOKUP($A131,Outcomes!$B$3:$I$209,5,FALSE)</f>
        <v>0</v>
      </c>
      <c r="Q131">
        <f>VLOOKUP($A131,Outcomes!$B$3:$I$209,6,FALSE)</f>
        <v>7</v>
      </c>
      <c r="R131">
        <f>VLOOKUP($A131,Outcomes!$B$3:$I$209,7,FALSE)</f>
        <v>7</v>
      </c>
      <c r="S131" t="str">
        <f t="shared" ref="S131:S194" si="19">IF(R131=0,"Push",IF(G131&lt;H131,IF(R131&lt;0,"HomFave","VisDog"),IF(R131&gt;0,"VisFave","HomDog")))</f>
        <v>VisFave</v>
      </c>
      <c r="T131" t="str">
        <f t="shared" ref="T131:T194" si="20">IF(OR(R131=0,I131="No Play",K131&lt;&gt;5),"",IF(S131=I131,1,0))</f>
        <v/>
      </c>
      <c r="U131" t="str">
        <f t="shared" si="16"/>
        <v/>
      </c>
      <c r="V131" t="str">
        <f t="shared" ref="V131:V194" si="21">IF(T131="","",IF(T131=0,0,IF(G131&lt;H131,IF(I131="HomFave",U131+100,IF(H131&lt;0,100+U131,U131+ABS(H131))),IF(I131="VisFave",U131+100,IF(G131&lt;0,100+U131,U131+ABS(G131))))))</f>
        <v/>
      </c>
      <c r="W131" t="str">
        <f t="shared" ref="W131:W194" si="22">IF(T131="","",V131-U131)</f>
        <v/>
      </c>
      <c r="X131" s="2" t="str">
        <f t="shared" ref="X131:X194" si="23">IF(T131="","",W131/U131)</f>
        <v/>
      </c>
      <c r="Y131" t="str">
        <f>VLOOKUP($A131,ScionOutput!$A$3:$BL$215,64,FALSE)</f>
        <v xml:space="preserve">825070. VF plays are disallowed. No play due to strategy constraints. </v>
      </c>
    </row>
    <row r="132" spans="1:25" x14ac:dyDescent="0.2">
      <c r="A132">
        <v>824750</v>
      </c>
      <c r="B132" s="3">
        <f>VLOOKUP($A132,ScionOutput!$A$3:$BL$215,3,FALSE)</f>
        <v>46189</v>
      </c>
      <c r="C132">
        <f>VLOOKUP($A132,ScionOutput!$A$3:$BL$215,22,FALSE)</f>
        <v>3</v>
      </c>
      <c r="D132" t="str">
        <f>VLOOKUP($A132,ScionOutput!$A$3:$BL$215,23,FALSE)</f>
        <v>BOS</v>
      </c>
      <c r="E132">
        <f>VLOOKUP($A132,ScionOutput!$A$3:$BL$215,6,FALSE)</f>
        <v>29</v>
      </c>
      <c r="F132" t="str">
        <f>VLOOKUP($A132,ScionOutput!$A$3:$BL$215,7,FALSE)</f>
        <v>TOR</v>
      </c>
      <c r="G132">
        <f>VLOOKUP($A132,ScionOutput!$A$3:$BL$215,26,FALSE)</f>
        <v>105</v>
      </c>
      <c r="H132">
        <f>VLOOKUP($A132,ScionOutput!$A$3:$BL$215,10,FALSE)</f>
        <v>-114</v>
      </c>
      <c r="I132" t="str">
        <f>VLOOKUP($A132,ScionOutput!$A$3:$BL$215,58,FALSE)</f>
        <v>No Play</v>
      </c>
      <c r="J132">
        <f>VLOOKUP($A132,ScionOutput!$A$3:$BL$215,59,FALSE)</f>
        <v>0</v>
      </c>
      <c r="K132">
        <f>VLOOKUP($A132,ScionOutput!$A$3:$BL$215,62,FALSE)</f>
        <v>0</v>
      </c>
      <c r="L132">
        <f>VLOOKUP($A132,ScionOutput!$A$3:$BL$215,63,FALSE)</f>
        <v>0</v>
      </c>
      <c r="M132" t="b">
        <f t="shared" si="17"/>
        <v>0</v>
      </c>
      <c r="N132">
        <f>VLOOKUP($A132,Outcomes!$B$3:$I$209,8,FALSE)</f>
        <v>7</v>
      </c>
      <c r="O132">
        <f t="shared" si="18"/>
        <v>-1</v>
      </c>
      <c r="P132">
        <f>VLOOKUP($A132,Outcomes!$B$3:$I$209,5,FALSE)</f>
        <v>1</v>
      </c>
      <c r="Q132">
        <f>VLOOKUP($A132,Outcomes!$B$3:$I$209,6,FALSE)</f>
        <v>6</v>
      </c>
      <c r="R132">
        <f>VLOOKUP($A132,Outcomes!$B$3:$I$209,7,FALSE)</f>
        <v>5</v>
      </c>
      <c r="S132" t="str">
        <f t="shared" si="19"/>
        <v>VisFave</v>
      </c>
      <c r="T132" t="str">
        <f t="shared" si="20"/>
        <v/>
      </c>
      <c r="U132" t="str">
        <f t="shared" si="16"/>
        <v/>
      </c>
      <c r="V132" t="str">
        <f t="shared" si="21"/>
        <v/>
      </c>
      <c r="W132" t="str">
        <f t="shared" si="22"/>
        <v/>
      </c>
      <c r="X132" s="2" t="str">
        <f t="shared" si="23"/>
        <v/>
      </c>
      <c r="Y132" t="str">
        <f>VLOOKUP($A132,ScionOutput!$A$3:$BL$215,64,FALSE)</f>
        <v xml:space="preserve">824750. VF plays are disallowed. No play due to strategy constraints. </v>
      </c>
    </row>
    <row r="133" spans="1:25" x14ac:dyDescent="0.2">
      <c r="A133">
        <v>824667</v>
      </c>
      <c r="B133" s="3">
        <f>VLOOKUP($A133,ScionOutput!$A$3:$BL$215,3,FALSE)</f>
        <v>46189</v>
      </c>
      <c r="C133">
        <f>VLOOKUP($A133,ScionOutput!$A$3:$BL$215,22,FALSE)</f>
        <v>5</v>
      </c>
      <c r="D133" t="str">
        <f>VLOOKUP($A133,ScionOutput!$A$3:$BL$215,23,FALSE)</f>
        <v>CHC</v>
      </c>
      <c r="E133">
        <f>VLOOKUP($A133,ScionOutput!$A$3:$BL$215,6,FALSE)</f>
        <v>8</v>
      </c>
      <c r="F133" t="str">
        <f>VLOOKUP($A133,ScionOutput!$A$3:$BL$215,7,FALSE)</f>
        <v>COL</v>
      </c>
      <c r="G133">
        <f>VLOOKUP($A133,ScionOutput!$A$3:$BL$215,26,FALSE)</f>
        <v>-194</v>
      </c>
      <c r="H133">
        <f>VLOOKUP($A133,ScionOutput!$A$3:$BL$215,10,FALSE)</f>
        <v>176</v>
      </c>
      <c r="I133" t="str">
        <f>VLOOKUP($A133,ScionOutput!$A$3:$BL$215,58,FALSE)</f>
        <v>No Play</v>
      </c>
      <c r="J133">
        <f>VLOOKUP($A133,ScionOutput!$A$3:$BL$215,59,FALSE)</f>
        <v>0</v>
      </c>
      <c r="K133">
        <f>VLOOKUP($A133,ScionOutput!$A$3:$BL$215,62,FALSE)</f>
        <v>0</v>
      </c>
      <c r="L133">
        <f>VLOOKUP($A133,ScionOutput!$A$3:$BL$215,63,FALSE)</f>
        <v>0</v>
      </c>
      <c r="M133" t="b">
        <f t="shared" si="17"/>
        <v>0</v>
      </c>
      <c r="N133">
        <f>VLOOKUP($A133,Outcomes!$B$3:$I$209,8,FALSE)</f>
        <v>7</v>
      </c>
      <c r="O133">
        <f t="shared" si="18"/>
        <v>-1</v>
      </c>
      <c r="P133">
        <f>VLOOKUP($A133,Outcomes!$B$3:$I$209,5,FALSE)</f>
        <v>2</v>
      </c>
      <c r="Q133">
        <f>VLOOKUP($A133,Outcomes!$B$3:$I$209,6,FALSE)</f>
        <v>5</v>
      </c>
      <c r="R133">
        <f>VLOOKUP($A133,Outcomes!$B$3:$I$209,7,FALSE)</f>
        <v>3</v>
      </c>
      <c r="S133" t="str">
        <f t="shared" si="19"/>
        <v>VisDog</v>
      </c>
      <c r="T133" t="str">
        <f t="shared" si="20"/>
        <v/>
      </c>
      <c r="U133" t="str">
        <f t="shared" si="16"/>
        <v/>
      </c>
      <c r="V133" t="str">
        <f t="shared" si="21"/>
        <v/>
      </c>
      <c r="W133" t="str">
        <f t="shared" si="22"/>
        <v/>
      </c>
      <c r="X133" s="2" t="str">
        <f t="shared" si="23"/>
        <v/>
      </c>
      <c r="Y133" t="str">
        <f>VLOOKUP($A133,ScionOutput!$A$3:$BL$215,64,FALSE)</f>
        <v xml:space="preserve">824667. LineStatEns is NoPlay as bookie-line outside range. StatOnlyEns is NoPlay as bookie-line outside range. No play due to strategy constraints. </v>
      </c>
    </row>
    <row r="134" spans="1:25" x14ac:dyDescent="0.2">
      <c r="A134">
        <v>824504</v>
      </c>
      <c r="B134" s="3">
        <f>VLOOKUP($A134,ScionOutput!$A$3:$BL$215,3,FALSE)</f>
        <v>46189</v>
      </c>
      <c r="C134">
        <f>VLOOKUP($A134,ScionOutput!$A$3:$BL$215,22,FALSE)</f>
        <v>6</v>
      </c>
      <c r="D134" t="str">
        <f>VLOOKUP($A134,ScionOutput!$A$3:$BL$215,23,FALSE)</f>
        <v>CIN</v>
      </c>
      <c r="E134">
        <f>VLOOKUP($A134,ScionOutput!$A$3:$BL$215,6,FALSE)</f>
        <v>18</v>
      </c>
      <c r="F134" t="str">
        <f>VLOOKUP($A134,ScionOutput!$A$3:$BL$215,7,FALSE)</f>
        <v>NYM</v>
      </c>
      <c r="G134">
        <f>VLOOKUP($A134,ScionOutput!$A$3:$BL$215,26,FALSE)</f>
        <v>107</v>
      </c>
      <c r="H134">
        <f>VLOOKUP($A134,ScionOutput!$A$3:$BL$215,10,FALSE)</f>
        <v>-115</v>
      </c>
      <c r="I134" t="str">
        <f>VLOOKUP($A134,ScionOutput!$A$3:$BL$215,58,FALSE)</f>
        <v>No Play</v>
      </c>
      <c r="J134">
        <f>VLOOKUP($A134,ScionOutput!$A$3:$BL$215,59,FALSE)</f>
        <v>0</v>
      </c>
      <c r="K134">
        <f>VLOOKUP($A134,ScionOutput!$A$3:$BL$215,62,FALSE)</f>
        <v>0</v>
      </c>
      <c r="L134">
        <f>VLOOKUP($A134,ScionOutput!$A$3:$BL$215,63,FALSE)</f>
        <v>0</v>
      </c>
      <c r="M134" t="b">
        <f t="shared" si="17"/>
        <v>0</v>
      </c>
      <c r="N134">
        <f>VLOOKUP($A134,Outcomes!$B$3:$I$209,8,FALSE)</f>
        <v>8</v>
      </c>
      <c r="O134">
        <f t="shared" si="18"/>
        <v>1</v>
      </c>
      <c r="P134">
        <f>VLOOKUP($A134,Outcomes!$B$3:$I$209,5,FALSE)</f>
        <v>5</v>
      </c>
      <c r="Q134">
        <f>VLOOKUP($A134,Outcomes!$B$3:$I$209,6,FALSE)</f>
        <v>3</v>
      </c>
      <c r="R134">
        <f>VLOOKUP($A134,Outcomes!$B$3:$I$209,7,FALSE)</f>
        <v>-2</v>
      </c>
      <c r="S134" t="str">
        <f t="shared" si="19"/>
        <v>HomDog</v>
      </c>
      <c r="T134" t="str">
        <f t="shared" si="20"/>
        <v/>
      </c>
      <c r="U134" t="str">
        <f t="shared" si="16"/>
        <v/>
      </c>
      <c r="V134" t="str">
        <f t="shared" si="21"/>
        <v/>
      </c>
      <c r="W134" t="str">
        <f t="shared" si="22"/>
        <v/>
      </c>
      <c r="X134" s="2" t="str">
        <f t="shared" si="23"/>
        <v/>
      </c>
      <c r="Y134" t="str">
        <f>VLOOKUP($A134,ScionOutput!$A$3:$BL$215,64,FALSE)</f>
        <v xml:space="preserve">824504. VF plays are disallowed. No play due to strategy constraints. </v>
      </c>
    </row>
    <row r="135" spans="1:25" x14ac:dyDescent="0.2">
      <c r="A135">
        <v>824182</v>
      </c>
      <c r="B135" s="3">
        <f>VLOOKUP($A135,ScionOutput!$A$3:$BL$215,3,FALSE)</f>
        <v>46189</v>
      </c>
      <c r="C135">
        <f>VLOOKUP($A135,ScionOutput!$A$3:$BL$215,22,FALSE)</f>
        <v>12</v>
      </c>
      <c r="D135" t="str">
        <f>VLOOKUP($A135,ScionOutput!$A$3:$BL$215,23,FALSE)</f>
        <v>HOU</v>
      </c>
      <c r="E135">
        <f>VLOOKUP($A135,ScionOutput!$A$3:$BL$215,6,FALSE)</f>
        <v>10</v>
      </c>
      <c r="F135" t="str">
        <f>VLOOKUP($A135,ScionOutput!$A$3:$BL$215,7,FALSE)</f>
        <v>DET</v>
      </c>
      <c r="G135">
        <f>VLOOKUP($A135,ScionOutput!$A$3:$BL$215,26,FALSE)</f>
        <v>-167</v>
      </c>
      <c r="H135">
        <f>VLOOKUP($A135,ScionOutput!$A$3:$BL$215,10,FALSE)</f>
        <v>153</v>
      </c>
      <c r="I135" t="str">
        <f>VLOOKUP($A135,ScionOutput!$A$3:$BL$215,58,FALSE)</f>
        <v>No Play</v>
      </c>
      <c r="J135">
        <f>VLOOKUP($A135,ScionOutput!$A$3:$BL$215,59,FALSE)</f>
        <v>0</v>
      </c>
      <c r="K135">
        <f>VLOOKUP($A135,ScionOutput!$A$3:$BL$215,62,FALSE)</f>
        <v>0</v>
      </c>
      <c r="L135">
        <f>VLOOKUP($A135,ScionOutput!$A$3:$BL$215,63,FALSE)</f>
        <v>0</v>
      </c>
      <c r="M135" t="b">
        <f t="shared" si="17"/>
        <v>0</v>
      </c>
      <c r="N135">
        <f>VLOOKUP($A135,Outcomes!$B$3:$I$209,8,FALSE)</f>
        <v>6</v>
      </c>
      <c r="O135">
        <f t="shared" si="18"/>
        <v>1</v>
      </c>
      <c r="P135">
        <f>VLOOKUP($A135,Outcomes!$B$3:$I$209,5,FALSE)</f>
        <v>4</v>
      </c>
      <c r="Q135">
        <f>VLOOKUP($A135,Outcomes!$B$3:$I$209,6,FALSE)</f>
        <v>2</v>
      </c>
      <c r="R135">
        <f>VLOOKUP($A135,Outcomes!$B$3:$I$209,7,FALSE)</f>
        <v>-2</v>
      </c>
      <c r="S135" t="str">
        <f t="shared" si="19"/>
        <v>HomFave</v>
      </c>
      <c r="T135" t="str">
        <f t="shared" si="20"/>
        <v/>
      </c>
      <c r="U135" t="str">
        <f t="shared" si="16"/>
        <v/>
      </c>
      <c r="V135" t="str">
        <f t="shared" si="21"/>
        <v/>
      </c>
      <c r="W135" t="str">
        <f t="shared" si="22"/>
        <v/>
      </c>
      <c r="X135" s="2" t="str">
        <f t="shared" si="23"/>
        <v/>
      </c>
      <c r="Y135" t="str">
        <f>VLOOKUP($A135,ScionOutput!$A$3:$BL$215,64,FALSE)</f>
        <v xml:space="preserve">824182. LineStatEns is NoPlay as bookie-line outside range. StatOnlyEns is NoPlay as bookie-line outside range. No play due to strategy constraints. </v>
      </c>
    </row>
    <row r="136" spans="1:25" x14ac:dyDescent="0.2">
      <c r="A136">
        <v>823939</v>
      </c>
      <c r="B136" s="3">
        <f>VLOOKUP($A136,ScionOutput!$A$3:$BL$215,3,FALSE)</f>
        <v>46189</v>
      </c>
      <c r="C136">
        <f>VLOOKUP($A136,ScionOutput!$A$3:$BL$215,22,FALSE)</f>
        <v>14</v>
      </c>
      <c r="D136" t="str">
        <f>VLOOKUP($A136,ScionOutput!$A$3:$BL$215,23,FALSE)</f>
        <v>LA</v>
      </c>
      <c r="E136">
        <f>VLOOKUP($A136,ScionOutput!$A$3:$BL$215,6,FALSE)</f>
        <v>27</v>
      </c>
      <c r="F136" t="str">
        <f>VLOOKUP($A136,ScionOutput!$A$3:$BL$215,7,FALSE)</f>
        <v>TB</v>
      </c>
      <c r="G136">
        <f>VLOOKUP($A136,ScionOutput!$A$3:$BL$215,26,FALSE)</f>
        <v>-144</v>
      </c>
      <c r="H136">
        <f>VLOOKUP($A136,ScionOutput!$A$3:$BL$215,10,FALSE)</f>
        <v>133</v>
      </c>
      <c r="I136" t="str">
        <f>VLOOKUP($A136,ScionOutput!$A$3:$BL$215,58,FALSE)</f>
        <v>No Play</v>
      </c>
      <c r="J136">
        <f>VLOOKUP($A136,ScionOutput!$A$3:$BL$215,59,FALSE)</f>
        <v>0</v>
      </c>
      <c r="K136">
        <f>VLOOKUP($A136,ScionOutput!$A$3:$BL$215,62,FALSE)</f>
        <v>0</v>
      </c>
      <c r="L136">
        <f>VLOOKUP($A136,ScionOutput!$A$3:$BL$215,63,FALSE)</f>
        <v>0</v>
      </c>
      <c r="M136" t="b">
        <f t="shared" si="17"/>
        <v>0</v>
      </c>
      <c r="N136">
        <f>VLOOKUP($A136,Outcomes!$B$3:$I$209,8,FALSE)</f>
        <v>1</v>
      </c>
      <c r="O136">
        <f t="shared" si="18"/>
        <v>1</v>
      </c>
      <c r="P136">
        <f>VLOOKUP($A136,Outcomes!$B$3:$I$209,5,FALSE)</f>
        <v>1</v>
      </c>
      <c r="Q136">
        <f>VLOOKUP($A136,Outcomes!$B$3:$I$209,6,FALSE)</f>
        <v>0</v>
      </c>
      <c r="R136">
        <f>VLOOKUP($A136,Outcomes!$B$3:$I$209,7,FALSE)</f>
        <v>-1</v>
      </c>
      <c r="S136" t="str">
        <f t="shared" si="19"/>
        <v>HomFave</v>
      </c>
      <c r="T136" t="str">
        <f t="shared" si="20"/>
        <v/>
      </c>
      <c r="U136" t="str">
        <f t="shared" si="16"/>
        <v/>
      </c>
      <c r="V136" t="str">
        <f t="shared" si="21"/>
        <v/>
      </c>
      <c r="W136" t="str">
        <f t="shared" si="22"/>
        <v/>
      </c>
      <c r="X136" s="2" t="str">
        <f t="shared" si="23"/>
        <v/>
      </c>
      <c r="Y136" t="str">
        <f>VLOOKUP($A136,ScionOutput!$A$3:$BL$215,64,FALSE)</f>
        <v xml:space="preserve">823939. LineStatEns probability points gap does not exceed threshold (no edge found)! StatOnlyEns probability points gap does not exceed threshold (no edge found)! No play due to strategy constraints. </v>
      </c>
    </row>
    <row r="137" spans="1:25" x14ac:dyDescent="0.2">
      <c r="A137">
        <v>822723</v>
      </c>
      <c r="B137" s="3">
        <f>VLOOKUP($A137,ScionOutput!$A$3:$BL$215,3,FALSE)</f>
        <v>46189</v>
      </c>
      <c r="C137">
        <f>VLOOKUP($A137,ScionOutput!$A$3:$BL$215,22,FALSE)</f>
        <v>16</v>
      </c>
      <c r="D137" t="str">
        <f>VLOOKUP($A137,ScionOutput!$A$3:$BL$215,23,FALSE)</f>
        <v>WAS</v>
      </c>
      <c r="E137">
        <f>VLOOKUP($A137,ScionOutput!$A$3:$BL$215,6,FALSE)</f>
        <v>13</v>
      </c>
      <c r="F137" t="str">
        <f>VLOOKUP($A137,ScionOutput!$A$3:$BL$215,7,FALSE)</f>
        <v>KC</v>
      </c>
      <c r="G137">
        <f>VLOOKUP($A137,ScionOutput!$A$3:$BL$215,26,FALSE)</f>
        <v>-131</v>
      </c>
      <c r="H137">
        <f>VLOOKUP($A137,ScionOutput!$A$3:$BL$215,10,FALSE)</f>
        <v>121</v>
      </c>
      <c r="I137" t="str">
        <f>VLOOKUP($A137,ScionOutput!$A$3:$BL$215,58,FALSE)</f>
        <v>No Play</v>
      </c>
      <c r="J137">
        <f>VLOOKUP($A137,ScionOutput!$A$3:$BL$215,59,FALSE)</f>
        <v>0</v>
      </c>
      <c r="K137">
        <f>VLOOKUP($A137,ScionOutput!$A$3:$BL$215,62,FALSE)</f>
        <v>0</v>
      </c>
      <c r="L137">
        <f>VLOOKUP($A137,ScionOutput!$A$3:$BL$215,63,FALSE)</f>
        <v>0</v>
      </c>
      <c r="M137" t="b">
        <f t="shared" si="17"/>
        <v>0</v>
      </c>
      <c r="N137">
        <f>VLOOKUP($A137,Outcomes!$B$3:$I$209,8,FALSE)</f>
        <v>10</v>
      </c>
      <c r="O137">
        <f t="shared" si="18"/>
        <v>1</v>
      </c>
      <c r="P137">
        <f>VLOOKUP($A137,Outcomes!$B$3:$I$209,5,FALSE)</f>
        <v>6</v>
      </c>
      <c r="Q137">
        <f>VLOOKUP($A137,Outcomes!$B$3:$I$209,6,FALSE)</f>
        <v>4</v>
      </c>
      <c r="R137">
        <f>VLOOKUP($A137,Outcomes!$B$3:$I$209,7,FALSE)</f>
        <v>-2</v>
      </c>
      <c r="S137" t="str">
        <f t="shared" si="19"/>
        <v>HomFave</v>
      </c>
      <c r="T137" t="str">
        <f t="shared" si="20"/>
        <v/>
      </c>
      <c r="U137" t="str">
        <f t="shared" si="16"/>
        <v/>
      </c>
      <c r="V137" t="str">
        <f t="shared" si="21"/>
        <v/>
      </c>
      <c r="W137" t="str">
        <f t="shared" si="22"/>
        <v/>
      </c>
      <c r="X137" s="2" t="str">
        <f t="shared" si="23"/>
        <v/>
      </c>
      <c r="Y137" t="str">
        <f>VLOOKUP($A137,ScionOutput!$A$3:$BL$215,64,FALSE)</f>
        <v xml:space="preserve">822723. LineStatEns probability points gap does not exceed threshold (no edge found)! StatOnlyEns probability points gap does not exceed threshold (no edge found)! No play due to strategy constraints. </v>
      </c>
    </row>
    <row r="138" spans="1:25" x14ac:dyDescent="0.2">
      <c r="A138">
        <v>823775</v>
      </c>
      <c r="B138" s="3">
        <f>VLOOKUP($A138,ScionOutput!$A$3:$BL$215,3,FALSE)</f>
        <v>46189</v>
      </c>
      <c r="C138">
        <f>VLOOKUP($A138,ScionOutput!$A$3:$BL$215,22,FALSE)</f>
        <v>17</v>
      </c>
      <c r="D138" t="str">
        <f>VLOOKUP($A138,ScionOutput!$A$3:$BL$215,23,FALSE)</f>
        <v>MLW</v>
      </c>
      <c r="E138">
        <f>VLOOKUP($A138,ScionOutput!$A$3:$BL$215,6,FALSE)</f>
        <v>7</v>
      </c>
      <c r="F138" t="str">
        <f>VLOOKUP($A138,ScionOutput!$A$3:$BL$215,7,FALSE)</f>
        <v>CLE</v>
      </c>
      <c r="G138">
        <f>VLOOKUP($A138,ScionOutput!$A$3:$BL$215,26,FALSE)</f>
        <v>-151</v>
      </c>
      <c r="H138">
        <f>VLOOKUP($A138,ScionOutput!$A$3:$BL$215,10,FALSE)</f>
        <v>139</v>
      </c>
      <c r="I138" t="str">
        <f>VLOOKUP($A138,ScionOutput!$A$3:$BL$215,58,FALSE)</f>
        <v>No Play</v>
      </c>
      <c r="J138">
        <f>VLOOKUP($A138,ScionOutput!$A$3:$BL$215,59,FALSE)</f>
        <v>0</v>
      </c>
      <c r="K138">
        <f>VLOOKUP($A138,ScionOutput!$A$3:$BL$215,62,FALSE)</f>
        <v>0</v>
      </c>
      <c r="L138">
        <f>VLOOKUP($A138,ScionOutput!$A$3:$BL$215,63,FALSE)</f>
        <v>0</v>
      </c>
      <c r="M138" t="b">
        <f t="shared" si="17"/>
        <v>0</v>
      </c>
      <c r="N138">
        <f>VLOOKUP($A138,Outcomes!$B$3:$I$209,8,FALSE)</f>
        <v>3</v>
      </c>
      <c r="O138">
        <f t="shared" si="18"/>
        <v>1</v>
      </c>
      <c r="P138">
        <f>VLOOKUP($A138,Outcomes!$B$3:$I$209,5,FALSE)</f>
        <v>2</v>
      </c>
      <c r="Q138">
        <f>VLOOKUP($A138,Outcomes!$B$3:$I$209,6,FALSE)</f>
        <v>1</v>
      </c>
      <c r="R138">
        <f>VLOOKUP($A138,Outcomes!$B$3:$I$209,7,FALSE)</f>
        <v>-1</v>
      </c>
      <c r="S138" t="str">
        <f t="shared" si="19"/>
        <v>HomFave</v>
      </c>
      <c r="T138" t="str">
        <f t="shared" si="20"/>
        <v/>
      </c>
      <c r="U138" t="str">
        <f t="shared" si="16"/>
        <v/>
      </c>
      <c r="V138" t="str">
        <f t="shared" si="21"/>
        <v/>
      </c>
      <c r="W138" t="str">
        <f t="shared" si="22"/>
        <v/>
      </c>
      <c r="X138" s="2" t="str">
        <f t="shared" si="23"/>
        <v/>
      </c>
      <c r="Y138" t="str">
        <f>VLOOKUP($A138,ScionOutput!$A$3:$BL$215,64,FALSE)</f>
        <v xml:space="preserve">823775. LineStatEns is NoPlay as bookie-line outside range. StatOnlyEns is NoPlay as bookie-line outside range. No play due to strategy constraints. </v>
      </c>
    </row>
    <row r="139" spans="1:25" x14ac:dyDescent="0.2">
      <c r="A139">
        <v>823535</v>
      </c>
      <c r="B139" s="3">
        <f>VLOOKUP($A139,ScionOutput!$A$3:$BL$215,3,FALSE)</f>
        <v>46189</v>
      </c>
      <c r="C139">
        <f>VLOOKUP($A139,ScionOutput!$A$3:$BL$215,22,FALSE)</f>
        <v>19</v>
      </c>
      <c r="D139" t="str">
        <f>VLOOKUP($A139,ScionOutput!$A$3:$BL$215,23,FALSE)</f>
        <v>NYY</v>
      </c>
      <c r="E139">
        <f>VLOOKUP($A139,ScionOutput!$A$3:$BL$215,6,FALSE)</f>
        <v>9</v>
      </c>
      <c r="F139" t="str">
        <f>VLOOKUP($A139,ScionOutput!$A$3:$BL$215,7,FALSE)</f>
        <v>CWS</v>
      </c>
      <c r="G139">
        <f>VLOOKUP($A139,ScionOutput!$A$3:$BL$215,26,FALSE)</f>
        <v>-138</v>
      </c>
      <c r="H139">
        <f>VLOOKUP($A139,ScionOutput!$A$3:$BL$215,10,FALSE)</f>
        <v>127</v>
      </c>
      <c r="I139" t="str">
        <f>VLOOKUP($A139,ScionOutput!$A$3:$BL$215,58,FALSE)</f>
        <v>No Play</v>
      </c>
      <c r="J139">
        <f>VLOOKUP($A139,ScionOutput!$A$3:$BL$215,59,FALSE)</f>
        <v>0</v>
      </c>
      <c r="K139">
        <f>VLOOKUP($A139,ScionOutput!$A$3:$BL$215,62,FALSE)</f>
        <v>0</v>
      </c>
      <c r="L139">
        <f>VLOOKUP($A139,ScionOutput!$A$3:$BL$215,63,FALSE)</f>
        <v>0</v>
      </c>
      <c r="M139" t="b">
        <f t="shared" si="17"/>
        <v>0</v>
      </c>
      <c r="N139">
        <f>VLOOKUP($A139,Outcomes!$B$3:$I$209,8,FALSE)</f>
        <v>14</v>
      </c>
      <c r="O139">
        <f t="shared" si="18"/>
        <v>1</v>
      </c>
      <c r="P139">
        <f>VLOOKUP($A139,Outcomes!$B$3:$I$209,5,FALSE)</f>
        <v>12</v>
      </c>
      <c r="Q139">
        <f>VLOOKUP($A139,Outcomes!$B$3:$I$209,6,FALSE)</f>
        <v>2</v>
      </c>
      <c r="R139">
        <f>VLOOKUP($A139,Outcomes!$B$3:$I$209,7,FALSE)</f>
        <v>-10</v>
      </c>
      <c r="S139" t="str">
        <f t="shared" si="19"/>
        <v>HomFave</v>
      </c>
      <c r="T139" t="str">
        <f t="shared" si="20"/>
        <v/>
      </c>
      <c r="U139" t="str">
        <f t="shared" si="16"/>
        <v/>
      </c>
      <c r="V139" t="str">
        <f t="shared" si="21"/>
        <v/>
      </c>
      <c r="W139" t="str">
        <f t="shared" si="22"/>
        <v/>
      </c>
      <c r="X139" s="2" t="str">
        <f t="shared" si="23"/>
        <v/>
      </c>
      <c r="Y139" t="str">
        <f>VLOOKUP($A139,ScionOutput!$A$3:$BL$215,64,FALSE)</f>
        <v xml:space="preserve">823535. LineStatEns probability points gap does not exceed threshold (no edge found)! StatOnlyEns probability points gap does not exceed threshold (no edge found)! No play due to strategy constraints. </v>
      </c>
    </row>
    <row r="140" spans="1:25" x14ac:dyDescent="0.2">
      <c r="A140">
        <v>824991</v>
      </c>
      <c r="B140" s="3">
        <f>VLOOKUP($A140,ScionOutput!$A$3:$BL$215,3,FALSE)</f>
        <v>46189</v>
      </c>
      <c r="C140">
        <f>VLOOKUP($A140,ScionOutput!$A$3:$BL$215,22,FALSE)</f>
        <v>20</v>
      </c>
      <c r="D140" t="str">
        <f>VLOOKUP($A140,ScionOutput!$A$3:$BL$215,23,FALSE)</f>
        <v>OAK</v>
      </c>
      <c r="E140">
        <f>VLOOKUP($A140,ScionOutput!$A$3:$BL$215,6,FALSE)</f>
        <v>22</v>
      </c>
      <c r="F140" t="str">
        <f>VLOOKUP($A140,ScionOutput!$A$3:$BL$215,7,FALSE)</f>
        <v>PIT</v>
      </c>
      <c r="G140">
        <f>VLOOKUP($A140,ScionOutput!$A$3:$BL$215,26,FALSE)</f>
        <v>-137</v>
      </c>
      <c r="H140">
        <f>VLOOKUP($A140,ScionOutput!$A$3:$BL$215,10,FALSE)</f>
        <v>126</v>
      </c>
      <c r="I140" t="str">
        <f>VLOOKUP($A140,ScionOutput!$A$3:$BL$215,58,FALSE)</f>
        <v>No Play</v>
      </c>
      <c r="J140">
        <f>VLOOKUP($A140,ScionOutput!$A$3:$BL$215,59,FALSE)</f>
        <v>0</v>
      </c>
      <c r="K140">
        <f>VLOOKUP($A140,ScionOutput!$A$3:$BL$215,62,FALSE)</f>
        <v>0</v>
      </c>
      <c r="L140">
        <f>VLOOKUP($A140,ScionOutput!$A$3:$BL$215,63,FALSE)</f>
        <v>0</v>
      </c>
      <c r="M140" t="b">
        <f t="shared" si="17"/>
        <v>0</v>
      </c>
      <c r="N140">
        <f>VLOOKUP($A140,Outcomes!$B$3:$I$209,8,FALSE)</f>
        <v>11</v>
      </c>
      <c r="O140">
        <f t="shared" si="18"/>
        <v>-1</v>
      </c>
      <c r="P140">
        <f>VLOOKUP($A140,Outcomes!$B$3:$I$209,5,FALSE)</f>
        <v>5</v>
      </c>
      <c r="Q140">
        <f>VLOOKUP($A140,Outcomes!$B$3:$I$209,6,FALSE)</f>
        <v>6</v>
      </c>
      <c r="R140">
        <f>VLOOKUP($A140,Outcomes!$B$3:$I$209,7,FALSE)</f>
        <v>1</v>
      </c>
      <c r="S140" t="str">
        <f t="shared" si="19"/>
        <v>VisDog</v>
      </c>
      <c r="T140" t="str">
        <f t="shared" si="20"/>
        <v/>
      </c>
      <c r="U140" t="str">
        <f t="shared" si="16"/>
        <v/>
      </c>
      <c r="V140" t="str">
        <f t="shared" si="21"/>
        <v/>
      </c>
      <c r="W140" t="str">
        <f t="shared" si="22"/>
        <v/>
      </c>
      <c r="X140" s="2" t="str">
        <f t="shared" si="23"/>
        <v/>
      </c>
      <c r="Y140" t="str">
        <f>VLOOKUP($A140,ScionOutput!$A$3:$BL$215,64,FALSE)</f>
        <v xml:space="preserve">824991. LineStatEns probability points gap does not exceed threshold (no edge found)! StatOnlyEns probability points gap does not exceed threshold (no edge found)! No play due to strategy constraints. </v>
      </c>
    </row>
    <row r="141" spans="1:25" x14ac:dyDescent="0.2">
      <c r="A141">
        <v>823451</v>
      </c>
      <c r="B141" s="3">
        <f>VLOOKUP($A141,ScionOutput!$A$3:$BL$215,3,FALSE)</f>
        <v>46189</v>
      </c>
      <c r="C141">
        <f>VLOOKUP($A141,ScionOutput!$A$3:$BL$215,22,FALSE)</f>
        <v>21</v>
      </c>
      <c r="D141" t="str">
        <f>VLOOKUP($A141,ScionOutput!$A$3:$BL$215,23,FALSE)</f>
        <v>PHI</v>
      </c>
      <c r="E141">
        <f>VLOOKUP($A141,ScionOutput!$A$3:$BL$215,6,FALSE)</f>
        <v>11</v>
      </c>
      <c r="F141" t="str">
        <f>VLOOKUP($A141,ScionOutput!$A$3:$BL$215,7,FALSE)</f>
        <v>FLO</v>
      </c>
      <c r="G141">
        <f>VLOOKUP($A141,ScionOutput!$A$3:$BL$215,26,FALSE)</f>
        <v>-165</v>
      </c>
      <c r="H141">
        <f>VLOOKUP($A141,ScionOutput!$A$3:$BL$215,10,FALSE)</f>
        <v>152</v>
      </c>
      <c r="I141" t="str">
        <f>VLOOKUP($A141,ScionOutput!$A$3:$BL$215,58,FALSE)</f>
        <v>No Play</v>
      </c>
      <c r="J141">
        <f>VLOOKUP($A141,ScionOutput!$A$3:$BL$215,59,FALSE)</f>
        <v>0</v>
      </c>
      <c r="K141">
        <f>VLOOKUP($A141,ScionOutput!$A$3:$BL$215,62,FALSE)</f>
        <v>0</v>
      </c>
      <c r="L141">
        <f>VLOOKUP($A141,ScionOutput!$A$3:$BL$215,63,FALSE)</f>
        <v>0</v>
      </c>
      <c r="M141" t="b">
        <f t="shared" si="17"/>
        <v>0</v>
      </c>
      <c r="N141">
        <f>VLOOKUP($A141,Outcomes!$B$3:$I$209,8,FALSE)</f>
        <v>10</v>
      </c>
      <c r="O141">
        <f t="shared" si="18"/>
        <v>1</v>
      </c>
      <c r="P141">
        <f>VLOOKUP($A141,Outcomes!$B$3:$I$209,5,FALSE)</f>
        <v>8</v>
      </c>
      <c r="Q141">
        <f>VLOOKUP($A141,Outcomes!$B$3:$I$209,6,FALSE)</f>
        <v>2</v>
      </c>
      <c r="R141">
        <f>VLOOKUP($A141,Outcomes!$B$3:$I$209,7,FALSE)</f>
        <v>-6</v>
      </c>
      <c r="S141" t="str">
        <f t="shared" si="19"/>
        <v>HomFave</v>
      </c>
      <c r="T141" t="str">
        <f t="shared" si="20"/>
        <v/>
      </c>
      <c r="U141" t="str">
        <f t="shared" si="16"/>
        <v/>
      </c>
      <c r="V141" t="str">
        <f t="shared" si="21"/>
        <v/>
      </c>
      <c r="W141" t="str">
        <f t="shared" si="22"/>
        <v/>
      </c>
      <c r="X141" s="2" t="str">
        <f t="shared" si="23"/>
        <v/>
      </c>
      <c r="Y141" t="str">
        <f>VLOOKUP($A141,ScionOutput!$A$3:$BL$215,64,FALSE)</f>
        <v xml:space="preserve">823451. LineStatEns is NoPlay as bookie-line outside range. StatOnlyEns is NoPlay as bookie-line outside range. No play due to strategy constraints. </v>
      </c>
    </row>
    <row r="142" spans="1:25" x14ac:dyDescent="0.2">
      <c r="A142">
        <v>823128</v>
      </c>
      <c r="B142" s="3">
        <f>VLOOKUP($A142,ScionOutput!$A$3:$BL$215,3,FALSE)</f>
        <v>46189</v>
      </c>
      <c r="C142">
        <f>VLOOKUP($A142,ScionOutput!$A$3:$BL$215,22,FALSE)</f>
        <v>24</v>
      </c>
      <c r="D142" t="str">
        <f>VLOOKUP($A142,ScionOutput!$A$3:$BL$215,23,FALSE)</f>
        <v>SEA</v>
      </c>
      <c r="E142">
        <f>VLOOKUP($A142,ScionOutput!$A$3:$BL$215,6,FALSE)</f>
        <v>2</v>
      </c>
      <c r="F142" t="str">
        <f>VLOOKUP($A142,ScionOutput!$A$3:$BL$215,7,FALSE)</f>
        <v>BAL</v>
      </c>
      <c r="G142">
        <f>VLOOKUP($A142,ScionOutput!$A$3:$BL$215,26,FALSE)</f>
        <v>-151</v>
      </c>
      <c r="H142">
        <f>VLOOKUP($A142,ScionOutput!$A$3:$BL$215,10,FALSE)</f>
        <v>139</v>
      </c>
      <c r="I142" t="str">
        <f>VLOOKUP($A142,ScionOutput!$A$3:$BL$215,58,FALSE)</f>
        <v>No Play</v>
      </c>
      <c r="J142">
        <f>VLOOKUP($A142,ScionOutput!$A$3:$BL$215,59,FALSE)</f>
        <v>0</v>
      </c>
      <c r="K142">
        <f>VLOOKUP($A142,ScionOutput!$A$3:$BL$215,62,FALSE)</f>
        <v>0</v>
      </c>
      <c r="L142">
        <f>VLOOKUP($A142,ScionOutput!$A$3:$BL$215,63,FALSE)</f>
        <v>0</v>
      </c>
      <c r="M142" t="b">
        <f t="shared" si="17"/>
        <v>0</v>
      </c>
      <c r="N142">
        <f>VLOOKUP($A142,Outcomes!$B$3:$I$209,8,FALSE)</f>
        <v>4</v>
      </c>
      <c r="O142">
        <f t="shared" si="18"/>
        <v>1</v>
      </c>
      <c r="P142">
        <f>VLOOKUP($A142,Outcomes!$B$3:$I$209,5,FALSE)</f>
        <v>3</v>
      </c>
      <c r="Q142">
        <f>VLOOKUP($A142,Outcomes!$B$3:$I$209,6,FALSE)</f>
        <v>1</v>
      </c>
      <c r="R142">
        <f>VLOOKUP($A142,Outcomes!$B$3:$I$209,7,FALSE)</f>
        <v>-2</v>
      </c>
      <c r="S142" t="str">
        <f t="shared" si="19"/>
        <v>HomFave</v>
      </c>
      <c r="T142" t="str">
        <f t="shared" si="20"/>
        <v/>
      </c>
      <c r="U142" t="str">
        <f t="shared" si="16"/>
        <v/>
      </c>
      <c r="V142" t="str">
        <f t="shared" si="21"/>
        <v/>
      </c>
      <c r="W142" t="str">
        <f t="shared" si="22"/>
        <v/>
      </c>
      <c r="X142" s="2" t="str">
        <f t="shared" si="23"/>
        <v/>
      </c>
      <c r="Y142" t="str">
        <f>VLOOKUP($A142,ScionOutput!$A$3:$BL$215,64,FALSE)</f>
        <v xml:space="preserve">823128. LineStatEns is NoPlay as bookie-line outside range. StatOnlyEns is NoPlay as bookie-line outside range. No play due to strategy constraints. </v>
      </c>
    </row>
    <row r="143" spans="1:25" x14ac:dyDescent="0.2">
      <c r="A143">
        <v>823045</v>
      </c>
      <c r="B143" s="3">
        <f>VLOOKUP($A143,ScionOutput!$A$3:$BL$215,3,FALSE)</f>
        <v>46189</v>
      </c>
      <c r="C143">
        <f>VLOOKUP($A143,ScionOutput!$A$3:$BL$215,22,FALSE)</f>
        <v>26</v>
      </c>
      <c r="D143" t="str">
        <f>VLOOKUP($A143,ScionOutput!$A$3:$BL$215,23,FALSE)</f>
        <v>STL</v>
      </c>
      <c r="E143">
        <f>VLOOKUP($A143,ScionOutput!$A$3:$BL$215,6,FALSE)</f>
        <v>23</v>
      </c>
      <c r="F143" t="str">
        <f>VLOOKUP($A143,ScionOutput!$A$3:$BL$215,7,FALSE)</f>
        <v>SD</v>
      </c>
      <c r="G143">
        <f>VLOOKUP($A143,ScionOutput!$A$3:$BL$215,26,FALSE)</f>
        <v>-113</v>
      </c>
      <c r="H143">
        <f>VLOOKUP($A143,ScionOutput!$A$3:$BL$215,10,FALSE)</f>
        <v>105</v>
      </c>
      <c r="I143" t="str">
        <f>VLOOKUP($A143,ScionOutput!$A$3:$BL$215,58,FALSE)</f>
        <v>HomFave</v>
      </c>
      <c r="J143">
        <f>VLOOKUP($A143,ScionOutput!$A$3:$BL$215,59,FALSE)</f>
        <v>1.9029999999999998E-2</v>
      </c>
      <c r="K143">
        <f>VLOOKUP($A143,ScionOutput!$A$3:$BL$215,62,FALSE)</f>
        <v>3</v>
      </c>
      <c r="L143">
        <f>VLOOKUP($A143,ScionOutput!$A$3:$BL$215,63,FALSE)</f>
        <v>0.93</v>
      </c>
      <c r="M143" t="b">
        <f t="shared" si="17"/>
        <v>0</v>
      </c>
      <c r="N143">
        <f>VLOOKUP($A143,Outcomes!$B$3:$I$209,8,FALSE)</f>
        <v>5</v>
      </c>
      <c r="O143">
        <f t="shared" si="18"/>
        <v>1</v>
      </c>
      <c r="P143">
        <f>VLOOKUP($A143,Outcomes!$B$3:$I$209,5,FALSE)</f>
        <v>3</v>
      </c>
      <c r="Q143">
        <f>VLOOKUP($A143,Outcomes!$B$3:$I$209,6,FALSE)</f>
        <v>2</v>
      </c>
      <c r="R143">
        <f>VLOOKUP($A143,Outcomes!$B$3:$I$209,7,FALSE)</f>
        <v>-1</v>
      </c>
      <c r="S143" t="str">
        <f t="shared" si="19"/>
        <v>HomFave</v>
      </c>
      <c r="T143" t="str">
        <f t="shared" si="20"/>
        <v/>
      </c>
      <c r="U143" t="str">
        <f t="shared" si="16"/>
        <v/>
      </c>
      <c r="V143" t="str">
        <f t="shared" si="21"/>
        <v/>
      </c>
      <c r="W143" t="str">
        <f t="shared" si="22"/>
        <v/>
      </c>
      <c r="X143" s="2" t="str">
        <f t="shared" si="23"/>
        <v/>
      </c>
      <c r="Y143" t="str">
        <f>VLOOKUP($A143,ScionOutput!$A$3:$BL$215,64,FALSE)</f>
        <v xml:space="preserve">823045. StatOnlyEns probability points gap does not exceed threshold (no edge found)! Play determined by LineStatEns only. </v>
      </c>
    </row>
    <row r="144" spans="1:25" x14ac:dyDescent="0.2">
      <c r="A144">
        <v>822888</v>
      </c>
      <c r="B144" s="3">
        <f>VLOOKUP($A144,ScionOutput!$A$3:$BL$215,3,FALSE)</f>
        <v>46189</v>
      </c>
      <c r="C144">
        <f>VLOOKUP($A144,ScionOutput!$A$3:$BL$215,22,FALSE)</f>
        <v>28</v>
      </c>
      <c r="D144" t="str">
        <f>VLOOKUP($A144,ScionOutput!$A$3:$BL$215,23,FALSE)</f>
        <v>TEX</v>
      </c>
      <c r="E144">
        <f>VLOOKUP($A144,ScionOutput!$A$3:$BL$215,6,FALSE)</f>
        <v>15</v>
      </c>
      <c r="F144" t="str">
        <f>VLOOKUP($A144,ScionOutput!$A$3:$BL$215,7,FALSE)</f>
        <v>MIN</v>
      </c>
      <c r="G144">
        <f>VLOOKUP($A144,ScionOutput!$A$3:$BL$215,26,FALSE)</f>
        <v>-120</v>
      </c>
      <c r="H144">
        <f>VLOOKUP($A144,ScionOutput!$A$3:$BL$215,10,FALSE)</f>
        <v>111</v>
      </c>
      <c r="I144" t="str">
        <f>VLOOKUP($A144,ScionOutput!$A$3:$BL$215,58,FALSE)</f>
        <v>No Play</v>
      </c>
      <c r="J144">
        <f>VLOOKUP($A144,ScionOutput!$A$3:$BL$215,59,FALSE)</f>
        <v>0</v>
      </c>
      <c r="K144">
        <f>VLOOKUP($A144,ScionOutput!$A$3:$BL$215,62,FALSE)</f>
        <v>0</v>
      </c>
      <c r="L144">
        <f>VLOOKUP($A144,ScionOutput!$A$3:$BL$215,63,FALSE)</f>
        <v>0</v>
      </c>
      <c r="M144" t="b">
        <f t="shared" si="17"/>
        <v>0</v>
      </c>
      <c r="N144">
        <f>VLOOKUP($A144,Outcomes!$B$3:$I$209,8,FALSE)</f>
        <v>14</v>
      </c>
      <c r="O144">
        <f t="shared" si="18"/>
        <v>-1</v>
      </c>
      <c r="P144">
        <f>VLOOKUP($A144,Outcomes!$B$3:$I$209,5,FALSE)</f>
        <v>2</v>
      </c>
      <c r="Q144">
        <f>VLOOKUP($A144,Outcomes!$B$3:$I$209,6,FALSE)</f>
        <v>12</v>
      </c>
      <c r="R144">
        <f>VLOOKUP($A144,Outcomes!$B$3:$I$209,7,FALSE)</f>
        <v>10</v>
      </c>
      <c r="S144" t="str">
        <f t="shared" si="19"/>
        <v>VisDog</v>
      </c>
      <c r="T144" t="str">
        <f t="shared" si="20"/>
        <v/>
      </c>
      <c r="U144" t="str">
        <f t="shared" si="16"/>
        <v/>
      </c>
      <c r="V144" t="str">
        <f t="shared" si="21"/>
        <v/>
      </c>
      <c r="W144" t="str">
        <f t="shared" si="22"/>
        <v/>
      </c>
      <c r="X144" s="2" t="str">
        <f t="shared" si="23"/>
        <v/>
      </c>
      <c r="Y144" t="str">
        <f>VLOOKUP($A144,ScionOutput!$A$3:$BL$215,64,FALSE)</f>
        <v xml:space="preserve">822888. LineStatEns probability points gap does not exceed threshold (no edge found)! StatOnlyEns probability points gap does not exceed threshold (no edge found)! No play due to strategy constraints. </v>
      </c>
    </row>
    <row r="145" spans="1:25" x14ac:dyDescent="0.2">
      <c r="A145">
        <v>824912</v>
      </c>
      <c r="B145" s="3">
        <f>VLOOKUP($A145,ScionOutput!$A$3:$BL$215,3,FALSE)</f>
        <v>46189</v>
      </c>
      <c r="C145">
        <f>VLOOKUP($A145,ScionOutput!$A$3:$BL$215,22,FALSE)</f>
        <v>0</v>
      </c>
      <c r="D145" t="str">
        <f>VLOOKUP($A145,ScionOutput!$A$3:$BL$215,23,FALSE)</f>
        <v>ATL</v>
      </c>
      <c r="E145">
        <f>VLOOKUP($A145,ScionOutput!$A$3:$BL$215,6,FALSE)</f>
        <v>25</v>
      </c>
      <c r="F145" t="str">
        <f>VLOOKUP($A145,ScionOutput!$A$3:$BL$215,7,FALSE)</f>
        <v>SF</v>
      </c>
      <c r="G145">
        <f>VLOOKUP($A145,ScionOutput!$A$3:$BL$215,26,FALSE)</f>
        <v>-169</v>
      </c>
      <c r="H145">
        <f>VLOOKUP($A145,ScionOutput!$A$3:$BL$215,10,FALSE)</f>
        <v>154</v>
      </c>
      <c r="I145" t="str">
        <f>VLOOKUP($A145,ScionOutput!$A$3:$BL$215,58,FALSE)</f>
        <v>No Play</v>
      </c>
      <c r="J145">
        <f>VLOOKUP($A145,ScionOutput!$A$3:$BL$215,59,FALSE)</f>
        <v>0</v>
      </c>
      <c r="K145">
        <f>VLOOKUP($A145,ScionOutput!$A$3:$BL$215,62,FALSE)</f>
        <v>0</v>
      </c>
      <c r="L145">
        <f>VLOOKUP($A145,ScionOutput!$A$3:$BL$215,63,FALSE)</f>
        <v>0</v>
      </c>
      <c r="M145" t="b">
        <f t="shared" si="17"/>
        <v>0</v>
      </c>
      <c r="N145">
        <f>VLOOKUP($A145,Outcomes!$B$3:$I$209,8,FALSE)</f>
        <v>9</v>
      </c>
      <c r="O145">
        <f t="shared" si="18"/>
        <v>-1</v>
      </c>
      <c r="P145">
        <f>VLOOKUP($A145,Outcomes!$B$3:$I$209,5,FALSE)</f>
        <v>2</v>
      </c>
      <c r="Q145">
        <f>VLOOKUP($A145,Outcomes!$B$3:$I$209,6,FALSE)</f>
        <v>7</v>
      </c>
      <c r="R145">
        <f>VLOOKUP($A145,Outcomes!$B$3:$I$209,7,FALSE)</f>
        <v>5</v>
      </c>
      <c r="S145" t="str">
        <f t="shared" si="19"/>
        <v>VisDog</v>
      </c>
      <c r="T145" t="str">
        <f t="shared" si="20"/>
        <v/>
      </c>
      <c r="U145" t="str">
        <f t="shared" si="16"/>
        <v/>
      </c>
      <c r="V145" t="str">
        <f t="shared" si="21"/>
        <v/>
      </c>
      <c r="W145" t="str">
        <f t="shared" si="22"/>
        <v/>
      </c>
      <c r="X145" s="2" t="str">
        <f t="shared" si="23"/>
        <v/>
      </c>
      <c r="Y145" t="str">
        <f>VLOOKUP($A145,ScionOutput!$A$3:$BL$215,64,FALSE)</f>
        <v xml:space="preserve">824912. LineStatEns is NoPlay as bookie-line outside range. StatOnlyEns is NoPlay as bookie-line outside range. No play due to strategy constraints. </v>
      </c>
    </row>
    <row r="146" spans="1:25" x14ac:dyDescent="0.2">
      <c r="A146">
        <v>824913</v>
      </c>
      <c r="B146" s="3">
        <f>VLOOKUP($A146,ScionOutput!$A$3:$BL$215,3,FALSE)</f>
        <v>46190</v>
      </c>
      <c r="C146">
        <f>VLOOKUP($A146,ScionOutput!$A$3:$BL$215,22,FALSE)</f>
        <v>0</v>
      </c>
      <c r="D146" t="str">
        <f>VLOOKUP($A146,ScionOutput!$A$3:$BL$215,23,FALSE)</f>
        <v>ATL</v>
      </c>
      <c r="E146">
        <f>VLOOKUP($A146,ScionOutput!$A$3:$BL$215,6,FALSE)</f>
        <v>25</v>
      </c>
      <c r="F146" t="str">
        <f>VLOOKUP($A146,ScionOutput!$A$3:$BL$215,7,FALSE)</f>
        <v>SF</v>
      </c>
      <c r="G146">
        <f>VLOOKUP($A146,ScionOutput!$A$3:$BL$215,26,FALSE)</f>
        <v>-137</v>
      </c>
      <c r="H146">
        <f>VLOOKUP($A146,ScionOutput!$A$3:$BL$215,10,FALSE)</f>
        <v>124</v>
      </c>
      <c r="I146" t="str">
        <f>VLOOKUP($A146,ScionOutput!$A$3:$BL$215,58,FALSE)</f>
        <v>HomFave</v>
      </c>
      <c r="J146">
        <f>VLOOKUP($A146,ScionOutput!$A$3:$BL$215,59,FALSE)</f>
        <v>1.576E-2</v>
      </c>
      <c r="K146">
        <f>VLOOKUP($A146,ScionOutput!$A$3:$BL$215,62,FALSE)</f>
        <v>3</v>
      </c>
      <c r="L146">
        <f>VLOOKUP($A146,ScionOutput!$A$3:$BL$215,63,FALSE)</f>
        <v>1</v>
      </c>
      <c r="M146" t="b">
        <f t="shared" si="17"/>
        <v>0</v>
      </c>
      <c r="N146">
        <f>VLOOKUP($A146,Outcomes!$B$3:$I$209,8,FALSE)</f>
        <v>12</v>
      </c>
      <c r="O146">
        <f t="shared" si="18"/>
        <v>-1</v>
      </c>
      <c r="P146">
        <f>VLOOKUP($A146,Outcomes!$B$3:$I$209,5,FALSE)</f>
        <v>5</v>
      </c>
      <c r="Q146">
        <f>VLOOKUP($A146,Outcomes!$B$3:$I$209,6,FALSE)</f>
        <v>7</v>
      </c>
      <c r="R146">
        <f>VLOOKUP($A146,Outcomes!$B$3:$I$209,7,FALSE)</f>
        <v>2</v>
      </c>
      <c r="S146" t="str">
        <f t="shared" si="19"/>
        <v>VisDog</v>
      </c>
      <c r="T146" t="str">
        <f t="shared" si="20"/>
        <v/>
      </c>
      <c r="U146" t="str">
        <f t="shared" si="16"/>
        <v/>
      </c>
      <c r="V146" t="str">
        <f t="shared" si="21"/>
        <v/>
      </c>
      <c r="W146" t="str">
        <f t="shared" si="22"/>
        <v/>
      </c>
      <c r="X146" s="2" t="str">
        <f t="shared" si="23"/>
        <v/>
      </c>
      <c r="Y146" t="str">
        <f>VLOOKUP($A146,ScionOutput!$A$3:$BL$215,64,FALSE)</f>
        <v xml:space="preserve">824913. StatOnlyEns probability points gap does not exceed threshold (no edge found)! Play determined by LineStatEns only. </v>
      </c>
    </row>
    <row r="147" spans="1:25" x14ac:dyDescent="0.2">
      <c r="A147">
        <v>825072</v>
      </c>
      <c r="B147" s="3">
        <f>VLOOKUP($A147,ScionOutput!$A$3:$BL$215,3,FALSE)</f>
        <v>46190</v>
      </c>
      <c r="C147">
        <f>VLOOKUP($A147,ScionOutput!$A$3:$BL$215,22,FALSE)</f>
        <v>1</v>
      </c>
      <c r="D147" t="str">
        <f>VLOOKUP($A147,ScionOutput!$A$3:$BL$215,23,FALSE)</f>
        <v>ARZ</v>
      </c>
      <c r="E147">
        <f>VLOOKUP($A147,ScionOutput!$A$3:$BL$215,6,FALSE)</f>
        <v>4</v>
      </c>
      <c r="F147" t="str">
        <f>VLOOKUP($A147,ScionOutput!$A$3:$BL$215,7,FALSE)</f>
        <v>LAA</v>
      </c>
      <c r="G147">
        <f>VLOOKUP($A147,ScionOutput!$A$3:$BL$215,26,FALSE)</f>
        <v>-163</v>
      </c>
      <c r="H147">
        <f>VLOOKUP($A147,ScionOutput!$A$3:$BL$215,10,FALSE)</f>
        <v>146</v>
      </c>
      <c r="I147" t="str">
        <f>VLOOKUP($A147,ScionOutput!$A$3:$BL$215,58,FALSE)</f>
        <v>No Play</v>
      </c>
      <c r="J147">
        <f>VLOOKUP($A147,ScionOutput!$A$3:$BL$215,59,FALSE)</f>
        <v>0</v>
      </c>
      <c r="K147">
        <f>VLOOKUP($A147,ScionOutput!$A$3:$BL$215,62,FALSE)</f>
        <v>0</v>
      </c>
      <c r="L147">
        <f>VLOOKUP($A147,ScionOutput!$A$3:$BL$215,63,FALSE)</f>
        <v>0</v>
      </c>
      <c r="M147" t="b">
        <f t="shared" si="17"/>
        <v>0</v>
      </c>
      <c r="N147">
        <f>VLOOKUP($A147,Outcomes!$B$3:$I$209,8,FALSE)</f>
        <v>9</v>
      </c>
      <c r="O147">
        <f t="shared" si="18"/>
        <v>1</v>
      </c>
      <c r="P147">
        <f>VLOOKUP($A147,Outcomes!$B$3:$I$209,5,FALSE)</f>
        <v>8</v>
      </c>
      <c r="Q147">
        <f>VLOOKUP($A147,Outcomes!$B$3:$I$209,6,FALSE)</f>
        <v>1</v>
      </c>
      <c r="R147">
        <f>VLOOKUP($A147,Outcomes!$B$3:$I$209,7,FALSE)</f>
        <v>-7</v>
      </c>
      <c r="S147" t="str">
        <f t="shared" si="19"/>
        <v>HomFave</v>
      </c>
      <c r="T147" t="str">
        <f t="shared" si="20"/>
        <v/>
      </c>
      <c r="U147" t="str">
        <f t="shared" si="16"/>
        <v/>
      </c>
      <c r="V147" t="str">
        <f t="shared" si="21"/>
        <v/>
      </c>
      <c r="W147" t="str">
        <f t="shared" si="22"/>
        <v/>
      </c>
      <c r="X147" s="2" t="str">
        <f t="shared" si="23"/>
        <v/>
      </c>
      <c r="Y147" t="str">
        <f>VLOOKUP($A147,ScionOutput!$A$3:$BL$215,64,FALSE)</f>
        <v xml:space="preserve">825072. LineStatEns is NoPlay as bookie-line outside range. StatOnlyEns is NoPlay as bookie-line outside range. No play due to strategy constraints. </v>
      </c>
    </row>
    <row r="148" spans="1:25" x14ac:dyDescent="0.2">
      <c r="A148">
        <v>824746</v>
      </c>
      <c r="B148" s="3">
        <f>VLOOKUP($A148,ScionOutput!$A$3:$BL$215,3,FALSE)</f>
        <v>46190</v>
      </c>
      <c r="C148">
        <f>VLOOKUP($A148,ScionOutput!$A$3:$BL$215,22,FALSE)</f>
        <v>3</v>
      </c>
      <c r="D148" t="str">
        <f>VLOOKUP($A148,ScionOutput!$A$3:$BL$215,23,FALSE)</f>
        <v>BOS</v>
      </c>
      <c r="E148">
        <f>VLOOKUP($A148,ScionOutput!$A$3:$BL$215,6,FALSE)</f>
        <v>29</v>
      </c>
      <c r="F148" t="str">
        <f>VLOOKUP($A148,ScionOutput!$A$3:$BL$215,7,FALSE)</f>
        <v>TOR</v>
      </c>
      <c r="G148">
        <f>VLOOKUP($A148,ScionOutput!$A$3:$BL$215,26,FALSE)</f>
        <v>-124</v>
      </c>
      <c r="H148">
        <f>VLOOKUP($A148,ScionOutput!$A$3:$BL$215,10,FALSE)</f>
        <v>112</v>
      </c>
      <c r="I148" t="str">
        <f>VLOOKUP($A148,ScionOutput!$A$3:$BL$215,58,FALSE)</f>
        <v>No Play</v>
      </c>
      <c r="J148">
        <f>VLOOKUP($A148,ScionOutput!$A$3:$BL$215,59,FALSE)</f>
        <v>0</v>
      </c>
      <c r="K148">
        <f>VLOOKUP($A148,ScionOutput!$A$3:$BL$215,62,FALSE)</f>
        <v>0</v>
      </c>
      <c r="L148">
        <f>VLOOKUP($A148,ScionOutput!$A$3:$BL$215,63,FALSE)</f>
        <v>0</v>
      </c>
      <c r="M148" t="b">
        <f t="shared" si="17"/>
        <v>0</v>
      </c>
      <c r="N148">
        <f>VLOOKUP($A148,Outcomes!$B$3:$I$209,8,FALSE)</f>
        <v>3</v>
      </c>
      <c r="O148">
        <f t="shared" si="18"/>
        <v>-1</v>
      </c>
      <c r="P148">
        <f>VLOOKUP($A148,Outcomes!$B$3:$I$209,5,FALSE)</f>
        <v>0</v>
      </c>
      <c r="Q148">
        <f>VLOOKUP($A148,Outcomes!$B$3:$I$209,6,FALSE)</f>
        <v>3</v>
      </c>
      <c r="R148">
        <f>VLOOKUP($A148,Outcomes!$B$3:$I$209,7,FALSE)</f>
        <v>3</v>
      </c>
      <c r="S148" t="str">
        <f t="shared" si="19"/>
        <v>VisDog</v>
      </c>
      <c r="T148" t="str">
        <f t="shared" si="20"/>
        <v/>
      </c>
      <c r="U148" t="str">
        <f t="shared" si="16"/>
        <v/>
      </c>
      <c r="V148" t="str">
        <f t="shared" si="21"/>
        <v/>
      </c>
      <c r="W148" t="str">
        <f t="shared" si="22"/>
        <v/>
      </c>
      <c r="X148" s="2" t="str">
        <f t="shared" si="23"/>
        <v/>
      </c>
      <c r="Y148" t="str">
        <f>VLOOKUP($A148,ScionOutput!$A$3:$BL$215,64,FALSE)</f>
        <v xml:space="preserve">824746. LineStatEns probability points gap does not exceed threshold (no edge found)! No play due to strategy constraints. </v>
      </c>
    </row>
    <row r="149" spans="1:25" x14ac:dyDescent="0.2">
      <c r="A149">
        <v>824668</v>
      </c>
      <c r="B149" s="3">
        <f>VLOOKUP($A149,ScionOutput!$A$3:$BL$215,3,FALSE)</f>
        <v>46190</v>
      </c>
      <c r="C149">
        <f>VLOOKUP($A149,ScionOutput!$A$3:$BL$215,22,FALSE)</f>
        <v>5</v>
      </c>
      <c r="D149" t="str">
        <f>VLOOKUP($A149,ScionOutput!$A$3:$BL$215,23,FALSE)</f>
        <v>CHC</v>
      </c>
      <c r="E149">
        <f>VLOOKUP($A149,ScionOutput!$A$3:$BL$215,6,FALSE)</f>
        <v>8</v>
      </c>
      <c r="F149" t="str">
        <f>VLOOKUP($A149,ScionOutput!$A$3:$BL$215,7,FALSE)</f>
        <v>COL</v>
      </c>
      <c r="G149">
        <f>VLOOKUP($A149,ScionOutput!$A$3:$BL$215,26,FALSE)</f>
        <v>-180</v>
      </c>
      <c r="H149">
        <f>VLOOKUP($A149,ScionOutput!$A$3:$BL$215,10,FALSE)</f>
        <v>161</v>
      </c>
      <c r="I149" t="str">
        <f>VLOOKUP($A149,ScionOutput!$A$3:$BL$215,58,FALSE)</f>
        <v>No Play</v>
      </c>
      <c r="J149">
        <f>VLOOKUP($A149,ScionOutput!$A$3:$BL$215,59,FALSE)</f>
        <v>0</v>
      </c>
      <c r="K149">
        <f>VLOOKUP($A149,ScionOutput!$A$3:$BL$215,62,FALSE)</f>
        <v>0</v>
      </c>
      <c r="L149">
        <f>VLOOKUP($A149,ScionOutput!$A$3:$BL$215,63,FALSE)</f>
        <v>0</v>
      </c>
      <c r="M149" t="b">
        <f t="shared" si="17"/>
        <v>0</v>
      </c>
      <c r="N149">
        <f>VLOOKUP($A149,Outcomes!$B$3:$I$209,8,FALSE)</f>
        <v>14</v>
      </c>
      <c r="O149">
        <f t="shared" si="18"/>
        <v>1</v>
      </c>
      <c r="P149">
        <f>VLOOKUP($A149,Outcomes!$B$3:$I$209,5,FALSE)</f>
        <v>8</v>
      </c>
      <c r="Q149">
        <f>VLOOKUP($A149,Outcomes!$B$3:$I$209,6,FALSE)</f>
        <v>6</v>
      </c>
      <c r="R149">
        <f>VLOOKUP($A149,Outcomes!$B$3:$I$209,7,FALSE)</f>
        <v>-2</v>
      </c>
      <c r="S149" t="str">
        <f t="shared" si="19"/>
        <v>HomFave</v>
      </c>
      <c r="T149" t="str">
        <f t="shared" si="20"/>
        <v/>
      </c>
      <c r="U149" t="str">
        <f t="shared" si="16"/>
        <v/>
      </c>
      <c r="V149" t="str">
        <f t="shared" si="21"/>
        <v/>
      </c>
      <c r="W149" t="str">
        <f t="shared" si="22"/>
        <v/>
      </c>
      <c r="X149" s="2" t="str">
        <f t="shared" si="23"/>
        <v/>
      </c>
      <c r="Y149" t="str">
        <f>VLOOKUP($A149,ScionOutput!$A$3:$BL$215,64,FALSE)</f>
        <v xml:space="preserve">824668. LineStatEns is NoPlay as bookie-line outside range. StatOnlyEns is NoPlay as bookie-line outside range. No play due to strategy constraints. </v>
      </c>
    </row>
    <row r="150" spans="1:25" x14ac:dyDescent="0.2">
      <c r="A150">
        <v>824503</v>
      </c>
      <c r="B150" s="3">
        <f>VLOOKUP($A150,ScionOutput!$A$3:$BL$215,3,FALSE)</f>
        <v>46190</v>
      </c>
      <c r="C150">
        <f>VLOOKUP($A150,ScionOutput!$A$3:$BL$215,22,FALSE)</f>
        <v>6</v>
      </c>
      <c r="D150" t="str">
        <f>VLOOKUP($A150,ScionOutput!$A$3:$BL$215,23,FALSE)</f>
        <v>CIN</v>
      </c>
      <c r="E150">
        <f>VLOOKUP($A150,ScionOutput!$A$3:$BL$215,6,FALSE)</f>
        <v>18</v>
      </c>
      <c r="F150" t="str">
        <f>VLOOKUP($A150,ScionOutput!$A$3:$BL$215,7,FALSE)</f>
        <v>NYM</v>
      </c>
      <c r="G150">
        <f>VLOOKUP($A150,ScionOutput!$A$3:$BL$215,26,FALSE)</f>
        <v>113</v>
      </c>
      <c r="H150">
        <f>VLOOKUP($A150,ScionOutput!$A$3:$BL$215,10,FALSE)</f>
        <v>-125</v>
      </c>
      <c r="I150" t="str">
        <f>VLOOKUP($A150,ScionOutput!$A$3:$BL$215,58,FALSE)</f>
        <v>No Play</v>
      </c>
      <c r="J150">
        <f>VLOOKUP($A150,ScionOutput!$A$3:$BL$215,59,FALSE)</f>
        <v>0</v>
      </c>
      <c r="K150">
        <f>VLOOKUP($A150,ScionOutput!$A$3:$BL$215,62,FALSE)</f>
        <v>0</v>
      </c>
      <c r="L150">
        <f>VLOOKUP($A150,ScionOutput!$A$3:$BL$215,63,FALSE)</f>
        <v>0</v>
      </c>
      <c r="M150" t="b">
        <f t="shared" si="17"/>
        <v>0</v>
      </c>
      <c r="N150">
        <f>VLOOKUP($A150,Outcomes!$B$3:$I$209,8,FALSE)</f>
        <v>10</v>
      </c>
      <c r="O150">
        <f t="shared" si="18"/>
        <v>-1</v>
      </c>
      <c r="P150">
        <f>VLOOKUP($A150,Outcomes!$B$3:$I$209,5,FALSE)</f>
        <v>1</v>
      </c>
      <c r="Q150">
        <f>VLOOKUP($A150,Outcomes!$B$3:$I$209,6,FALSE)</f>
        <v>9</v>
      </c>
      <c r="R150">
        <f>VLOOKUP($A150,Outcomes!$B$3:$I$209,7,FALSE)</f>
        <v>8</v>
      </c>
      <c r="S150" t="str">
        <f t="shared" si="19"/>
        <v>VisFave</v>
      </c>
      <c r="T150" t="str">
        <f t="shared" si="20"/>
        <v/>
      </c>
      <c r="U150" t="str">
        <f t="shared" si="16"/>
        <v/>
      </c>
      <c r="V150" t="str">
        <f t="shared" si="21"/>
        <v/>
      </c>
      <c r="W150" t="str">
        <f t="shared" si="22"/>
        <v/>
      </c>
      <c r="X150" s="2" t="str">
        <f t="shared" si="23"/>
        <v/>
      </c>
      <c r="Y150" t="str">
        <f>VLOOKUP($A150,ScionOutput!$A$3:$BL$215,64,FALSE)</f>
        <v xml:space="preserve">824503. VF plays are disallowed. No play due to strategy constraints. </v>
      </c>
    </row>
    <row r="151" spans="1:25" x14ac:dyDescent="0.2">
      <c r="A151">
        <v>824178</v>
      </c>
      <c r="B151" s="3">
        <f>VLOOKUP($A151,ScionOutput!$A$3:$BL$215,3,FALSE)</f>
        <v>46190</v>
      </c>
      <c r="C151">
        <f>VLOOKUP($A151,ScionOutput!$A$3:$BL$215,22,FALSE)</f>
        <v>12</v>
      </c>
      <c r="D151" t="str">
        <f>VLOOKUP($A151,ScionOutput!$A$3:$BL$215,23,FALSE)</f>
        <v>HOU</v>
      </c>
      <c r="E151">
        <f>VLOOKUP($A151,ScionOutput!$A$3:$BL$215,6,FALSE)</f>
        <v>10</v>
      </c>
      <c r="F151" t="str">
        <f>VLOOKUP($A151,ScionOutput!$A$3:$BL$215,7,FALSE)</f>
        <v>DET</v>
      </c>
      <c r="G151">
        <f>VLOOKUP($A151,ScionOutput!$A$3:$BL$215,26,FALSE)</f>
        <v>-103</v>
      </c>
      <c r="H151">
        <f>VLOOKUP($A151,ScionOutput!$A$3:$BL$215,10,FALSE)</f>
        <v>-107</v>
      </c>
      <c r="I151" t="str">
        <f>VLOOKUP($A151,ScionOutput!$A$3:$BL$215,58,FALSE)</f>
        <v>No Play</v>
      </c>
      <c r="J151">
        <f>VLOOKUP($A151,ScionOutput!$A$3:$BL$215,59,FALSE)</f>
        <v>0</v>
      </c>
      <c r="K151">
        <f>VLOOKUP($A151,ScionOutput!$A$3:$BL$215,62,FALSE)</f>
        <v>0</v>
      </c>
      <c r="L151">
        <f>VLOOKUP($A151,ScionOutput!$A$3:$BL$215,63,FALSE)</f>
        <v>0</v>
      </c>
      <c r="M151" t="b">
        <f t="shared" si="17"/>
        <v>0</v>
      </c>
      <c r="N151">
        <f>VLOOKUP($A151,Outcomes!$B$3:$I$209,8,FALSE)</f>
        <v>6</v>
      </c>
      <c r="O151">
        <f t="shared" si="18"/>
        <v>1</v>
      </c>
      <c r="P151">
        <f>VLOOKUP($A151,Outcomes!$B$3:$I$209,5,FALSE)</f>
        <v>4</v>
      </c>
      <c r="Q151">
        <f>VLOOKUP($A151,Outcomes!$B$3:$I$209,6,FALSE)</f>
        <v>2</v>
      </c>
      <c r="R151">
        <f>VLOOKUP($A151,Outcomes!$B$3:$I$209,7,FALSE)</f>
        <v>-2</v>
      </c>
      <c r="S151" t="str">
        <f t="shared" si="19"/>
        <v>HomDog</v>
      </c>
      <c r="T151" t="str">
        <f t="shared" si="20"/>
        <v/>
      </c>
      <c r="U151" t="str">
        <f t="shared" si="16"/>
        <v/>
      </c>
      <c r="V151" t="str">
        <f t="shared" si="21"/>
        <v/>
      </c>
      <c r="W151" t="str">
        <f t="shared" si="22"/>
        <v/>
      </c>
      <c r="X151" s="2" t="str">
        <f t="shared" si="23"/>
        <v/>
      </c>
      <c r="Y151" t="str">
        <f>VLOOKUP($A151,ScionOutput!$A$3:$BL$215,64,FALSE)</f>
        <v xml:space="preserve">824178. VF plays are disallowed. No play due to strategy constraints. </v>
      </c>
    </row>
    <row r="152" spans="1:25" x14ac:dyDescent="0.2">
      <c r="A152">
        <v>823940</v>
      </c>
      <c r="B152" s="3">
        <f>VLOOKUP($A152,ScionOutput!$A$3:$BL$215,3,FALSE)</f>
        <v>46190</v>
      </c>
      <c r="C152">
        <f>VLOOKUP($A152,ScionOutput!$A$3:$BL$215,22,FALSE)</f>
        <v>14</v>
      </c>
      <c r="D152" t="str">
        <f>VLOOKUP($A152,ScionOutput!$A$3:$BL$215,23,FALSE)</f>
        <v>LA</v>
      </c>
      <c r="E152">
        <f>VLOOKUP($A152,ScionOutput!$A$3:$BL$215,6,FALSE)</f>
        <v>27</v>
      </c>
      <c r="F152" t="str">
        <f>VLOOKUP($A152,ScionOutput!$A$3:$BL$215,7,FALSE)</f>
        <v>TB</v>
      </c>
      <c r="G152">
        <f>VLOOKUP($A152,ScionOutput!$A$3:$BL$215,26,FALSE)</f>
        <v>-181</v>
      </c>
      <c r="H152">
        <f>VLOOKUP($A152,ScionOutput!$A$3:$BL$215,10,FALSE)</f>
        <v>162</v>
      </c>
      <c r="I152" t="str">
        <f>VLOOKUP($A152,ScionOutput!$A$3:$BL$215,58,FALSE)</f>
        <v>No Play</v>
      </c>
      <c r="J152">
        <f>VLOOKUP($A152,ScionOutput!$A$3:$BL$215,59,FALSE)</f>
        <v>0</v>
      </c>
      <c r="K152">
        <f>VLOOKUP($A152,ScionOutput!$A$3:$BL$215,62,FALSE)</f>
        <v>0</v>
      </c>
      <c r="L152">
        <f>VLOOKUP($A152,ScionOutput!$A$3:$BL$215,63,FALSE)</f>
        <v>0</v>
      </c>
      <c r="M152" t="b">
        <f t="shared" si="17"/>
        <v>0</v>
      </c>
      <c r="N152">
        <f>VLOOKUP($A152,Outcomes!$B$3:$I$209,8,FALSE)</f>
        <v>9</v>
      </c>
      <c r="O152">
        <f t="shared" si="18"/>
        <v>1</v>
      </c>
      <c r="P152">
        <f>VLOOKUP($A152,Outcomes!$B$3:$I$209,5,FALSE)</f>
        <v>5</v>
      </c>
      <c r="Q152">
        <f>VLOOKUP($A152,Outcomes!$B$3:$I$209,6,FALSE)</f>
        <v>4</v>
      </c>
      <c r="R152">
        <f>VLOOKUP($A152,Outcomes!$B$3:$I$209,7,FALSE)</f>
        <v>-1</v>
      </c>
      <c r="S152" t="str">
        <f t="shared" si="19"/>
        <v>HomFave</v>
      </c>
      <c r="T152" t="str">
        <f t="shared" si="20"/>
        <v/>
      </c>
      <c r="U152" t="str">
        <f t="shared" si="16"/>
        <v/>
      </c>
      <c r="V152" t="str">
        <f t="shared" si="21"/>
        <v/>
      </c>
      <c r="W152" t="str">
        <f t="shared" si="22"/>
        <v/>
      </c>
      <c r="X152" s="2" t="str">
        <f t="shared" si="23"/>
        <v/>
      </c>
      <c r="Y152" t="str">
        <f>VLOOKUP($A152,ScionOutput!$A$3:$BL$215,64,FALSE)</f>
        <v xml:space="preserve">823940. LineStatEns is NoPlay as bookie-line outside range. StatOnlyEns is NoPlay as bookie-line outside range. No play due to strategy constraints. </v>
      </c>
    </row>
    <row r="153" spans="1:25" x14ac:dyDescent="0.2">
      <c r="A153">
        <v>822721</v>
      </c>
      <c r="B153" s="3">
        <f>VLOOKUP($A153,ScionOutput!$A$3:$BL$215,3,FALSE)</f>
        <v>46190</v>
      </c>
      <c r="C153">
        <f>VLOOKUP($A153,ScionOutput!$A$3:$BL$215,22,FALSE)</f>
        <v>16</v>
      </c>
      <c r="D153" t="str">
        <f>VLOOKUP($A153,ScionOutput!$A$3:$BL$215,23,FALSE)</f>
        <v>WAS</v>
      </c>
      <c r="E153">
        <f>VLOOKUP($A153,ScionOutput!$A$3:$BL$215,6,FALSE)</f>
        <v>13</v>
      </c>
      <c r="F153" t="str">
        <f>VLOOKUP($A153,ScionOutput!$A$3:$BL$215,7,FALSE)</f>
        <v>KC</v>
      </c>
      <c r="G153">
        <f>VLOOKUP($A153,ScionOutput!$A$3:$BL$215,26,FALSE)</f>
        <v>-125</v>
      </c>
      <c r="H153">
        <f>VLOOKUP($A153,ScionOutput!$A$3:$BL$215,10,FALSE)</f>
        <v>113</v>
      </c>
      <c r="I153" t="str">
        <f>VLOOKUP($A153,ScionOutput!$A$3:$BL$215,58,FALSE)</f>
        <v>No Play</v>
      </c>
      <c r="J153">
        <f>VLOOKUP($A153,ScionOutput!$A$3:$BL$215,59,FALSE)</f>
        <v>0</v>
      </c>
      <c r="K153">
        <f>VLOOKUP($A153,ScionOutput!$A$3:$BL$215,62,FALSE)</f>
        <v>0</v>
      </c>
      <c r="L153">
        <f>VLOOKUP($A153,ScionOutput!$A$3:$BL$215,63,FALSE)</f>
        <v>0</v>
      </c>
      <c r="M153" t="b">
        <f t="shared" si="17"/>
        <v>0</v>
      </c>
      <c r="N153">
        <f>VLOOKUP($A153,Outcomes!$B$3:$I$209,8,FALSE)</f>
        <v>8</v>
      </c>
      <c r="O153">
        <f t="shared" si="18"/>
        <v>-1</v>
      </c>
      <c r="P153">
        <f>VLOOKUP($A153,Outcomes!$B$3:$I$209,5,FALSE)</f>
        <v>2</v>
      </c>
      <c r="Q153">
        <f>VLOOKUP($A153,Outcomes!$B$3:$I$209,6,FALSE)</f>
        <v>6</v>
      </c>
      <c r="R153">
        <f>VLOOKUP($A153,Outcomes!$B$3:$I$209,7,FALSE)</f>
        <v>4</v>
      </c>
      <c r="S153" t="str">
        <f t="shared" si="19"/>
        <v>VisDog</v>
      </c>
      <c r="T153" t="str">
        <f t="shared" si="20"/>
        <v/>
      </c>
      <c r="U153" t="str">
        <f t="shared" si="16"/>
        <v/>
      </c>
      <c r="V153" t="str">
        <f t="shared" si="21"/>
        <v/>
      </c>
      <c r="W153" t="str">
        <f t="shared" si="22"/>
        <v/>
      </c>
      <c r="X153" s="2" t="str">
        <f t="shared" si="23"/>
        <v/>
      </c>
      <c r="Y153" t="str">
        <f>VLOOKUP($A153,ScionOutput!$A$3:$BL$215,64,FALSE)</f>
        <v xml:space="preserve">822721. LineStatEns probability points gap does not exceed threshold (no edge found)! StatOnlyEns probability points gap does not exceed threshold (no edge found)! No play due to strategy constraints. </v>
      </c>
    </row>
    <row r="154" spans="1:25" x14ac:dyDescent="0.2">
      <c r="A154">
        <v>823774</v>
      </c>
      <c r="B154" s="3">
        <f>VLOOKUP($A154,ScionOutput!$A$3:$BL$215,3,FALSE)</f>
        <v>46190</v>
      </c>
      <c r="C154">
        <f>VLOOKUP($A154,ScionOutput!$A$3:$BL$215,22,FALSE)</f>
        <v>17</v>
      </c>
      <c r="D154" t="str">
        <f>VLOOKUP($A154,ScionOutput!$A$3:$BL$215,23,FALSE)</f>
        <v>MLW</v>
      </c>
      <c r="E154">
        <f>VLOOKUP($A154,ScionOutput!$A$3:$BL$215,6,FALSE)</f>
        <v>7</v>
      </c>
      <c r="F154" t="str">
        <f>VLOOKUP($A154,ScionOutput!$A$3:$BL$215,7,FALSE)</f>
        <v>CLE</v>
      </c>
      <c r="G154">
        <f>VLOOKUP($A154,ScionOutput!$A$3:$BL$215,26,FALSE)</f>
        <v>-118</v>
      </c>
      <c r="H154">
        <f>VLOOKUP($A154,ScionOutput!$A$3:$BL$215,10,FALSE)</f>
        <v>107</v>
      </c>
      <c r="I154" t="str">
        <f>VLOOKUP($A154,ScionOutput!$A$3:$BL$215,58,FALSE)</f>
        <v>No Play</v>
      </c>
      <c r="J154">
        <f>VLOOKUP($A154,ScionOutput!$A$3:$BL$215,59,FALSE)</f>
        <v>0</v>
      </c>
      <c r="K154">
        <f>VLOOKUP($A154,ScionOutput!$A$3:$BL$215,62,FALSE)</f>
        <v>0</v>
      </c>
      <c r="L154">
        <f>VLOOKUP($A154,ScionOutput!$A$3:$BL$215,63,FALSE)</f>
        <v>0</v>
      </c>
      <c r="M154" t="b">
        <f t="shared" si="17"/>
        <v>0</v>
      </c>
      <c r="N154">
        <f>VLOOKUP($A154,Outcomes!$B$3:$I$209,8,FALSE)</f>
        <v>13</v>
      </c>
      <c r="O154">
        <f t="shared" si="18"/>
        <v>1</v>
      </c>
      <c r="P154">
        <f>VLOOKUP($A154,Outcomes!$B$3:$I$209,5,FALSE)</f>
        <v>9</v>
      </c>
      <c r="Q154">
        <f>VLOOKUP($A154,Outcomes!$B$3:$I$209,6,FALSE)</f>
        <v>4</v>
      </c>
      <c r="R154">
        <f>VLOOKUP($A154,Outcomes!$B$3:$I$209,7,FALSE)</f>
        <v>-5</v>
      </c>
      <c r="S154" t="str">
        <f t="shared" si="19"/>
        <v>HomFave</v>
      </c>
      <c r="T154" t="str">
        <f t="shared" si="20"/>
        <v/>
      </c>
      <c r="U154" t="str">
        <f t="shared" si="16"/>
        <v/>
      </c>
      <c r="V154" t="str">
        <f t="shared" si="21"/>
        <v/>
      </c>
      <c r="W154" t="str">
        <f t="shared" si="22"/>
        <v/>
      </c>
      <c r="X154" s="2" t="str">
        <f t="shared" si="23"/>
        <v/>
      </c>
      <c r="Y154" t="str">
        <f>VLOOKUP($A154,ScionOutput!$A$3:$BL$215,64,FALSE)</f>
        <v xml:space="preserve">823774. LineStatEns probability points gap does not exceed threshold (no edge found)! No play due to strategy constraints. </v>
      </c>
    </row>
    <row r="155" spans="1:25" x14ac:dyDescent="0.2">
      <c r="A155">
        <v>823536</v>
      </c>
      <c r="B155" s="3">
        <f>VLOOKUP($A155,ScionOutput!$A$3:$BL$215,3,FALSE)</f>
        <v>46190</v>
      </c>
      <c r="C155">
        <f>VLOOKUP($A155,ScionOutput!$A$3:$BL$215,22,FALSE)</f>
        <v>19</v>
      </c>
      <c r="D155" t="str">
        <f>VLOOKUP($A155,ScionOutput!$A$3:$BL$215,23,FALSE)</f>
        <v>NYY</v>
      </c>
      <c r="E155">
        <f>VLOOKUP($A155,ScionOutput!$A$3:$BL$215,6,FALSE)</f>
        <v>9</v>
      </c>
      <c r="F155" t="str">
        <f>VLOOKUP($A155,ScionOutput!$A$3:$BL$215,7,FALSE)</f>
        <v>CWS</v>
      </c>
      <c r="G155">
        <f>VLOOKUP($A155,ScionOutput!$A$3:$BL$215,26,FALSE)</f>
        <v>-170</v>
      </c>
      <c r="H155">
        <f>VLOOKUP($A155,ScionOutput!$A$3:$BL$215,10,FALSE)</f>
        <v>153</v>
      </c>
      <c r="I155" t="str">
        <f>VLOOKUP($A155,ScionOutput!$A$3:$BL$215,58,FALSE)</f>
        <v>No Play</v>
      </c>
      <c r="J155">
        <f>VLOOKUP($A155,ScionOutput!$A$3:$BL$215,59,FALSE)</f>
        <v>0</v>
      </c>
      <c r="K155">
        <f>VLOOKUP($A155,ScionOutput!$A$3:$BL$215,62,FALSE)</f>
        <v>0</v>
      </c>
      <c r="L155">
        <f>VLOOKUP($A155,ScionOutput!$A$3:$BL$215,63,FALSE)</f>
        <v>0</v>
      </c>
      <c r="M155" t="b">
        <f t="shared" si="17"/>
        <v>0</v>
      </c>
      <c r="N155">
        <f>VLOOKUP($A155,Outcomes!$B$3:$I$209,8,FALSE)</f>
        <v>15</v>
      </c>
      <c r="O155">
        <f t="shared" si="18"/>
        <v>1</v>
      </c>
      <c r="P155">
        <f>VLOOKUP($A155,Outcomes!$B$3:$I$209,5,FALSE)</f>
        <v>10</v>
      </c>
      <c r="Q155">
        <f>VLOOKUP($A155,Outcomes!$B$3:$I$209,6,FALSE)</f>
        <v>5</v>
      </c>
      <c r="R155">
        <f>VLOOKUP($A155,Outcomes!$B$3:$I$209,7,FALSE)</f>
        <v>-5</v>
      </c>
      <c r="S155" t="str">
        <f t="shared" si="19"/>
        <v>HomFave</v>
      </c>
      <c r="T155" t="str">
        <f t="shared" si="20"/>
        <v/>
      </c>
      <c r="U155" t="str">
        <f t="shared" si="16"/>
        <v/>
      </c>
      <c r="V155" t="str">
        <f t="shared" si="21"/>
        <v/>
      </c>
      <c r="W155" t="str">
        <f t="shared" si="22"/>
        <v/>
      </c>
      <c r="X155" s="2" t="str">
        <f t="shared" si="23"/>
        <v/>
      </c>
      <c r="Y155" t="str">
        <f>VLOOKUP($A155,ScionOutput!$A$3:$BL$215,64,FALSE)</f>
        <v xml:space="preserve">823536. LineStatEns is NoPlay as bookie-line outside range. StatOnlyEns is NoPlay as bookie-line outside range. No play due to strategy constraints. </v>
      </c>
    </row>
    <row r="156" spans="1:25" x14ac:dyDescent="0.2">
      <c r="A156">
        <v>824992</v>
      </c>
      <c r="B156" s="3">
        <f>VLOOKUP($A156,ScionOutput!$A$3:$BL$215,3,FALSE)</f>
        <v>46190</v>
      </c>
      <c r="C156">
        <f>VLOOKUP($A156,ScionOutput!$A$3:$BL$215,22,FALSE)</f>
        <v>20</v>
      </c>
      <c r="D156" t="str">
        <f>VLOOKUP($A156,ScionOutput!$A$3:$BL$215,23,FALSE)</f>
        <v>OAK</v>
      </c>
      <c r="E156">
        <f>VLOOKUP($A156,ScionOutput!$A$3:$BL$215,6,FALSE)</f>
        <v>22</v>
      </c>
      <c r="F156" t="str">
        <f>VLOOKUP($A156,ScionOutput!$A$3:$BL$215,7,FALSE)</f>
        <v>PIT</v>
      </c>
      <c r="G156">
        <f>VLOOKUP($A156,ScionOutput!$A$3:$BL$215,26,FALSE)</f>
        <v>104</v>
      </c>
      <c r="H156">
        <f>VLOOKUP($A156,ScionOutput!$A$3:$BL$215,10,FALSE)</f>
        <v>-114</v>
      </c>
      <c r="I156" t="str">
        <f>VLOOKUP($A156,ScionOutput!$A$3:$BL$215,58,FALSE)</f>
        <v>HomDog</v>
      </c>
      <c r="J156">
        <f>VLOOKUP($A156,ScionOutput!$A$3:$BL$215,59,FALSE)</f>
        <v>2.078E-2</v>
      </c>
      <c r="K156">
        <f>VLOOKUP($A156,ScionOutput!$A$3:$BL$215,62,FALSE)</f>
        <v>5</v>
      </c>
      <c r="L156">
        <f>VLOOKUP($A156,ScionOutput!$A$3:$BL$215,63,FALSE)</f>
        <v>0.53</v>
      </c>
      <c r="M156" t="b">
        <f t="shared" si="17"/>
        <v>1</v>
      </c>
      <c r="N156">
        <f>VLOOKUP($A156,Outcomes!$B$3:$I$209,8,FALSE)</f>
        <v>16</v>
      </c>
      <c r="O156">
        <f t="shared" si="18"/>
        <v>-1</v>
      </c>
      <c r="P156">
        <f>VLOOKUP($A156,Outcomes!$B$3:$I$209,5,FALSE)</f>
        <v>4</v>
      </c>
      <c r="Q156">
        <f>VLOOKUP($A156,Outcomes!$B$3:$I$209,6,FALSE)</f>
        <v>12</v>
      </c>
      <c r="R156">
        <f>VLOOKUP($A156,Outcomes!$B$3:$I$209,7,FALSE)</f>
        <v>8</v>
      </c>
      <c r="S156" t="str">
        <f t="shared" si="19"/>
        <v>VisFave</v>
      </c>
      <c r="T156">
        <f t="shared" si="20"/>
        <v>0</v>
      </c>
      <c r="U156">
        <f t="shared" si="16"/>
        <v>100</v>
      </c>
      <c r="V156">
        <f t="shared" si="21"/>
        <v>0</v>
      </c>
      <c r="W156">
        <f t="shared" si="22"/>
        <v>-100</v>
      </c>
      <c r="X156" s="2">
        <f t="shared" si="23"/>
        <v>-1</v>
      </c>
      <c r="Y156" t="str">
        <f>VLOOKUP($A156,ScionOutput!$A$3:$BL$215,64,FALSE)</f>
        <v xml:space="preserve">824992. Play determined by LineStatEns and StatOnlyEns agreement. </v>
      </c>
    </row>
    <row r="157" spans="1:25" x14ac:dyDescent="0.2">
      <c r="A157">
        <v>823450</v>
      </c>
      <c r="B157" s="3">
        <f>VLOOKUP($A157,ScionOutput!$A$3:$BL$215,3,FALSE)</f>
        <v>46190</v>
      </c>
      <c r="C157">
        <f>VLOOKUP($A157,ScionOutput!$A$3:$BL$215,22,FALSE)</f>
        <v>21</v>
      </c>
      <c r="D157" t="str">
        <f>VLOOKUP($A157,ScionOutput!$A$3:$BL$215,23,FALSE)</f>
        <v>PHI</v>
      </c>
      <c r="E157">
        <f>VLOOKUP($A157,ScionOutput!$A$3:$BL$215,6,FALSE)</f>
        <v>11</v>
      </c>
      <c r="F157" t="str">
        <f>VLOOKUP($A157,ScionOutput!$A$3:$BL$215,7,FALSE)</f>
        <v>FLO</v>
      </c>
      <c r="G157">
        <f>VLOOKUP($A157,ScionOutput!$A$3:$BL$215,26,FALSE)</f>
        <v>-111</v>
      </c>
      <c r="H157">
        <f>VLOOKUP($A157,ScionOutput!$A$3:$BL$215,10,FALSE)</f>
        <v>100</v>
      </c>
      <c r="I157" t="str">
        <f>VLOOKUP($A157,ScionOutput!$A$3:$BL$215,58,FALSE)</f>
        <v>HomFave</v>
      </c>
      <c r="J157">
        <f>VLOOKUP($A157,ScionOutput!$A$3:$BL$215,59,FALSE)</f>
        <v>7.3000000000000001E-3</v>
      </c>
      <c r="K157">
        <f>VLOOKUP($A157,ScionOutput!$A$3:$BL$215,62,FALSE)</f>
        <v>3</v>
      </c>
      <c r="L157">
        <f>VLOOKUP($A157,ScionOutput!$A$3:$BL$215,63,FALSE)</f>
        <v>0.93</v>
      </c>
      <c r="M157" t="b">
        <f t="shared" si="17"/>
        <v>0</v>
      </c>
      <c r="N157">
        <f>VLOOKUP($A157,Outcomes!$B$3:$I$209,8,FALSE)</f>
        <v>16</v>
      </c>
      <c r="O157">
        <f t="shared" si="18"/>
        <v>-1</v>
      </c>
      <c r="P157">
        <f>VLOOKUP($A157,Outcomes!$B$3:$I$209,5,FALSE)</f>
        <v>4</v>
      </c>
      <c r="Q157">
        <f>VLOOKUP($A157,Outcomes!$B$3:$I$209,6,FALSE)</f>
        <v>12</v>
      </c>
      <c r="R157">
        <f>VLOOKUP($A157,Outcomes!$B$3:$I$209,7,FALSE)</f>
        <v>8</v>
      </c>
      <c r="S157" t="str">
        <f t="shared" si="19"/>
        <v>VisDog</v>
      </c>
      <c r="T157" t="str">
        <f t="shared" si="20"/>
        <v/>
      </c>
      <c r="U157" t="str">
        <f t="shared" si="16"/>
        <v/>
      </c>
      <c r="V157" t="str">
        <f t="shared" si="21"/>
        <v/>
      </c>
      <c r="W157" t="str">
        <f t="shared" si="22"/>
        <v/>
      </c>
      <c r="X157" s="2" t="str">
        <f t="shared" si="23"/>
        <v/>
      </c>
      <c r="Y157" t="str">
        <f>VLOOKUP($A157,ScionOutput!$A$3:$BL$215,64,FALSE)</f>
        <v xml:space="preserve">823450. StatOnlyEns probability points gap does not exceed threshold (no edge found)! Play determined by LineStatEns only. </v>
      </c>
    </row>
    <row r="158" spans="1:25" x14ac:dyDescent="0.2">
      <c r="A158">
        <v>823127</v>
      </c>
      <c r="B158" s="3">
        <f>VLOOKUP($A158,ScionOutput!$A$3:$BL$215,3,FALSE)</f>
        <v>46190</v>
      </c>
      <c r="C158">
        <f>VLOOKUP($A158,ScionOutput!$A$3:$BL$215,22,FALSE)</f>
        <v>24</v>
      </c>
      <c r="D158" t="str">
        <f>VLOOKUP($A158,ScionOutput!$A$3:$BL$215,23,FALSE)</f>
        <v>SEA</v>
      </c>
      <c r="E158">
        <f>VLOOKUP($A158,ScionOutput!$A$3:$BL$215,6,FALSE)</f>
        <v>2</v>
      </c>
      <c r="F158" t="str">
        <f>VLOOKUP($A158,ScionOutput!$A$3:$BL$215,7,FALSE)</f>
        <v>BAL</v>
      </c>
      <c r="G158">
        <f>VLOOKUP($A158,ScionOutput!$A$3:$BL$215,26,FALSE)</f>
        <v>-139</v>
      </c>
      <c r="H158">
        <f>VLOOKUP($A158,ScionOutput!$A$3:$BL$215,10,FALSE)</f>
        <v>126</v>
      </c>
      <c r="I158" t="str">
        <f>VLOOKUP($A158,ScionOutput!$A$3:$BL$215,58,FALSE)</f>
        <v>No Play</v>
      </c>
      <c r="J158">
        <f>VLOOKUP($A158,ScionOutput!$A$3:$BL$215,59,FALSE)</f>
        <v>0</v>
      </c>
      <c r="K158">
        <f>VLOOKUP($A158,ScionOutput!$A$3:$BL$215,62,FALSE)</f>
        <v>0</v>
      </c>
      <c r="L158">
        <f>VLOOKUP($A158,ScionOutput!$A$3:$BL$215,63,FALSE)</f>
        <v>0</v>
      </c>
      <c r="M158" t="b">
        <f t="shared" si="17"/>
        <v>0</v>
      </c>
      <c r="N158">
        <f>VLOOKUP($A158,Outcomes!$B$3:$I$209,8,FALSE)</f>
        <v>8</v>
      </c>
      <c r="O158">
        <f t="shared" si="18"/>
        <v>-1</v>
      </c>
      <c r="P158">
        <f>VLOOKUP($A158,Outcomes!$B$3:$I$209,5,FALSE)</f>
        <v>3</v>
      </c>
      <c r="Q158">
        <f>VLOOKUP($A158,Outcomes!$B$3:$I$209,6,FALSE)</f>
        <v>5</v>
      </c>
      <c r="R158">
        <f>VLOOKUP($A158,Outcomes!$B$3:$I$209,7,FALSE)</f>
        <v>2</v>
      </c>
      <c r="S158" t="str">
        <f t="shared" si="19"/>
        <v>VisDog</v>
      </c>
      <c r="T158" t="str">
        <f t="shared" si="20"/>
        <v/>
      </c>
      <c r="U158" t="str">
        <f t="shared" si="16"/>
        <v/>
      </c>
      <c r="V158" t="str">
        <f t="shared" si="21"/>
        <v/>
      </c>
      <c r="W158" t="str">
        <f t="shared" si="22"/>
        <v/>
      </c>
      <c r="X158" s="2" t="str">
        <f t="shared" si="23"/>
        <v/>
      </c>
      <c r="Y158" t="str">
        <f>VLOOKUP($A158,ScionOutput!$A$3:$BL$215,64,FALSE)</f>
        <v xml:space="preserve">823127. LineStatEns probability points gap does not exceed threshold (no edge found)! StatOnlyEns probability points gap does not exceed threshold (no edge found)! No play due to strategy constraints. </v>
      </c>
    </row>
    <row r="159" spans="1:25" x14ac:dyDescent="0.2">
      <c r="A159">
        <v>823044</v>
      </c>
      <c r="B159" s="3">
        <f>VLOOKUP($A159,ScionOutput!$A$3:$BL$215,3,FALSE)</f>
        <v>46190</v>
      </c>
      <c r="C159">
        <f>VLOOKUP($A159,ScionOutput!$A$3:$BL$215,22,FALSE)</f>
        <v>26</v>
      </c>
      <c r="D159" t="str">
        <f>VLOOKUP($A159,ScionOutput!$A$3:$BL$215,23,FALSE)</f>
        <v>STL</v>
      </c>
      <c r="E159">
        <f>VLOOKUP($A159,ScionOutput!$A$3:$BL$215,6,FALSE)</f>
        <v>23</v>
      </c>
      <c r="F159" t="str">
        <f>VLOOKUP($A159,ScionOutput!$A$3:$BL$215,7,FALSE)</f>
        <v>SD</v>
      </c>
      <c r="G159">
        <f>VLOOKUP($A159,ScionOutput!$A$3:$BL$215,26,FALSE)</f>
        <v>-124</v>
      </c>
      <c r="H159">
        <f>VLOOKUP($A159,ScionOutput!$A$3:$BL$215,10,FALSE)</f>
        <v>112</v>
      </c>
      <c r="I159" t="str">
        <f>VLOOKUP($A159,ScionOutput!$A$3:$BL$215,58,FALSE)</f>
        <v>No Play</v>
      </c>
      <c r="J159">
        <f>VLOOKUP($A159,ScionOutput!$A$3:$BL$215,59,FALSE)</f>
        <v>0</v>
      </c>
      <c r="K159">
        <f>VLOOKUP($A159,ScionOutput!$A$3:$BL$215,62,FALSE)</f>
        <v>0</v>
      </c>
      <c r="L159">
        <f>VLOOKUP($A159,ScionOutput!$A$3:$BL$215,63,FALSE)</f>
        <v>0</v>
      </c>
      <c r="M159" t="b">
        <f t="shared" si="17"/>
        <v>0</v>
      </c>
      <c r="N159">
        <f>VLOOKUP($A159,Outcomes!$B$3:$I$209,8,FALSE)</f>
        <v>7</v>
      </c>
      <c r="O159">
        <f t="shared" si="18"/>
        <v>-1</v>
      </c>
      <c r="P159">
        <f>VLOOKUP($A159,Outcomes!$B$3:$I$209,5,FALSE)</f>
        <v>1</v>
      </c>
      <c r="Q159">
        <f>VLOOKUP($A159,Outcomes!$B$3:$I$209,6,FALSE)</f>
        <v>6</v>
      </c>
      <c r="R159">
        <f>VLOOKUP($A159,Outcomes!$B$3:$I$209,7,FALSE)</f>
        <v>5</v>
      </c>
      <c r="S159" t="str">
        <f t="shared" si="19"/>
        <v>VisDog</v>
      </c>
      <c r="T159" t="str">
        <f t="shared" si="20"/>
        <v/>
      </c>
      <c r="U159" t="str">
        <f t="shared" si="16"/>
        <v/>
      </c>
      <c r="V159" t="str">
        <f t="shared" si="21"/>
        <v/>
      </c>
      <c r="W159" t="str">
        <f t="shared" si="22"/>
        <v/>
      </c>
      <c r="X159" s="2" t="str">
        <f t="shared" si="23"/>
        <v/>
      </c>
      <c r="Y159" t="str">
        <f>VLOOKUP($A159,ScionOutput!$A$3:$BL$215,64,FALSE)</f>
        <v xml:space="preserve">823044. LineStatEns probability points gap does not exceed threshold (no edge found)! StatOnlyEns probability points gap does not exceed threshold (no edge found)! No play due to strategy constraints. </v>
      </c>
    </row>
    <row r="160" spans="1:25" x14ac:dyDescent="0.2">
      <c r="A160">
        <v>824748</v>
      </c>
      <c r="B160" s="3">
        <f>VLOOKUP($A160,ScionOutput!$A$3:$BL$215,3,FALSE)</f>
        <v>46191</v>
      </c>
      <c r="C160">
        <f>VLOOKUP($A160,ScionOutput!$A$3:$BL$215,22,FALSE)</f>
        <v>3</v>
      </c>
      <c r="D160" t="str">
        <f>VLOOKUP($A160,ScionOutput!$A$3:$BL$215,23,FALSE)</f>
        <v>BOS</v>
      </c>
      <c r="E160">
        <f>VLOOKUP($A160,ScionOutput!$A$3:$BL$215,6,FALSE)</f>
        <v>29</v>
      </c>
      <c r="F160" t="str">
        <f>VLOOKUP($A160,ScionOutput!$A$3:$BL$215,7,FALSE)</f>
        <v>TOR</v>
      </c>
      <c r="G160">
        <f>VLOOKUP($A160,ScionOutput!$A$3:$BL$215,26,FALSE)</f>
        <v>-131</v>
      </c>
      <c r="H160">
        <f>VLOOKUP($A160,ScionOutput!$A$3:$BL$215,10,FALSE)</f>
        <v>120</v>
      </c>
      <c r="I160" t="str">
        <f>VLOOKUP($A160,ScionOutput!$A$3:$BL$215,58,FALSE)</f>
        <v>No Play</v>
      </c>
      <c r="J160">
        <f>VLOOKUP($A160,ScionOutput!$A$3:$BL$215,59,FALSE)</f>
        <v>0</v>
      </c>
      <c r="K160">
        <f>VLOOKUP($A160,ScionOutput!$A$3:$BL$215,62,FALSE)</f>
        <v>0</v>
      </c>
      <c r="L160">
        <f>VLOOKUP($A160,ScionOutput!$A$3:$BL$215,63,FALSE)</f>
        <v>0</v>
      </c>
      <c r="M160" t="b">
        <f t="shared" si="17"/>
        <v>0</v>
      </c>
      <c r="N160">
        <f>VLOOKUP($A160,Outcomes!$B$3:$I$209,8,FALSE)</f>
        <v>7</v>
      </c>
      <c r="O160">
        <f t="shared" si="18"/>
        <v>-1</v>
      </c>
      <c r="P160">
        <f>VLOOKUP($A160,Outcomes!$B$3:$I$209,5,FALSE)</f>
        <v>3</v>
      </c>
      <c r="Q160">
        <f>VLOOKUP($A160,Outcomes!$B$3:$I$209,6,FALSE)</f>
        <v>4</v>
      </c>
      <c r="R160">
        <f>VLOOKUP($A160,Outcomes!$B$3:$I$209,7,FALSE)</f>
        <v>1</v>
      </c>
      <c r="S160" t="str">
        <f t="shared" si="19"/>
        <v>VisDog</v>
      </c>
      <c r="T160" t="str">
        <f t="shared" si="20"/>
        <v/>
      </c>
      <c r="U160" t="str">
        <f t="shared" si="16"/>
        <v/>
      </c>
      <c r="V160" t="str">
        <f t="shared" si="21"/>
        <v/>
      </c>
      <c r="W160" t="str">
        <f t="shared" si="22"/>
        <v/>
      </c>
      <c r="X160" s="2" t="str">
        <f t="shared" si="23"/>
        <v/>
      </c>
      <c r="Y160" t="str">
        <f>VLOOKUP($A160,ScionOutput!$A$3:$BL$215,64,FALSE)</f>
        <v xml:space="preserve">824748. LineStatEns probability points gap does not exceed threshold (no edge found)! No play due to strategy constraints. </v>
      </c>
    </row>
    <row r="161" spans="1:25" x14ac:dyDescent="0.2">
      <c r="A161">
        <v>824098</v>
      </c>
      <c r="B161" s="3">
        <f>VLOOKUP($A161,ScionOutput!$A$3:$BL$215,3,FALSE)</f>
        <v>46191</v>
      </c>
      <c r="C161">
        <f>VLOOKUP($A161,ScionOutput!$A$3:$BL$215,22,FALSE)</f>
        <v>13</v>
      </c>
      <c r="D161" t="str">
        <f>VLOOKUP($A161,ScionOutput!$A$3:$BL$215,23,FALSE)</f>
        <v>KC</v>
      </c>
      <c r="E161">
        <f>VLOOKUP($A161,ScionOutput!$A$3:$BL$215,6,FALSE)</f>
        <v>26</v>
      </c>
      <c r="F161" t="str">
        <f>VLOOKUP($A161,ScionOutput!$A$3:$BL$215,7,FALSE)</f>
        <v>STL</v>
      </c>
      <c r="G161">
        <f>VLOOKUP($A161,ScionOutput!$A$3:$BL$215,26,FALSE)</f>
        <v>-111</v>
      </c>
      <c r="H161">
        <f>VLOOKUP($A161,ScionOutput!$A$3:$BL$215,10,FALSE)</f>
        <v>103</v>
      </c>
      <c r="I161" t="str">
        <f>VLOOKUP($A161,ScionOutput!$A$3:$BL$215,58,FALSE)</f>
        <v>No Play</v>
      </c>
      <c r="J161">
        <f>VLOOKUP($A161,ScionOutput!$A$3:$BL$215,59,FALSE)</f>
        <v>0</v>
      </c>
      <c r="K161">
        <f>VLOOKUP($A161,ScionOutput!$A$3:$BL$215,62,FALSE)</f>
        <v>0</v>
      </c>
      <c r="L161">
        <f>VLOOKUP($A161,ScionOutput!$A$3:$BL$215,63,FALSE)</f>
        <v>0</v>
      </c>
      <c r="M161" t="b">
        <f t="shared" si="17"/>
        <v>0</v>
      </c>
      <c r="N161">
        <f>VLOOKUP($A161,Outcomes!$B$3:$I$209,8,FALSE)</f>
        <v>20</v>
      </c>
      <c r="O161">
        <f t="shared" si="18"/>
        <v>1</v>
      </c>
      <c r="P161">
        <f>VLOOKUP($A161,Outcomes!$B$3:$I$209,5,FALSE)</f>
        <v>14</v>
      </c>
      <c r="Q161">
        <f>VLOOKUP($A161,Outcomes!$B$3:$I$209,6,FALSE)</f>
        <v>6</v>
      </c>
      <c r="R161">
        <f>VLOOKUP($A161,Outcomes!$B$3:$I$209,7,FALSE)</f>
        <v>-8</v>
      </c>
      <c r="S161" t="str">
        <f t="shared" si="19"/>
        <v>HomFave</v>
      </c>
      <c r="T161" t="str">
        <f t="shared" si="20"/>
        <v/>
      </c>
      <c r="U161" t="str">
        <f t="shared" si="16"/>
        <v/>
      </c>
      <c r="V161" t="str">
        <f t="shared" si="21"/>
        <v/>
      </c>
      <c r="W161" t="str">
        <f t="shared" si="22"/>
        <v/>
      </c>
      <c r="X161" s="2" t="str">
        <f t="shared" si="23"/>
        <v/>
      </c>
      <c r="Y161" t="str">
        <f>VLOOKUP($A161,ScionOutput!$A$3:$BL$215,64,FALSE)</f>
        <v xml:space="preserve">824098. LineStatEns probability points gap does not exceed threshold (no edge found)! No play due to strategy constraints. </v>
      </c>
    </row>
    <row r="162" spans="1:25" x14ac:dyDescent="0.2">
      <c r="A162">
        <v>823772</v>
      </c>
      <c r="B162" s="3">
        <f>VLOOKUP($A162,ScionOutput!$A$3:$BL$215,3,FALSE)</f>
        <v>46191</v>
      </c>
      <c r="C162">
        <f>VLOOKUP($A162,ScionOutput!$A$3:$BL$215,22,FALSE)</f>
        <v>17</v>
      </c>
      <c r="D162" t="str">
        <f>VLOOKUP($A162,ScionOutput!$A$3:$BL$215,23,FALSE)</f>
        <v>MLW</v>
      </c>
      <c r="E162">
        <f>VLOOKUP($A162,ScionOutput!$A$3:$BL$215,6,FALSE)</f>
        <v>7</v>
      </c>
      <c r="F162" t="str">
        <f>VLOOKUP($A162,ScionOutput!$A$3:$BL$215,7,FALSE)</f>
        <v>CLE</v>
      </c>
      <c r="G162">
        <f>VLOOKUP($A162,ScionOutput!$A$3:$BL$215,26,FALSE)</f>
        <v>-138</v>
      </c>
      <c r="H162">
        <f>VLOOKUP($A162,ScionOutput!$A$3:$BL$215,10,FALSE)</f>
        <v>127</v>
      </c>
      <c r="I162" t="str">
        <f>VLOOKUP($A162,ScionOutput!$A$3:$BL$215,58,FALSE)</f>
        <v>No Play</v>
      </c>
      <c r="J162">
        <f>VLOOKUP($A162,ScionOutput!$A$3:$BL$215,59,FALSE)</f>
        <v>0</v>
      </c>
      <c r="K162">
        <f>VLOOKUP($A162,ScionOutput!$A$3:$BL$215,62,FALSE)</f>
        <v>0</v>
      </c>
      <c r="L162">
        <f>VLOOKUP($A162,ScionOutput!$A$3:$BL$215,63,FALSE)</f>
        <v>0</v>
      </c>
      <c r="M162" t="b">
        <f t="shared" si="17"/>
        <v>0</v>
      </c>
      <c r="N162">
        <f>VLOOKUP($A162,Outcomes!$B$3:$I$209,8,FALSE)</f>
        <v>6</v>
      </c>
      <c r="O162">
        <f t="shared" si="18"/>
        <v>-1</v>
      </c>
      <c r="P162">
        <f>VLOOKUP($A162,Outcomes!$B$3:$I$209,5,FALSE)</f>
        <v>2</v>
      </c>
      <c r="Q162">
        <f>VLOOKUP($A162,Outcomes!$B$3:$I$209,6,FALSE)</f>
        <v>4</v>
      </c>
      <c r="R162">
        <f>VLOOKUP($A162,Outcomes!$B$3:$I$209,7,FALSE)</f>
        <v>2</v>
      </c>
      <c r="S162" t="str">
        <f t="shared" si="19"/>
        <v>VisDog</v>
      </c>
      <c r="T162" t="str">
        <f t="shared" si="20"/>
        <v/>
      </c>
      <c r="U162" t="str">
        <f t="shared" si="16"/>
        <v/>
      </c>
      <c r="V162" t="str">
        <f t="shared" si="21"/>
        <v/>
      </c>
      <c r="W162" t="str">
        <f t="shared" si="22"/>
        <v/>
      </c>
      <c r="X162" s="2" t="str">
        <f t="shared" si="23"/>
        <v/>
      </c>
      <c r="Y162" t="str">
        <f>VLOOKUP($A162,ScionOutput!$A$3:$BL$215,64,FALSE)</f>
        <v xml:space="preserve">823772. LineStatEns probability points gap does not exceed threshold (no edge found)! StatOnlyEns probability points gap does not exceed threshold (no edge found)! No play due to strategy constraints. </v>
      </c>
    </row>
    <row r="163" spans="1:25" x14ac:dyDescent="0.2">
      <c r="A163">
        <v>823533</v>
      </c>
      <c r="B163" s="3">
        <f>VLOOKUP($A163,ScionOutput!$A$3:$BL$215,3,FALSE)</f>
        <v>46191</v>
      </c>
      <c r="C163">
        <f>VLOOKUP($A163,ScionOutput!$A$3:$BL$215,22,FALSE)</f>
        <v>19</v>
      </c>
      <c r="D163" t="str">
        <f>VLOOKUP($A163,ScionOutput!$A$3:$BL$215,23,FALSE)</f>
        <v>NYY</v>
      </c>
      <c r="E163">
        <f>VLOOKUP($A163,ScionOutput!$A$3:$BL$215,6,FALSE)</f>
        <v>9</v>
      </c>
      <c r="F163" t="str">
        <f>VLOOKUP($A163,ScionOutput!$A$3:$BL$215,7,FALSE)</f>
        <v>CWS</v>
      </c>
      <c r="G163">
        <f>VLOOKUP($A163,ScionOutput!$A$3:$BL$215,26,FALSE)</f>
        <v>-157</v>
      </c>
      <c r="H163">
        <f>VLOOKUP($A163,ScionOutput!$A$3:$BL$215,10,FALSE)</f>
        <v>144</v>
      </c>
      <c r="I163" t="str">
        <f>VLOOKUP($A163,ScionOutput!$A$3:$BL$215,58,FALSE)</f>
        <v>No Play</v>
      </c>
      <c r="J163">
        <f>VLOOKUP($A163,ScionOutput!$A$3:$BL$215,59,FALSE)</f>
        <v>0</v>
      </c>
      <c r="K163">
        <f>VLOOKUP($A163,ScionOutput!$A$3:$BL$215,62,FALSE)</f>
        <v>0</v>
      </c>
      <c r="L163">
        <f>VLOOKUP($A163,ScionOutput!$A$3:$BL$215,63,FALSE)</f>
        <v>0</v>
      </c>
      <c r="M163" t="b">
        <f t="shared" si="17"/>
        <v>0</v>
      </c>
      <c r="N163">
        <f>VLOOKUP($A163,Outcomes!$B$3:$I$209,8,FALSE)</f>
        <v>6</v>
      </c>
      <c r="O163">
        <f t="shared" si="18"/>
        <v>-1</v>
      </c>
      <c r="P163">
        <f>VLOOKUP($A163,Outcomes!$B$3:$I$209,5,FALSE)</f>
        <v>1</v>
      </c>
      <c r="Q163">
        <f>VLOOKUP($A163,Outcomes!$B$3:$I$209,6,FALSE)</f>
        <v>5</v>
      </c>
      <c r="R163">
        <f>VLOOKUP($A163,Outcomes!$B$3:$I$209,7,FALSE)</f>
        <v>4</v>
      </c>
      <c r="S163" t="str">
        <f t="shared" si="19"/>
        <v>VisDog</v>
      </c>
      <c r="T163" t="str">
        <f t="shared" si="20"/>
        <v/>
      </c>
      <c r="U163" t="str">
        <f t="shared" si="16"/>
        <v/>
      </c>
      <c r="V163" t="str">
        <f t="shared" si="21"/>
        <v/>
      </c>
      <c r="W163" t="str">
        <f t="shared" si="22"/>
        <v/>
      </c>
      <c r="X163" s="2" t="str">
        <f t="shared" si="23"/>
        <v/>
      </c>
      <c r="Y163" t="str">
        <f>VLOOKUP($A163,ScionOutput!$A$3:$BL$215,64,FALSE)</f>
        <v xml:space="preserve">823533. LineStatEns is NoPlay as bookie-line outside range. StatOnlyEns is NoPlay as bookie-line outside range. No play due to strategy constraints. </v>
      </c>
    </row>
    <row r="164" spans="1:25" x14ac:dyDescent="0.2">
      <c r="A164">
        <v>824989</v>
      </c>
      <c r="B164" s="3">
        <f>VLOOKUP($A164,ScionOutput!$A$3:$BL$215,3,FALSE)</f>
        <v>46191</v>
      </c>
      <c r="C164">
        <f>VLOOKUP($A164,ScionOutput!$A$3:$BL$215,22,FALSE)</f>
        <v>20</v>
      </c>
      <c r="D164" t="str">
        <f>VLOOKUP($A164,ScionOutput!$A$3:$BL$215,23,FALSE)</f>
        <v>OAK</v>
      </c>
      <c r="E164">
        <f>VLOOKUP($A164,ScionOutput!$A$3:$BL$215,6,FALSE)</f>
        <v>4</v>
      </c>
      <c r="F164" t="str">
        <f>VLOOKUP($A164,ScionOutput!$A$3:$BL$215,7,FALSE)</f>
        <v>LAA</v>
      </c>
      <c r="G164">
        <f>VLOOKUP($A164,ScionOutput!$A$3:$BL$215,26,FALSE)</f>
        <v>-133</v>
      </c>
      <c r="H164">
        <f>VLOOKUP($A164,ScionOutput!$A$3:$BL$215,10,FALSE)</f>
        <v>123</v>
      </c>
      <c r="I164" t="str">
        <f>VLOOKUP($A164,ScionOutput!$A$3:$BL$215,58,FALSE)</f>
        <v>No Play</v>
      </c>
      <c r="J164">
        <f>VLOOKUP($A164,ScionOutput!$A$3:$BL$215,59,FALSE)</f>
        <v>0</v>
      </c>
      <c r="K164">
        <f>VLOOKUP($A164,ScionOutput!$A$3:$BL$215,62,FALSE)</f>
        <v>0</v>
      </c>
      <c r="L164">
        <f>VLOOKUP($A164,ScionOutput!$A$3:$BL$215,63,FALSE)</f>
        <v>0</v>
      </c>
      <c r="M164" t="b">
        <f t="shared" si="17"/>
        <v>0</v>
      </c>
      <c r="N164">
        <f>VLOOKUP($A164,Outcomes!$B$3:$I$209,8,FALSE)</f>
        <v>5</v>
      </c>
      <c r="O164">
        <f t="shared" si="18"/>
        <v>1</v>
      </c>
      <c r="P164">
        <f>VLOOKUP($A164,Outcomes!$B$3:$I$209,5,FALSE)</f>
        <v>5</v>
      </c>
      <c r="Q164">
        <f>VLOOKUP($A164,Outcomes!$B$3:$I$209,6,FALSE)</f>
        <v>0</v>
      </c>
      <c r="R164">
        <f>VLOOKUP($A164,Outcomes!$B$3:$I$209,7,FALSE)</f>
        <v>-5</v>
      </c>
      <c r="S164" t="str">
        <f t="shared" si="19"/>
        <v>HomFave</v>
      </c>
      <c r="T164" t="str">
        <f t="shared" si="20"/>
        <v/>
      </c>
      <c r="U164" t="str">
        <f t="shared" si="16"/>
        <v/>
      </c>
      <c r="V164" t="str">
        <f t="shared" si="21"/>
        <v/>
      </c>
      <c r="W164" t="str">
        <f t="shared" si="22"/>
        <v/>
      </c>
      <c r="X164" s="2" t="str">
        <f t="shared" si="23"/>
        <v/>
      </c>
      <c r="Y164" t="str">
        <f>VLOOKUP($A164,ScionOutput!$A$3:$BL$215,64,FALSE)</f>
        <v xml:space="preserve">824989. LineStatEns probability points gap does not exceed threshold (no edge found)! No play due to strategy constraints. </v>
      </c>
    </row>
    <row r="165" spans="1:25" x14ac:dyDescent="0.2">
      <c r="A165">
        <v>823448</v>
      </c>
      <c r="B165" s="3">
        <f>VLOOKUP($A165,ScionOutput!$A$3:$BL$215,3,FALSE)</f>
        <v>46191</v>
      </c>
      <c r="C165">
        <f>VLOOKUP($A165,ScionOutput!$A$3:$BL$215,22,FALSE)</f>
        <v>21</v>
      </c>
      <c r="D165" t="str">
        <f>VLOOKUP($A165,ScionOutput!$A$3:$BL$215,23,FALSE)</f>
        <v>PHI</v>
      </c>
      <c r="E165">
        <f>VLOOKUP($A165,ScionOutput!$A$3:$BL$215,6,FALSE)</f>
        <v>18</v>
      </c>
      <c r="F165" t="str">
        <f>VLOOKUP($A165,ScionOutput!$A$3:$BL$215,7,FALSE)</f>
        <v>NYM</v>
      </c>
      <c r="G165">
        <f>VLOOKUP($A165,ScionOutput!$A$3:$BL$215,26,FALSE)</f>
        <v>-114</v>
      </c>
      <c r="H165">
        <f>VLOOKUP($A165,ScionOutput!$A$3:$BL$215,10,FALSE)</f>
        <v>105</v>
      </c>
      <c r="I165" t="str">
        <f>VLOOKUP($A165,ScionOutput!$A$3:$BL$215,58,FALSE)</f>
        <v>VisDog</v>
      </c>
      <c r="J165">
        <f>VLOOKUP($A165,ScionOutput!$A$3:$BL$215,59,FALSE)</f>
        <v>-4.2000000000000003E-2</v>
      </c>
      <c r="K165">
        <f>VLOOKUP($A165,ScionOutput!$A$3:$BL$215,62,FALSE)</f>
        <v>3</v>
      </c>
      <c r="L165">
        <f>VLOOKUP($A165,ScionOutput!$A$3:$BL$215,63,FALSE)</f>
        <v>0.67</v>
      </c>
      <c r="M165" t="b">
        <f t="shared" si="17"/>
        <v>0</v>
      </c>
      <c r="N165">
        <f>VLOOKUP($A165,Outcomes!$B$3:$I$209,8,FALSE)</f>
        <v>10</v>
      </c>
      <c r="O165">
        <f t="shared" si="18"/>
        <v>-1</v>
      </c>
      <c r="P165">
        <f>VLOOKUP($A165,Outcomes!$B$3:$I$209,5,FALSE)</f>
        <v>4</v>
      </c>
      <c r="Q165">
        <f>VLOOKUP($A165,Outcomes!$B$3:$I$209,6,FALSE)</f>
        <v>6</v>
      </c>
      <c r="R165">
        <f>VLOOKUP($A165,Outcomes!$B$3:$I$209,7,FALSE)</f>
        <v>2</v>
      </c>
      <c r="S165" t="str">
        <f t="shared" si="19"/>
        <v>VisDog</v>
      </c>
      <c r="T165" t="str">
        <f t="shared" si="20"/>
        <v/>
      </c>
      <c r="U165" t="str">
        <f t="shared" si="16"/>
        <v/>
      </c>
      <c r="V165" t="str">
        <f t="shared" si="21"/>
        <v/>
      </c>
      <c r="W165" t="str">
        <f t="shared" si="22"/>
        <v/>
      </c>
      <c r="X165" s="2" t="str">
        <f t="shared" si="23"/>
        <v/>
      </c>
      <c r="Y165" t="str">
        <f>VLOOKUP($A165,ScionOutput!$A$3:$BL$215,64,FALSE)</f>
        <v xml:space="preserve">823448. StatOnlyEns probability points gap does not exceed threshold (no edge found)! Play determined by LineStatEns only. </v>
      </c>
    </row>
    <row r="166" spans="1:25" x14ac:dyDescent="0.2">
      <c r="A166">
        <v>823125</v>
      </c>
      <c r="B166" s="3">
        <f>VLOOKUP($A166,ScionOutput!$A$3:$BL$215,3,FALSE)</f>
        <v>46191</v>
      </c>
      <c r="C166">
        <f>VLOOKUP($A166,ScionOutput!$A$3:$BL$215,22,FALSE)</f>
        <v>24</v>
      </c>
      <c r="D166" t="str">
        <f>VLOOKUP($A166,ScionOutput!$A$3:$BL$215,23,FALSE)</f>
        <v>SEA</v>
      </c>
      <c r="E166">
        <f>VLOOKUP($A166,ScionOutput!$A$3:$BL$215,6,FALSE)</f>
        <v>2</v>
      </c>
      <c r="F166" t="str">
        <f>VLOOKUP($A166,ScionOutput!$A$3:$BL$215,7,FALSE)</f>
        <v>BAL</v>
      </c>
      <c r="G166">
        <f>VLOOKUP($A166,ScionOutput!$A$3:$BL$215,26,FALSE)</f>
        <v>-133</v>
      </c>
      <c r="H166">
        <f>VLOOKUP($A166,ScionOutput!$A$3:$BL$215,10,FALSE)</f>
        <v>122</v>
      </c>
      <c r="I166" t="str">
        <f>VLOOKUP($A166,ScionOutput!$A$3:$BL$215,58,FALSE)</f>
        <v>No Play</v>
      </c>
      <c r="J166">
        <f>VLOOKUP($A166,ScionOutput!$A$3:$BL$215,59,FALSE)</f>
        <v>0</v>
      </c>
      <c r="K166">
        <f>VLOOKUP($A166,ScionOutput!$A$3:$BL$215,62,FALSE)</f>
        <v>0</v>
      </c>
      <c r="L166">
        <f>VLOOKUP($A166,ScionOutput!$A$3:$BL$215,63,FALSE)</f>
        <v>0</v>
      </c>
      <c r="M166" t="b">
        <f t="shared" si="17"/>
        <v>0</v>
      </c>
      <c r="N166">
        <f>VLOOKUP($A166,Outcomes!$B$3:$I$209,8,FALSE)</f>
        <v>3</v>
      </c>
      <c r="O166">
        <f t="shared" si="18"/>
        <v>1</v>
      </c>
      <c r="P166">
        <f>VLOOKUP($A166,Outcomes!$B$3:$I$209,5,FALSE)</f>
        <v>3</v>
      </c>
      <c r="Q166">
        <f>VLOOKUP($A166,Outcomes!$B$3:$I$209,6,FALSE)</f>
        <v>0</v>
      </c>
      <c r="R166">
        <f>VLOOKUP($A166,Outcomes!$B$3:$I$209,7,FALSE)</f>
        <v>-3</v>
      </c>
      <c r="S166" t="str">
        <f t="shared" si="19"/>
        <v>HomFave</v>
      </c>
      <c r="T166" t="str">
        <f t="shared" si="20"/>
        <v/>
      </c>
      <c r="U166" t="str">
        <f t="shared" si="16"/>
        <v/>
      </c>
      <c r="V166" t="str">
        <f t="shared" si="21"/>
        <v/>
      </c>
      <c r="W166" t="str">
        <f t="shared" si="22"/>
        <v/>
      </c>
      <c r="X166" s="2" t="str">
        <f t="shared" si="23"/>
        <v/>
      </c>
      <c r="Y166" t="str">
        <f>VLOOKUP($A166,ScionOutput!$A$3:$BL$215,64,FALSE)</f>
        <v xml:space="preserve">823125. LineStatEns probability points gap does not exceed threshold (no edge found)! StatOnlyEns probability points gap does not exceed threshold (no edge found)! No play due to strategy constraints. </v>
      </c>
    </row>
    <row r="167" spans="1:25" x14ac:dyDescent="0.2">
      <c r="A167">
        <v>822889</v>
      </c>
      <c r="B167" s="3">
        <f>VLOOKUP($A167,ScionOutput!$A$3:$BL$215,3,FALSE)</f>
        <v>46191</v>
      </c>
      <c r="C167">
        <f>VLOOKUP($A167,ScionOutput!$A$3:$BL$215,22,FALSE)</f>
        <v>28</v>
      </c>
      <c r="D167" t="str">
        <f>VLOOKUP($A167,ScionOutput!$A$3:$BL$215,23,FALSE)</f>
        <v>TEX</v>
      </c>
      <c r="E167">
        <f>VLOOKUP($A167,ScionOutput!$A$3:$BL$215,6,FALSE)</f>
        <v>15</v>
      </c>
      <c r="F167" t="str">
        <f>VLOOKUP($A167,ScionOutput!$A$3:$BL$215,7,FALSE)</f>
        <v>MIN</v>
      </c>
      <c r="G167">
        <f>VLOOKUP($A167,ScionOutput!$A$3:$BL$215,26,FALSE)</f>
        <v>108</v>
      </c>
      <c r="H167">
        <f>VLOOKUP($A167,ScionOutput!$A$3:$BL$215,10,FALSE)</f>
        <v>-117</v>
      </c>
      <c r="I167" t="str">
        <f>VLOOKUP($A167,ScionOutput!$A$3:$BL$215,58,FALSE)</f>
        <v>No Play</v>
      </c>
      <c r="J167">
        <f>VLOOKUP($A167,ScionOutput!$A$3:$BL$215,59,FALSE)</f>
        <v>0</v>
      </c>
      <c r="K167">
        <f>VLOOKUP($A167,ScionOutput!$A$3:$BL$215,62,FALSE)</f>
        <v>0</v>
      </c>
      <c r="L167">
        <f>VLOOKUP($A167,ScionOutput!$A$3:$BL$215,63,FALSE)</f>
        <v>0</v>
      </c>
      <c r="M167" t="b">
        <f t="shared" si="17"/>
        <v>0</v>
      </c>
      <c r="N167">
        <f>VLOOKUP($A167,Outcomes!$B$3:$I$209,8,FALSE)</f>
        <v>12</v>
      </c>
      <c r="O167">
        <f t="shared" si="18"/>
        <v>-1</v>
      </c>
      <c r="P167">
        <f>VLOOKUP($A167,Outcomes!$B$3:$I$209,5,FALSE)</f>
        <v>3</v>
      </c>
      <c r="Q167">
        <f>VLOOKUP($A167,Outcomes!$B$3:$I$209,6,FALSE)</f>
        <v>9</v>
      </c>
      <c r="R167">
        <f>VLOOKUP($A167,Outcomes!$B$3:$I$209,7,FALSE)</f>
        <v>6</v>
      </c>
      <c r="S167" t="str">
        <f t="shared" si="19"/>
        <v>VisFave</v>
      </c>
      <c r="T167" t="str">
        <f t="shared" si="20"/>
        <v/>
      </c>
      <c r="U167" t="str">
        <f t="shared" si="16"/>
        <v/>
      </c>
      <c r="V167" t="str">
        <f t="shared" si="21"/>
        <v/>
      </c>
      <c r="W167" t="str">
        <f t="shared" si="22"/>
        <v/>
      </c>
      <c r="X167" s="2" t="str">
        <f t="shared" si="23"/>
        <v/>
      </c>
      <c r="Y167" t="str">
        <f>VLOOKUP($A167,ScionOutput!$A$3:$BL$215,64,FALSE)</f>
        <v xml:space="preserve">822889. VF plays are disallowed. No play due to strategy constraints. </v>
      </c>
    </row>
    <row r="168" spans="1:25" x14ac:dyDescent="0.2">
      <c r="A168">
        <v>824910</v>
      </c>
      <c r="B168" s="3">
        <f>VLOOKUP($A168,ScionOutput!$A$3:$BL$215,3,FALSE)</f>
        <v>46192</v>
      </c>
      <c r="C168">
        <f>VLOOKUP($A168,ScionOutput!$A$3:$BL$215,22,FALSE)</f>
        <v>0</v>
      </c>
      <c r="D168" t="str">
        <f>VLOOKUP($A168,ScionOutput!$A$3:$BL$215,23,FALSE)</f>
        <v>ATL</v>
      </c>
      <c r="E168">
        <f>VLOOKUP($A168,ScionOutput!$A$3:$BL$215,6,FALSE)</f>
        <v>17</v>
      </c>
      <c r="F168" t="str">
        <f>VLOOKUP($A168,ScionOutput!$A$3:$BL$215,7,FALSE)</f>
        <v>MLW</v>
      </c>
      <c r="G168">
        <f>VLOOKUP($A168,ScionOutput!$A$3:$BL$215,26,FALSE)</f>
        <v>143</v>
      </c>
      <c r="H168">
        <f>VLOOKUP($A168,ScionOutput!$A$3:$BL$215,10,FALSE)</f>
        <v>-156</v>
      </c>
      <c r="I168" t="str">
        <f>VLOOKUP($A168,ScionOutput!$A$3:$BL$215,58,FALSE)</f>
        <v>No Play</v>
      </c>
      <c r="J168">
        <f>VLOOKUP($A168,ScionOutput!$A$3:$BL$215,59,FALSE)</f>
        <v>0</v>
      </c>
      <c r="K168">
        <f>VLOOKUP($A168,ScionOutput!$A$3:$BL$215,62,FALSE)</f>
        <v>0</v>
      </c>
      <c r="L168">
        <f>VLOOKUP($A168,ScionOutput!$A$3:$BL$215,63,FALSE)</f>
        <v>0</v>
      </c>
      <c r="M168" t="b">
        <f t="shared" si="17"/>
        <v>0</v>
      </c>
      <c r="N168">
        <f>VLOOKUP($A168,Outcomes!$B$3:$I$209,8,FALSE)</f>
        <v>5</v>
      </c>
      <c r="O168">
        <f t="shared" si="18"/>
        <v>1</v>
      </c>
      <c r="P168">
        <f>VLOOKUP($A168,Outcomes!$B$3:$I$209,5,FALSE)</f>
        <v>3</v>
      </c>
      <c r="Q168">
        <f>VLOOKUP($A168,Outcomes!$B$3:$I$209,6,FALSE)</f>
        <v>2</v>
      </c>
      <c r="R168">
        <f>VLOOKUP($A168,Outcomes!$B$3:$I$209,7,FALSE)</f>
        <v>-1</v>
      </c>
      <c r="S168" t="str">
        <f t="shared" si="19"/>
        <v>HomDog</v>
      </c>
      <c r="T168" t="str">
        <f t="shared" si="20"/>
        <v/>
      </c>
      <c r="U168" t="str">
        <f t="shared" si="16"/>
        <v/>
      </c>
      <c r="V168" t="str">
        <f t="shared" si="21"/>
        <v/>
      </c>
      <c r="W168" t="str">
        <f t="shared" si="22"/>
        <v/>
      </c>
      <c r="X168" s="2" t="str">
        <f t="shared" si="23"/>
        <v/>
      </c>
      <c r="Y168" t="str">
        <f>VLOOKUP($A168,ScionOutput!$A$3:$BL$215,64,FALSE)</f>
        <v xml:space="preserve">824910. VF plays are disallowed. No play due to strategy constraints. </v>
      </c>
    </row>
    <row r="169" spans="1:25" x14ac:dyDescent="0.2">
      <c r="A169">
        <v>825069</v>
      </c>
      <c r="B169" s="3">
        <f>VLOOKUP($A169,ScionOutput!$A$3:$BL$215,3,FALSE)</f>
        <v>46192</v>
      </c>
      <c r="C169">
        <f>VLOOKUP($A169,ScionOutput!$A$3:$BL$215,22,FALSE)</f>
        <v>1</v>
      </c>
      <c r="D169" t="str">
        <f>VLOOKUP($A169,ScionOutput!$A$3:$BL$215,23,FALSE)</f>
        <v>ARZ</v>
      </c>
      <c r="E169">
        <f>VLOOKUP($A169,ScionOutput!$A$3:$BL$215,6,FALSE)</f>
        <v>15</v>
      </c>
      <c r="F169" t="str">
        <f>VLOOKUP($A169,ScionOutput!$A$3:$BL$215,7,FALSE)</f>
        <v>MIN</v>
      </c>
      <c r="G169">
        <f>VLOOKUP($A169,ScionOutput!$A$3:$BL$215,26,FALSE)</f>
        <v>-165</v>
      </c>
      <c r="H169">
        <f>VLOOKUP($A169,ScionOutput!$A$3:$BL$215,10,FALSE)</f>
        <v>152</v>
      </c>
      <c r="I169" t="str">
        <f>VLOOKUP($A169,ScionOutput!$A$3:$BL$215,58,FALSE)</f>
        <v>No Play</v>
      </c>
      <c r="J169">
        <f>VLOOKUP($A169,ScionOutput!$A$3:$BL$215,59,FALSE)</f>
        <v>0</v>
      </c>
      <c r="K169">
        <f>VLOOKUP($A169,ScionOutput!$A$3:$BL$215,62,FALSE)</f>
        <v>0</v>
      </c>
      <c r="L169">
        <f>VLOOKUP($A169,ScionOutput!$A$3:$BL$215,63,FALSE)</f>
        <v>0</v>
      </c>
      <c r="M169" t="b">
        <f t="shared" si="17"/>
        <v>0</v>
      </c>
      <c r="N169">
        <f>VLOOKUP($A169,Outcomes!$B$3:$I$209,8,FALSE)</f>
        <v>14</v>
      </c>
      <c r="O169">
        <f t="shared" si="18"/>
        <v>1</v>
      </c>
      <c r="P169">
        <f>VLOOKUP($A169,Outcomes!$B$3:$I$209,5,FALSE)</f>
        <v>9</v>
      </c>
      <c r="Q169">
        <f>VLOOKUP($A169,Outcomes!$B$3:$I$209,6,FALSE)</f>
        <v>5</v>
      </c>
      <c r="R169">
        <f>VLOOKUP($A169,Outcomes!$B$3:$I$209,7,FALSE)</f>
        <v>-4</v>
      </c>
      <c r="S169" t="str">
        <f t="shared" si="19"/>
        <v>HomFave</v>
      </c>
      <c r="T169" t="str">
        <f t="shared" si="20"/>
        <v/>
      </c>
      <c r="U169" t="str">
        <f t="shared" si="16"/>
        <v/>
      </c>
      <c r="V169" t="str">
        <f t="shared" si="21"/>
        <v/>
      </c>
      <c r="W169" t="str">
        <f t="shared" si="22"/>
        <v/>
      </c>
      <c r="X169" s="2" t="str">
        <f t="shared" si="23"/>
        <v/>
      </c>
      <c r="Y169" t="str">
        <f>VLOOKUP($A169,ScionOutput!$A$3:$BL$215,64,FALSE)</f>
        <v xml:space="preserve">825069. LineStatEns is NoPlay as bookie-line outside range. StatOnlyEns is NoPlay as bookie-line outside range. No play due to strategy constraints. </v>
      </c>
    </row>
    <row r="170" spans="1:25" x14ac:dyDescent="0.2">
      <c r="A170">
        <v>824663</v>
      </c>
      <c r="B170" s="3">
        <f>VLOOKUP($A170,ScionOutput!$A$3:$BL$215,3,FALSE)</f>
        <v>46192</v>
      </c>
      <c r="C170">
        <f>VLOOKUP($A170,ScionOutput!$A$3:$BL$215,22,FALSE)</f>
        <v>5</v>
      </c>
      <c r="D170" t="str">
        <f>VLOOKUP($A170,ScionOutput!$A$3:$BL$215,23,FALSE)</f>
        <v>CHC</v>
      </c>
      <c r="E170">
        <f>VLOOKUP($A170,ScionOutput!$A$3:$BL$215,6,FALSE)</f>
        <v>29</v>
      </c>
      <c r="F170" t="str">
        <f>VLOOKUP($A170,ScionOutput!$A$3:$BL$215,7,FALSE)</f>
        <v>TOR</v>
      </c>
      <c r="G170">
        <f>VLOOKUP($A170,ScionOutput!$A$3:$BL$215,26,FALSE)</f>
        <v>-120</v>
      </c>
      <c r="H170">
        <f>VLOOKUP($A170,ScionOutput!$A$3:$BL$215,10,FALSE)</f>
        <v>111</v>
      </c>
      <c r="I170" t="str">
        <f>VLOOKUP($A170,ScionOutput!$A$3:$BL$215,58,FALSE)</f>
        <v>No Play</v>
      </c>
      <c r="J170">
        <f>VLOOKUP($A170,ScionOutput!$A$3:$BL$215,59,FALSE)</f>
        <v>0</v>
      </c>
      <c r="K170">
        <f>VLOOKUP($A170,ScionOutput!$A$3:$BL$215,62,FALSE)</f>
        <v>0</v>
      </c>
      <c r="L170">
        <f>VLOOKUP($A170,ScionOutput!$A$3:$BL$215,63,FALSE)</f>
        <v>0</v>
      </c>
      <c r="M170" t="b">
        <f t="shared" si="17"/>
        <v>0</v>
      </c>
      <c r="N170">
        <f>VLOOKUP($A170,Outcomes!$B$3:$I$209,8,FALSE)</f>
        <v>18</v>
      </c>
      <c r="O170">
        <f t="shared" si="18"/>
        <v>1</v>
      </c>
      <c r="P170">
        <f>VLOOKUP($A170,Outcomes!$B$3:$I$209,5,FALSE)</f>
        <v>16</v>
      </c>
      <c r="Q170">
        <f>VLOOKUP($A170,Outcomes!$B$3:$I$209,6,FALSE)</f>
        <v>2</v>
      </c>
      <c r="R170">
        <f>VLOOKUP($A170,Outcomes!$B$3:$I$209,7,FALSE)</f>
        <v>-14</v>
      </c>
      <c r="S170" t="str">
        <f t="shared" si="19"/>
        <v>HomFave</v>
      </c>
      <c r="T170" t="str">
        <f t="shared" si="20"/>
        <v/>
      </c>
      <c r="U170" t="str">
        <f t="shared" si="16"/>
        <v/>
      </c>
      <c r="V170" t="str">
        <f t="shared" si="21"/>
        <v/>
      </c>
      <c r="W170" t="str">
        <f t="shared" si="22"/>
        <v/>
      </c>
      <c r="X170" s="2" t="str">
        <f t="shared" si="23"/>
        <v/>
      </c>
      <c r="Y170" t="str">
        <f>VLOOKUP($A170,ScionOutput!$A$3:$BL$215,64,FALSE)</f>
        <v xml:space="preserve">824663. LineStatEns probability points gap does not exceed threshold (no edge found)! StatOnlyEns probability points gap does not exceed threshold (no edge found)! No play due to strategy constraints. </v>
      </c>
    </row>
    <row r="171" spans="1:25" x14ac:dyDescent="0.2">
      <c r="A171">
        <v>824345</v>
      </c>
      <c r="B171" s="3">
        <f>VLOOKUP($A171,ScionOutput!$A$3:$BL$215,3,FALSE)</f>
        <v>46192</v>
      </c>
      <c r="C171">
        <f>VLOOKUP($A171,ScionOutput!$A$3:$BL$215,22,FALSE)</f>
        <v>8</v>
      </c>
      <c r="D171" t="str">
        <f>VLOOKUP($A171,ScionOutput!$A$3:$BL$215,23,FALSE)</f>
        <v>COL</v>
      </c>
      <c r="E171">
        <f>VLOOKUP($A171,ScionOutput!$A$3:$BL$215,6,FALSE)</f>
        <v>22</v>
      </c>
      <c r="F171" t="str">
        <f>VLOOKUP($A171,ScionOutput!$A$3:$BL$215,7,FALSE)</f>
        <v>PIT</v>
      </c>
      <c r="G171">
        <f>VLOOKUP($A171,ScionOutput!$A$3:$BL$215,26,FALSE)</f>
        <v>122</v>
      </c>
      <c r="H171">
        <f>VLOOKUP($A171,ScionOutput!$A$3:$BL$215,10,FALSE)</f>
        <v>-132</v>
      </c>
      <c r="I171" t="str">
        <f>VLOOKUP($A171,ScionOutput!$A$3:$BL$215,58,FALSE)</f>
        <v>No Play</v>
      </c>
      <c r="J171">
        <f>VLOOKUP($A171,ScionOutput!$A$3:$BL$215,59,FALSE)</f>
        <v>0</v>
      </c>
      <c r="K171">
        <f>VLOOKUP($A171,ScionOutput!$A$3:$BL$215,62,FALSE)</f>
        <v>0</v>
      </c>
      <c r="L171">
        <f>VLOOKUP($A171,ScionOutput!$A$3:$BL$215,63,FALSE)</f>
        <v>0</v>
      </c>
      <c r="M171" t="b">
        <f t="shared" si="17"/>
        <v>0</v>
      </c>
      <c r="N171">
        <f>VLOOKUP($A171,Outcomes!$B$3:$I$209,8,FALSE)</f>
        <v>7</v>
      </c>
      <c r="O171">
        <f t="shared" si="18"/>
        <v>1</v>
      </c>
      <c r="P171">
        <f>VLOOKUP($A171,Outcomes!$B$3:$I$209,5,FALSE)</f>
        <v>4</v>
      </c>
      <c r="Q171">
        <f>VLOOKUP($A171,Outcomes!$B$3:$I$209,6,FALSE)</f>
        <v>3</v>
      </c>
      <c r="R171">
        <f>VLOOKUP($A171,Outcomes!$B$3:$I$209,7,FALSE)</f>
        <v>-1</v>
      </c>
      <c r="S171" t="str">
        <f t="shared" si="19"/>
        <v>HomDog</v>
      </c>
      <c r="T171" t="str">
        <f t="shared" si="20"/>
        <v/>
      </c>
      <c r="U171" t="str">
        <f t="shared" si="16"/>
        <v/>
      </c>
      <c r="V171" t="str">
        <f t="shared" si="21"/>
        <v/>
      </c>
      <c r="W171" t="str">
        <f t="shared" si="22"/>
        <v/>
      </c>
      <c r="X171" s="2" t="str">
        <f t="shared" si="23"/>
        <v/>
      </c>
      <c r="Y171" t="str">
        <f>VLOOKUP($A171,ScionOutput!$A$3:$BL$215,64,FALSE)</f>
        <v xml:space="preserve">824345. VF plays are disallowed. No play due to strategy constraints. </v>
      </c>
    </row>
    <row r="172" spans="1:25" x14ac:dyDescent="0.2">
      <c r="A172">
        <v>824264</v>
      </c>
      <c r="B172" s="3">
        <f>VLOOKUP($A172,ScionOutput!$A$3:$BL$215,3,FALSE)</f>
        <v>46192</v>
      </c>
      <c r="C172">
        <f>VLOOKUP($A172,ScionOutput!$A$3:$BL$215,22,FALSE)</f>
        <v>10</v>
      </c>
      <c r="D172" t="str">
        <f>VLOOKUP($A172,ScionOutput!$A$3:$BL$215,23,FALSE)</f>
        <v>DET</v>
      </c>
      <c r="E172">
        <f>VLOOKUP($A172,ScionOutput!$A$3:$BL$215,6,FALSE)</f>
        <v>9</v>
      </c>
      <c r="F172" t="str">
        <f>VLOOKUP($A172,ScionOutput!$A$3:$BL$215,7,FALSE)</f>
        <v>CWS</v>
      </c>
      <c r="G172">
        <f>VLOOKUP($A172,ScionOutput!$A$3:$BL$215,26,FALSE)</f>
        <v>-182</v>
      </c>
      <c r="H172">
        <f>VLOOKUP($A172,ScionOutput!$A$3:$BL$215,10,FALSE)</f>
        <v>166</v>
      </c>
      <c r="I172" t="str">
        <f>VLOOKUP($A172,ScionOutput!$A$3:$BL$215,58,FALSE)</f>
        <v>No Play</v>
      </c>
      <c r="J172">
        <f>VLOOKUP($A172,ScionOutput!$A$3:$BL$215,59,FALSE)</f>
        <v>0</v>
      </c>
      <c r="K172">
        <f>VLOOKUP($A172,ScionOutput!$A$3:$BL$215,62,FALSE)</f>
        <v>0</v>
      </c>
      <c r="L172">
        <f>VLOOKUP($A172,ScionOutput!$A$3:$BL$215,63,FALSE)</f>
        <v>0</v>
      </c>
      <c r="M172" t="b">
        <f t="shared" si="17"/>
        <v>0</v>
      </c>
      <c r="N172">
        <f>VLOOKUP($A172,Outcomes!$B$3:$I$209,8,FALSE)</f>
        <v>7</v>
      </c>
      <c r="O172">
        <f t="shared" si="18"/>
        <v>1</v>
      </c>
      <c r="P172">
        <f>VLOOKUP($A172,Outcomes!$B$3:$I$209,5,FALSE)</f>
        <v>4</v>
      </c>
      <c r="Q172">
        <f>VLOOKUP($A172,Outcomes!$B$3:$I$209,6,FALSE)</f>
        <v>3</v>
      </c>
      <c r="R172">
        <f>VLOOKUP($A172,Outcomes!$B$3:$I$209,7,FALSE)</f>
        <v>-1</v>
      </c>
      <c r="S172" t="str">
        <f t="shared" si="19"/>
        <v>HomFave</v>
      </c>
      <c r="T172" t="str">
        <f t="shared" si="20"/>
        <v/>
      </c>
      <c r="U172" t="str">
        <f t="shared" si="16"/>
        <v/>
      </c>
      <c r="V172" t="str">
        <f t="shared" si="21"/>
        <v/>
      </c>
      <c r="W172" t="str">
        <f t="shared" si="22"/>
        <v/>
      </c>
      <c r="X172" s="2" t="str">
        <f t="shared" si="23"/>
        <v/>
      </c>
      <c r="Y172" t="str">
        <f>VLOOKUP($A172,ScionOutput!$A$3:$BL$215,64,FALSE)</f>
        <v xml:space="preserve">824264. LineStatEns is NoPlay as bookie-line outside range. StatOnlyEns is NoPlay as bookie-line outside range. No play due to strategy constraints. </v>
      </c>
    </row>
    <row r="173" spans="1:25" x14ac:dyDescent="0.2">
      <c r="A173">
        <v>823853</v>
      </c>
      <c r="B173" s="3">
        <f>VLOOKUP($A173,ScionOutput!$A$3:$BL$215,3,FALSE)</f>
        <v>46192</v>
      </c>
      <c r="C173">
        <f>VLOOKUP($A173,ScionOutput!$A$3:$BL$215,22,FALSE)</f>
        <v>11</v>
      </c>
      <c r="D173" t="str">
        <f>VLOOKUP($A173,ScionOutput!$A$3:$BL$215,23,FALSE)</f>
        <v>FLO</v>
      </c>
      <c r="E173">
        <f>VLOOKUP($A173,ScionOutput!$A$3:$BL$215,6,FALSE)</f>
        <v>25</v>
      </c>
      <c r="F173" t="str">
        <f>VLOOKUP($A173,ScionOutput!$A$3:$BL$215,7,FALSE)</f>
        <v>SF</v>
      </c>
      <c r="G173">
        <f>VLOOKUP($A173,ScionOutput!$A$3:$BL$215,26,FALSE)</f>
        <v>-111</v>
      </c>
      <c r="H173">
        <f>VLOOKUP($A173,ScionOutput!$A$3:$BL$215,10,FALSE)</f>
        <v>103</v>
      </c>
      <c r="I173" t="str">
        <f>VLOOKUP($A173,ScionOutput!$A$3:$BL$215,58,FALSE)</f>
        <v>No Play</v>
      </c>
      <c r="J173">
        <f>VLOOKUP($A173,ScionOutput!$A$3:$BL$215,59,FALSE)</f>
        <v>0</v>
      </c>
      <c r="K173">
        <f>VLOOKUP($A173,ScionOutput!$A$3:$BL$215,62,FALSE)</f>
        <v>0</v>
      </c>
      <c r="L173">
        <f>VLOOKUP($A173,ScionOutput!$A$3:$BL$215,63,FALSE)</f>
        <v>0</v>
      </c>
      <c r="M173" t="b">
        <f t="shared" si="17"/>
        <v>0</v>
      </c>
      <c r="N173">
        <f>VLOOKUP($A173,Outcomes!$B$3:$I$209,8,FALSE)</f>
        <v>7</v>
      </c>
      <c r="O173">
        <f t="shared" si="18"/>
        <v>1</v>
      </c>
      <c r="P173">
        <f>VLOOKUP($A173,Outcomes!$B$3:$I$209,5,FALSE)</f>
        <v>4</v>
      </c>
      <c r="Q173">
        <f>VLOOKUP($A173,Outcomes!$B$3:$I$209,6,FALSE)</f>
        <v>3</v>
      </c>
      <c r="R173">
        <f>VLOOKUP($A173,Outcomes!$B$3:$I$209,7,FALSE)</f>
        <v>-1</v>
      </c>
      <c r="S173" t="str">
        <f t="shared" si="19"/>
        <v>HomFave</v>
      </c>
      <c r="T173" t="str">
        <f t="shared" si="20"/>
        <v/>
      </c>
      <c r="U173" t="str">
        <f t="shared" si="16"/>
        <v/>
      </c>
      <c r="V173" t="str">
        <f t="shared" si="21"/>
        <v/>
      </c>
      <c r="W173" t="str">
        <f t="shared" si="22"/>
        <v/>
      </c>
      <c r="X173" s="2" t="str">
        <f t="shared" si="23"/>
        <v/>
      </c>
      <c r="Y173" t="str">
        <f>VLOOKUP($A173,ScionOutput!$A$3:$BL$215,64,FALSE)</f>
        <v xml:space="preserve">823853. LineStatEns probability points gap does not exceed threshold (no edge found)! StatOnlyEns probability points gap does not exceed threshold (no edge found)! No play due to strategy constraints. </v>
      </c>
    </row>
    <row r="174" spans="1:25" x14ac:dyDescent="0.2">
      <c r="A174">
        <v>824179</v>
      </c>
      <c r="B174" s="3">
        <f>VLOOKUP($A174,ScionOutput!$A$3:$BL$215,3,FALSE)</f>
        <v>46192</v>
      </c>
      <c r="C174">
        <f>VLOOKUP($A174,ScionOutput!$A$3:$BL$215,22,FALSE)</f>
        <v>12</v>
      </c>
      <c r="D174" t="str">
        <f>VLOOKUP($A174,ScionOutput!$A$3:$BL$215,23,FALSE)</f>
        <v>HOU</v>
      </c>
      <c r="E174">
        <f>VLOOKUP($A174,ScionOutput!$A$3:$BL$215,6,FALSE)</f>
        <v>7</v>
      </c>
      <c r="F174" t="str">
        <f>VLOOKUP($A174,ScionOutput!$A$3:$BL$215,7,FALSE)</f>
        <v>CLE</v>
      </c>
      <c r="G174">
        <f>VLOOKUP($A174,ScionOutput!$A$3:$BL$215,26,FALSE)</f>
        <v>-121</v>
      </c>
      <c r="H174">
        <f>VLOOKUP($A174,ScionOutput!$A$3:$BL$215,10,FALSE)</f>
        <v>111</v>
      </c>
      <c r="I174" t="str">
        <f>VLOOKUP($A174,ScionOutput!$A$3:$BL$215,58,FALSE)</f>
        <v>VisDog</v>
      </c>
      <c r="J174">
        <f>VLOOKUP($A174,ScionOutput!$A$3:$BL$215,59,FALSE)</f>
        <v>-5.602E-2</v>
      </c>
      <c r="K174">
        <f>VLOOKUP($A174,ScionOutput!$A$3:$BL$215,62,FALSE)</f>
        <v>5</v>
      </c>
      <c r="L174">
        <f>VLOOKUP($A174,ScionOutput!$A$3:$BL$215,63,FALSE)</f>
        <v>0.67</v>
      </c>
      <c r="M174" t="b">
        <f t="shared" si="17"/>
        <v>1</v>
      </c>
      <c r="N174">
        <f>VLOOKUP($A174,Outcomes!$B$3:$I$209,8,FALSE)</f>
        <v>12</v>
      </c>
      <c r="O174">
        <f t="shared" si="18"/>
        <v>1</v>
      </c>
      <c r="P174">
        <f>VLOOKUP($A174,Outcomes!$B$3:$I$209,5,FALSE)</f>
        <v>9</v>
      </c>
      <c r="Q174">
        <f>VLOOKUP($A174,Outcomes!$B$3:$I$209,6,FALSE)</f>
        <v>3</v>
      </c>
      <c r="R174">
        <f>VLOOKUP($A174,Outcomes!$B$3:$I$209,7,FALSE)</f>
        <v>-6</v>
      </c>
      <c r="S174" t="str">
        <f t="shared" si="19"/>
        <v>HomFave</v>
      </c>
      <c r="T174">
        <f t="shared" si="20"/>
        <v>0</v>
      </c>
      <c r="U174">
        <f t="shared" si="16"/>
        <v>100</v>
      </c>
      <c r="V174">
        <f t="shared" si="21"/>
        <v>0</v>
      </c>
      <c r="W174">
        <f t="shared" si="22"/>
        <v>-100</v>
      </c>
      <c r="X174" s="2">
        <f t="shared" si="23"/>
        <v>-1</v>
      </c>
      <c r="Y174" t="str">
        <f>VLOOKUP($A174,ScionOutput!$A$3:$BL$215,64,FALSE)</f>
        <v xml:space="preserve">824179. Play determined by LineStatEns and StatOnlyEns agreement. </v>
      </c>
    </row>
    <row r="175" spans="1:25" x14ac:dyDescent="0.2">
      <c r="A175">
        <v>824097</v>
      </c>
      <c r="B175" s="3">
        <f>VLOOKUP($A175,ScionOutput!$A$3:$BL$215,3,FALSE)</f>
        <v>46192</v>
      </c>
      <c r="C175">
        <f>VLOOKUP($A175,ScionOutput!$A$3:$BL$215,22,FALSE)</f>
        <v>13</v>
      </c>
      <c r="D175" t="str">
        <f>VLOOKUP($A175,ScionOutput!$A$3:$BL$215,23,FALSE)</f>
        <v>KC</v>
      </c>
      <c r="E175">
        <f>VLOOKUP($A175,ScionOutput!$A$3:$BL$215,6,FALSE)</f>
        <v>26</v>
      </c>
      <c r="F175" t="str">
        <f>VLOOKUP($A175,ScionOutput!$A$3:$BL$215,7,FALSE)</f>
        <v>STL</v>
      </c>
      <c r="G175">
        <f>VLOOKUP($A175,ScionOutput!$A$3:$BL$215,26,FALSE)</f>
        <v>105</v>
      </c>
      <c r="H175">
        <f>VLOOKUP($A175,ScionOutput!$A$3:$BL$215,10,FALSE)</f>
        <v>-114</v>
      </c>
      <c r="I175" t="str">
        <f>VLOOKUP($A175,ScionOutput!$A$3:$BL$215,58,FALSE)</f>
        <v>No Play</v>
      </c>
      <c r="J175">
        <f>VLOOKUP($A175,ScionOutput!$A$3:$BL$215,59,FALSE)</f>
        <v>0</v>
      </c>
      <c r="K175">
        <f>VLOOKUP($A175,ScionOutput!$A$3:$BL$215,62,FALSE)</f>
        <v>0</v>
      </c>
      <c r="L175">
        <f>VLOOKUP($A175,ScionOutput!$A$3:$BL$215,63,FALSE)</f>
        <v>0</v>
      </c>
      <c r="M175" t="b">
        <f t="shared" si="17"/>
        <v>0</v>
      </c>
      <c r="N175">
        <f>VLOOKUP($A175,Outcomes!$B$3:$I$209,8,FALSE)</f>
        <v>11</v>
      </c>
      <c r="O175">
        <f t="shared" si="18"/>
        <v>1</v>
      </c>
      <c r="P175">
        <f>VLOOKUP($A175,Outcomes!$B$3:$I$209,5,FALSE)</f>
        <v>6</v>
      </c>
      <c r="Q175">
        <f>VLOOKUP($A175,Outcomes!$B$3:$I$209,6,FALSE)</f>
        <v>5</v>
      </c>
      <c r="R175">
        <f>VLOOKUP($A175,Outcomes!$B$3:$I$209,7,FALSE)</f>
        <v>-1</v>
      </c>
      <c r="S175" t="str">
        <f t="shared" si="19"/>
        <v>HomDog</v>
      </c>
      <c r="T175" t="str">
        <f t="shared" si="20"/>
        <v/>
      </c>
      <c r="U175" t="str">
        <f t="shared" si="16"/>
        <v/>
      </c>
      <c r="V175" t="str">
        <f t="shared" si="21"/>
        <v/>
      </c>
      <c r="W175" t="str">
        <f t="shared" si="22"/>
        <v/>
      </c>
      <c r="X175" s="2" t="str">
        <f t="shared" si="23"/>
        <v/>
      </c>
      <c r="Y175" t="str">
        <f>VLOOKUP($A175,ScionOutput!$A$3:$BL$215,64,FALSE)</f>
        <v xml:space="preserve">824097. VF plays are disallowed. No play due to strategy constraints. </v>
      </c>
    </row>
    <row r="176" spans="1:25" x14ac:dyDescent="0.2">
      <c r="A176">
        <v>823936</v>
      </c>
      <c r="B176" s="3">
        <f>VLOOKUP($A176,ScionOutput!$A$3:$BL$215,3,FALSE)</f>
        <v>46192</v>
      </c>
      <c r="C176">
        <f>VLOOKUP($A176,ScionOutput!$A$3:$BL$215,22,FALSE)</f>
        <v>14</v>
      </c>
      <c r="D176" t="str">
        <f>VLOOKUP($A176,ScionOutput!$A$3:$BL$215,23,FALSE)</f>
        <v>LA</v>
      </c>
      <c r="E176">
        <f>VLOOKUP($A176,ScionOutput!$A$3:$BL$215,6,FALSE)</f>
        <v>2</v>
      </c>
      <c r="F176" t="str">
        <f>VLOOKUP($A176,ScionOutput!$A$3:$BL$215,7,FALSE)</f>
        <v>BAL</v>
      </c>
      <c r="G176">
        <f>VLOOKUP($A176,ScionOutput!$A$3:$BL$215,26,FALSE)</f>
        <v>-206</v>
      </c>
      <c r="H176">
        <f>VLOOKUP($A176,ScionOutput!$A$3:$BL$215,10,FALSE)</f>
        <v>187</v>
      </c>
      <c r="I176" t="str">
        <f>VLOOKUP($A176,ScionOutput!$A$3:$BL$215,58,FALSE)</f>
        <v>No Play</v>
      </c>
      <c r="J176">
        <f>VLOOKUP($A176,ScionOutput!$A$3:$BL$215,59,FALSE)</f>
        <v>0</v>
      </c>
      <c r="K176">
        <f>VLOOKUP($A176,ScionOutput!$A$3:$BL$215,62,FALSE)</f>
        <v>0</v>
      </c>
      <c r="L176">
        <f>VLOOKUP($A176,ScionOutput!$A$3:$BL$215,63,FALSE)</f>
        <v>0</v>
      </c>
      <c r="M176" t="b">
        <f t="shared" si="17"/>
        <v>0</v>
      </c>
      <c r="N176">
        <f>VLOOKUP($A176,Outcomes!$B$3:$I$209,8,FALSE)</f>
        <v>11</v>
      </c>
      <c r="O176">
        <f t="shared" si="18"/>
        <v>1</v>
      </c>
      <c r="P176">
        <f>VLOOKUP($A176,Outcomes!$B$3:$I$209,5,FALSE)</f>
        <v>6</v>
      </c>
      <c r="Q176">
        <f>VLOOKUP($A176,Outcomes!$B$3:$I$209,6,FALSE)</f>
        <v>5</v>
      </c>
      <c r="R176">
        <f>VLOOKUP($A176,Outcomes!$B$3:$I$209,7,FALSE)</f>
        <v>-1</v>
      </c>
      <c r="S176" t="str">
        <f t="shared" si="19"/>
        <v>HomFave</v>
      </c>
      <c r="T176" t="str">
        <f t="shared" si="20"/>
        <v/>
      </c>
      <c r="U176" t="str">
        <f t="shared" si="16"/>
        <v/>
      </c>
      <c r="V176" t="str">
        <f t="shared" si="21"/>
        <v/>
      </c>
      <c r="W176" t="str">
        <f t="shared" si="22"/>
        <v/>
      </c>
      <c r="X176" s="2" t="str">
        <f t="shared" si="23"/>
        <v/>
      </c>
      <c r="Y176" t="str">
        <f>VLOOKUP($A176,ScionOutput!$A$3:$BL$215,64,FALSE)</f>
        <v xml:space="preserve">823936. LineStatEns is NoPlay as bookie-line outside range. StatOnlyEns is NoPlay as bookie-line outside range. No play due to strategy constraints. </v>
      </c>
    </row>
    <row r="177" spans="1:25" x14ac:dyDescent="0.2">
      <c r="A177">
        <v>823534</v>
      </c>
      <c r="B177" s="3">
        <f>VLOOKUP($A177,ScionOutput!$A$3:$BL$215,3,FALSE)</f>
        <v>46192</v>
      </c>
      <c r="C177">
        <f>VLOOKUP($A177,ScionOutput!$A$3:$BL$215,22,FALSE)</f>
        <v>19</v>
      </c>
      <c r="D177" t="str">
        <f>VLOOKUP($A177,ScionOutput!$A$3:$BL$215,23,FALSE)</f>
        <v>NYY</v>
      </c>
      <c r="E177">
        <f>VLOOKUP($A177,ScionOutput!$A$3:$BL$215,6,FALSE)</f>
        <v>6</v>
      </c>
      <c r="F177" t="str">
        <f>VLOOKUP($A177,ScionOutput!$A$3:$BL$215,7,FALSE)</f>
        <v>CIN</v>
      </c>
      <c r="G177">
        <f>VLOOKUP($A177,ScionOutput!$A$3:$BL$215,26,FALSE)</f>
        <v>-269</v>
      </c>
      <c r="H177">
        <f>VLOOKUP($A177,ScionOutput!$A$3:$BL$215,10,FALSE)</f>
        <v>240</v>
      </c>
      <c r="I177" t="str">
        <f>VLOOKUP($A177,ScionOutput!$A$3:$BL$215,58,FALSE)</f>
        <v>No Play</v>
      </c>
      <c r="J177">
        <f>VLOOKUP($A177,ScionOutput!$A$3:$BL$215,59,FALSE)</f>
        <v>0</v>
      </c>
      <c r="K177">
        <f>VLOOKUP($A177,ScionOutput!$A$3:$BL$215,62,FALSE)</f>
        <v>0</v>
      </c>
      <c r="L177">
        <f>VLOOKUP($A177,ScionOutput!$A$3:$BL$215,63,FALSE)</f>
        <v>0</v>
      </c>
      <c r="M177" t="b">
        <f t="shared" si="17"/>
        <v>0</v>
      </c>
      <c r="N177">
        <f>VLOOKUP($A177,Outcomes!$B$3:$I$209,8,FALSE)</f>
        <v>5</v>
      </c>
      <c r="O177">
        <f t="shared" si="18"/>
        <v>1</v>
      </c>
      <c r="P177">
        <f>VLOOKUP($A177,Outcomes!$B$3:$I$209,5,FALSE)</f>
        <v>5</v>
      </c>
      <c r="Q177">
        <f>VLOOKUP($A177,Outcomes!$B$3:$I$209,6,FALSE)</f>
        <v>0</v>
      </c>
      <c r="R177">
        <f>VLOOKUP($A177,Outcomes!$B$3:$I$209,7,FALSE)</f>
        <v>-5</v>
      </c>
      <c r="S177" t="str">
        <f t="shared" si="19"/>
        <v>HomFave</v>
      </c>
      <c r="T177" t="str">
        <f t="shared" si="20"/>
        <v/>
      </c>
      <c r="U177" t="str">
        <f t="shared" si="16"/>
        <v/>
      </c>
      <c r="V177" t="str">
        <f t="shared" si="21"/>
        <v/>
      </c>
      <c r="W177" t="str">
        <f t="shared" si="22"/>
        <v/>
      </c>
      <c r="X177" s="2" t="str">
        <f t="shared" si="23"/>
        <v/>
      </c>
      <c r="Y177" t="str">
        <f>VLOOKUP($A177,ScionOutput!$A$3:$BL$215,64,FALSE)</f>
        <v xml:space="preserve">823534. LineStatEns is NoPlay as bookie-line outside range. StatOnlyEns is NoPlay as bookie-line outside range. No play due to strategy constraints. </v>
      </c>
    </row>
    <row r="178" spans="1:25" x14ac:dyDescent="0.2">
      <c r="A178">
        <v>824990</v>
      </c>
      <c r="B178" s="3">
        <f>VLOOKUP($A178,ScionOutput!$A$3:$BL$215,3,FALSE)</f>
        <v>46192</v>
      </c>
      <c r="C178">
        <f>VLOOKUP($A178,ScionOutput!$A$3:$BL$215,22,FALSE)</f>
        <v>20</v>
      </c>
      <c r="D178" t="str">
        <f>VLOOKUP($A178,ScionOutput!$A$3:$BL$215,23,FALSE)</f>
        <v>OAK</v>
      </c>
      <c r="E178">
        <f>VLOOKUP($A178,ScionOutput!$A$3:$BL$215,6,FALSE)</f>
        <v>4</v>
      </c>
      <c r="F178" t="str">
        <f>VLOOKUP($A178,ScionOutput!$A$3:$BL$215,7,FALSE)</f>
        <v>LAA</v>
      </c>
      <c r="G178">
        <f>VLOOKUP($A178,ScionOutput!$A$3:$BL$215,26,FALSE)</f>
        <v>-153</v>
      </c>
      <c r="H178">
        <f>VLOOKUP($A178,ScionOutput!$A$3:$BL$215,10,FALSE)</f>
        <v>141</v>
      </c>
      <c r="I178" t="str">
        <f>VLOOKUP($A178,ScionOutput!$A$3:$BL$215,58,FALSE)</f>
        <v>No Play</v>
      </c>
      <c r="J178">
        <f>VLOOKUP($A178,ScionOutput!$A$3:$BL$215,59,FALSE)</f>
        <v>0</v>
      </c>
      <c r="K178">
        <f>VLOOKUP($A178,ScionOutput!$A$3:$BL$215,62,FALSE)</f>
        <v>0</v>
      </c>
      <c r="L178">
        <f>VLOOKUP($A178,ScionOutput!$A$3:$BL$215,63,FALSE)</f>
        <v>0</v>
      </c>
      <c r="M178" t="b">
        <f t="shared" si="17"/>
        <v>0</v>
      </c>
      <c r="N178">
        <f>VLOOKUP($A178,Outcomes!$B$3:$I$209,8,FALSE)</f>
        <v>23</v>
      </c>
      <c r="O178">
        <f t="shared" si="18"/>
        <v>1</v>
      </c>
      <c r="P178">
        <f>VLOOKUP($A178,Outcomes!$B$3:$I$209,5,FALSE)</f>
        <v>12</v>
      </c>
      <c r="Q178">
        <f>VLOOKUP($A178,Outcomes!$B$3:$I$209,6,FALSE)</f>
        <v>11</v>
      </c>
      <c r="R178">
        <f>VLOOKUP($A178,Outcomes!$B$3:$I$209,7,FALSE)</f>
        <v>-1</v>
      </c>
      <c r="S178" t="str">
        <f t="shared" si="19"/>
        <v>HomFave</v>
      </c>
      <c r="T178" t="str">
        <f t="shared" si="20"/>
        <v/>
      </c>
      <c r="U178" t="str">
        <f t="shared" si="16"/>
        <v/>
      </c>
      <c r="V178" t="str">
        <f t="shared" si="21"/>
        <v/>
      </c>
      <c r="W178" t="str">
        <f t="shared" si="22"/>
        <v/>
      </c>
      <c r="X178" s="2" t="str">
        <f t="shared" si="23"/>
        <v/>
      </c>
      <c r="Y178" t="str">
        <f>VLOOKUP($A178,ScionOutput!$A$3:$BL$215,64,FALSE)</f>
        <v xml:space="preserve">824990. LineStatEns is NoPlay as bookie-line outside range. StatOnlyEns is NoPlay as bookie-line outside range. No play due to strategy constraints. </v>
      </c>
    </row>
    <row r="179" spans="1:25" x14ac:dyDescent="0.2">
      <c r="A179">
        <v>823124</v>
      </c>
      <c r="B179" s="3">
        <f>VLOOKUP($A179,ScionOutput!$A$3:$BL$215,3,FALSE)</f>
        <v>46192</v>
      </c>
      <c r="C179">
        <f>VLOOKUP($A179,ScionOutput!$A$3:$BL$215,22,FALSE)</f>
        <v>24</v>
      </c>
      <c r="D179" t="str">
        <f>VLOOKUP($A179,ScionOutput!$A$3:$BL$215,23,FALSE)</f>
        <v>SEA</v>
      </c>
      <c r="E179">
        <f>VLOOKUP($A179,ScionOutput!$A$3:$BL$215,6,FALSE)</f>
        <v>3</v>
      </c>
      <c r="F179" t="str">
        <f>VLOOKUP($A179,ScionOutput!$A$3:$BL$215,7,FALSE)</f>
        <v>BOS</v>
      </c>
      <c r="G179">
        <f>VLOOKUP($A179,ScionOutput!$A$3:$BL$215,26,FALSE)</f>
        <v>-108</v>
      </c>
      <c r="H179">
        <f>VLOOKUP($A179,ScionOutput!$A$3:$BL$215,10,FALSE)</f>
        <v>100</v>
      </c>
      <c r="I179" t="str">
        <f>VLOOKUP($A179,ScionOutput!$A$3:$BL$215,58,FALSE)</f>
        <v>HomFave</v>
      </c>
      <c r="J179">
        <f>VLOOKUP($A179,ScionOutput!$A$3:$BL$215,59,FALSE)</f>
        <v>3.057E-2</v>
      </c>
      <c r="K179">
        <f>VLOOKUP($A179,ScionOutput!$A$3:$BL$215,62,FALSE)</f>
        <v>5</v>
      </c>
      <c r="L179">
        <f>VLOOKUP($A179,ScionOutput!$A$3:$BL$215,63,FALSE)</f>
        <v>0.98</v>
      </c>
      <c r="M179" t="b">
        <f t="shared" si="17"/>
        <v>0</v>
      </c>
      <c r="N179">
        <f>VLOOKUP($A179,Outcomes!$B$3:$I$209,8,FALSE)</f>
        <v>8</v>
      </c>
      <c r="O179">
        <f t="shared" si="18"/>
        <v>-1</v>
      </c>
      <c r="P179">
        <f>VLOOKUP($A179,Outcomes!$B$3:$I$209,5,FALSE)</f>
        <v>2</v>
      </c>
      <c r="Q179">
        <f>VLOOKUP($A179,Outcomes!$B$3:$I$209,6,FALSE)</f>
        <v>6</v>
      </c>
      <c r="R179">
        <f>VLOOKUP($A179,Outcomes!$B$3:$I$209,7,FALSE)</f>
        <v>4</v>
      </c>
      <c r="S179" t="str">
        <f t="shared" si="19"/>
        <v>VisDog</v>
      </c>
      <c r="T179">
        <f t="shared" si="20"/>
        <v>0</v>
      </c>
      <c r="U179">
        <f t="shared" si="16"/>
        <v>108</v>
      </c>
      <c r="V179">
        <f t="shared" si="21"/>
        <v>0</v>
      </c>
      <c r="W179">
        <f t="shared" si="22"/>
        <v>-108</v>
      </c>
      <c r="X179" s="2">
        <f t="shared" si="23"/>
        <v>-1</v>
      </c>
      <c r="Y179" t="str">
        <f>VLOOKUP($A179,ScionOutput!$A$3:$BL$215,64,FALSE)</f>
        <v xml:space="preserve">823124. Play determined by StatOnlyEns when it disagrees with LineStatEns. </v>
      </c>
    </row>
    <row r="180" spans="1:25" x14ac:dyDescent="0.2">
      <c r="A180">
        <v>822966</v>
      </c>
      <c r="B180" s="3">
        <f>VLOOKUP($A180,ScionOutput!$A$3:$BL$215,3,FALSE)</f>
        <v>46192</v>
      </c>
      <c r="C180">
        <f>VLOOKUP($A180,ScionOutput!$A$3:$BL$215,22,FALSE)</f>
        <v>27</v>
      </c>
      <c r="D180" t="str">
        <f>VLOOKUP($A180,ScionOutput!$A$3:$BL$215,23,FALSE)</f>
        <v>TB</v>
      </c>
      <c r="E180">
        <f>VLOOKUP($A180,ScionOutput!$A$3:$BL$215,6,FALSE)</f>
        <v>16</v>
      </c>
      <c r="F180" t="str">
        <f>VLOOKUP($A180,ScionOutput!$A$3:$BL$215,7,FALSE)</f>
        <v>WAS</v>
      </c>
      <c r="G180">
        <f>VLOOKUP($A180,ScionOutput!$A$3:$BL$215,26,FALSE)</f>
        <v>-119</v>
      </c>
      <c r="H180">
        <f>VLOOKUP($A180,ScionOutput!$A$3:$BL$215,10,FALSE)</f>
        <v>110</v>
      </c>
      <c r="I180" t="str">
        <f>VLOOKUP($A180,ScionOutput!$A$3:$BL$215,58,FALSE)</f>
        <v>No Play</v>
      </c>
      <c r="J180">
        <f>VLOOKUP($A180,ScionOutput!$A$3:$BL$215,59,FALSE)</f>
        <v>0</v>
      </c>
      <c r="K180">
        <f>VLOOKUP($A180,ScionOutput!$A$3:$BL$215,62,FALSE)</f>
        <v>0</v>
      </c>
      <c r="L180">
        <f>VLOOKUP($A180,ScionOutput!$A$3:$BL$215,63,FALSE)</f>
        <v>0</v>
      </c>
      <c r="M180" t="b">
        <f t="shared" si="17"/>
        <v>0</v>
      </c>
      <c r="N180">
        <f>VLOOKUP($A180,Outcomes!$B$3:$I$209,8,FALSE)</f>
        <v>7</v>
      </c>
      <c r="O180">
        <f t="shared" si="18"/>
        <v>1</v>
      </c>
      <c r="P180">
        <f>VLOOKUP($A180,Outcomes!$B$3:$I$209,5,FALSE)</f>
        <v>5</v>
      </c>
      <c r="Q180">
        <f>VLOOKUP($A180,Outcomes!$B$3:$I$209,6,FALSE)</f>
        <v>2</v>
      </c>
      <c r="R180">
        <f>VLOOKUP($A180,Outcomes!$B$3:$I$209,7,FALSE)</f>
        <v>-3</v>
      </c>
      <c r="S180" t="str">
        <f t="shared" si="19"/>
        <v>HomFave</v>
      </c>
      <c r="T180" t="str">
        <f t="shared" si="20"/>
        <v/>
      </c>
      <c r="U180" t="str">
        <f t="shared" si="16"/>
        <v/>
      </c>
      <c r="V180" t="str">
        <f t="shared" si="21"/>
        <v/>
      </c>
      <c r="W180" t="str">
        <f t="shared" si="22"/>
        <v/>
      </c>
      <c r="X180" s="2" t="str">
        <f t="shared" si="23"/>
        <v/>
      </c>
      <c r="Y180" t="str">
        <f>VLOOKUP($A180,ScionOutput!$A$3:$BL$215,64,FALSE)</f>
        <v xml:space="preserve">822966. LineStatEns probability points gap does not exceed threshold (no edge found)! StatOnlyEns probability points gap does not exceed threshold (no edge found)! No play due to strategy constraints. </v>
      </c>
    </row>
    <row r="181" spans="1:25" x14ac:dyDescent="0.2">
      <c r="A181">
        <v>822886</v>
      </c>
      <c r="B181" s="3">
        <f>VLOOKUP($A181,ScionOutput!$A$3:$BL$215,3,FALSE)</f>
        <v>46192</v>
      </c>
      <c r="C181">
        <f>VLOOKUP($A181,ScionOutput!$A$3:$BL$215,22,FALSE)</f>
        <v>28</v>
      </c>
      <c r="D181" t="str">
        <f>VLOOKUP($A181,ScionOutput!$A$3:$BL$215,23,FALSE)</f>
        <v>TEX</v>
      </c>
      <c r="E181">
        <f>VLOOKUP($A181,ScionOutput!$A$3:$BL$215,6,FALSE)</f>
        <v>23</v>
      </c>
      <c r="F181" t="str">
        <f>VLOOKUP($A181,ScionOutput!$A$3:$BL$215,7,FALSE)</f>
        <v>SD</v>
      </c>
      <c r="G181">
        <f>VLOOKUP($A181,ScionOutput!$A$3:$BL$215,26,FALSE)</f>
        <v>-154</v>
      </c>
      <c r="H181">
        <f>VLOOKUP($A181,ScionOutput!$A$3:$BL$215,10,FALSE)</f>
        <v>142</v>
      </c>
      <c r="I181" t="str">
        <f>VLOOKUP($A181,ScionOutput!$A$3:$BL$215,58,FALSE)</f>
        <v>No Play</v>
      </c>
      <c r="J181">
        <f>VLOOKUP($A181,ScionOutput!$A$3:$BL$215,59,FALSE)</f>
        <v>0</v>
      </c>
      <c r="K181">
        <f>VLOOKUP($A181,ScionOutput!$A$3:$BL$215,62,FALSE)</f>
        <v>0</v>
      </c>
      <c r="L181">
        <f>VLOOKUP($A181,ScionOutput!$A$3:$BL$215,63,FALSE)</f>
        <v>0</v>
      </c>
      <c r="M181" t="b">
        <f t="shared" si="17"/>
        <v>0</v>
      </c>
      <c r="N181">
        <f>VLOOKUP($A181,Outcomes!$B$3:$I$209,8,FALSE)</f>
        <v>16</v>
      </c>
      <c r="O181">
        <f t="shared" si="18"/>
        <v>1</v>
      </c>
      <c r="P181">
        <f>VLOOKUP($A181,Outcomes!$B$3:$I$209,5,FALSE)</f>
        <v>9</v>
      </c>
      <c r="Q181">
        <f>VLOOKUP($A181,Outcomes!$B$3:$I$209,6,FALSE)</f>
        <v>7</v>
      </c>
      <c r="R181">
        <f>VLOOKUP($A181,Outcomes!$B$3:$I$209,7,FALSE)</f>
        <v>-2</v>
      </c>
      <c r="S181" t="str">
        <f t="shared" si="19"/>
        <v>HomFave</v>
      </c>
      <c r="T181" t="str">
        <f t="shared" si="20"/>
        <v/>
      </c>
      <c r="U181" t="str">
        <f t="shared" si="16"/>
        <v/>
      </c>
      <c r="V181" t="str">
        <f t="shared" si="21"/>
        <v/>
      </c>
      <c r="W181" t="str">
        <f t="shared" si="22"/>
        <v/>
      </c>
      <c r="X181" s="2" t="str">
        <f t="shared" si="23"/>
        <v/>
      </c>
      <c r="Y181" t="str">
        <f>VLOOKUP($A181,ScionOutput!$A$3:$BL$215,64,FALSE)</f>
        <v xml:space="preserve">822886. LineStatEns is NoPlay as bookie-line outside range. StatOnlyEns is NoPlay as bookie-line outside range. No play due to strategy constraints. </v>
      </c>
    </row>
    <row r="182" spans="1:25" x14ac:dyDescent="0.2">
      <c r="A182">
        <v>824909</v>
      </c>
      <c r="B182" s="3">
        <f>VLOOKUP($A182,ScionOutput!$A$3:$BL$215,3,FALSE)</f>
        <v>46193</v>
      </c>
      <c r="C182">
        <f>VLOOKUP($A182,ScionOutput!$A$3:$BL$215,22,FALSE)</f>
        <v>0</v>
      </c>
      <c r="D182" t="str">
        <f>VLOOKUP($A182,ScionOutput!$A$3:$BL$215,23,FALSE)</f>
        <v>ATL</v>
      </c>
      <c r="E182">
        <f>VLOOKUP($A182,ScionOutput!$A$3:$BL$215,6,FALSE)</f>
        <v>17</v>
      </c>
      <c r="F182" t="str">
        <f>VLOOKUP($A182,ScionOutput!$A$3:$BL$215,7,FALSE)</f>
        <v>MLW</v>
      </c>
      <c r="G182">
        <f>VLOOKUP($A182,ScionOutput!$A$3:$BL$215,26,FALSE)</f>
        <v>-128</v>
      </c>
      <c r="H182">
        <f>VLOOKUP($A182,ScionOutput!$A$3:$BL$215,10,FALSE)</f>
        <v>118</v>
      </c>
      <c r="I182" t="str">
        <f>VLOOKUP($A182,ScionOutput!$A$3:$BL$215,58,FALSE)</f>
        <v>No Play</v>
      </c>
      <c r="J182">
        <f>VLOOKUP($A182,ScionOutput!$A$3:$BL$215,59,FALSE)</f>
        <v>0</v>
      </c>
      <c r="K182">
        <f>VLOOKUP($A182,ScionOutput!$A$3:$BL$215,62,FALSE)</f>
        <v>0</v>
      </c>
      <c r="L182">
        <f>VLOOKUP($A182,ScionOutput!$A$3:$BL$215,63,FALSE)</f>
        <v>0</v>
      </c>
      <c r="M182" t="b">
        <f t="shared" si="17"/>
        <v>0</v>
      </c>
      <c r="N182">
        <f>VLOOKUP($A182,Outcomes!$B$3:$I$209,8,FALSE)</f>
        <v>7</v>
      </c>
      <c r="O182">
        <f t="shared" si="18"/>
        <v>1</v>
      </c>
      <c r="P182">
        <f>VLOOKUP($A182,Outcomes!$B$3:$I$209,5,FALSE)</f>
        <v>4</v>
      </c>
      <c r="Q182">
        <f>VLOOKUP($A182,Outcomes!$B$3:$I$209,6,FALSE)</f>
        <v>3</v>
      </c>
      <c r="R182">
        <f>VLOOKUP($A182,Outcomes!$B$3:$I$209,7,FALSE)</f>
        <v>-1</v>
      </c>
      <c r="S182" t="str">
        <f t="shared" si="19"/>
        <v>HomFave</v>
      </c>
      <c r="T182" t="str">
        <f t="shared" si="20"/>
        <v/>
      </c>
      <c r="U182" t="str">
        <f t="shared" si="16"/>
        <v/>
      </c>
      <c r="V182" t="str">
        <f t="shared" si="21"/>
        <v/>
      </c>
      <c r="W182" t="str">
        <f t="shared" si="22"/>
        <v/>
      </c>
      <c r="X182" s="2" t="str">
        <f t="shared" si="23"/>
        <v/>
      </c>
      <c r="Y182" t="str">
        <f>VLOOKUP($A182,ScionOutput!$A$3:$BL$215,64,FALSE)</f>
        <v xml:space="preserve">824909. LineStatEns probability points gap does not exceed threshold (no edge found)! StatOnlyEns probability points gap does not exceed threshold (no edge found)! No play due to strategy constraints. </v>
      </c>
    </row>
    <row r="183" spans="1:25" x14ac:dyDescent="0.2">
      <c r="A183">
        <v>825068</v>
      </c>
      <c r="B183" s="3">
        <f>VLOOKUP($A183,ScionOutput!$A$3:$BL$215,3,FALSE)</f>
        <v>46193</v>
      </c>
      <c r="C183">
        <f>VLOOKUP($A183,ScionOutput!$A$3:$BL$215,22,FALSE)</f>
        <v>1</v>
      </c>
      <c r="D183" t="str">
        <f>VLOOKUP($A183,ScionOutput!$A$3:$BL$215,23,FALSE)</f>
        <v>ARZ</v>
      </c>
      <c r="E183">
        <f>VLOOKUP($A183,ScionOutput!$A$3:$BL$215,6,FALSE)</f>
        <v>15</v>
      </c>
      <c r="F183" t="str">
        <f>VLOOKUP($A183,ScionOutput!$A$3:$BL$215,7,FALSE)</f>
        <v>MIN</v>
      </c>
      <c r="G183">
        <f>VLOOKUP($A183,ScionOutput!$A$3:$BL$215,26,FALSE)</f>
        <v>-125</v>
      </c>
      <c r="H183">
        <f>VLOOKUP($A183,ScionOutput!$A$3:$BL$215,10,FALSE)</f>
        <v>115</v>
      </c>
      <c r="I183" t="str">
        <f>VLOOKUP($A183,ScionOutput!$A$3:$BL$215,58,FALSE)</f>
        <v>No Play</v>
      </c>
      <c r="J183">
        <f>VLOOKUP($A183,ScionOutput!$A$3:$BL$215,59,FALSE)</f>
        <v>0</v>
      </c>
      <c r="K183">
        <f>VLOOKUP($A183,ScionOutput!$A$3:$BL$215,62,FALSE)</f>
        <v>0</v>
      </c>
      <c r="L183">
        <f>VLOOKUP($A183,ScionOutput!$A$3:$BL$215,63,FALSE)</f>
        <v>0</v>
      </c>
      <c r="M183" t="b">
        <f t="shared" si="17"/>
        <v>0</v>
      </c>
      <c r="N183">
        <f>VLOOKUP($A183,Outcomes!$B$3:$I$209,8,FALSE)</f>
        <v>24</v>
      </c>
      <c r="O183">
        <f t="shared" si="18"/>
        <v>-1</v>
      </c>
      <c r="P183">
        <f>VLOOKUP($A183,Outcomes!$B$3:$I$209,5,FALSE)</f>
        <v>8</v>
      </c>
      <c r="Q183">
        <f>VLOOKUP($A183,Outcomes!$B$3:$I$209,6,FALSE)</f>
        <v>16</v>
      </c>
      <c r="R183">
        <f>VLOOKUP($A183,Outcomes!$B$3:$I$209,7,FALSE)</f>
        <v>8</v>
      </c>
      <c r="S183" t="str">
        <f t="shared" si="19"/>
        <v>VisDog</v>
      </c>
      <c r="T183" t="str">
        <f t="shared" si="20"/>
        <v/>
      </c>
      <c r="U183" t="str">
        <f t="shared" si="16"/>
        <v/>
      </c>
      <c r="V183" t="str">
        <f t="shared" si="21"/>
        <v/>
      </c>
      <c r="W183" t="str">
        <f t="shared" si="22"/>
        <v/>
      </c>
      <c r="X183" s="2" t="str">
        <f t="shared" si="23"/>
        <v/>
      </c>
      <c r="Y183" t="str">
        <f>VLOOKUP($A183,ScionOutput!$A$3:$BL$215,64,FALSE)</f>
        <v xml:space="preserve">825068. LineStatEns probability points gap does not exceed threshold (no edge found)! StatOnlyEns probability points gap does not exceed threshold (no edge found)! No play due to strategy constraints. </v>
      </c>
    </row>
    <row r="184" spans="1:25" x14ac:dyDescent="0.2">
      <c r="A184">
        <v>824665</v>
      </c>
      <c r="B184" s="3">
        <f>VLOOKUP($A184,ScionOutput!$A$3:$BL$215,3,FALSE)</f>
        <v>46193</v>
      </c>
      <c r="C184">
        <f>VLOOKUP($A184,ScionOutput!$A$3:$BL$215,22,FALSE)</f>
        <v>5</v>
      </c>
      <c r="D184" t="str">
        <f>VLOOKUP($A184,ScionOutput!$A$3:$BL$215,23,FALSE)</f>
        <v>CHC</v>
      </c>
      <c r="E184">
        <f>VLOOKUP($A184,ScionOutput!$A$3:$BL$215,6,FALSE)</f>
        <v>29</v>
      </c>
      <c r="F184" t="str">
        <f>VLOOKUP($A184,ScionOutput!$A$3:$BL$215,7,FALSE)</f>
        <v>TOR</v>
      </c>
      <c r="G184">
        <f>VLOOKUP($A184,ScionOutput!$A$3:$BL$215,26,FALSE)</f>
        <v>-126</v>
      </c>
      <c r="H184">
        <f>VLOOKUP($A184,ScionOutput!$A$3:$BL$215,10,FALSE)</f>
        <v>116</v>
      </c>
      <c r="I184" t="str">
        <f>VLOOKUP($A184,ScionOutput!$A$3:$BL$215,58,FALSE)</f>
        <v>HomFave</v>
      </c>
      <c r="J184">
        <f>VLOOKUP($A184,ScionOutput!$A$3:$BL$215,59,FALSE)</f>
        <v>1.367E-2</v>
      </c>
      <c r="K184">
        <f>VLOOKUP($A184,ScionOutput!$A$3:$BL$215,62,FALSE)</f>
        <v>1</v>
      </c>
      <c r="L184">
        <f>VLOOKUP($A184,ScionOutput!$A$3:$BL$215,63,FALSE)</f>
        <v>0.87</v>
      </c>
      <c r="M184" t="b">
        <f t="shared" si="17"/>
        <v>1</v>
      </c>
      <c r="N184">
        <f>VLOOKUP($A184,Outcomes!$B$3:$I$209,8,FALSE)</f>
        <v>14</v>
      </c>
      <c r="O184">
        <f t="shared" si="18"/>
        <v>-1</v>
      </c>
      <c r="P184">
        <f>VLOOKUP($A184,Outcomes!$B$3:$I$209,5,FALSE)</f>
        <v>6</v>
      </c>
      <c r="Q184">
        <f>VLOOKUP($A184,Outcomes!$B$3:$I$209,6,FALSE)</f>
        <v>8</v>
      </c>
      <c r="R184">
        <f>VLOOKUP($A184,Outcomes!$B$3:$I$209,7,FALSE)</f>
        <v>2</v>
      </c>
      <c r="S184" t="str">
        <f t="shared" si="19"/>
        <v>VisDog</v>
      </c>
      <c r="T184" t="str">
        <f t="shared" si="20"/>
        <v/>
      </c>
      <c r="U184" t="str">
        <f t="shared" si="16"/>
        <v/>
      </c>
      <c r="V184" t="str">
        <f t="shared" si="21"/>
        <v/>
      </c>
      <c r="W184" t="str">
        <f t="shared" si="22"/>
        <v/>
      </c>
      <c r="X184" s="2" t="str">
        <f t="shared" si="23"/>
        <v/>
      </c>
      <c r="Y184" t="str">
        <f>VLOOKUP($A184,ScionOutput!$A$3:$BL$215,64,FALSE)</f>
        <v xml:space="preserve">824665. Play determined by LineStatEns and StatOnlyEns agreement. </v>
      </c>
    </row>
    <row r="185" spans="1:25" x14ac:dyDescent="0.2">
      <c r="A185">
        <v>824342</v>
      </c>
      <c r="B185" s="3">
        <f>VLOOKUP($A185,ScionOutput!$A$3:$BL$215,3,FALSE)</f>
        <v>46193</v>
      </c>
      <c r="C185">
        <f>VLOOKUP($A185,ScionOutput!$A$3:$BL$215,22,FALSE)</f>
        <v>8</v>
      </c>
      <c r="D185" t="str">
        <f>VLOOKUP($A185,ScionOutput!$A$3:$BL$215,23,FALSE)</f>
        <v>COL</v>
      </c>
      <c r="E185">
        <f>VLOOKUP($A185,ScionOutput!$A$3:$BL$215,6,FALSE)</f>
        <v>22</v>
      </c>
      <c r="F185" t="str">
        <f>VLOOKUP($A185,ScionOutput!$A$3:$BL$215,7,FALSE)</f>
        <v>PIT</v>
      </c>
      <c r="G185">
        <f>VLOOKUP($A185,ScionOutput!$A$3:$BL$215,26,FALSE)</f>
        <v>183</v>
      </c>
      <c r="H185">
        <f>VLOOKUP($A185,ScionOutput!$A$3:$BL$215,10,FALSE)</f>
        <v>-201</v>
      </c>
      <c r="I185" t="str">
        <f>VLOOKUP($A185,ScionOutput!$A$3:$BL$215,58,FALSE)</f>
        <v>No Play</v>
      </c>
      <c r="J185">
        <f>VLOOKUP($A185,ScionOutput!$A$3:$BL$215,59,FALSE)</f>
        <v>0</v>
      </c>
      <c r="K185">
        <f>VLOOKUP($A185,ScionOutput!$A$3:$BL$215,62,FALSE)</f>
        <v>0</v>
      </c>
      <c r="L185">
        <f>VLOOKUP($A185,ScionOutput!$A$3:$BL$215,63,FALSE)</f>
        <v>0</v>
      </c>
      <c r="M185" t="b">
        <f t="shared" si="17"/>
        <v>0</v>
      </c>
      <c r="N185">
        <f>VLOOKUP($A185,Outcomes!$B$3:$I$209,8,FALSE)</f>
        <v>3</v>
      </c>
      <c r="O185">
        <f t="shared" si="18"/>
        <v>1</v>
      </c>
      <c r="P185">
        <f>VLOOKUP($A185,Outcomes!$B$3:$I$209,5,FALSE)</f>
        <v>2</v>
      </c>
      <c r="Q185">
        <f>VLOOKUP($A185,Outcomes!$B$3:$I$209,6,FALSE)</f>
        <v>1</v>
      </c>
      <c r="R185">
        <f>VLOOKUP($A185,Outcomes!$B$3:$I$209,7,FALSE)</f>
        <v>-1</v>
      </c>
      <c r="S185" t="str">
        <f t="shared" si="19"/>
        <v>HomDog</v>
      </c>
      <c r="T185" t="str">
        <f t="shared" si="20"/>
        <v/>
      </c>
      <c r="U185" t="str">
        <f t="shared" si="16"/>
        <v/>
      </c>
      <c r="V185" t="str">
        <f t="shared" si="21"/>
        <v/>
      </c>
      <c r="W185" t="str">
        <f t="shared" si="22"/>
        <v/>
      </c>
      <c r="X185" s="2" t="str">
        <f t="shared" si="23"/>
        <v/>
      </c>
      <c r="Y185" t="str">
        <f>VLOOKUP($A185,ScionOutput!$A$3:$BL$215,64,FALSE)</f>
        <v xml:space="preserve">824342. LineStatEns is NoPlay as bookie-line outside range. StatOnlyEns is NoPlay as bookie-line outside range. No play due to strategy constraints. </v>
      </c>
    </row>
    <row r="186" spans="1:25" x14ac:dyDescent="0.2">
      <c r="A186">
        <v>824263</v>
      </c>
      <c r="B186" s="3">
        <f>VLOOKUP($A186,ScionOutput!$A$3:$BL$215,3,FALSE)</f>
        <v>46193</v>
      </c>
      <c r="C186">
        <f>VLOOKUP($A186,ScionOutput!$A$3:$BL$215,22,FALSE)</f>
        <v>10</v>
      </c>
      <c r="D186" t="str">
        <f>VLOOKUP($A186,ScionOutput!$A$3:$BL$215,23,FALSE)</f>
        <v>DET</v>
      </c>
      <c r="E186">
        <f>VLOOKUP($A186,ScionOutput!$A$3:$BL$215,6,FALSE)</f>
        <v>9</v>
      </c>
      <c r="F186" t="str">
        <f>VLOOKUP($A186,ScionOutput!$A$3:$BL$215,7,FALSE)</f>
        <v>CWS</v>
      </c>
      <c r="G186">
        <f>VLOOKUP($A186,ScionOutput!$A$3:$BL$215,26,FALSE)</f>
        <v>-115</v>
      </c>
      <c r="H186">
        <f>VLOOKUP($A186,ScionOutput!$A$3:$BL$215,10,FALSE)</f>
        <v>106</v>
      </c>
      <c r="I186" t="str">
        <f>VLOOKUP($A186,ScionOutput!$A$3:$BL$215,58,FALSE)</f>
        <v>No Play</v>
      </c>
      <c r="J186">
        <f>VLOOKUP($A186,ScionOutput!$A$3:$BL$215,59,FALSE)</f>
        <v>0</v>
      </c>
      <c r="K186">
        <f>VLOOKUP($A186,ScionOutput!$A$3:$BL$215,62,FALSE)</f>
        <v>0</v>
      </c>
      <c r="L186">
        <f>VLOOKUP($A186,ScionOutput!$A$3:$BL$215,63,FALSE)</f>
        <v>0</v>
      </c>
      <c r="M186" t="b">
        <f t="shared" si="17"/>
        <v>0</v>
      </c>
      <c r="N186">
        <f>VLOOKUP($A186,Outcomes!$B$3:$I$209,8,FALSE)</f>
        <v>5</v>
      </c>
      <c r="O186">
        <f t="shared" si="18"/>
        <v>1</v>
      </c>
      <c r="P186">
        <f>VLOOKUP($A186,Outcomes!$B$3:$I$209,5,FALSE)</f>
        <v>4</v>
      </c>
      <c r="Q186">
        <f>VLOOKUP($A186,Outcomes!$B$3:$I$209,6,FALSE)</f>
        <v>1</v>
      </c>
      <c r="R186">
        <f>VLOOKUP($A186,Outcomes!$B$3:$I$209,7,FALSE)</f>
        <v>-3</v>
      </c>
      <c r="S186" t="str">
        <f t="shared" si="19"/>
        <v>HomFave</v>
      </c>
      <c r="T186" t="str">
        <f t="shared" si="20"/>
        <v/>
      </c>
      <c r="U186" t="str">
        <f t="shared" si="16"/>
        <v/>
      </c>
      <c r="V186" t="str">
        <f t="shared" si="21"/>
        <v/>
      </c>
      <c r="W186" t="str">
        <f t="shared" si="22"/>
        <v/>
      </c>
      <c r="X186" s="2" t="str">
        <f t="shared" si="23"/>
        <v/>
      </c>
      <c r="Y186" t="str">
        <f>VLOOKUP($A186,ScionOutput!$A$3:$BL$215,64,FALSE)</f>
        <v xml:space="preserve">824263. V_SP is Null, team-based avg used. NoPlay as V_SP is Null. </v>
      </c>
    </row>
    <row r="187" spans="1:25" x14ac:dyDescent="0.2">
      <c r="A187">
        <v>823854</v>
      </c>
      <c r="B187" s="3">
        <f>VLOOKUP($A187,ScionOutput!$A$3:$BL$215,3,FALSE)</f>
        <v>46193</v>
      </c>
      <c r="C187">
        <f>VLOOKUP($A187,ScionOutput!$A$3:$BL$215,22,FALSE)</f>
        <v>11</v>
      </c>
      <c r="D187" t="str">
        <f>VLOOKUP($A187,ScionOutput!$A$3:$BL$215,23,FALSE)</f>
        <v>FLO</v>
      </c>
      <c r="E187">
        <f>VLOOKUP($A187,ScionOutput!$A$3:$BL$215,6,FALSE)</f>
        <v>25</v>
      </c>
      <c r="F187" t="str">
        <f>VLOOKUP($A187,ScionOutput!$A$3:$BL$215,7,FALSE)</f>
        <v>SF</v>
      </c>
      <c r="G187">
        <f>VLOOKUP($A187,ScionOutput!$A$3:$BL$215,26,FALSE)</f>
        <v>-137</v>
      </c>
      <c r="H187">
        <f>VLOOKUP($A187,ScionOutput!$A$3:$BL$215,10,FALSE)</f>
        <v>126</v>
      </c>
      <c r="I187" t="str">
        <f>VLOOKUP($A187,ScionOutput!$A$3:$BL$215,58,FALSE)</f>
        <v>No Play</v>
      </c>
      <c r="J187">
        <f>VLOOKUP($A187,ScionOutput!$A$3:$BL$215,59,FALSE)</f>
        <v>0</v>
      </c>
      <c r="K187">
        <f>VLOOKUP($A187,ScionOutput!$A$3:$BL$215,62,FALSE)</f>
        <v>0</v>
      </c>
      <c r="L187">
        <f>VLOOKUP($A187,ScionOutput!$A$3:$BL$215,63,FALSE)</f>
        <v>0</v>
      </c>
      <c r="M187" t="b">
        <f t="shared" si="17"/>
        <v>0</v>
      </c>
      <c r="N187">
        <f>VLOOKUP($A187,Outcomes!$B$3:$I$209,8,FALSE)</f>
        <v>9</v>
      </c>
      <c r="O187">
        <f t="shared" si="18"/>
        <v>1</v>
      </c>
      <c r="P187">
        <f>VLOOKUP($A187,Outcomes!$B$3:$I$209,5,FALSE)</f>
        <v>6</v>
      </c>
      <c r="Q187">
        <f>VLOOKUP($A187,Outcomes!$B$3:$I$209,6,FALSE)</f>
        <v>3</v>
      </c>
      <c r="R187">
        <f>VLOOKUP($A187,Outcomes!$B$3:$I$209,7,FALSE)</f>
        <v>-3</v>
      </c>
      <c r="S187" t="str">
        <f t="shared" si="19"/>
        <v>HomFave</v>
      </c>
      <c r="T187" t="str">
        <f t="shared" si="20"/>
        <v/>
      </c>
      <c r="U187" t="str">
        <f t="shared" si="16"/>
        <v/>
      </c>
      <c r="V187" t="str">
        <f t="shared" si="21"/>
        <v/>
      </c>
      <c r="W187" t="str">
        <f t="shared" si="22"/>
        <v/>
      </c>
      <c r="X187" s="2" t="str">
        <f t="shared" si="23"/>
        <v/>
      </c>
      <c r="Y187" t="str">
        <f>VLOOKUP($A187,ScionOutput!$A$3:$BL$215,64,FALSE)</f>
        <v xml:space="preserve">823854. LineStatEns probability points gap does not exceed threshold (no edge found)! StatOnlyEns probability points gap does not exceed threshold (no edge found)! No play due to strategy constraints. </v>
      </c>
    </row>
    <row r="188" spans="1:25" x14ac:dyDescent="0.2">
      <c r="A188">
        <v>824180</v>
      </c>
      <c r="B188" s="3">
        <f>VLOOKUP($A188,ScionOutput!$A$3:$BL$215,3,FALSE)</f>
        <v>46193</v>
      </c>
      <c r="C188">
        <f>VLOOKUP($A188,ScionOutput!$A$3:$BL$215,22,FALSE)</f>
        <v>12</v>
      </c>
      <c r="D188" t="str">
        <f>VLOOKUP($A188,ScionOutput!$A$3:$BL$215,23,FALSE)</f>
        <v>HOU</v>
      </c>
      <c r="E188">
        <f>VLOOKUP($A188,ScionOutput!$A$3:$BL$215,6,FALSE)</f>
        <v>7</v>
      </c>
      <c r="F188" t="str">
        <f>VLOOKUP($A188,ScionOutput!$A$3:$BL$215,7,FALSE)</f>
        <v>CLE</v>
      </c>
      <c r="G188">
        <f>VLOOKUP($A188,ScionOutput!$A$3:$BL$215,26,FALSE)</f>
        <v>-139</v>
      </c>
      <c r="H188">
        <f>VLOOKUP($A188,ScionOutput!$A$3:$BL$215,10,FALSE)</f>
        <v>128</v>
      </c>
      <c r="I188" t="str">
        <f>VLOOKUP($A188,ScionOutput!$A$3:$BL$215,58,FALSE)</f>
        <v>No Play</v>
      </c>
      <c r="J188">
        <f>VLOOKUP($A188,ScionOutput!$A$3:$BL$215,59,FALSE)</f>
        <v>0</v>
      </c>
      <c r="K188">
        <f>VLOOKUP($A188,ScionOutput!$A$3:$BL$215,62,FALSE)</f>
        <v>0</v>
      </c>
      <c r="L188">
        <f>VLOOKUP($A188,ScionOutput!$A$3:$BL$215,63,FALSE)</f>
        <v>0</v>
      </c>
      <c r="M188" t="b">
        <f t="shared" si="17"/>
        <v>0</v>
      </c>
      <c r="N188">
        <f>VLOOKUP($A188,Outcomes!$B$3:$I$209,8,FALSE)</f>
        <v>9</v>
      </c>
      <c r="O188">
        <f t="shared" si="18"/>
        <v>-1</v>
      </c>
      <c r="P188">
        <f>VLOOKUP($A188,Outcomes!$B$3:$I$209,5,FALSE)</f>
        <v>1</v>
      </c>
      <c r="Q188">
        <f>VLOOKUP($A188,Outcomes!$B$3:$I$209,6,FALSE)</f>
        <v>8</v>
      </c>
      <c r="R188">
        <f>VLOOKUP($A188,Outcomes!$B$3:$I$209,7,FALSE)</f>
        <v>7</v>
      </c>
      <c r="S188" t="str">
        <f t="shared" si="19"/>
        <v>VisDog</v>
      </c>
      <c r="T188" t="str">
        <f t="shared" si="20"/>
        <v/>
      </c>
      <c r="U188" t="str">
        <f t="shared" si="16"/>
        <v/>
      </c>
      <c r="V188" t="str">
        <f t="shared" si="21"/>
        <v/>
      </c>
      <c r="W188" t="str">
        <f t="shared" si="22"/>
        <v/>
      </c>
      <c r="X188" s="2" t="str">
        <f t="shared" si="23"/>
        <v/>
      </c>
      <c r="Y188" t="str">
        <f>VLOOKUP($A188,ScionOutput!$A$3:$BL$215,64,FALSE)</f>
        <v xml:space="preserve">824180. LineStatEns probability points gap does not exceed threshold (no edge found)! StatOnlyEns probability points gap does not exceed threshold (no edge found)! No play due to strategy constraints. </v>
      </c>
    </row>
    <row r="189" spans="1:25" x14ac:dyDescent="0.2">
      <c r="A189">
        <v>823937</v>
      </c>
      <c r="B189" s="3">
        <f>VLOOKUP($A189,ScionOutput!$A$3:$BL$215,3,FALSE)</f>
        <v>46193</v>
      </c>
      <c r="C189">
        <f>VLOOKUP($A189,ScionOutput!$A$3:$BL$215,22,FALSE)</f>
        <v>14</v>
      </c>
      <c r="D189" t="str">
        <f>VLOOKUP($A189,ScionOutput!$A$3:$BL$215,23,FALSE)</f>
        <v>LA</v>
      </c>
      <c r="E189">
        <f>VLOOKUP($A189,ScionOutput!$A$3:$BL$215,6,FALSE)</f>
        <v>2</v>
      </c>
      <c r="F189" t="str">
        <f>VLOOKUP($A189,ScionOutput!$A$3:$BL$215,7,FALSE)</f>
        <v>BAL</v>
      </c>
      <c r="G189">
        <f>VLOOKUP($A189,ScionOutput!$A$3:$BL$215,26,FALSE)</f>
        <v>-217</v>
      </c>
      <c r="H189">
        <f>VLOOKUP($A189,ScionOutput!$A$3:$BL$215,10,FALSE)</f>
        <v>196</v>
      </c>
      <c r="I189" t="str">
        <f>VLOOKUP($A189,ScionOutput!$A$3:$BL$215,58,FALSE)</f>
        <v>No Play</v>
      </c>
      <c r="J189">
        <f>VLOOKUP($A189,ScionOutput!$A$3:$BL$215,59,FALSE)</f>
        <v>0</v>
      </c>
      <c r="K189">
        <f>VLOOKUP($A189,ScionOutput!$A$3:$BL$215,62,FALSE)</f>
        <v>0</v>
      </c>
      <c r="L189">
        <f>VLOOKUP($A189,ScionOutput!$A$3:$BL$215,63,FALSE)</f>
        <v>0</v>
      </c>
      <c r="M189" t="b">
        <f t="shared" si="17"/>
        <v>0</v>
      </c>
      <c r="N189">
        <f>VLOOKUP($A189,Outcomes!$B$3:$I$209,8,FALSE)</f>
        <v>5</v>
      </c>
      <c r="O189">
        <f t="shared" si="18"/>
        <v>-1</v>
      </c>
      <c r="P189">
        <f>VLOOKUP($A189,Outcomes!$B$3:$I$209,5,FALSE)</f>
        <v>2</v>
      </c>
      <c r="Q189">
        <f>VLOOKUP($A189,Outcomes!$B$3:$I$209,6,FALSE)</f>
        <v>3</v>
      </c>
      <c r="R189">
        <f>VLOOKUP($A189,Outcomes!$B$3:$I$209,7,FALSE)</f>
        <v>1</v>
      </c>
      <c r="S189" t="str">
        <f t="shared" si="19"/>
        <v>VisDog</v>
      </c>
      <c r="T189" t="str">
        <f t="shared" si="20"/>
        <v/>
      </c>
      <c r="U189" t="str">
        <f t="shared" si="16"/>
        <v/>
      </c>
      <c r="V189" t="str">
        <f t="shared" si="21"/>
        <v/>
      </c>
      <c r="W189" t="str">
        <f t="shared" si="22"/>
        <v/>
      </c>
      <c r="X189" s="2" t="str">
        <f t="shared" si="23"/>
        <v/>
      </c>
      <c r="Y189" t="str">
        <f>VLOOKUP($A189,ScionOutput!$A$3:$BL$215,64,FALSE)</f>
        <v xml:space="preserve">823937. LineStatEns is NoPlay as bookie-line outside range. StatOnlyEns is NoPlay as bookie-line outside range. No play due to strategy constraints. </v>
      </c>
    </row>
    <row r="190" spans="1:25" x14ac:dyDescent="0.2">
      <c r="A190">
        <v>823532</v>
      </c>
      <c r="B190" s="3">
        <f>VLOOKUP($A190,ScionOutput!$A$3:$BL$215,3,FALSE)</f>
        <v>46193</v>
      </c>
      <c r="C190">
        <f>VLOOKUP($A190,ScionOutput!$A$3:$BL$215,22,FALSE)</f>
        <v>19</v>
      </c>
      <c r="D190" t="str">
        <f>VLOOKUP($A190,ScionOutput!$A$3:$BL$215,23,FALSE)</f>
        <v>NYY</v>
      </c>
      <c r="E190">
        <f>VLOOKUP($A190,ScionOutput!$A$3:$BL$215,6,FALSE)</f>
        <v>6</v>
      </c>
      <c r="F190" t="str">
        <f>VLOOKUP($A190,ScionOutput!$A$3:$BL$215,7,FALSE)</f>
        <v>CIN</v>
      </c>
      <c r="G190">
        <f>VLOOKUP($A190,ScionOutput!$A$3:$BL$215,26,FALSE)</f>
        <v>-199</v>
      </c>
      <c r="H190">
        <f>VLOOKUP($A190,ScionOutput!$A$3:$BL$215,10,FALSE)</f>
        <v>181</v>
      </c>
      <c r="I190" t="str">
        <f>VLOOKUP($A190,ScionOutput!$A$3:$BL$215,58,FALSE)</f>
        <v>No Play</v>
      </c>
      <c r="J190">
        <f>VLOOKUP($A190,ScionOutput!$A$3:$BL$215,59,FALSE)</f>
        <v>0</v>
      </c>
      <c r="K190">
        <f>VLOOKUP($A190,ScionOutput!$A$3:$BL$215,62,FALSE)</f>
        <v>0</v>
      </c>
      <c r="L190">
        <f>VLOOKUP($A190,ScionOutput!$A$3:$BL$215,63,FALSE)</f>
        <v>0</v>
      </c>
      <c r="M190" t="b">
        <f t="shared" si="17"/>
        <v>0</v>
      </c>
      <c r="N190">
        <f>VLOOKUP($A190,Outcomes!$B$3:$I$209,8,FALSE)</f>
        <v>12</v>
      </c>
      <c r="O190">
        <f t="shared" si="18"/>
        <v>-1</v>
      </c>
      <c r="P190">
        <f>VLOOKUP($A190,Outcomes!$B$3:$I$209,5,FALSE)</f>
        <v>2</v>
      </c>
      <c r="Q190">
        <f>VLOOKUP($A190,Outcomes!$B$3:$I$209,6,FALSE)</f>
        <v>10</v>
      </c>
      <c r="R190">
        <f>VLOOKUP($A190,Outcomes!$B$3:$I$209,7,FALSE)</f>
        <v>8</v>
      </c>
      <c r="S190" t="str">
        <f t="shared" si="19"/>
        <v>VisDog</v>
      </c>
      <c r="T190" t="str">
        <f t="shared" si="20"/>
        <v/>
      </c>
      <c r="U190" t="str">
        <f t="shared" si="16"/>
        <v/>
      </c>
      <c r="V190" t="str">
        <f t="shared" si="21"/>
        <v/>
      </c>
      <c r="W190" t="str">
        <f t="shared" si="22"/>
        <v/>
      </c>
      <c r="X190" s="2" t="str">
        <f t="shared" si="23"/>
        <v/>
      </c>
      <c r="Y190" t="str">
        <f>VLOOKUP($A190,ScionOutput!$A$3:$BL$215,64,FALSE)</f>
        <v xml:space="preserve">823532. LineStatEns is NoPlay as bookie-line outside range. StatOnlyEns is NoPlay as bookie-line outside range. No play due to strategy constraints. </v>
      </c>
    </row>
    <row r="191" spans="1:25" x14ac:dyDescent="0.2">
      <c r="A191">
        <v>824988</v>
      </c>
      <c r="B191" s="3">
        <f>VLOOKUP($A191,ScionOutput!$A$3:$BL$215,3,FALSE)</f>
        <v>46193</v>
      </c>
      <c r="C191">
        <f>VLOOKUP($A191,ScionOutput!$A$3:$BL$215,22,FALSE)</f>
        <v>20</v>
      </c>
      <c r="D191" t="str">
        <f>VLOOKUP($A191,ScionOutput!$A$3:$BL$215,23,FALSE)</f>
        <v>OAK</v>
      </c>
      <c r="E191">
        <f>VLOOKUP($A191,ScionOutput!$A$3:$BL$215,6,FALSE)</f>
        <v>4</v>
      </c>
      <c r="F191" t="str">
        <f>VLOOKUP($A191,ScionOutput!$A$3:$BL$215,7,FALSE)</f>
        <v>LAA</v>
      </c>
      <c r="G191">
        <f>VLOOKUP($A191,ScionOutput!$A$3:$BL$215,26,FALSE)</f>
        <v>-163</v>
      </c>
      <c r="H191">
        <f>VLOOKUP($A191,ScionOutput!$A$3:$BL$215,10,FALSE)</f>
        <v>149</v>
      </c>
      <c r="I191" t="str">
        <f>VLOOKUP($A191,ScionOutput!$A$3:$BL$215,58,FALSE)</f>
        <v>No Play</v>
      </c>
      <c r="J191">
        <f>VLOOKUP($A191,ScionOutput!$A$3:$BL$215,59,FALSE)</f>
        <v>0</v>
      </c>
      <c r="K191">
        <f>VLOOKUP($A191,ScionOutput!$A$3:$BL$215,62,FALSE)</f>
        <v>0</v>
      </c>
      <c r="L191">
        <f>VLOOKUP($A191,ScionOutput!$A$3:$BL$215,63,FALSE)</f>
        <v>0</v>
      </c>
      <c r="M191" t="b">
        <f t="shared" si="17"/>
        <v>0</v>
      </c>
      <c r="N191">
        <f>VLOOKUP($A191,Outcomes!$B$3:$I$209,8,FALSE)</f>
        <v>7</v>
      </c>
      <c r="O191">
        <f t="shared" si="18"/>
        <v>-1</v>
      </c>
      <c r="P191">
        <f>VLOOKUP($A191,Outcomes!$B$3:$I$209,5,FALSE)</f>
        <v>0</v>
      </c>
      <c r="Q191">
        <f>VLOOKUP($A191,Outcomes!$B$3:$I$209,6,FALSE)</f>
        <v>7</v>
      </c>
      <c r="R191">
        <f>VLOOKUP($A191,Outcomes!$B$3:$I$209,7,FALSE)</f>
        <v>7</v>
      </c>
      <c r="S191" t="str">
        <f t="shared" si="19"/>
        <v>VisDog</v>
      </c>
      <c r="T191" t="str">
        <f t="shared" si="20"/>
        <v/>
      </c>
      <c r="U191" t="str">
        <f t="shared" si="16"/>
        <v/>
      </c>
      <c r="V191" t="str">
        <f t="shared" si="21"/>
        <v/>
      </c>
      <c r="W191" t="str">
        <f t="shared" si="22"/>
        <v/>
      </c>
      <c r="X191" s="2" t="str">
        <f t="shared" si="23"/>
        <v/>
      </c>
      <c r="Y191" t="str">
        <f>VLOOKUP($A191,ScionOutput!$A$3:$BL$215,64,FALSE)</f>
        <v xml:space="preserve">824988. LineStatEns is NoPlay as bookie-line outside range. StatOnlyEns is NoPlay as bookie-line outside range. No play due to strategy constraints. </v>
      </c>
    </row>
    <row r="192" spans="1:25" x14ac:dyDescent="0.2">
      <c r="A192">
        <v>823447</v>
      </c>
      <c r="B192" s="3">
        <f>VLOOKUP($A192,ScionOutput!$A$3:$BL$215,3,FALSE)</f>
        <v>46193</v>
      </c>
      <c r="C192">
        <f>VLOOKUP($A192,ScionOutput!$A$3:$BL$215,22,FALSE)</f>
        <v>21</v>
      </c>
      <c r="D192" t="str">
        <f>VLOOKUP($A192,ScionOutput!$A$3:$BL$215,23,FALSE)</f>
        <v>PHI</v>
      </c>
      <c r="E192">
        <f>VLOOKUP($A192,ScionOutput!$A$3:$BL$215,6,FALSE)</f>
        <v>18</v>
      </c>
      <c r="F192" t="str">
        <f>VLOOKUP($A192,ScionOutput!$A$3:$BL$215,7,FALSE)</f>
        <v>NYM</v>
      </c>
      <c r="G192">
        <f>VLOOKUP($A192,ScionOutput!$A$3:$BL$215,26,FALSE)</f>
        <v>-183</v>
      </c>
      <c r="H192">
        <f>VLOOKUP($A192,ScionOutput!$A$3:$BL$215,10,FALSE)</f>
        <v>167</v>
      </c>
      <c r="I192" t="str">
        <f>VLOOKUP($A192,ScionOutput!$A$3:$BL$215,58,FALSE)</f>
        <v>No Play</v>
      </c>
      <c r="J192">
        <f>VLOOKUP($A192,ScionOutput!$A$3:$BL$215,59,FALSE)</f>
        <v>0</v>
      </c>
      <c r="K192">
        <f>VLOOKUP($A192,ScionOutput!$A$3:$BL$215,62,FALSE)</f>
        <v>0</v>
      </c>
      <c r="L192">
        <f>VLOOKUP($A192,ScionOutput!$A$3:$BL$215,63,FALSE)</f>
        <v>0</v>
      </c>
      <c r="M192" t="b">
        <f t="shared" si="17"/>
        <v>0</v>
      </c>
      <c r="N192">
        <f>VLOOKUP($A192,Outcomes!$B$3:$I$209,8,FALSE)</f>
        <v>18</v>
      </c>
      <c r="O192">
        <f t="shared" si="18"/>
        <v>1</v>
      </c>
      <c r="P192">
        <f>VLOOKUP($A192,Outcomes!$B$3:$I$209,5,FALSE)</f>
        <v>15</v>
      </c>
      <c r="Q192">
        <f>VLOOKUP($A192,Outcomes!$B$3:$I$209,6,FALSE)</f>
        <v>3</v>
      </c>
      <c r="R192">
        <f>VLOOKUP($A192,Outcomes!$B$3:$I$209,7,FALSE)</f>
        <v>-12</v>
      </c>
      <c r="S192" t="str">
        <f t="shared" si="19"/>
        <v>HomFave</v>
      </c>
      <c r="T192" t="str">
        <f t="shared" si="20"/>
        <v/>
      </c>
      <c r="U192" t="str">
        <f t="shared" si="16"/>
        <v/>
      </c>
      <c r="V192" t="str">
        <f t="shared" si="21"/>
        <v/>
      </c>
      <c r="W192" t="str">
        <f t="shared" si="22"/>
        <v/>
      </c>
      <c r="X192" s="2" t="str">
        <f t="shared" si="23"/>
        <v/>
      </c>
      <c r="Y192" t="str">
        <f>VLOOKUP($A192,ScionOutput!$A$3:$BL$215,64,FALSE)</f>
        <v xml:space="preserve">823447. LineStatEns is NoPlay as bookie-line outside range. StatOnlyEns is NoPlay as bookie-line outside range. No play due to strategy constraints. </v>
      </c>
    </row>
    <row r="193" spans="1:25" x14ac:dyDescent="0.2">
      <c r="A193">
        <v>823126</v>
      </c>
      <c r="B193" s="3">
        <f>VLOOKUP($A193,ScionOutput!$A$3:$BL$215,3,FALSE)</f>
        <v>46193</v>
      </c>
      <c r="C193">
        <f>VLOOKUP($A193,ScionOutput!$A$3:$BL$215,22,FALSE)</f>
        <v>24</v>
      </c>
      <c r="D193" t="str">
        <f>VLOOKUP($A193,ScionOutput!$A$3:$BL$215,23,FALSE)</f>
        <v>SEA</v>
      </c>
      <c r="E193">
        <f>VLOOKUP($A193,ScionOutput!$A$3:$BL$215,6,FALSE)</f>
        <v>3</v>
      </c>
      <c r="F193" t="str">
        <f>VLOOKUP($A193,ScionOutput!$A$3:$BL$215,7,FALSE)</f>
        <v>BOS</v>
      </c>
      <c r="G193">
        <f>VLOOKUP($A193,ScionOutput!$A$3:$BL$215,26,FALSE)</f>
        <v>-116</v>
      </c>
      <c r="H193">
        <f>VLOOKUP($A193,ScionOutput!$A$3:$BL$215,10,FALSE)</f>
        <v>107</v>
      </c>
      <c r="I193" t="str">
        <f>VLOOKUP($A193,ScionOutput!$A$3:$BL$215,58,FALSE)</f>
        <v>No Play</v>
      </c>
      <c r="J193">
        <f>VLOOKUP($A193,ScionOutput!$A$3:$BL$215,59,FALSE)</f>
        <v>0</v>
      </c>
      <c r="K193">
        <f>VLOOKUP($A193,ScionOutput!$A$3:$BL$215,62,FALSE)</f>
        <v>0</v>
      </c>
      <c r="L193">
        <f>VLOOKUP($A193,ScionOutput!$A$3:$BL$215,63,FALSE)</f>
        <v>0</v>
      </c>
      <c r="M193" t="b">
        <f t="shared" si="17"/>
        <v>0</v>
      </c>
      <c r="N193">
        <f>VLOOKUP($A193,Outcomes!$B$3:$I$209,8,FALSE)</f>
        <v>6</v>
      </c>
      <c r="O193">
        <f t="shared" si="18"/>
        <v>-1</v>
      </c>
      <c r="P193">
        <f>VLOOKUP($A193,Outcomes!$B$3:$I$209,5,FALSE)</f>
        <v>1</v>
      </c>
      <c r="Q193">
        <f>VLOOKUP($A193,Outcomes!$B$3:$I$209,6,FALSE)</f>
        <v>5</v>
      </c>
      <c r="R193">
        <f>VLOOKUP($A193,Outcomes!$B$3:$I$209,7,FALSE)</f>
        <v>4</v>
      </c>
      <c r="S193" t="str">
        <f t="shared" si="19"/>
        <v>VisDog</v>
      </c>
      <c r="T193" t="str">
        <f t="shared" si="20"/>
        <v/>
      </c>
      <c r="U193" t="str">
        <f t="shared" si="16"/>
        <v/>
      </c>
      <c r="V193" t="str">
        <f t="shared" si="21"/>
        <v/>
      </c>
      <c r="W193" t="str">
        <f t="shared" si="22"/>
        <v/>
      </c>
      <c r="X193" s="2" t="str">
        <f t="shared" si="23"/>
        <v/>
      </c>
      <c r="Y193" t="str">
        <f>VLOOKUP($A193,ScionOutput!$A$3:$BL$215,64,FALSE)</f>
        <v xml:space="preserve">823126. LineStatEns probability points gap does not exceed threshold (no edge found)! StatOnlyEns probability points gap does not exceed threshold (no edge found)! No play due to strategy constraints. </v>
      </c>
    </row>
    <row r="194" spans="1:25" x14ac:dyDescent="0.2">
      <c r="A194">
        <v>822967</v>
      </c>
      <c r="B194" s="3">
        <f>VLOOKUP($A194,ScionOutput!$A$3:$BL$215,3,FALSE)</f>
        <v>46193</v>
      </c>
      <c r="C194">
        <f>VLOOKUP($A194,ScionOutput!$A$3:$BL$215,22,FALSE)</f>
        <v>27</v>
      </c>
      <c r="D194" t="str">
        <f>VLOOKUP($A194,ScionOutput!$A$3:$BL$215,23,FALSE)</f>
        <v>TB</v>
      </c>
      <c r="E194">
        <f>VLOOKUP($A194,ScionOutput!$A$3:$BL$215,6,FALSE)</f>
        <v>16</v>
      </c>
      <c r="F194" t="str">
        <f>VLOOKUP($A194,ScionOutput!$A$3:$BL$215,7,FALSE)</f>
        <v>WAS</v>
      </c>
      <c r="G194">
        <f>VLOOKUP($A194,ScionOutput!$A$3:$BL$215,26,FALSE)</f>
        <v>-117</v>
      </c>
      <c r="H194">
        <f>VLOOKUP($A194,ScionOutput!$A$3:$BL$215,10,FALSE)</f>
        <v>108</v>
      </c>
      <c r="I194" t="str">
        <f>VLOOKUP($A194,ScionOutput!$A$3:$BL$215,58,FALSE)</f>
        <v>No Play</v>
      </c>
      <c r="J194">
        <f>VLOOKUP($A194,ScionOutput!$A$3:$BL$215,59,FALSE)</f>
        <v>0</v>
      </c>
      <c r="K194">
        <f>VLOOKUP($A194,ScionOutput!$A$3:$BL$215,62,FALSE)</f>
        <v>0</v>
      </c>
      <c r="L194">
        <f>VLOOKUP($A194,ScionOutput!$A$3:$BL$215,63,FALSE)</f>
        <v>0</v>
      </c>
      <c r="M194" t="b">
        <f t="shared" si="17"/>
        <v>0</v>
      </c>
      <c r="N194">
        <f>VLOOKUP($A194,Outcomes!$B$3:$I$209,8,FALSE)</f>
        <v>7</v>
      </c>
      <c r="O194">
        <f t="shared" si="18"/>
        <v>-1</v>
      </c>
      <c r="P194">
        <f>VLOOKUP($A194,Outcomes!$B$3:$I$209,5,FALSE)</f>
        <v>3</v>
      </c>
      <c r="Q194">
        <f>VLOOKUP($A194,Outcomes!$B$3:$I$209,6,FALSE)</f>
        <v>4</v>
      </c>
      <c r="R194">
        <f>VLOOKUP($A194,Outcomes!$B$3:$I$209,7,FALSE)</f>
        <v>1</v>
      </c>
      <c r="S194" t="str">
        <f t="shared" si="19"/>
        <v>VisDog</v>
      </c>
      <c r="T194" t="str">
        <f t="shared" si="20"/>
        <v/>
      </c>
      <c r="U194" t="str">
        <f t="shared" ref="U194:U209" si="24">IF(T194="","",IF(G194&lt;H194,IF(I194="HomFave",ABS(G194),IF(H194&lt;0,ABS(H194),100)),IF(I194="VisFave",ABS(H194),IF(G194&lt;0,ABS(G194),100))))</f>
        <v/>
      </c>
      <c r="V194" t="str">
        <f t="shared" si="21"/>
        <v/>
      </c>
      <c r="W194" t="str">
        <f t="shared" si="22"/>
        <v/>
      </c>
      <c r="X194" s="2" t="str">
        <f t="shared" si="23"/>
        <v/>
      </c>
      <c r="Y194" t="str">
        <f>VLOOKUP($A194,ScionOutput!$A$3:$BL$215,64,FALSE)</f>
        <v xml:space="preserve">822967. LineStatEns probability points gap does not exceed threshold (no edge found)! No play due to strategy constraints. </v>
      </c>
    </row>
    <row r="195" spans="1:25" x14ac:dyDescent="0.2">
      <c r="A195">
        <v>822885</v>
      </c>
      <c r="B195" s="3">
        <f>VLOOKUP($A195,ScionOutput!$A$3:$BL$215,3,FALSE)</f>
        <v>46193</v>
      </c>
      <c r="C195">
        <f>VLOOKUP($A195,ScionOutput!$A$3:$BL$215,22,FALSE)</f>
        <v>28</v>
      </c>
      <c r="D195" t="str">
        <f>VLOOKUP($A195,ScionOutput!$A$3:$BL$215,23,FALSE)</f>
        <v>TEX</v>
      </c>
      <c r="E195">
        <f>VLOOKUP($A195,ScionOutput!$A$3:$BL$215,6,FALSE)</f>
        <v>23</v>
      </c>
      <c r="F195" t="str">
        <f>VLOOKUP($A195,ScionOutput!$A$3:$BL$215,7,FALSE)</f>
        <v>SD</v>
      </c>
      <c r="G195">
        <f>VLOOKUP($A195,ScionOutput!$A$3:$BL$215,26,FALSE)</f>
        <v>-123</v>
      </c>
      <c r="H195">
        <f>VLOOKUP($A195,ScionOutput!$A$3:$BL$215,10,FALSE)</f>
        <v>114</v>
      </c>
      <c r="I195" t="str">
        <f>VLOOKUP($A195,ScionOutput!$A$3:$BL$215,58,FALSE)</f>
        <v>No Play</v>
      </c>
      <c r="J195">
        <f>VLOOKUP($A195,ScionOutput!$A$3:$BL$215,59,FALSE)</f>
        <v>0</v>
      </c>
      <c r="K195">
        <f>VLOOKUP($A195,ScionOutput!$A$3:$BL$215,62,FALSE)</f>
        <v>0</v>
      </c>
      <c r="L195">
        <f>VLOOKUP($A195,ScionOutput!$A$3:$BL$215,63,FALSE)</f>
        <v>0</v>
      </c>
      <c r="M195" t="b">
        <f t="shared" ref="M195:M209" si="25">ISNUMBER(SEARCH("Play determined by LineStatEns and StatOnlyEns agreement", Y195))</f>
        <v>0</v>
      </c>
      <c r="N195">
        <f>VLOOKUP($A195,Outcomes!$B$3:$I$209,8,FALSE)</f>
        <v>10</v>
      </c>
      <c r="O195">
        <f t="shared" ref="O195:O209" si="26">IF(P195&gt;Q195,1,IF(P195&lt;Q195,-1,0))</f>
        <v>-1</v>
      </c>
      <c r="P195">
        <f>VLOOKUP($A195,Outcomes!$B$3:$I$209,5,FALSE)</f>
        <v>4</v>
      </c>
      <c r="Q195">
        <f>VLOOKUP($A195,Outcomes!$B$3:$I$209,6,FALSE)</f>
        <v>6</v>
      </c>
      <c r="R195">
        <f>VLOOKUP($A195,Outcomes!$B$3:$I$209,7,FALSE)</f>
        <v>2</v>
      </c>
      <c r="S195" t="str">
        <f t="shared" ref="S195:S209" si="27">IF(R195=0,"Push",IF(G195&lt;H195,IF(R195&lt;0,"HomFave","VisDog"),IF(R195&gt;0,"VisFave","HomDog")))</f>
        <v>VisDog</v>
      </c>
      <c r="T195" t="str">
        <f t="shared" ref="T195:T209" si="28">IF(OR(R195=0,I195="No Play",K195&lt;&gt;5),"",IF(S195=I195,1,0))</f>
        <v/>
      </c>
      <c r="U195" t="str">
        <f t="shared" si="24"/>
        <v/>
      </c>
      <c r="V195" t="str">
        <f t="shared" ref="V195:V209" si="29">IF(T195="","",IF(T195=0,0,IF(G195&lt;H195,IF(I195="HomFave",U195+100,IF(H195&lt;0,100+U195,U195+ABS(H195))),IF(I195="VisFave",U195+100,IF(G195&lt;0,100+U195,U195+ABS(G195))))))</f>
        <v/>
      </c>
      <c r="W195" t="str">
        <f t="shared" ref="W195:W209" si="30">IF(T195="","",V195-U195)</f>
        <v/>
      </c>
      <c r="X195" s="2" t="str">
        <f t="shared" ref="X195:X210" si="31">IF(T195="","",W195/U195)</f>
        <v/>
      </c>
      <c r="Y195" t="str">
        <f>VLOOKUP($A195,ScionOutput!$A$3:$BL$215,64,FALSE)</f>
        <v xml:space="preserve">822885. LineStatEns probability points gap does not exceed threshold (no edge found)! StatOnlyEns probability points gap does not exceed threshold (no edge found)! No play due to strategy constraints. </v>
      </c>
    </row>
    <row r="196" spans="1:25" x14ac:dyDescent="0.2">
      <c r="A196">
        <v>824908</v>
      </c>
      <c r="B196" s="3">
        <f>VLOOKUP($A196,ScionOutput!$A$3:$BL$215,3,FALSE)</f>
        <v>46194</v>
      </c>
      <c r="C196">
        <f>VLOOKUP($A196,ScionOutput!$A$3:$BL$215,22,FALSE)</f>
        <v>0</v>
      </c>
      <c r="D196" t="str">
        <f>VLOOKUP($A196,ScionOutput!$A$3:$BL$215,23,FALSE)</f>
        <v>ATL</v>
      </c>
      <c r="E196">
        <f>VLOOKUP($A196,ScionOutput!$A$3:$BL$215,6,FALSE)</f>
        <v>17</v>
      </c>
      <c r="F196" t="str">
        <f>VLOOKUP($A196,ScionOutput!$A$3:$BL$215,7,FALSE)</f>
        <v>MLW</v>
      </c>
      <c r="G196">
        <f>VLOOKUP($A196,ScionOutput!$A$3:$BL$215,26,FALSE)</f>
        <v>-113</v>
      </c>
      <c r="H196">
        <f>VLOOKUP($A196,ScionOutput!$A$3:$BL$215,10,FALSE)</f>
        <v>105</v>
      </c>
      <c r="I196" t="str">
        <f>VLOOKUP($A196,ScionOutput!$A$3:$BL$215,58,FALSE)</f>
        <v>HomFave</v>
      </c>
      <c r="J196">
        <f>VLOOKUP($A196,ScionOutput!$A$3:$BL$215,59,FALSE)</f>
        <v>4.9029999999999997E-2</v>
      </c>
      <c r="K196">
        <f>VLOOKUP($A196,ScionOutput!$A$3:$BL$215,62,FALSE)</f>
        <v>3</v>
      </c>
      <c r="L196">
        <f>VLOOKUP($A196,ScionOutput!$A$3:$BL$215,63,FALSE)</f>
        <v>1</v>
      </c>
      <c r="M196" t="b">
        <f t="shared" si="25"/>
        <v>0</v>
      </c>
      <c r="N196">
        <f>VLOOKUP($A196,Outcomes!$B$3:$I$209,8,FALSE)</f>
        <v>13</v>
      </c>
      <c r="O196">
        <f t="shared" si="26"/>
        <v>-1</v>
      </c>
      <c r="P196">
        <f>VLOOKUP($A196,Outcomes!$B$3:$I$209,5,FALSE)</f>
        <v>4</v>
      </c>
      <c r="Q196">
        <f>VLOOKUP($A196,Outcomes!$B$3:$I$209,6,FALSE)</f>
        <v>9</v>
      </c>
      <c r="R196">
        <f>VLOOKUP($A196,Outcomes!$B$3:$I$209,7,FALSE)</f>
        <v>5</v>
      </c>
      <c r="S196" t="str">
        <f t="shared" si="27"/>
        <v>VisDog</v>
      </c>
      <c r="T196" t="str">
        <f t="shared" si="28"/>
        <v/>
      </c>
      <c r="U196" t="str">
        <f t="shared" si="24"/>
        <v/>
      </c>
      <c r="V196" t="str">
        <f t="shared" si="29"/>
        <v/>
      </c>
      <c r="W196" t="str">
        <f t="shared" si="30"/>
        <v/>
      </c>
      <c r="X196" s="2" t="str">
        <f t="shared" si="31"/>
        <v/>
      </c>
      <c r="Y196" t="str">
        <f>VLOOKUP($A196,ScionOutput!$A$3:$BL$215,64,FALSE)</f>
        <v xml:space="preserve">824908. StatOnlyEns probability points gap does not exceed threshold (no edge found)! Play determined by LineStatEns only. </v>
      </c>
    </row>
    <row r="197" spans="1:25" x14ac:dyDescent="0.2">
      <c r="A197">
        <v>825067</v>
      </c>
      <c r="B197" s="3">
        <f>VLOOKUP($A197,ScionOutput!$A$3:$BL$215,3,FALSE)</f>
        <v>46194</v>
      </c>
      <c r="C197">
        <f>VLOOKUP($A197,ScionOutput!$A$3:$BL$215,22,FALSE)</f>
        <v>1</v>
      </c>
      <c r="D197" t="str">
        <f>VLOOKUP($A197,ScionOutput!$A$3:$BL$215,23,FALSE)</f>
        <v>ARZ</v>
      </c>
      <c r="E197">
        <f>VLOOKUP($A197,ScionOutput!$A$3:$BL$215,6,FALSE)</f>
        <v>15</v>
      </c>
      <c r="F197" t="str">
        <f>VLOOKUP($A197,ScionOutput!$A$3:$BL$215,7,FALSE)</f>
        <v>MIN</v>
      </c>
      <c r="G197">
        <f>VLOOKUP($A197,ScionOutput!$A$3:$BL$215,26,FALSE)</f>
        <v>-126</v>
      </c>
      <c r="H197">
        <f>VLOOKUP($A197,ScionOutput!$A$3:$BL$215,10,FALSE)</f>
        <v>117</v>
      </c>
      <c r="I197" t="str">
        <f>VLOOKUP($A197,ScionOutput!$A$3:$BL$215,58,FALSE)</f>
        <v>No Play</v>
      </c>
      <c r="J197">
        <f>VLOOKUP($A197,ScionOutput!$A$3:$BL$215,59,FALSE)</f>
        <v>0</v>
      </c>
      <c r="K197">
        <f>VLOOKUP($A197,ScionOutput!$A$3:$BL$215,62,FALSE)</f>
        <v>0</v>
      </c>
      <c r="L197">
        <f>VLOOKUP($A197,ScionOutput!$A$3:$BL$215,63,FALSE)</f>
        <v>0</v>
      </c>
      <c r="M197" t="b">
        <f t="shared" si="25"/>
        <v>0</v>
      </c>
      <c r="N197">
        <f>VLOOKUP($A197,Outcomes!$B$3:$I$209,8,FALSE)</f>
        <v>6</v>
      </c>
      <c r="O197">
        <f t="shared" si="26"/>
        <v>-1</v>
      </c>
      <c r="P197">
        <f>VLOOKUP($A197,Outcomes!$B$3:$I$209,5,FALSE)</f>
        <v>2</v>
      </c>
      <c r="Q197">
        <f>VLOOKUP($A197,Outcomes!$B$3:$I$209,6,FALSE)</f>
        <v>4</v>
      </c>
      <c r="R197">
        <f>VLOOKUP($A197,Outcomes!$B$3:$I$209,7,FALSE)</f>
        <v>2</v>
      </c>
      <c r="S197" t="str">
        <f t="shared" si="27"/>
        <v>VisDog</v>
      </c>
      <c r="T197" t="str">
        <f t="shared" si="28"/>
        <v/>
      </c>
      <c r="U197" t="str">
        <f t="shared" si="24"/>
        <v/>
      </c>
      <c r="V197" t="str">
        <f t="shared" si="29"/>
        <v/>
      </c>
      <c r="W197" t="str">
        <f t="shared" si="30"/>
        <v/>
      </c>
      <c r="X197" s="2" t="str">
        <f t="shared" si="31"/>
        <v/>
      </c>
      <c r="Y197" t="str">
        <f>VLOOKUP($A197,ScionOutput!$A$3:$BL$215,64,FALSE)</f>
        <v xml:space="preserve">825067. H_SP is Null, team-based avg used. NoPlay as H_SP is Null. </v>
      </c>
    </row>
    <row r="198" spans="1:25" x14ac:dyDescent="0.2">
      <c r="A198">
        <v>824343</v>
      </c>
      <c r="B198" s="3">
        <f>VLOOKUP($A198,ScionOutput!$A$3:$BL$215,3,FALSE)</f>
        <v>46194</v>
      </c>
      <c r="C198">
        <f>VLOOKUP($A198,ScionOutput!$A$3:$BL$215,22,FALSE)</f>
        <v>8</v>
      </c>
      <c r="D198" t="str">
        <f>VLOOKUP($A198,ScionOutput!$A$3:$BL$215,23,FALSE)</f>
        <v>COL</v>
      </c>
      <c r="E198">
        <f>VLOOKUP($A198,ScionOutput!$A$3:$BL$215,6,FALSE)</f>
        <v>22</v>
      </c>
      <c r="F198" t="str">
        <f>VLOOKUP($A198,ScionOutput!$A$3:$BL$215,7,FALSE)</f>
        <v>PIT</v>
      </c>
      <c r="G198">
        <f>VLOOKUP($A198,ScionOutput!$A$3:$BL$215,26,FALSE)</f>
        <v>130</v>
      </c>
      <c r="H198">
        <f>VLOOKUP($A198,ScionOutput!$A$3:$BL$215,10,FALSE)</f>
        <v>-141</v>
      </c>
      <c r="I198" t="str">
        <f>VLOOKUP($A198,ScionOutput!$A$3:$BL$215,58,FALSE)</f>
        <v>No Play</v>
      </c>
      <c r="J198">
        <f>VLOOKUP($A198,ScionOutput!$A$3:$BL$215,59,FALSE)</f>
        <v>0</v>
      </c>
      <c r="K198">
        <f>VLOOKUP($A198,ScionOutput!$A$3:$BL$215,62,FALSE)</f>
        <v>0</v>
      </c>
      <c r="L198">
        <f>VLOOKUP($A198,ScionOutput!$A$3:$BL$215,63,FALSE)</f>
        <v>0</v>
      </c>
      <c r="M198" t="b">
        <f t="shared" si="25"/>
        <v>0</v>
      </c>
      <c r="N198">
        <f>VLOOKUP($A198,Outcomes!$B$3:$I$209,8,FALSE)</f>
        <v>14</v>
      </c>
      <c r="O198">
        <f t="shared" si="26"/>
        <v>-1</v>
      </c>
      <c r="P198">
        <f>VLOOKUP($A198,Outcomes!$B$3:$I$209,5,FALSE)</f>
        <v>6</v>
      </c>
      <c r="Q198">
        <f>VLOOKUP($A198,Outcomes!$B$3:$I$209,6,FALSE)</f>
        <v>8</v>
      </c>
      <c r="R198">
        <f>VLOOKUP($A198,Outcomes!$B$3:$I$209,7,FALSE)</f>
        <v>2</v>
      </c>
      <c r="S198" t="str">
        <f t="shared" si="27"/>
        <v>VisFave</v>
      </c>
      <c r="T198" t="str">
        <f t="shared" si="28"/>
        <v/>
      </c>
      <c r="U198" t="str">
        <f t="shared" si="24"/>
        <v/>
      </c>
      <c r="V198" t="str">
        <f t="shared" si="29"/>
        <v/>
      </c>
      <c r="W198" t="str">
        <f t="shared" si="30"/>
        <v/>
      </c>
      <c r="X198" s="2" t="str">
        <f t="shared" si="31"/>
        <v/>
      </c>
      <c r="Y198" t="str">
        <f>VLOOKUP($A198,ScionOutput!$A$3:$BL$215,64,FALSE)</f>
        <v xml:space="preserve">824343. VF plays are disallowed. No play due to strategy constraints. </v>
      </c>
    </row>
    <row r="199" spans="1:25" x14ac:dyDescent="0.2">
      <c r="A199">
        <v>824260</v>
      </c>
      <c r="B199" s="3">
        <f>VLOOKUP($A199,ScionOutput!$A$3:$BL$215,3,FALSE)</f>
        <v>46194</v>
      </c>
      <c r="C199">
        <f>VLOOKUP($A199,ScionOutput!$A$3:$BL$215,22,FALSE)</f>
        <v>10</v>
      </c>
      <c r="D199" t="str">
        <f>VLOOKUP($A199,ScionOutput!$A$3:$BL$215,23,FALSE)</f>
        <v>DET</v>
      </c>
      <c r="E199">
        <f>VLOOKUP($A199,ScionOutput!$A$3:$BL$215,6,FALSE)</f>
        <v>9</v>
      </c>
      <c r="F199" t="str">
        <f>VLOOKUP($A199,ScionOutput!$A$3:$BL$215,7,FALSE)</f>
        <v>CWS</v>
      </c>
      <c r="G199">
        <f>VLOOKUP($A199,ScionOutput!$A$3:$BL$215,26,FALSE)</f>
        <v>-114</v>
      </c>
      <c r="H199">
        <f>VLOOKUP($A199,ScionOutput!$A$3:$BL$215,10,FALSE)</f>
        <v>105</v>
      </c>
      <c r="I199" t="str">
        <f>VLOOKUP($A199,ScionOutput!$A$3:$BL$215,58,FALSE)</f>
        <v>HomFave</v>
      </c>
      <c r="J199">
        <f>VLOOKUP($A199,ScionOutput!$A$3:$BL$215,59,FALSE)</f>
        <v>1.7999999999999999E-2</v>
      </c>
      <c r="K199">
        <f>VLOOKUP($A199,ScionOutput!$A$3:$BL$215,62,FALSE)</f>
        <v>5</v>
      </c>
      <c r="L199">
        <f>VLOOKUP($A199,ScionOutput!$A$3:$BL$215,63,FALSE)</f>
        <v>0.98</v>
      </c>
      <c r="M199" t="b">
        <f t="shared" si="25"/>
        <v>0</v>
      </c>
      <c r="N199">
        <f>VLOOKUP($A199,Outcomes!$B$3:$I$209,8,FALSE)</f>
        <v>9</v>
      </c>
      <c r="O199">
        <f t="shared" si="26"/>
        <v>1</v>
      </c>
      <c r="P199">
        <f>VLOOKUP($A199,Outcomes!$B$3:$I$209,5,FALSE)</f>
        <v>5</v>
      </c>
      <c r="Q199">
        <f>VLOOKUP($A199,Outcomes!$B$3:$I$209,6,FALSE)</f>
        <v>4</v>
      </c>
      <c r="R199">
        <f>VLOOKUP($A199,Outcomes!$B$3:$I$209,7,FALSE)</f>
        <v>-1</v>
      </c>
      <c r="S199" t="str">
        <f t="shared" si="27"/>
        <v>HomFave</v>
      </c>
      <c r="T199">
        <f t="shared" si="28"/>
        <v>1</v>
      </c>
      <c r="U199">
        <f t="shared" si="24"/>
        <v>114</v>
      </c>
      <c r="V199">
        <f t="shared" si="29"/>
        <v>214</v>
      </c>
      <c r="W199">
        <f t="shared" si="30"/>
        <v>100</v>
      </c>
      <c r="X199" s="2">
        <f t="shared" si="31"/>
        <v>0.8771929824561403</v>
      </c>
      <c r="Y199" t="str">
        <f>VLOOKUP($A199,ScionOutput!$A$3:$BL$215,64,FALSE)</f>
        <v xml:space="preserve">824260. Play determined by StatOnlyEns when it disagrees with LineStatEns. </v>
      </c>
    </row>
    <row r="200" spans="1:25" x14ac:dyDescent="0.2">
      <c r="A200">
        <v>823852</v>
      </c>
      <c r="B200" s="3">
        <f>VLOOKUP($A200,ScionOutput!$A$3:$BL$215,3,FALSE)</f>
        <v>46194</v>
      </c>
      <c r="C200">
        <f>VLOOKUP($A200,ScionOutput!$A$3:$BL$215,22,FALSE)</f>
        <v>11</v>
      </c>
      <c r="D200" t="str">
        <f>VLOOKUP($A200,ScionOutput!$A$3:$BL$215,23,FALSE)</f>
        <v>FLO</v>
      </c>
      <c r="E200">
        <f>VLOOKUP($A200,ScionOutput!$A$3:$BL$215,6,FALSE)</f>
        <v>25</v>
      </c>
      <c r="F200" t="str">
        <f>VLOOKUP($A200,ScionOutput!$A$3:$BL$215,7,FALSE)</f>
        <v>SF</v>
      </c>
      <c r="G200">
        <f>VLOOKUP($A200,ScionOutput!$A$3:$BL$215,26,FALSE)</f>
        <v>124</v>
      </c>
      <c r="H200">
        <f>VLOOKUP($A200,ScionOutput!$A$3:$BL$215,10,FALSE)</f>
        <v>-134</v>
      </c>
      <c r="I200" t="str">
        <f>VLOOKUP($A200,ScionOutput!$A$3:$BL$215,58,FALSE)</f>
        <v>No Play</v>
      </c>
      <c r="J200">
        <f>VLOOKUP($A200,ScionOutput!$A$3:$BL$215,59,FALSE)</f>
        <v>0</v>
      </c>
      <c r="K200">
        <f>VLOOKUP($A200,ScionOutput!$A$3:$BL$215,62,FALSE)</f>
        <v>0</v>
      </c>
      <c r="L200">
        <f>VLOOKUP($A200,ScionOutput!$A$3:$BL$215,63,FALSE)</f>
        <v>0</v>
      </c>
      <c r="M200" t="b">
        <f t="shared" si="25"/>
        <v>0</v>
      </c>
      <c r="N200">
        <f>VLOOKUP($A200,Outcomes!$B$3:$I$209,8,FALSE)</f>
        <v>3</v>
      </c>
      <c r="O200">
        <f t="shared" si="26"/>
        <v>1</v>
      </c>
      <c r="P200">
        <f>VLOOKUP($A200,Outcomes!$B$3:$I$209,5,FALSE)</f>
        <v>2</v>
      </c>
      <c r="Q200">
        <f>VLOOKUP($A200,Outcomes!$B$3:$I$209,6,FALSE)</f>
        <v>1</v>
      </c>
      <c r="R200">
        <f>VLOOKUP($A200,Outcomes!$B$3:$I$209,7,FALSE)</f>
        <v>-1</v>
      </c>
      <c r="S200" t="str">
        <f t="shared" si="27"/>
        <v>HomDog</v>
      </c>
      <c r="T200" t="str">
        <f t="shared" si="28"/>
        <v/>
      </c>
      <c r="U200" t="str">
        <f t="shared" si="24"/>
        <v/>
      </c>
      <c r="V200" t="str">
        <f t="shared" si="29"/>
        <v/>
      </c>
      <c r="W200" t="str">
        <f t="shared" si="30"/>
        <v/>
      </c>
      <c r="X200" s="2" t="str">
        <f t="shared" si="31"/>
        <v/>
      </c>
      <c r="Y200" t="str">
        <f>VLOOKUP($A200,ScionOutput!$A$3:$BL$215,64,FALSE)</f>
        <v xml:space="preserve">823852. VF plays are disallowed. No play due to strategy constraints. </v>
      </c>
    </row>
    <row r="201" spans="1:25" x14ac:dyDescent="0.2">
      <c r="A201">
        <v>824177</v>
      </c>
      <c r="B201" s="3">
        <f>VLOOKUP($A201,ScionOutput!$A$3:$BL$215,3,FALSE)</f>
        <v>46194</v>
      </c>
      <c r="C201">
        <f>VLOOKUP($A201,ScionOutput!$A$3:$BL$215,22,FALSE)</f>
        <v>12</v>
      </c>
      <c r="D201" t="str">
        <f>VLOOKUP($A201,ScionOutput!$A$3:$BL$215,23,FALSE)</f>
        <v>HOU</v>
      </c>
      <c r="E201">
        <f>VLOOKUP($A201,ScionOutput!$A$3:$BL$215,6,FALSE)</f>
        <v>7</v>
      </c>
      <c r="F201" t="str">
        <f>VLOOKUP($A201,ScionOutput!$A$3:$BL$215,7,FALSE)</f>
        <v>CLE</v>
      </c>
      <c r="G201">
        <f>VLOOKUP($A201,ScionOutput!$A$3:$BL$215,26,FALSE)</f>
        <v>-129</v>
      </c>
      <c r="H201">
        <f>VLOOKUP($A201,ScionOutput!$A$3:$BL$215,10,FALSE)</f>
        <v>119</v>
      </c>
      <c r="I201" t="str">
        <f>VLOOKUP($A201,ScionOutput!$A$3:$BL$215,58,FALSE)</f>
        <v>No Play</v>
      </c>
      <c r="J201">
        <f>VLOOKUP($A201,ScionOutput!$A$3:$BL$215,59,FALSE)</f>
        <v>0</v>
      </c>
      <c r="K201">
        <f>VLOOKUP($A201,ScionOutput!$A$3:$BL$215,62,FALSE)</f>
        <v>0</v>
      </c>
      <c r="L201">
        <f>VLOOKUP($A201,ScionOutput!$A$3:$BL$215,63,FALSE)</f>
        <v>0</v>
      </c>
      <c r="M201" t="b">
        <f t="shared" si="25"/>
        <v>0</v>
      </c>
      <c r="N201">
        <f>VLOOKUP($A201,Outcomes!$B$3:$I$209,8,FALSE)</f>
        <v>3</v>
      </c>
      <c r="O201">
        <f t="shared" si="26"/>
        <v>1</v>
      </c>
      <c r="P201">
        <f>VLOOKUP($A201,Outcomes!$B$3:$I$209,5,FALSE)</f>
        <v>2</v>
      </c>
      <c r="Q201">
        <f>VLOOKUP($A201,Outcomes!$B$3:$I$209,6,FALSE)</f>
        <v>1</v>
      </c>
      <c r="R201">
        <f>VLOOKUP($A201,Outcomes!$B$3:$I$209,7,FALSE)</f>
        <v>-1</v>
      </c>
      <c r="S201" t="str">
        <f t="shared" si="27"/>
        <v>HomFave</v>
      </c>
      <c r="T201" t="str">
        <f t="shared" si="28"/>
        <v/>
      </c>
      <c r="U201" t="str">
        <f t="shared" si="24"/>
        <v/>
      </c>
      <c r="V201" t="str">
        <f t="shared" si="29"/>
        <v/>
      </c>
      <c r="W201" t="str">
        <f t="shared" si="30"/>
        <v/>
      </c>
      <c r="X201" s="2" t="str">
        <f t="shared" si="31"/>
        <v/>
      </c>
      <c r="Y201" t="str">
        <f>VLOOKUP($A201,ScionOutput!$A$3:$BL$215,64,FALSE)</f>
        <v xml:space="preserve">824177. LineStatEns probability points gap does not exceed threshold (no edge found)! StatOnlyEns probability points gap does not exceed threshold (no edge found)! No play due to strategy constraints. </v>
      </c>
    </row>
    <row r="202" spans="1:25" x14ac:dyDescent="0.2">
      <c r="A202">
        <v>824095</v>
      </c>
      <c r="B202" s="3">
        <f>VLOOKUP($A202,ScionOutput!$A$3:$BL$215,3,FALSE)</f>
        <v>46194</v>
      </c>
      <c r="C202">
        <f>VLOOKUP($A202,ScionOutput!$A$3:$BL$215,22,FALSE)</f>
        <v>13</v>
      </c>
      <c r="D202" t="str">
        <f>VLOOKUP($A202,ScionOutput!$A$3:$BL$215,23,FALSE)</f>
        <v>KC</v>
      </c>
      <c r="E202">
        <f>VLOOKUP($A202,ScionOutput!$A$3:$BL$215,6,FALSE)</f>
        <v>26</v>
      </c>
      <c r="F202" t="str">
        <f>VLOOKUP($A202,ScionOutput!$A$3:$BL$215,7,FALSE)</f>
        <v>STL</v>
      </c>
      <c r="G202">
        <f>VLOOKUP($A202,ScionOutput!$A$3:$BL$215,26,FALSE)</f>
        <v>112</v>
      </c>
      <c r="H202">
        <f>VLOOKUP($A202,ScionOutput!$A$3:$BL$215,10,FALSE)</f>
        <v>-121</v>
      </c>
      <c r="I202" t="str">
        <f>VLOOKUP($A202,ScionOutput!$A$3:$BL$215,58,FALSE)</f>
        <v>No Play</v>
      </c>
      <c r="J202">
        <f>VLOOKUP($A202,ScionOutput!$A$3:$BL$215,59,FALSE)</f>
        <v>0</v>
      </c>
      <c r="K202">
        <f>VLOOKUP($A202,ScionOutput!$A$3:$BL$215,62,FALSE)</f>
        <v>0</v>
      </c>
      <c r="L202">
        <f>VLOOKUP($A202,ScionOutput!$A$3:$BL$215,63,FALSE)</f>
        <v>0</v>
      </c>
      <c r="M202" t="b">
        <f t="shared" si="25"/>
        <v>0</v>
      </c>
      <c r="N202">
        <f>VLOOKUP($A202,Outcomes!$B$3:$I$209,8,FALSE)</f>
        <v>22</v>
      </c>
      <c r="O202">
        <f t="shared" si="26"/>
        <v>-1</v>
      </c>
      <c r="P202">
        <f>VLOOKUP($A202,Outcomes!$B$3:$I$209,5,FALSE)</f>
        <v>10</v>
      </c>
      <c r="Q202">
        <f>VLOOKUP($A202,Outcomes!$B$3:$I$209,6,FALSE)</f>
        <v>12</v>
      </c>
      <c r="R202">
        <f>VLOOKUP($A202,Outcomes!$B$3:$I$209,7,FALSE)</f>
        <v>2</v>
      </c>
      <c r="S202" t="str">
        <f t="shared" si="27"/>
        <v>VisFave</v>
      </c>
      <c r="T202" t="str">
        <f t="shared" si="28"/>
        <v/>
      </c>
      <c r="U202" t="str">
        <f t="shared" si="24"/>
        <v/>
      </c>
      <c r="V202" t="str">
        <f t="shared" si="29"/>
        <v/>
      </c>
      <c r="W202" t="str">
        <f t="shared" si="30"/>
        <v/>
      </c>
      <c r="X202" s="2" t="str">
        <f t="shared" si="31"/>
        <v/>
      </c>
      <c r="Y202" t="str">
        <f>VLOOKUP($A202,ScionOutput!$A$3:$BL$215,64,FALSE)</f>
        <v xml:space="preserve">824095. VF plays are disallowed. No play due to strategy constraints. </v>
      </c>
    </row>
    <row r="203" spans="1:25" x14ac:dyDescent="0.2">
      <c r="A203">
        <v>823934</v>
      </c>
      <c r="B203" s="3">
        <f>VLOOKUP($A203,ScionOutput!$A$3:$BL$215,3,FALSE)</f>
        <v>46194</v>
      </c>
      <c r="C203">
        <f>VLOOKUP($A203,ScionOutput!$A$3:$BL$215,22,FALSE)</f>
        <v>14</v>
      </c>
      <c r="D203" t="str">
        <f>VLOOKUP($A203,ScionOutput!$A$3:$BL$215,23,FALSE)</f>
        <v>LA</v>
      </c>
      <c r="E203">
        <f>VLOOKUP($A203,ScionOutput!$A$3:$BL$215,6,FALSE)</f>
        <v>2</v>
      </c>
      <c r="F203" t="str">
        <f>VLOOKUP($A203,ScionOutput!$A$3:$BL$215,7,FALSE)</f>
        <v>BAL</v>
      </c>
      <c r="G203">
        <f>VLOOKUP($A203,ScionOutput!$A$3:$BL$215,26,FALSE)</f>
        <v>-228</v>
      </c>
      <c r="H203">
        <f>VLOOKUP($A203,ScionOutput!$A$3:$BL$215,10,FALSE)</f>
        <v>206</v>
      </c>
      <c r="I203" t="str">
        <f>VLOOKUP($A203,ScionOutput!$A$3:$BL$215,58,FALSE)</f>
        <v>No Play</v>
      </c>
      <c r="J203">
        <f>VLOOKUP($A203,ScionOutput!$A$3:$BL$215,59,FALSE)</f>
        <v>0</v>
      </c>
      <c r="K203">
        <f>VLOOKUP($A203,ScionOutput!$A$3:$BL$215,62,FALSE)</f>
        <v>0</v>
      </c>
      <c r="L203">
        <f>VLOOKUP($A203,ScionOutput!$A$3:$BL$215,63,FALSE)</f>
        <v>0</v>
      </c>
      <c r="M203" t="b">
        <f t="shared" si="25"/>
        <v>0</v>
      </c>
      <c r="N203">
        <f>VLOOKUP($A203,Outcomes!$B$3:$I$209,8,FALSE)</f>
        <v>13</v>
      </c>
      <c r="O203">
        <f t="shared" si="26"/>
        <v>-1</v>
      </c>
      <c r="P203">
        <f>VLOOKUP($A203,Outcomes!$B$3:$I$209,5,FALSE)</f>
        <v>1</v>
      </c>
      <c r="Q203">
        <f>VLOOKUP($A203,Outcomes!$B$3:$I$209,6,FALSE)</f>
        <v>12</v>
      </c>
      <c r="R203">
        <f>VLOOKUP($A203,Outcomes!$B$3:$I$209,7,FALSE)</f>
        <v>11</v>
      </c>
      <c r="S203" t="str">
        <f t="shared" si="27"/>
        <v>VisDog</v>
      </c>
      <c r="T203" t="str">
        <f t="shared" si="28"/>
        <v/>
      </c>
      <c r="U203" t="str">
        <f t="shared" si="24"/>
        <v/>
      </c>
      <c r="V203" t="str">
        <f t="shared" si="29"/>
        <v/>
      </c>
      <c r="W203" t="str">
        <f t="shared" si="30"/>
        <v/>
      </c>
      <c r="X203" s="2" t="str">
        <f t="shared" si="31"/>
        <v/>
      </c>
      <c r="Y203" t="str">
        <f>VLOOKUP($A203,ScionOutput!$A$3:$BL$215,64,FALSE)</f>
        <v xml:space="preserve">823934. LineStatEns is NoPlay as bookie-line outside range. StatOnlyEns is NoPlay as bookie-line outside range. No play due to strategy constraints. </v>
      </c>
    </row>
    <row r="204" spans="1:25" x14ac:dyDescent="0.2">
      <c r="A204">
        <v>823531</v>
      </c>
      <c r="B204" s="3">
        <f>VLOOKUP($A204,ScionOutput!$A$3:$BL$215,3,FALSE)</f>
        <v>46194</v>
      </c>
      <c r="C204">
        <f>VLOOKUP($A204,ScionOutput!$A$3:$BL$215,22,FALSE)</f>
        <v>19</v>
      </c>
      <c r="D204" t="str">
        <f>VLOOKUP($A204,ScionOutput!$A$3:$BL$215,23,FALSE)</f>
        <v>NYY</v>
      </c>
      <c r="E204">
        <f>VLOOKUP($A204,ScionOutput!$A$3:$BL$215,6,FALSE)</f>
        <v>6</v>
      </c>
      <c r="F204" t="str">
        <f>VLOOKUP($A204,ScionOutput!$A$3:$BL$215,7,FALSE)</f>
        <v>CIN</v>
      </c>
      <c r="G204">
        <f>VLOOKUP($A204,ScionOutput!$A$3:$BL$215,26,FALSE)</f>
        <v>-110</v>
      </c>
      <c r="H204">
        <f>VLOOKUP($A204,ScionOutput!$A$3:$BL$215,10,FALSE)</f>
        <v>101</v>
      </c>
      <c r="I204" t="str">
        <f>VLOOKUP($A204,ScionOutput!$A$3:$BL$215,58,FALSE)</f>
        <v>HomFave</v>
      </c>
      <c r="J204">
        <f>VLOOKUP($A204,ScionOutput!$A$3:$BL$215,59,FALSE)</f>
        <v>7.1300000000000001E-3</v>
      </c>
      <c r="K204">
        <f>VLOOKUP($A204,ScionOutput!$A$3:$BL$215,62,FALSE)</f>
        <v>3</v>
      </c>
      <c r="L204">
        <f>VLOOKUP($A204,ScionOutput!$A$3:$BL$215,63,FALSE)</f>
        <v>0.93</v>
      </c>
      <c r="M204" t="b">
        <f t="shared" si="25"/>
        <v>0</v>
      </c>
      <c r="N204">
        <f>VLOOKUP($A204,Outcomes!$B$3:$I$209,8,FALSE)</f>
        <v>5</v>
      </c>
      <c r="O204">
        <f t="shared" si="26"/>
        <v>-1</v>
      </c>
      <c r="P204">
        <f>VLOOKUP($A204,Outcomes!$B$3:$I$209,5,FALSE)</f>
        <v>1</v>
      </c>
      <c r="Q204">
        <f>VLOOKUP($A204,Outcomes!$B$3:$I$209,6,FALSE)</f>
        <v>4</v>
      </c>
      <c r="R204">
        <f>VLOOKUP($A204,Outcomes!$B$3:$I$209,7,FALSE)</f>
        <v>3</v>
      </c>
      <c r="S204" t="str">
        <f t="shared" si="27"/>
        <v>VisDog</v>
      </c>
      <c r="T204" t="str">
        <f t="shared" si="28"/>
        <v/>
      </c>
      <c r="U204" t="str">
        <f t="shared" si="24"/>
        <v/>
      </c>
      <c r="V204" t="str">
        <f t="shared" si="29"/>
        <v/>
      </c>
      <c r="W204" t="str">
        <f t="shared" si="30"/>
        <v/>
      </c>
      <c r="X204" s="2" t="str">
        <f t="shared" si="31"/>
        <v/>
      </c>
      <c r="Y204" t="str">
        <f>VLOOKUP($A204,ScionOutput!$A$3:$BL$215,64,FALSE)</f>
        <v xml:space="preserve">823531. StatOnlyEns probability points gap does not exceed threshold (no edge found)! Play determined by LineStatEns only. </v>
      </c>
    </row>
    <row r="205" spans="1:25" x14ac:dyDescent="0.2">
      <c r="A205">
        <v>824987</v>
      </c>
      <c r="B205" s="3">
        <f>VLOOKUP($A205,ScionOutput!$A$3:$BL$215,3,FALSE)</f>
        <v>46194</v>
      </c>
      <c r="C205">
        <f>VLOOKUP($A205,ScionOutput!$A$3:$BL$215,22,FALSE)</f>
        <v>20</v>
      </c>
      <c r="D205" t="str">
        <f>VLOOKUP($A205,ScionOutput!$A$3:$BL$215,23,FALSE)</f>
        <v>OAK</v>
      </c>
      <c r="E205">
        <f>VLOOKUP($A205,ScionOutput!$A$3:$BL$215,6,FALSE)</f>
        <v>4</v>
      </c>
      <c r="F205" t="str">
        <f>VLOOKUP($A205,ScionOutput!$A$3:$BL$215,7,FALSE)</f>
        <v>LAA</v>
      </c>
      <c r="G205">
        <f>VLOOKUP($A205,ScionOutput!$A$3:$BL$215,26,FALSE)</f>
        <v>-126</v>
      </c>
      <c r="H205">
        <f>VLOOKUP($A205,ScionOutput!$A$3:$BL$215,10,FALSE)</f>
        <v>116</v>
      </c>
      <c r="I205" t="str">
        <f>VLOOKUP($A205,ScionOutput!$A$3:$BL$215,58,FALSE)</f>
        <v>No Play</v>
      </c>
      <c r="J205">
        <f>VLOOKUP($A205,ScionOutput!$A$3:$BL$215,59,FALSE)</f>
        <v>0</v>
      </c>
      <c r="K205">
        <f>VLOOKUP($A205,ScionOutput!$A$3:$BL$215,62,FALSE)</f>
        <v>0</v>
      </c>
      <c r="L205">
        <f>VLOOKUP($A205,ScionOutput!$A$3:$BL$215,63,FALSE)</f>
        <v>0</v>
      </c>
      <c r="M205" t="b">
        <f t="shared" si="25"/>
        <v>0</v>
      </c>
      <c r="N205">
        <f>VLOOKUP($A205,Outcomes!$B$3:$I$209,8,FALSE)</f>
        <v>16</v>
      </c>
      <c r="O205">
        <f t="shared" si="26"/>
        <v>-1</v>
      </c>
      <c r="P205">
        <f>VLOOKUP($A205,Outcomes!$B$3:$I$209,5,FALSE)</f>
        <v>7</v>
      </c>
      <c r="Q205">
        <f>VLOOKUP($A205,Outcomes!$B$3:$I$209,6,FALSE)</f>
        <v>9</v>
      </c>
      <c r="R205">
        <f>VLOOKUP($A205,Outcomes!$B$3:$I$209,7,FALSE)</f>
        <v>2</v>
      </c>
      <c r="S205" t="str">
        <f t="shared" si="27"/>
        <v>VisDog</v>
      </c>
      <c r="T205" t="str">
        <f t="shared" si="28"/>
        <v/>
      </c>
      <c r="U205" t="str">
        <f t="shared" si="24"/>
        <v/>
      </c>
      <c r="V205" t="str">
        <f t="shared" si="29"/>
        <v/>
      </c>
      <c r="W205" t="str">
        <f t="shared" si="30"/>
        <v/>
      </c>
      <c r="X205" s="2" t="str">
        <f t="shared" si="31"/>
        <v/>
      </c>
      <c r="Y205" t="str">
        <f>VLOOKUP($A205,ScionOutput!$A$3:$BL$215,64,FALSE)</f>
        <v xml:space="preserve">824987. LineStatEns probability points gap does not exceed threshold (no edge found)! No play due to strategy constraints. </v>
      </c>
    </row>
    <row r="206" spans="1:25" x14ac:dyDescent="0.2">
      <c r="A206">
        <v>823449</v>
      </c>
      <c r="B206" s="3">
        <f>VLOOKUP($A206,ScionOutput!$A$3:$BL$215,3,FALSE)</f>
        <v>46194</v>
      </c>
      <c r="C206">
        <f>VLOOKUP($A206,ScionOutput!$A$3:$BL$215,22,FALSE)</f>
        <v>21</v>
      </c>
      <c r="D206" t="str">
        <f>VLOOKUP($A206,ScionOutput!$A$3:$BL$215,23,FALSE)</f>
        <v>PHI</v>
      </c>
      <c r="E206">
        <f>VLOOKUP($A206,ScionOutput!$A$3:$BL$215,6,FALSE)</f>
        <v>18</v>
      </c>
      <c r="F206" t="str">
        <f>VLOOKUP($A206,ScionOutput!$A$3:$BL$215,7,FALSE)</f>
        <v>NYM</v>
      </c>
      <c r="G206">
        <f>VLOOKUP($A206,ScionOutput!$A$3:$BL$215,26,FALSE)</f>
        <v>-172</v>
      </c>
      <c r="H206">
        <f>VLOOKUP($A206,ScionOutput!$A$3:$BL$215,10,FALSE)</f>
        <v>157</v>
      </c>
      <c r="I206" t="str">
        <f>VLOOKUP($A206,ScionOutput!$A$3:$BL$215,58,FALSE)</f>
        <v>No Play</v>
      </c>
      <c r="J206">
        <f>VLOOKUP($A206,ScionOutput!$A$3:$BL$215,59,FALSE)</f>
        <v>0</v>
      </c>
      <c r="K206">
        <f>VLOOKUP($A206,ScionOutput!$A$3:$BL$215,62,FALSE)</f>
        <v>0</v>
      </c>
      <c r="L206">
        <f>VLOOKUP($A206,ScionOutput!$A$3:$BL$215,63,FALSE)</f>
        <v>0</v>
      </c>
      <c r="M206" t="b">
        <f t="shared" si="25"/>
        <v>0</v>
      </c>
      <c r="N206">
        <f>VLOOKUP($A206,Outcomes!$B$3:$I$209,8,FALSE)</f>
        <v>8</v>
      </c>
      <c r="O206">
        <f t="shared" si="26"/>
        <v>1</v>
      </c>
      <c r="P206">
        <f>VLOOKUP($A206,Outcomes!$B$3:$I$209,5,FALSE)</f>
        <v>6</v>
      </c>
      <c r="Q206">
        <f>VLOOKUP($A206,Outcomes!$B$3:$I$209,6,FALSE)</f>
        <v>2</v>
      </c>
      <c r="R206">
        <f>VLOOKUP($A206,Outcomes!$B$3:$I$209,7,FALSE)</f>
        <v>-4</v>
      </c>
      <c r="S206" t="str">
        <f t="shared" si="27"/>
        <v>HomFave</v>
      </c>
      <c r="T206" t="str">
        <f t="shared" si="28"/>
        <v/>
      </c>
      <c r="U206" t="str">
        <f t="shared" si="24"/>
        <v/>
      </c>
      <c r="V206" t="str">
        <f t="shared" si="29"/>
        <v/>
      </c>
      <c r="W206" t="str">
        <f t="shared" si="30"/>
        <v/>
      </c>
      <c r="X206" s="2" t="str">
        <f t="shared" si="31"/>
        <v/>
      </c>
      <c r="Y206" t="str">
        <f>VLOOKUP($A206,ScionOutput!$A$3:$BL$215,64,FALSE)</f>
        <v xml:space="preserve">823449. LineStatEns is NoPlay as bookie-line outside range. StatOnlyEns is NoPlay as bookie-line outside range. No play due to strategy constraints. </v>
      </c>
    </row>
    <row r="207" spans="1:25" x14ac:dyDescent="0.2">
      <c r="A207">
        <v>823123</v>
      </c>
      <c r="B207" s="3">
        <f>VLOOKUP($A207,ScionOutput!$A$3:$BL$215,3,FALSE)</f>
        <v>46194</v>
      </c>
      <c r="C207">
        <f>VLOOKUP($A207,ScionOutput!$A$3:$BL$215,22,FALSE)</f>
        <v>24</v>
      </c>
      <c r="D207" t="str">
        <f>VLOOKUP($A207,ScionOutput!$A$3:$BL$215,23,FALSE)</f>
        <v>SEA</v>
      </c>
      <c r="E207">
        <f>VLOOKUP($A207,ScionOutput!$A$3:$BL$215,6,FALSE)</f>
        <v>3</v>
      </c>
      <c r="F207" t="str">
        <f>VLOOKUP($A207,ScionOutput!$A$3:$BL$215,7,FALSE)</f>
        <v>BOS</v>
      </c>
      <c r="G207">
        <f>VLOOKUP($A207,ScionOutput!$A$3:$BL$215,26,FALSE)</f>
        <v>-118</v>
      </c>
      <c r="H207">
        <f>VLOOKUP($A207,ScionOutput!$A$3:$BL$215,10,FALSE)</f>
        <v>109</v>
      </c>
      <c r="I207" t="str">
        <f>VLOOKUP($A207,ScionOutput!$A$3:$BL$215,58,FALSE)</f>
        <v>No Play</v>
      </c>
      <c r="J207">
        <f>VLOOKUP($A207,ScionOutput!$A$3:$BL$215,59,FALSE)</f>
        <v>0</v>
      </c>
      <c r="K207">
        <f>VLOOKUP($A207,ScionOutput!$A$3:$BL$215,62,FALSE)</f>
        <v>0</v>
      </c>
      <c r="L207">
        <f>VLOOKUP($A207,ScionOutput!$A$3:$BL$215,63,FALSE)</f>
        <v>0</v>
      </c>
      <c r="M207" t="b">
        <f t="shared" si="25"/>
        <v>0</v>
      </c>
      <c r="N207">
        <f>VLOOKUP($A207,Outcomes!$B$3:$I$209,8,FALSE)</f>
        <v>4</v>
      </c>
      <c r="O207">
        <f t="shared" si="26"/>
        <v>1</v>
      </c>
      <c r="P207">
        <f>VLOOKUP($A207,Outcomes!$B$3:$I$209,5,FALSE)</f>
        <v>3</v>
      </c>
      <c r="Q207">
        <f>VLOOKUP($A207,Outcomes!$B$3:$I$209,6,FALSE)</f>
        <v>1</v>
      </c>
      <c r="R207">
        <f>VLOOKUP($A207,Outcomes!$B$3:$I$209,7,FALSE)</f>
        <v>-2</v>
      </c>
      <c r="S207" t="str">
        <f t="shared" si="27"/>
        <v>HomFave</v>
      </c>
      <c r="T207" t="str">
        <f t="shared" si="28"/>
        <v/>
      </c>
      <c r="U207" t="str">
        <f t="shared" si="24"/>
        <v/>
      </c>
      <c r="V207" t="str">
        <f t="shared" si="29"/>
        <v/>
      </c>
      <c r="W207" t="str">
        <f t="shared" si="30"/>
        <v/>
      </c>
      <c r="X207" s="2" t="str">
        <f t="shared" si="31"/>
        <v/>
      </c>
      <c r="Y207" t="str">
        <f>VLOOKUP($A207,ScionOutput!$A$3:$BL$215,64,FALSE)</f>
        <v xml:space="preserve">823123. LineStatEns probability points gap does not exceed threshold (no edge found)! StatOnlyEns probability points gap does not exceed threshold (no edge found)! No play due to strategy constraints. </v>
      </c>
    </row>
    <row r="208" spans="1:25" x14ac:dyDescent="0.2">
      <c r="A208">
        <v>822968</v>
      </c>
      <c r="B208" s="3">
        <f>VLOOKUP($A208,ScionOutput!$A$3:$BL$215,3,FALSE)</f>
        <v>46194</v>
      </c>
      <c r="C208">
        <f>VLOOKUP($A208,ScionOutput!$A$3:$BL$215,22,FALSE)</f>
        <v>27</v>
      </c>
      <c r="D208" t="str">
        <f>VLOOKUP($A208,ScionOutput!$A$3:$BL$215,23,FALSE)</f>
        <v>TB</v>
      </c>
      <c r="E208">
        <f>VLOOKUP($A208,ScionOutput!$A$3:$BL$215,6,FALSE)</f>
        <v>16</v>
      </c>
      <c r="F208" t="str">
        <f>VLOOKUP($A208,ScionOutput!$A$3:$BL$215,7,FALSE)</f>
        <v>WAS</v>
      </c>
      <c r="G208">
        <f>VLOOKUP($A208,ScionOutput!$A$3:$BL$215,26,FALSE)</f>
        <v>-127</v>
      </c>
      <c r="H208">
        <f>VLOOKUP($A208,ScionOutput!$A$3:$BL$215,10,FALSE)</f>
        <v>117</v>
      </c>
      <c r="I208" t="str">
        <f>VLOOKUP($A208,ScionOutput!$A$3:$BL$215,58,FALSE)</f>
        <v>No Play</v>
      </c>
      <c r="J208">
        <f>VLOOKUP($A208,ScionOutput!$A$3:$BL$215,59,FALSE)</f>
        <v>0</v>
      </c>
      <c r="K208">
        <f>VLOOKUP($A208,ScionOutput!$A$3:$BL$215,62,FALSE)</f>
        <v>0</v>
      </c>
      <c r="L208">
        <f>VLOOKUP($A208,ScionOutput!$A$3:$BL$215,63,FALSE)</f>
        <v>0</v>
      </c>
      <c r="M208" t="b">
        <f t="shared" si="25"/>
        <v>0</v>
      </c>
      <c r="N208">
        <f>VLOOKUP($A208,Outcomes!$B$3:$I$209,8,FALSE)</f>
        <v>7</v>
      </c>
      <c r="O208">
        <f t="shared" si="26"/>
        <v>1</v>
      </c>
      <c r="P208">
        <f>VLOOKUP($A208,Outcomes!$B$3:$I$209,5,FALSE)</f>
        <v>4</v>
      </c>
      <c r="Q208">
        <f>VLOOKUP($A208,Outcomes!$B$3:$I$209,6,FALSE)</f>
        <v>3</v>
      </c>
      <c r="R208">
        <f>VLOOKUP($A208,Outcomes!$B$3:$I$209,7,FALSE)</f>
        <v>-1</v>
      </c>
      <c r="S208" t="str">
        <f t="shared" si="27"/>
        <v>HomFave</v>
      </c>
      <c r="T208" t="str">
        <f t="shared" si="28"/>
        <v/>
      </c>
      <c r="U208" t="str">
        <f t="shared" si="24"/>
        <v/>
      </c>
      <c r="V208" t="str">
        <f t="shared" si="29"/>
        <v/>
      </c>
      <c r="W208" t="str">
        <f t="shared" si="30"/>
        <v/>
      </c>
      <c r="X208" s="2" t="str">
        <f t="shared" si="31"/>
        <v/>
      </c>
      <c r="Y208" t="str">
        <f>VLOOKUP($A208,ScionOutput!$A$3:$BL$215,64,FALSE)</f>
        <v xml:space="preserve">822968. LineStatEns probability points gap does not exceed threshold (no edge found)! StatOnlyEns probability points gap does not exceed threshold (no edge found)! No play due to strategy constraints. </v>
      </c>
    </row>
    <row r="209" spans="1:25" x14ac:dyDescent="0.2">
      <c r="A209">
        <v>822883</v>
      </c>
      <c r="B209" s="3">
        <f>VLOOKUP($A209,ScionOutput!$A$3:$BL$215,3,FALSE)</f>
        <v>46194</v>
      </c>
      <c r="C209">
        <f>VLOOKUP($A209,ScionOutput!$A$3:$BL$215,22,FALSE)</f>
        <v>28</v>
      </c>
      <c r="D209" t="str">
        <f>VLOOKUP($A209,ScionOutput!$A$3:$BL$215,23,FALSE)</f>
        <v>TEX</v>
      </c>
      <c r="E209">
        <f>VLOOKUP($A209,ScionOutput!$A$3:$BL$215,6,FALSE)</f>
        <v>23</v>
      </c>
      <c r="F209" t="str">
        <f>VLOOKUP($A209,ScionOutput!$A$3:$BL$215,7,FALSE)</f>
        <v>SD</v>
      </c>
      <c r="G209">
        <f>VLOOKUP($A209,ScionOutput!$A$3:$BL$215,26,FALSE)</f>
        <v>-160</v>
      </c>
      <c r="H209">
        <f>VLOOKUP($A209,ScionOutput!$A$3:$BL$215,10,FALSE)</f>
        <v>147</v>
      </c>
      <c r="I209" t="str">
        <f>VLOOKUP($A209,ScionOutput!$A$3:$BL$215,58,FALSE)</f>
        <v>No Play</v>
      </c>
      <c r="J209">
        <f>VLOOKUP($A209,ScionOutput!$A$3:$BL$215,59,FALSE)</f>
        <v>0</v>
      </c>
      <c r="K209">
        <f>VLOOKUP($A209,ScionOutput!$A$3:$BL$215,62,FALSE)</f>
        <v>0</v>
      </c>
      <c r="L209">
        <f>VLOOKUP($A209,ScionOutput!$A$3:$BL$215,63,FALSE)</f>
        <v>0</v>
      </c>
      <c r="M209" t="b">
        <f t="shared" si="25"/>
        <v>0</v>
      </c>
      <c r="N209">
        <f>VLOOKUP($A209,Outcomes!$B$3:$I$209,8,FALSE)</f>
        <v>7</v>
      </c>
      <c r="O209">
        <f t="shared" si="26"/>
        <v>1</v>
      </c>
      <c r="P209">
        <f>VLOOKUP($A209,Outcomes!$B$3:$I$209,5,FALSE)</f>
        <v>4</v>
      </c>
      <c r="Q209">
        <f>VLOOKUP($A209,Outcomes!$B$3:$I$209,6,FALSE)</f>
        <v>3</v>
      </c>
      <c r="R209">
        <f>VLOOKUP($A209,Outcomes!$B$3:$I$209,7,FALSE)</f>
        <v>-1</v>
      </c>
      <c r="S209" t="str">
        <f t="shared" si="27"/>
        <v>HomFave</v>
      </c>
      <c r="T209" t="str">
        <f t="shared" si="28"/>
        <v/>
      </c>
      <c r="U209" t="str">
        <f t="shared" si="24"/>
        <v/>
      </c>
      <c r="V209" t="str">
        <f t="shared" si="29"/>
        <v/>
      </c>
      <c r="W209" t="str">
        <f t="shared" si="30"/>
        <v/>
      </c>
      <c r="X209" s="2" t="str">
        <f t="shared" si="31"/>
        <v/>
      </c>
      <c r="Y209" t="str">
        <f>VLOOKUP($A209,ScionOutput!$A$3:$BL$215,64,FALSE)</f>
        <v xml:space="preserve">822883. LineStatEns is NoPlay as bookie-line outside range. StatOnlyEns is NoPlay as bookie-line outside range. No play due to strategy constraints. </v>
      </c>
    </row>
    <row r="210" spans="1:25" x14ac:dyDescent="0.2">
      <c r="D210" t="s">
        <v>667</v>
      </c>
      <c r="F210" t="s">
        <v>667</v>
      </c>
      <c r="G210" t="s">
        <v>667</v>
      </c>
      <c r="H210" t="s">
        <v>667</v>
      </c>
      <c r="I210" t="s">
        <v>667</v>
      </c>
      <c r="J210" t="s">
        <v>667</v>
      </c>
      <c r="K210" t="s">
        <v>667</v>
      </c>
      <c r="L210" t="s">
        <v>667</v>
      </c>
      <c r="M210" t="s">
        <v>667</v>
      </c>
      <c r="T210" t="s">
        <v>667</v>
      </c>
      <c r="U210">
        <f>SUM(U2:U209)</f>
        <v>1631</v>
      </c>
      <c r="V210">
        <f>SUM(V2:V209)</f>
        <v>1037</v>
      </c>
      <c r="W210">
        <f>SUM(W2:W209)</f>
        <v>-594</v>
      </c>
      <c r="X210" s="2">
        <f t="shared" si="31"/>
        <v>-0.3641937461679951</v>
      </c>
      <c r="Y210" t="s">
        <v>667</v>
      </c>
    </row>
    <row r="211" spans="1:25" x14ac:dyDescent="0.2">
      <c r="S211" t="s">
        <v>672</v>
      </c>
      <c r="T211">
        <f>COUNT(R2:R209)</f>
        <v>208</v>
      </c>
    </row>
    <row r="212" spans="1:25" x14ac:dyDescent="0.2">
      <c r="S212" t="s">
        <v>673</v>
      </c>
      <c r="T212">
        <f>COUNT(T2:T209)</f>
        <v>16</v>
      </c>
    </row>
    <row r="213" spans="1:25" x14ac:dyDescent="0.2">
      <c r="S213" s="1" t="s">
        <v>674</v>
      </c>
      <c r="T213" s="2">
        <f>T212/T211</f>
        <v>7.6923076923076927E-2</v>
      </c>
    </row>
    <row r="214" spans="1:25" x14ac:dyDescent="0.2">
      <c r="S214" t="s">
        <v>675</v>
      </c>
      <c r="T214">
        <f>SUM(T2:T209)</f>
        <v>5</v>
      </c>
    </row>
    <row r="215" spans="1:25" x14ac:dyDescent="0.2">
      <c r="S215" t="s">
        <v>676</v>
      </c>
      <c r="T215" s="2">
        <f>T214/T212</f>
        <v>0.3125</v>
      </c>
    </row>
    <row r="216" spans="1:25" x14ac:dyDescent="0.2">
      <c r="S216" t="s">
        <v>684</v>
      </c>
      <c r="T216">
        <f>U210</f>
        <v>1631</v>
      </c>
    </row>
    <row r="217" spans="1:25" x14ac:dyDescent="0.2">
      <c r="S217" t="s">
        <v>685</v>
      </c>
      <c r="T217">
        <f>V210</f>
        <v>1037</v>
      </c>
    </row>
    <row r="218" spans="1:25" x14ac:dyDescent="0.2">
      <c r="S218" t="s">
        <v>687</v>
      </c>
      <c r="T218">
        <f>W210</f>
        <v>-594</v>
      </c>
    </row>
    <row r="219" spans="1:25" x14ac:dyDescent="0.2">
      <c r="S219" t="s">
        <v>686</v>
      </c>
      <c r="T219" s="2">
        <f>IF(T216=0,0,T218/T216)</f>
        <v>-0.3641937461679951</v>
      </c>
    </row>
    <row r="221" spans="1:25" x14ac:dyDescent="0.2">
      <c r="R221" t="s">
        <v>680</v>
      </c>
      <c r="S221" t="s">
        <v>681</v>
      </c>
      <c r="T221">
        <f>COUNTIFS($I$2:$I$209,"HomFave",$T$2:$T$209,"1")+COUNTIFS($I$2:$I$209,"HomFave",$T$2:$T$209,"0")</f>
        <v>2</v>
      </c>
      <c r="V221" t="s">
        <v>688</v>
      </c>
      <c r="W221" t="s">
        <v>681</v>
      </c>
      <c r="X221">
        <f>COUNTIFS($I$2:$I$209,"VisDog",$T$2:$T$209,"1")+COUNTIFS($I$2:$I$209,"VisDog",$T$2:$T$209,"0")</f>
        <v>10</v>
      </c>
    </row>
    <row r="222" spans="1:25" x14ac:dyDescent="0.2">
      <c r="S222" t="s">
        <v>682</v>
      </c>
      <c r="T222">
        <f>COUNTIFS($I$2:$I$209,"HomFave",$T$2:$T$209,"1")</f>
        <v>1</v>
      </c>
      <c r="W222" t="s">
        <v>682</v>
      </c>
      <c r="X222">
        <f>COUNTIFS($I$2:$I$209,"VisDog",$T$2:$T$209,"1")</f>
        <v>3</v>
      </c>
    </row>
    <row r="223" spans="1:25" x14ac:dyDescent="0.2">
      <c r="S223" t="s">
        <v>683</v>
      </c>
      <c r="T223" s="2">
        <f>IF(T221=0,0,T222/T221)</f>
        <v>0.5</v>
      </c>
      <c r="W223" t="s">
        <v>683</v>
      </c>
      <c r="X223" s="2">
        <f>IF(X221=0,0,X222/X221)</f>
        <v>0.3</v>
      </c>
    </row>
    <row r="224" spans="1:25" x14ac:dyDescent="0.2">
      <c r="S224" t="s">
        <v>684</v>
      </c>
      <c r="T224">
        <f>SUMIFS($U$2:$U$209,$I$2:$I$209,"HomFave")</f>
        <v>222</v>
      </c>
      <c r="W224" t="s">
        <v>684</v>
      </c>
      <c r="X224">
        <f>SUMIFS($U$2:$U$209,$I$2:$I$209,"VisDog")</f>
        <v>1006</v>
      </c>
    </row>
    <row r="225" spans="18:24" x14ac:dyDescent="0.2">
      <c r="S225" t="s">
        <v>685</v>
      </c>
      <c r="T225">
        <f>SUMIFS($V$2:$V$209,$I$2:$I$209,"HomFave")</f>
        <v>214</v>
      </c>
      <c r="W225" t="s">
        <v>685</v>
      </c>
      <c r="X225">
        <f>SUMIFS($V$2:$V$209,$I$2:$I$209,"VisDog")</f>
        <v>621</v>
      </c>
    </row>
    <row r="226" spans="18:24" x14ac:dyDescent="0.2">
      <c r="S226" t="s">
        <v>687</v>
      </c>
      <c r="T226">
        <f>T225-T224</f>
        <v>-8</v>
      </c>
      <c r="W226" t="s">
        <v>687</v>
      </c>
      <c r="X226">
        <f>X225-X224</f>
        <v>-385</v>
      </c>
    </row>
    <row r="227" spans="18:24" x14ac:dyDescent="0.2">
      <c r="S227" t="s">
        <v>686</v>
      </c>
      <c r="T227" s="2">
        <f>IF(T224=0,0,T226/T224)</f>
        <v>-3.6036036036036036E-2</v>
      </c>
      <c r="W227" t="s">
        <v>686</v>
      </c>
      <c r="X227" s="2">
        <f>IF(X224=0,0,X226/X224)</f>
        <v>-0.3827037773359841</v>
      </c>
    </row>
    <row r="229" spans="18:24" x14ac:dyDescent="0.2">
      <c r="R229" t="s">
        <v>689</v>
      </c>
      <c r="S229" t="s">
        <v>681</v>
      </c>
      <c r="T229">
        <f>COUNTIFS($I$2:$I$209,"VisFave",$T$2:$T$209,"1")+COUNTIFS($I$2:$I$209,"VisFave",$T$2:$T$209,"0")</f>
        <v>0</v>
      </c>
      <c r="V229" t="s">
        <v>690</v>
      </c>
      <c r="W229" t="s">
        <v>681</v>
      </c>
      <c r="X229">
        <f>COUNTIFS($I$2:$I$209,"HomDog",$T$2:$T$209,"1")+COUNTIFS($I$2:$I$209,"HomDog",$T$2:$T$209,"0")</f>
        <v>4</v>
      </c>
    </row>
    <row r="230" spans="18:24" x14ac:dyDescent="0.2">
      <c r="S230" t="s">
        <v>682</v>
      </c>
      <c r="T230">
        <f>COUNTIFS($I$2:$I$209,"VisFave",$T$2:$T$209,"1")</f>
        <v>0</v>
      </c>
      <c r="W230" t="s">
        <v>682</v>
      </c>
      <c r="X230">
        <f>COUNTIFS($I$2:$I$209,"HomDog",$T$2:$T$209,"1")</f>
        <v>1</v>
      </c>
    </row>
    <row r="231" spans="18:24" x14ac:dyDescent="0.2">
      <c r="S231" t="s">
        <v>683</v>
      </c>
      <c r="T231" s="2">
        <f>IF(T229=0,0,T230/T229)</f>
        <v>0</v>
      </c>
      <c r="W231" t="s">
        <v>683</v>
      </c>
      <c r="X231" s="2">
        <f>IF(X229=0,0,X230/X229)</f>
        <v>0.25</v>
      </c>
    </row>
    <row r="232" spans="18:24" x14ac:dyDescent="0.2">
      <c r="S232" t="s">
        <v>684</v>
      </c>
      <c r="T232">
        <f>SUMIFS($U$2:$U$209,$I$2:$I$209,"VisFave")</f>
        <v>0</v>
      </c>
      <c r="W232" t="s">
        <v>684</v>
      </c>
      <c r="X232">
        <f>SUMIFS($U$2:$U$209,$I$2:$I$209,"HomDog")</f>
        <v>403</v>
      </c>
    </row>
    <row r="233" spans="18:24" x14ac:dyDescent="0.2">
      <c r="S233" t="s">
        <v>685</v>
      </c>
      <c r="T233">
        <f>SUMIFS($V$2:$V$209,$I$2:$I$209,"VisFave")</f>
        <v>0</v>
      </c>
      <c r="W233" t="s">
        <v>685</v>
      </c>
      <c r="X233">
        <f>SUMIFS($V$2:$V$209,$I$2:$I$209,"HomDog")</f>
        <v>202</v>
      </c>
    </row>
    <row r="234" spans="18:24" x14ac:dyDescent="0.2">
      <c r="S234" t="s">
        <v>687</v>
      </c>
      <c r="T234">
        <f>T233-T232</f>
        <v>0</v>
      </c>
      <c r="W234" t="s">
        <v>687</v>
      </c>
      <c r="X234">
        <f>X233-X232</f>
        <v>-201</v>
      </c>
    </row>
    <row r="235" spans="18:24" x14ac:dyDescent="0.2">
      <c r="S235" t="s">
        <v>686</v>
      </c>
      <c r="T235" s="2">
        <f>IF(T232=0,0,T234/T232)</f>
        <v>0</v>
      </c>
      <c r="W235" t="s">
        <v>686</v>
      </c>
      <c r="X235" s="2">
        <f>IF(X232=0,0,X234/X232)</f>
        <v>-0.4987593052109181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F641-FB05-A44F-9DE2-30F974E28977}">
  <dimension ref="A1:Y235"/>
  <sheetViews>
    <sheetView workbookViewId="0">
      <pane ySplit="1" topLeftCell="A176" activePane="bottomLeft" state="frozen"/>
      <selection pane="bottomLeft" activeCell="P212" sqref="P212"/>
    </sheetView>
  </sheetViews>
  <sheetFormatPr baseColWidth="10" defaultRowHeight="16" x14ac:dyDescent="0.2"/>
  <cols>
    <col min="7" max="7" width="17.6640625" bestFit="1" customWidth="1"/>
    <col min="8" max="8" width="17.33203125" bestFit="1" customWidth="1"/>
    <col min="9" max="9" width="21.83203125" bestFit="1" customWidth="1"/>
    <col min="10" max="10" width="21.5" bestFit="1" customWidth="1"/>
    <col min="13" max="13" width="15.1640625" bestFit="1" customWidth="1"/>
  </cols>
  <sheetData>
    <row r="1" spans="1:25" x14ac:dyDescent="0.2">
      <c r="A1" t="s">
        <v>0</v>
      </c>
      <c r="B1" t="s">
        <v>1</v>
      </c>
      <c r="C1" t="s">
        <v>3</v>
      </c>
      <c r="D1" t="s">
        <v>668</v>
      </c>
      <c r="E1" t="s">
        <v>4</v>
      </c>
      <c r="F1" t="s">
        <v>669</v>
      </c>
      <c r="G1" t="s">
        <v>33</v>
      </c>
      <c r="H1" t="s">
        <v>17</v>
      </c>
      <c r="I1" t="s">
        <v>65</v>
      </c>
      <c r="J1" t="s">
        <v>66</v>
      </c>
      <c r="K1" t="s">
        <v>69</v>
      </c>
      <c r="L1" t="s">
        <v>70</v>
      </c>
      <c r="M1" t="s">
        <v>1304</v>
      </c>
      <c r="N1" t="s">
        <v>2</v>
      </c>
      <c r="O1" t="s">
        <v>5</v>
      </c>
      <c r="P1" t="s">
        <v>6</v>
      </c>
      <c r="Q1" t="s">
        <v>7</v>
      </c>
      <c r="R1" t="s">
        <v>8</v>
      </c>
      <c r="S1" t="s">
        <v>671</v>
      </c>
      <c r="T1" t="s">
        <v>670</v>
      </c>
      <c r="U1" t="s">
        <v>677</v>
      </c>
      <c r="V1" t="s">
        <v>678</v>
      </c>
      <c r="W1" t="s">
        <v>679</v>
      </c>
      <c r="X1" t="s">
        <v>686</v>
      </c>
      <c r="Y1" t="s">
        <v>71</v>
      </c>
    </row>
    <row r="2" spans="1:25" x14ac:dyDescent="0.2">
      <c r="A2">
        <v>824915</v>
      </c>
      <c r="B2" s="3">
        <f>VLOOKUP($A2,ScionOutput!$A$3:$BL$215,3,FALSE)</f>
        <v>46179</v>
      </c>
      <c r="C2">
        <f>VLOOKUP($A2,ScionOutput!$A$3:$BL$215,22,FALSE)</f>
        <v>0</v>
      </c>
      <c r="D2" t="str">
        <f>VLOOKUP($A2,ScionOutput!$A$3:$BL$215,23,FALSE)</f>
        <v>ATL</v>
      </c>
      <c r="E2">
        <f>VLOOKUP($A2,ScionOutput!$A$3:$BL$215,6,FALSE)</f>
        <v>22</v>
      </c>
      <c r="F2" t="str">
        <f>VLOOKUP($A2,ScionOutput!$A$3:$BL$215,7,FALSE)</f>
        <v>PIT</v>
      </c>
      <c r="G2">
        <f>VLOOKUP($A2,ScionOutput!$A$3:$BL$215,26,FALSE)</f>
        <v>-110</v>
      </c>
      <c r="H2">
        <f>VLOOKUP($A2,ScionOutput!$A$3:$BL$215,10,FALSE)</f>
        <v>100</v>
      </c>
      <c r="I2" t="str">
        <f>VLOOKUP($A2,ScionOutput!$A$3:$BL$215,58,FALSE)</f>
        <v>HomFave</v>
      </c>
      <c r="J2">
        <f>VLOOKUP($A2,ScionOutput!$A$3:$BL$215,59,FALSE)</f>
        <v>1.8370000000000001E-2</v>
      </c>
      <c r="K2">
        <f>VLOOKUP($A2,ScionOutput!$A$3:$BL$215,62,FALSE)</f>
        <v>1</v>
      </c>
      <c r="L2">
        <f>VLOOKUP($A2,ScionOutput!$A$3:$BL$215,63,FALSE)</f>
        <v>0.93</v>
      </c>
      <c r="M2" t="b">
        <f>ISNUMBER(SEARCH("Play determined by LineStatEns and StatOnlyEns agreement", Y2))</f>
        <v>1</v>
      </c>
      <c r="N2">
        <f>VLOOKUP($A2,Outcomes!$B$3:$I$209,8,FALSE)</f>
        <v>9</v>
      </c>
      <c r="O2">
        <f>IF(P2&gt;Q2,1,IF(P2&lt;Q2,-1,0))</f>
        <v>1</v>
      </c>
      <c r="P2">
        <f>VLOOKUP($A2,Outcomes!$B$3:$I$209,5,FALSE)</f>
        <v>6</v>
      </c>
      <c r="Q2">
        <f>VLOOKUP($A2,Outcomes!$B$3:$I$209,6,FALSE)</f>
        <v>3</v>
      </c>
      <c r="R2">
        <f>VLOOKUP($A2,Outcomes!$B$3:$I$209,7,FALSE)</f>
        <v>-3</v>
      </c>
      <c r="S2" t="str">
        <f>IF(R2=0,"Push",IF(G2&lt;H2,IF(R2&lt;0,"HomFave","VisDog"),IF(R2&gt;0,"VisFave","HomDog")))</f>
        <v>HomFave</v>
      </c>
      <c r="T2">
        <f>IF(OR(R2=0,I2="No Play"),"",IF(S2=I2,1,0))</f>
        <v>1</v>
      </c>
      <c r="U2">
        <f t="shared" ref="U2" si="0">IF(T2="","",IF(G2&lt;H2,IF(I2="HomFave",ABS(G2),IF(H2&lt;0,ABS(H2),100)),IF(I2="VisFave",ABS(H2),IF(G2&lt;0,ABS(G2),100))))</f>
        <v>110</v>
      </c>
      <c r="V2">
        <f>IF(T2="","",IF(T2=0,0,IF(G2&lt;H2,IF(I2="HomFave",U2+100,IF(H2&lt;0,100+U2,U2+ABS(H2))),IF(I2="VisFave",U2+100,IF(G2&lt;0,100+U2,U2+ABS(G2))))))</f>
        <v>210</v>
      </c>
      <c r="W2">
        <f>IF(T2="","",V2-U2)</f>
        <v>100</v>
      </c>
      <c r="X2" s="2">
        <f>IF(T2="","",W2/U2)</f>
        <v>0.90909090909090906</v>
      </c>
      <c r="Y2" t="str">
        <f>VLOOKUP($A2,ScionOutput!$A$3:$BL$215,64,FALSE)</f>
        <v xml:space="preserve">824915. Play determined by LineStatEns and StatOnlyEns agreement. </v>
      </c>
    </row>
    <row r="3" spans="1:25" x14ac:dyDescent="0.2">
      <c r="A3">
        <v>825075</v>
      </c>
      <c r="B3" s="3">
        <f>VLOOKUP($A3,ScionOutput!$A$3:$BL$215,3,FALSE)</f>
        <v>46179</v>
      </c>
      <c r="C3">
        <f>VLOOKUP($A3,ScionOutput!$A$3:$BL$215,22,FALSE)</f>
        <v>1</v>
      </c>
      <c r="D3" t="str">
        <f>VLOOKUP($A3,ScionOutput!$A$3:$BL$215,23,FALSE)</f>
        <v>ARZ</v>
      </c>
      <c r="E3">
        <f>VLOOKUP($A3,ScionOutput!$A$3:$BL$215,6,FALSE)</f>
        <v>16</v>
      </c>
      <c r="F3" t="str">
        <f>VLOOKUP($A3,ScionOutput!$A$3:$BL$215,7,FALSE)</f>
        <v>WAS</v>
      </c>
      <c r="G3">
        <f>VLOOKUP($A3,ScionOutput!$A$3:$BL$215,26,FALSE)</f>
        <v>-155</v>
      </c>
      <c r="H3">
        <f>VLOOKUP($A3,ScionOutput!$A$3:$BL$215,10,FALSE)</f>
        <v>140</v>
      </c>
      <c r="I3" t="str">
        <f>VLOOKUP($A3,ScionOutput!$A$3:$BL$215,58,FALSE)</f>
        <v>No Play</v>
      </c>
      <c r="J3">
        <f>VLOOKUP($A3,ScionOutput!$A$3:$BL$215,59,FALSE)</f>
        <v>0</v>
      </c>
      <c r="K3">
        <f>VLOOKUP($A3,ScionOutput!$A$3:$BL$215,62,FALSE)</f>
        <v>0</v>
      </c>
      <c r="L3">
        <f>VLOOKUP($A3,ScionOutput!$A$3:$BL$215,63,FALSE)</f>
        <v>0</v>
      </c>
      <c r="M3" t="b">
        <f t="shared" ref="M3:M66" si="1">ISNUMBER(SEARCH("Play determined by LineStatEns and StatOnlyEns agreement", Y3))</f>
        <v>0</v>
      </c>
      <c r="N3">
        <f>VLOOKUP($A3,Outcomes!$B$3:$I$209,8,FALSE)</f>
        <v>7</v>
      </c>
      <c r="O3">
        <f t="shared" ref="O3:O65" si="2">IF(P3&gt;Q3,1,IF(P3&lt;Q3,-1,0))</f>
        <v>-1</v>
      </c>
      <c r="P3">
        <f>VLOOKUP($A3,Outcomes!$B$3:$I$209,5,FALSE)</f>
        <v>1</v>
      </c>
      <c r="Q3">
        <f>VLOOKUP($A3,Outcomes!$B$3:$I$209,6,FALSE)</f>
        <v>6</v>
      </c>
      <c r="R3">
        <f>VLOOKUP($A3,Outcomes!$B$3:$I$209,7,FALSE)</f>
        <v>5</v>
      </c>
      <c r="S3" t="str">
        <f t="shared" ref="S3:S65" si="3">IF(R3=0,"Push",IF(G3&lt;H3,IF(R3&lt;0,"HomFave","VisDog"),IF(R3&gt;0,"VisFave","HomDog")))</f>
        <v>VisDog</v>
      </c>
      <c r="T3" t="str">
        <f t="shared" ref="T3:T65" si="4">IF(OR(R3=0,I3="No Play"),"",IF(S3=I3,1,0))</f>
        <v/>
      </c>
      <c r="U3" t="str">
        <f t="shared" ref="U3:U65" si="5">IF(T3="","",IF(G3&lt;H3,IF(I3="HomFave",ABS(G3),IF(H3&lt;0,ABS(H3),100)),IF(I3="VisFave",ABS(H3),IF(G3&lt;0,ABS(G3),100))))</f>
        <v/>
      </c>
      <c r="V3" t="str">
        <f t="shared" ref="V3:V65" si="6">IF(T3="","",IF(T3=0,0,IF(G3&lt;H3,IF(I3="HomFave",U3+100,IF(H3&lt;0,100+U3,U3+ABS(H3))),IF(I3="VisFave",U3+100,IF(G3&lt;0,100+U3,U3+ABS(G3))))))</f>
        <v/>
      </c>
      <c r="W3" t="str">
        <f t="shared" ref="W3:W65" si="7">IF(T3="","",V3-U3)</f>
        <v/>
      </c>
      <c r="X3" s="2" t="str">
        <f t="shared" ref="X3:X65" si="8">IF(T3="","",W3/U3)</f>
        <v/>
      </c>
      <c r="Y3" t="str">
        <f>VLOOKUP($A3,ScionOutput!$A$3:$BL$215,64,FALSE)</f>
        <v xml:space="preserve">825075. LineStatEns is NoPlay as bookie-line outside range. StatOnlyEns is NoPlay as bookie-line outside range. No play due to strategy constraints. </v>
      </c>
    </row>
    <row r="4" spans="1:25" x14ac:dyDescent="0.2">
      <c r="A4">
        <v>824669</v>
      </c>
      <c r="B4" s="3">
        <f>VLOOKUP($A4,ScionOutput!$A$3:$BL$215,3,FALSE)</f>
        <v>46179</v>
      </c>
      <c r="C4">
        <f>VLOOKUP($A4,ScionOutput!$A$3:$BL$215,22,FALSE)</f>
        <v>5</v>
      </c>
      <c r="D4" t="str">
        <f>VLOOKUP($A4,ScionOutput!$A$3:$BL$215,23,FALSE)</f>
        <v>CHC</v>
      </c>
      <c r="E4">
        <f>VLOOKUP($A4,ScionOutput!$A$3:$BL$215,6,FALSE)</f>
        <v>25</v>
      </c>
      <c r="F4" t="str">
        <f>VLOOKUP($A4,ScionOutput!$A$3:$BL$215,7,FALSE)</f>
        <v>SF</v>
      </c>
      <c r="G4">
        <f>VLOOKUP($A4,ScionOutput!$A$3:$BL$215,26,FALSE)</f>
        <v>-140</v>
      </c>
      <c r="H4">
        <f>VLOOKUP($A4,ScionOutput!$A$3:$BL$215,10,FALSE)</f>
        <v>127</v>
      </c>
      <c r="I4" t="str">
        <f>VLOOKUP($A4,ScionOutput!$A$3:$BL$215,58,FALSE)</f>
        <v>No Play</v>
      </c>
      <c r="J4">
        <f>VLOOKUP($A4,ScionOutput!$A$3:$BL$215,59,FALSE)</f>
        <v>0</v>
      </c>
      <c r="K4">
        <f>VLOOKUP($A4,ScionOutput!$A$3:$BL$215,62,FALSE)</f>
        <v>0</v>
      </c>
      <c r="L4">
        <f>VLOOKUP($A4,ScionOutput!$A$3:$BL$215,63,FALSE)</f>
        <v>0</v>
      </c>
      <c r="M4" t="b">
        <f t="shared" si="1"/>
        <v>0</v>
      </c>
      <c r="N4">
        <f>VLOOKUP($A4,Outcomes!$B$3:$I$209,8,FALSE)</f>
        <v>5</v>
      </c>
      <c r="O4">
        <f t="shared" si="2"/>
        <v>1</v>
      </c>
      <c r="P4">
        <f>VLOOKUP($A4,Outcomes!$B$3:$I$209,5,FALSE)</f>
        <v>3</v>
      </c>
      <c r="Q4">
        <f>VLOOKUP($A4,Outcomes!$B$3:$I$209,6,FALSE)</f>
        <v>2</v>
      </c>
      <c r="R4">
        <f>VLOOKUP($A4,Outcomes!$B$3:$I$209,7,FALSE)</f>
        <v>-1</v>
      </c>
      <c r="S4" t="str">
        <f t="shared" si="3"/>
        <v>HomFave</v>
      </c>
      <c r="T4" t="str">
        <f t="shared" si="4"/>
        <v/>
      </c>
      <c r="U4" t="str">
        <f t="shared" si="5"/>
        <v/>
      </c>
      <c r="V4" t="str">
        <f t="shared" si="6"/>
        <v/>
      </c>
      <c r="W4" t="str">
        <f t="shared" si="7"/>
        <v/>
      </c>
      <c r="X4" s="2" t="str">
        <f t="shared" si="8"/>
        <v/>
      </c>
      <c r="Y4" t="str">
        <f>VLOOKUP($A4,ScionOutput!$A$3:$BL$215,64,FALSE)</f>
        <v xml:space="preserve">824669. LineStatEns probability points gap does not exceed threshold (no edge found)! StatOnlyEns probability points gap does not exceed threshold (no edge found)! No play due to strategy constraints. </v>
      </c>
    </row>
    <row r="5" spans="1:25" x14ac:dyDescent="0.2">
      <c r="A5">
        <v>824351</v>
      </c>
      <c r="B5" s="3">
        <f>VLOOKUP($A5,ScionOutput!$A$3:$BL$215,3,FALSE)</f>
        <v>46179</v>
      </c>
      <c r="C5">
        <f>VLOOKUP($A5,ScionOutput!$A$3:$BL$215,22,FALSE)</f>
        <v>8</v>
      </c>
      <c r="D5" t="str">
        <f>VLOOKUP($A5,ScionOutput!$A$3:$BL$215,23,FALSE)</f>
        <v>COL</v>
      </c>
      <c r="E5">
        <f>VLOOKUP($A5,ScionOutput!$A$3:$BL$215,6,FALSE)</f>
        <v>17</v>
      </c>
      <c r="F5" t="str">
        <f>VLOOKUP($A5,ScionOutput!$A$3:$BL$215,7,FALSE)</f>
        <v>MLW</v>
      </c>
      <c r="G5">
        <f>VLOOKUP($A5,ScionOutput!$A$3:$BL$215,26,FALSE)</f>
        <v>214</v>
      </c>
      <c r="H5">
        <f>VLOOKUP($A5,ScionOutput!$A$3:$BL$215,10,FALSE)</f>
        <v>-240</v>
      </c>
      <c r="I5" t="str">
        <f>VLOOKUP($A5,ScionOutput!$A$3:$BL$215,58,FALSE)</f>
        <v>No Play</v>
      </c>
      <c r="J5">
        <f>VLOOKUP($A5,ScionOutput!$A$3:$BL$215,59,FALSE)</f>
        <v>0</v>
      </c>
      <c r="K5">
        <f>VLOOKUP($A5,ScionOutput!$A$3:$BL$215,62,FALSE)</f>
        <v>0</v>
      </c>
      <c r="L5">
        <f>VLOOKUP($A5,ScionOutput!$A$3:$BL$215,63,FALSE)</f>
        <v>0</v>
      </c>
      <c r="M5" t="b">
        <f t="shared" si="1"/>
        <v>0</v>
      </c>
      <c r="N5">
        <f>VLOOKUP($A5,Outcomes!$B$3:$I$209,8,FALSE)</f>
        <v>8</v>
      </c>
      <c r="O5">
        <f t="shared" si="2"/>
        <v>-1</v>
      </c>
      <c r="P5">
        <f>VLOOKUP($A5,Outcomes!$B$3:$I$209,5,FALSE)</f>
        <v>1</v>
      </c>
      <c r="Q5">
        <f>VLOOKUP($A5,Outcomes!$B$3:$I$209,6,FALSE)</f>
        <v>7</v>
      </c>
      <c r="R5">
        <f>VLOOKUP($A5,Outcomes!$B$3:$I$209,7,FALSE)</f>
        <v>6</v>
      </c>
      <c r="S5" t="str">
        <f t="shared" si="3"/>
        <v>VisFave</v>
      </c>
      <c r="T5" t="str">
        <f t="shared" si="4"/>
        <v/>
      </c>
      <c r="U5" t="str">
        <f t="shared" si="5"/>
        <v/>
      </c>
      <c r="V5" t="str">
        <f t="shared" si="6"/>
        <v/>
      </c>
      <c r="W5" t="str">
        <f t="shared" si="7"/>
        <v/>
      </c>
      <c r="X5" s="2" t="str">
        <f t="shared" si="8"/>
        <v/>
      </c>
      <c r="Y5" t="str">
        <f>VLOOKUP($A5,ScionOutput!$A$3:$BL$215,64,FALSE)</f>
        <v xml:space="preserve">824351. LineStatEns is NoPlay as bookie-line outside range. StatOnlyEns is NoPlay as bookie-line outside range. No play due to strategy constraints. </v>
      </c>
    </row>
    <row r="6" spans="1:25" x14ac:dyDescent="0.2">
      <c r="A6">
        <v>824269</v>
      </c>
      <c r="B6" s="3">
        <f>VLOOKUP($A6,ScionOutput!$A$3:$BL$215,3,FALSE)</f>
        <v>46179</v>
      </c>
      <c r="C6">
        <f>VLOOKUP($A6,ScionOutput!$A$3:$BL$215,22,FALSE)</f>
        <v>10</v>
      </c>
      <c r="D6" t="str">
        <f>VLOOKUP($A6,ScionOutput!$A$3:$BL$215,23,FALSE)</f>
        <v>DET</v>
      </c>
      <c r="E6">
        <f>VLOOKUP($A6,ScionOutput!$A$3:$BL$215,6,FALSE)</f>
        <v>24</v>
      </c>
      <c r="F6" t="str">
        <f>VLOOKUP($A6,ScionOutput!$A$3:$BL$215,7,FALSE)</f>
        <v>SEA</v>
      </c>
      <c r="G6">
        <f>VLOOKUP($A6,ScionOutput!$A$3:$BL$215,26,FALSE)</f>
        <v>116</v>
      </c>
      <c r="H6">
        <f>VLOOKUP($A6,ScionOutput!$A$3:$BL$215,10,FALSE)</f>
        <v>-128</v>
      </c>
      <c r="I6" t="str">
        <f>VLOOKUP($A6,ScionOutput!$A$3:$BL$215,58,FALSE)</f>
        <v>No Play</v>
      </c>
      <c r="J6">
        <f>VLOOKUP($A6,ScionOutput!$A$3:$BL$215,59,FALSE)</f>
        <v>0</v>
      </c>
      <c r="K6">
        <f>VLOOKUP($A6,ScionOutput!$A$3:$BL$215,62,FALSE)</f>
        <v>0</v>
      </c>
      <c r="L6">
        <f>VLOOKUP($A6,ScionOutput!$A$3:$BL$215,63,FALSE)</f>
        <v>0</v>
      </c>
      <c r="M6" t="b">
        <f t="shared" si="1"/>
        <v>0</v>
      </c>
      <c r="N6">
        <f>VLOOKUP($A6,Outcomes!$B$3:$I$209,8,FALSE)</f>
        <v>4</v>
      </c>
      <c r="O6">
        <f t="shared" si="2"/>
        <v>-1</v>
      </c>
      <c r="P6">
        <f>VLOOKUP($A6,Outcomes!$B$3:$I$209,5,FALSE)</f>
        <v>0</v>
      </c>
      <c r="Q6">
        <f>VLOOKUP($A6,Outcomes!$B$3:$I$209,6,FALSE)</f>
        <v>4</v>
      </c>
      <c r="R6">
        <f>VLOOKUP($A6,Outcomes!$B$3:$I$209,7,FALSE)</f>
        <v>4</v>
      </c>
      <c r="S6" t="str">
        <f t="shared" si="3"/>
        <v>VisFave</v>
      </c>
      <c r="T6" t="str">
        <f t="shared" si="4"/>
        <v/>
      </c>
      <c r="U6" t="str">
        <f t="shared" si="5"/>
        <v/>
      </c>
      <c r="V6" t="str">
        <f t="shared" si="6"/>
        <v/>
      </c>
      <c r="W6" t="str">
        <f t="shared" si="7"/>
        <v/>
      </c>
      <c r="X6" s="2" t="str">
        <f t="shared" si="8"/>
        <v/>
      </c>
      <c r="Y6" t="str">
        <f>VLOOKUP($A6,ScionOutput!$A$3:$BL$215,64,FALSE)</f>
        <v xml:space="preserve">824269. VF plays are disallowed. No play due to strategy constraints. </v>
      </c>
    </row>
    <row r="7" spans="1:25" x14ac:dyDescent="0.2">
      <c r="A7">
        <v>823859</v>
      </c>
      <c r="B7" s="3">
        <f>VLOOKUP($A7,ScionOutput!$A$3:$BL$215,3,FALSE)</f>
        <v>46179</v>
      </c>
      <c r="C7">
        <f>VLOOKUP($A7,ScionOutput!$A$3:$BL$215,22,FALSE)</f>
        <v>11</v>
      </c>
      <c r="D7" t="str">
        <f>VLOOKUP($A7,ScionOutput!$A$3:$BL$215,23,FALSE)</f>
        <v>FLO</v>
      </c>
      <c r="E7">
        <f>VLOOKUP($A7,ScionOutput!$A$3:$BL$215,6,FALSE)</f>
        <v>27</v>
      </c>
      <c r="F7" t="str">
        <f>VLOOKUP($A7,ScionOutput!$A$3:$BL$215,7,FALSE)</f>
        <v>TB</v>
      </c>
      <c r="G7">
        <f>VLOOKUP($A7,ScionOutput!$A$3:$BL$215,26,FALSE)</f>
        <v>117</v>
      </c>
      <c r="H7">
        <f>VLOOKUP($A7,ScionOutput!$A$3:$BL$215,10,FALSE)</f>
        <v>-129</v>
      </c>
      <c r="I7" t="str">
        <f>VLOOKUP($A7,ScionOutput!$A$3:$BL$215,58,FALSE)</f>
        <v>No Play</v>
      </c>
      <c r="J7">
        <f>VLOOKUP($A7,ScionOutput!$A$3:$BL$215,59,FALSE)</f>
        <v>0</v>
      </c>
      <c r="K7">
        <f>VLOOKUP($A7,ScionOutput!$A$3:$BL$215,62,FALSE)</f>
        <v>0</v>
      </c>
      <c r="L7">
        <f>VLOOKUP($A7,ScionOutput!$A$3:$BL$215,63,FALSE)</f>
        <v>0</v>
      </c>
      <c r="M7" t="b">
        <f t="shared" si="1"/>
        <v>0</v>
      </c>
      <c r="N7">
        <f>VLOOKUP($A7,Outcomes!$B$3:$I$209,8,FALSE)</f>
        <v>7</v>
      </c>
      <c r="O7">
        <f t="shared" si="2"/>
        <v>1</v>
      </c>
      <c r="P7">
        <f>VLOOKUP($A7,Outcomes!$B$3:$I$209,5,FALSE)</f>
        <v>4</v>
      </c>
      <c r="Q7">
        <f>VLOOKUP($A7,Outcomes!$B$3:$I$209,6,FALSE)</f>
        <v>3</v>
      </c>
      <c r="R7">
        <f>VLOOKUP($A7,Outcomes!$B$3:$I$209,7,FALSE)</f>
        <v>-1</v>
      </c>
      <c r="S7" t="str">
        <f t="shared" si="3"/>
        <v>HomDog</v>
      </c>
      <c r="T7" t="str">
        <f t="shared" si="4"/>
        <v/>
      </c>
      <c r="U7" t="str">
        <f t="shared" si="5"/>
        <v/>
      </c>
      <c r="V7" t="str">
        <f t="shared" si="6"/>
        <v/>
      </c>
      <c r="W7" t="str">
        <f t="shared" si="7"/>
        <v/>
      </c>
      <c r="X7" s="2" t="str">
        <f t="shared" si="8"/>
        <v/>
      </c>
      <c r="Y7" t="str">
        <f>VLOOKUP($A7,ScionOutput!$A$3:$BL$215,64,FALSE)</f>
        <v xml:space="preserve">823859. VF plays are disallowed. No play due to strategy constraints. </v>
      </c>
    </row>
    <row r="8" spans="1:25" x14ac:dyDescent="0.2">
      <c r="A8">
        <v>824184</v>
      </c>
      <c r="B8" s="3">
        <f>VLOOKUP($A8,ScionOutput!$A$3:$BL$215,3,FALSE)</f>
        <v>46179</v>
      </c>
      <c r="C8">
        <f>VLOOKUP($A8,ScionOutput!$A$3:$BL$215,22,FALSE)</f>
        <v>12</v>
      </c>
      <c r="D8" t="str">
        <f>VLOOKUP($A8,ScionOutput!$A$3:$BL$215,23,FALSE)</f>
        <v>HOU</v>
      </c>
      <c r="E8">
        <f>VLOOKUP($A8,ScionOutput!$A$3:$BL$215,6,FALSE)</f>
        <v>20</v>
      </c>
      <c r="F8" t="str">
        <f>VLOOKUP($A8,ScionOutput!$A$3:$BL$215,7,FALSE)</f>
        <v>OAK</v>
      </c>
      <c r="G8">
        <f>VLOOKUP($A8,ScionOutput!$A$3:$BL$215,26,FALSE)</f>
        <v>-107</v>
      </c>
      <c r="H8">
        <f>VLOOKUP($A8,ScionOutput!$A$3:$BL$215,10,FALSE)</f>
        <v>-103</v>
      </c>
      <c r="I8" t="str">
        <f>VLOOKUP($A8,ScionOutput!$A$3:$BL$215,58,FALSE)</f>
        <v>No Play</v>
      </c>
      <c r="J8">
        <f>VLOOKUP($A8,ScionOutput!$A$3:$BL$215,59,FALSE)</f>
        <v>0</v>
      </c>
      <c r="K8">
        <f>VLOOKUP($A8,ScionOutput!$A$3:$BL$215,62,FALSE)</f>
        <v>0</v>
      </c>
      <c r="L8">
        <f>VLOOKUP($A8,ScionOutput!$A$3:$BL$215,63,FALSE)</f>
        <v>0</v>
      </c>
      <c r="M8" t="b">
        <f t="shared" si="1"/>
        <v>0</v>
      </c>
      <c r="N8">
        <f>VLOOKUP($A8,Outcomes!$B$3:$I$209,8,FALSE)</f>
        <v>15</v>
      </c>
      <c r="O8">
        <f t="shared" si="2"/>
        <v>1</v>
      </c>
      <c r="P8">
        <f>VLOOKUP($A8,Outcomes!$B$3:$I$209,5,FALSE)</f>
        <v>13</v>
      </c>
      <c r="Q8">
        <f>VLOOKUP($A8,Outcomes!$B$3:$I$209,6,FALSE)</f>
        <v>2</v>
      </c>
      <c r="R8">
        <f>VLOOKUP($A8,Outcomes!$B$3:$I$209,7,FALSE)</f>
        <v>-11</v>
      </c>
      <c r="S8" t="str">
        <f t="shared" si="3"/>
        <v>HomFave</v>
      </c>
      <c r="T8" t="str">
        <f t="shared" si="4"/>
        <v/>
      </c>
      <c r="U8" t="str">
        <f t="shared" si="5"/>
        <v/>
      </c>
      <c r="V8" t="str">
        <f t="shared" si="6"/>
        <v/>
      </c>
      <c r="W8" t="str">
        <f t="shared" si="7"/>
        <v/>
      </c>
      <c r="X8" s="2" t="str">
        <f t="shared" si="8"/>
        <v/>
      </c>
      <c r="Y8" t="str">
        <f>VLOOKUP($A8,ScionOutput!$A$3:$BL$215,64,FALSE)</f>
        <v xml:space="preserve">824184. V_SP is Null, team-based avg used. NoPlay as V_SP is Null. </v>
      </c>
    </row>
    <row r="9" spans="1:25" x14ac:dyDescent="0.2">
      <c r="A9">
        <v>823942</v>
      </c>
      <c r="B9" s="3">
        <f>VLOOKUP($A9,ScionOutput!$A$3:$BL$215,3,FALSE)</f>
        <v>46179</v>
      </c>
      <c r="C9">
        <f>VLOOKUP($A9,ScionOutput!$A$3:$BL$215,22,FALSE)</f>
        <v>14</v>
      </c>
      <c r="D9" t="str">
        <f>VLOOKUP($A9,ScionOutput!$A$3:$BL$215,23,FALSE)</f>
        <v>LA</v>
      </c>
      <c r="E9">
        <f>VLOOKUP($A9,ScionOutput!$A$3:$BL$215,6,FALSE)</f>
        <v>4</v>
      </c>
      <c r="F9" t="str">
        <f>VLOOKUP($A9,ScionOutput!$A$3:$BL$215,7,FALSE)</f>
        <v>LAA</v>
      </c>
      <c r="G9">
        <f>VLOOKUP($A9,ScionOutput!$A$3:$BL$215,26,FALSE)</f>
        <v>-312</v>
      </c>
      <c r="H9">
        <f>VLOOKUP($A9,ScionOutput!$A$3:$BL$215,10,FALSE)</f>
        <v>275</v>
      </c>
      <c r="I9" t="str">
        <f>VLOOKUP($A9,ScionOutput!$A$3:$BL$215,58,FALSE)</f>
        <v>No Play</v>
      </c>
      <c r="J9">
        <f>VLOOKUP($A9,ScionOutput!$A$3:$BL$215,59,FALSE)</f>
        <v>0</v>
      </c>
      <c r="K9">
        <f>VLOOKUP($A9,ScionOutput!$A$3:$BL$215,62,FALSE)</f>
        <v>0</v>
      </c>
      <c r="L9">
        <f>VLOOKUP($A9,ScionOutput!$A$3:$BL$215,63,FALSE)</f>
        <v>0</v>
      </c>
      <c r="M9" t="b">
        <f t="shared" si="1"/>
        <v>0</v>
      </c>
      <c r="N9">
        <f>VLOOKUP($A9,Outcomes!$B$3:$I$209,8,FALSE)</f>
        <v>11</v>
      </c>
      <c r="O9">
        <f t="shared" si="2"/>
        <v>1</v>
      </c>
      <c r="P9">
        <f>VLOOKUP($A9,Outcomes!$B$3:$I$209,5,FALSE)</f>
        <v>9</v>
      </c>
      <c r="Q9">
        <f>VLOOKUP($A9,Outcomes!$B$3:$I$209,6,FALSE)</f>
        <v>2</v>
      </c>
      <c r="R9">
        <f>VLOOKUP($A9,Outcomes!$B$3:$I$209,7,FALSE)</f>
        <v>-7</v>
      </c>
      <c r="S9" t="str">
        <f t="shared" si="3"/>
        <v>HomFave</v>
      </c>
      <c r="T9" t="str">
        <f t="shared" si="4"/>
        <v/>
      </c>
      <c r="U9" t="str">
        <f t="shared" si="5"/>
        <v/>
      </c>
      <c r="V9" t="str">
        <f t="shared" si="6"/>
        <v/>
      </c>
      <c r="W9" t="str">
        <f t="shared" si="7"/>
        <v/>
      </c>
      <c r="X9" s="2" t="str">
        <f t="shared" si="8"/>
        <v/>
      </c>
      <c r="Y9" t="str">
        <f>VLOOKUP($A9,ScionOutput!$A$3:$BL$215,64,FALSE)</f>
        <v xml:space="preserve">823942. LineStatEns is NoPlay as bookie-line outside range. StatOnlyEns is NoPlay as bookie-line outside range. No play due to strategy constraints. </v>
      </c>
    </row>
    <row r="10" spans="1:25" x14ac:dyDescent="0.2">
      <c r="A10">
        <v>823697</v>
      </c>
      <c r="B10" s="3">
        <f>VLOOKUP($A10,ScionOutput!$A$3:$BL$215,3,FALSE)</f>
        <v>46179</v>
      </c>
      <c r="C10">
        <f>VLOOKUP($A10,ScionOutput!$A$3:$BL$215,22,FALSE)</f>
        <v>15</v>
      </c>
      <c r="D10" t="str">
        <f>VLOOKUP($A10,ScionOutput!$A$3:$BL$215,23,FALSE)</f>
        <v>MIN</v>
      </c>
      <c r="E10">
        <f>VLOOKUP($A10,ScionOutput!$A$3:$BL$215,6,FALSE)</f>
        <v>13</v>
      </c>
      <c r="F10" t="str">
        <f>VLOOKUP($A10,ScionOutput!$A$3:$BL$215,7,FALSE)</f>
        <v>KC</v>
      </c>
      <c r="G10">
        <f>VLOOKUP($A10,ScionOutput!$A$3:$BL$215,26,FALSE)</f>
        <v>-145</v>
      </c>
      <c r="H10">
        <f>VLOOKUP($A10,ScionOutput!$A$3:$BL$215,10,FALSE)</f>
        <v>131</v>
      </c>
      <c r="I10" t="str">
        <f>VLOOKUP($A10,ScionOutput!$A$3:$BL$215,58,FALSE)</f>
        <v>No Play</v>
      </c>
      <c r="J10">
        <f>VLOOKUP($A10,ScionOutput!$A$3:$BL$215,59,FALSE)</f>
        <v>0</v>
      </c>
      <c r="K10">
        <f>VLOOKUP($A10,ScionOutput!$A$3:$BL$215,62,FALSE)</f>
        <v>0</v>
      </c>
      <c r="L10">
        <f>VLOOKUP($A10,ScionOutput!$A$3:$BL$215,63,FALSE)</f>
        <v>0</v>
      </c>
      <c r="M10" t="b">
        <f t="shared" si="1"/>
        <v>0</v>
      </c>
      <c r="N10">
        <f>VLOOKUP($A10,Outcomes!$B$3:$I$209,8,FALSE)</f>
        <v>5</v>
      </c>
      <c r="O10">
        <f t="shared" si="2"/>
        <v>-1</v>
      </c>
      <c r="P10">
        <f>VLOOKUP($A10,Outcomes!$B$3:$I$209,5,FALSE)</f>
        <v>2</v>
      </c>
      <c r="Q10">
        <f>VLOOKUP($A10,Outcomes!$B$3:$I$209,6,FALSE)</f>
        <v>3</v>
      </c>
      <c r="R10">
        <f>VLOOKUP($A10,Outcomes!$B$3:$I$209,7,FALSE)</f>
        <v>1</v>
      </c>
      <c r="S10" t="str">
        <f t="shared" si="3"/>
        <v>VisDog</v>
      </c>
      <c r="T10" t="str">
        <f t="shared" si="4"/>
        <v/>
      </c>
      <c r="U10" t="str">
        <f t="shared" si="5"/>
        <v/>
      </c>
      <c r="V10" t="str">
        <f t="shared" si="6"/>
        <v/>
      </c>
      <c r="W10" t="str">
        <f t="shared" si="7"/>
        <v/>
      </c>
      <c r="X10" s="2" t="str">
        <f t="shared" si="8"/>
        <v/>
      </c>
      <c r="Y10" t="str">
        <f>VLOOKUP($A10,ScionOutput!$A$3:$BL$215,64,FALSE)</f>
        <v xml:space="preserve">823697. LineStatEns probability points gap does not exceed threshold (no edge found)! StatOnlyEns probability points gap does not exceed threshold (no edge found)! No play due to strategy constraints. </v>
      </c>
    </row>
    <row r="11" spans="1:25" x14ac:dyDescent="0.2">
      <c r="A11">
        <v>823454</v>
      </c>
      <c r="B11" s="3">
        <f>VLOOKUP($A11,ScionOutput!$A$3:$BL$215,3,FALSE)</f>
        <v>46179</v>
      </c>
      <c r="C11">
        <f>VLOOKUP($A11,ScionOutput!$A$3:$BL$215,22,FALSE)</f>
        <v>21</v>
      </c>
      <c r="D11" t="str">
        <f>VLOOKUP($A11,ScionOutput!$A$3:$BL$215,23,FALSE)</f>
        <v>PHI</v>
      </c>
      <c r="E11">
        <f>VLOOKUP($A11,ScionOutput!$A$3:$BL$215,6,FALSE)</f>
        <v>9</v>
      </c>
      <c r="F11" t="str">
        <f>VLOOKUP($A11,ScionOutput!$A$3:$BL$215,7,FALSE)</f>
        <v>CWS</v>
      </c>
      <c r="G11">
        <f>VLOOKUP($A11,ScionOutput!$A$3:$BL$215,26,FALSE)</f>
        <v>-123</v>
      </c>
      <c r="H11">
        <f>VLOOKUP($A11,ScionOutput!$A$3:$BL$215,10,FALSE)</f>
        <v>112</v>
      </c>
      <c r="I11" t="str">
        <f>VLOOKUP($A11,ScionOutput!$A$3:$BL$215,58,FALSE)</f>
        <v>No Play</v>
      </c>
      <c r="J11">
        <f>VLOOKUP($A11,ScionOutput!$A$3:$BL$215,59,FALSE)</f>
        <v>0</v>
      </c>
      <c r="K11">
        <f>VLOOKUP($A11,ScionOutput!$A$3:$BL$215,62,FALSE)</f>
        <v>0</v>
      </c>
      <c r="L11">
        <f>VLOOKUP($A11,ScionOutput!$A$3:$BL$215,63,FALSE)</f>
        <v>0</v>
      </c>
      <c r="M11" t="b">
        <f t="shared" si="1"/>
        <v>0</v>
      </c>
      <c r="N11">
        <f>VLOOKUP($A11,Outcomes!$B$3:$I$209,8,FALSE)</f>
        <v>9</v>
      </c>
      <c r="O11">
        <f t="shared" si="2"/>
        <v>-1</v>
      </c>
      <c r="P11">
        <f>VLOOKUP($A11,Outcomes!$B$3:$I$209,5,FALSE)</f>
        <v>3</v>
      </c>
      <c r="Q11">
        <f>VLOOKUP($A11,Outcomes!$B$3:$I$209,6,FALSE)</f>
        <v>6</v>
      </c>
      <c r="R11">
        <f>VLOOKUP($A11,Outcomes!$B$3:$I$209,7,FALSE)</f>
        <v>3</v>
      </c>
      <c r="S11" t="str">
        <f t="shared" si="3"/>
        <v>VisDog</v>
      </c>
      <c r="T11" t="str">
        <f t="shared" si="4"/>
        <v/>
      </c>
      <c r="U11" t="str">
        <f t="shared" si="5"/>
        <v/>
      </c>
      <c r="V11" t="str">
        <f t="shared" si="6"/>
        <v/>
      </c>
      <c r="W11" t="str">
        <f t="shared" si="7"/>
        <v/>
      </c>
      <c r="X11" s="2" t="str">
        <f t="shared" si="8"/>
        <v/>
      </c>
      <c r="Y11" t="str">
        <f>VLOOKUP($A11,ScionOutput!$A$3:$BL$215,64,FALSE)</f>
        <v xml:space="preserve">823454. LineStatEns probability points gap does not exceed threshold (no edge found)! No play due to strategy constraints. </v>
      </c>
    </row>
    <row r="12" spans="1:25" x14ac:dyDescent="0.2">
      <c r="A12">
        <v>823292</v>
      </c>
      <c r="B12" s="3">
        <f>VLOOKUP($A12,ScionOutput!$A$3:$BL$215,3,FALSE)</f>
        <v>46179</v>
      </c>
      <c r="C12">
        <f>VLOOKUP($A12,ScionOutput!$A$3:$BL$215,22,FALSE)</f>
        <v>23</v>
      </c>
      <c r="D12" t="str">
        <f>VLOOKUP($A12,ScionOutput!$A$3:$BL$215,23,FALSE)</f>
        <v>SD</v>
      </c>
      <c r="E12">
        <f>VLOOKUP($A12,ScionOutput!$A$3:$BL$215,6,FALSE)</f>
        <v>18</v>
      </c>
      <c r="F12" t="str">
        <f>VLOOKUP($A12,ScionOutput!$A$3:$BL$215,7,FALSE)</f>
        <v>NYM</v>
      </c>
      <c r="G12">
        <f>VLOOKUP($A12,ScionOutput!$A$3:$BL$215,26,FALSE)</f>
        <v>104</v>
      </c>
      <c r="H12">
        <f>VLOOKUP($A12,ScionOutput!$A$3:$BL$215,10,FALSE)</f>
        <v>-115</v>
      </c>
      <c r="I12" t="str">
        <f>VLOOKUP($A12,ScionOutput!$A$3:$BL$215,58,FALSE)</f>
        <v>No Play</v>
      </c>
      <c r="J12">
        <f>VLOOKUP($A12,ScionOutput!$A$3:$BL$215,59,FALSE)</f>
        <v>0</v>
      </c>
      <c r="K12">
        <f>VLOOKUP($A12,ScionOutput!$A$3:$BL$215,62,FALSE)</f>
        <v>0</v>
      </c>
      <c r="L12">
        <f>VLOOKUP($A12,ScionOutput!$A$3:$BL$215,63,FALSE)</f>
        <v>0</v>
      </c>
      <c r="M12" t="b">
        <f t="shared" si="1"/>
        <v>0</v>
      </c>
      <c r="N12">
        <f>VLOOKUP($A12,Outcomes!$B$3:$I$209,8,FALSE)</f>
        <v>5</v>
      </c>
      <c r="O12">
        <f t="shared" si="2"/>
        <v>1</v>
      </c>
      <c r="P12">
        <f>VLOOKUP($A12,Outcomes!$B$3:$I$209,5,FALSE)</f>
        <v>3</v>
      </c>
      <c r="Q12">
        <f>VLOOKUP($A12,Outcomes!$B$3:$I$209,6,FALSE)</f>
        <v>2</v>
      </c>
      <c r="R12">
        <f>VLOOKUP($A12,Outcomes!$B$3:$I$209,7,FALSE)</f>
        <v>-1</v>
      </c>
      <c r="S12" t="str">
        <f t="shared" si="3"/>
        <v>HomDog</v>
      </c>
      <c r="T12" t="str">
        <f t="shared" si="4"/>
        <v/>
      </c>
      <c r="U12" t="str">
        <f t="shared" si="5"/>
        <v/>
      </c>
      <c r="V12" t="str">
        <f t="shared" si="6"/>
        <v/>
      </c>
      <c r="W12" t="str">
        <f t="shared" si="7"/>
        <v/>
      </c>
      <c r="X12" s="2" t="str">
        <f t="shared" si="8"/>
        <v/>
      </c>
      <c r="Y12" t="str">
        <f>VLOOKUP($A12,ScionOutput!$A$3:$BL$215,64,FALSE)</f>
        <v xml:space="preserve">823292. VF plays are disallowed. No play due to strategy constraints. </v>
      </c>
    </row>
    <row r="13" spans="1:25" x14ac:dyDescent="0.2">
      <c r="A13">
        <v>823048</v>
      </c>
      <c r="B13" s="3">
        <f>VLOOKUP($A13,ScionOutput!$A$3:$BL$215,3,FALSE)</f>
        <v>46179</v>
      </c>
      <c r="C13">
        <f>VLOOKUP($A13,ScionOutput!$A$3:$BL$215,22,FALSE)</f>
        <v>26</v>
      </c>
      <c r="D13" t="str">
        <f>VLOOKUP($A13,ScionOutput!$A$3:$BL$215,23,FALSE)</f>
        <v>STL</v>
      </c>
      <c r="E13">
        <f>VLOOKUP($A13,ScionOutput!$A$3:$BL$215,6,FALSE)</f>
        <v>6</v>
      </c>
      <c r="F13" t="str">
        <f>VLOOKUP($A13,ScionOutput!$A$3:$BL$215,7,FALSE)</f>
        <v>CIN</v>
      </c>
      <c r="G13">
        <f>VLOOKUP($A13,ScionOutput!$A$3:$BL$215,26,FALSE)</f>
        <v>-125</v>
      </c>
      <c r="H13">
        <f>VLOOKUP($A13,ScionOutput!$A$3:$BL$215,10,FALSE)</f>
        <v>113</v>
      </c>
      <c r="I13" t="str">
        <f>VLOOKUP($A13,ScionOutput!$A$3:$BL$215,58,FALSE)</f>
        <v>No Play</v>
      </c>
      <c r="J13">
        <f>VLOOKUP($A13,ScionOutput!$A$3:$BL$215,59,FALSE)</f>
        <v>0</v>
      </c>
      <c r="K13">
        <f>VLOOKUP($A13,ScionOutput!$A$3:$BL$215,62,FALSE)</f>
        <v>0</v>
      </c>
      <c r="L13">
        <f>VLOOKUP($A13,ScionOutput!$A$3:$BL$215,63,FALSE)</f>
        <v>0</v>
      </c>
      <c r="M13" t="b">
        <f t="shared" si="1"/>
        <v>0</v>
      </c>
      <c r="N13">
        <f>VLOOKUP($A13,Outcomes!$B$3:$I$209,8,FALSE)</f>
        <v>11</v>
      </c>
      <c r="O13">
        <f t="shared" si="2"/>
        <v>1</v>
      </c>
      <c r="P13">
        <f>VLOOKUP($A13,Outcomes!$B$3:$I$209,5,FALSE)</f>
        <v>6</v>
      </c>
      <c r="Q13">
        <f>VLOOKUP($A13,Outcomes!$B$3:$I$209,6,FALSE)</f>
        <v>5</v>
      </c>
      <c r="R13">
        <f>VLOOKUP($A13,Outcomes!$B$3:$I$209,7,FALSE)</f>
        <v>-1</v>
      </c>
      <c r="S13" t="str">
        <f t="shared" si="3"/>
        <v>HomFave</v>
      </c>
      <c r="T13" t="str">
        <f t="shared" si="4"/>
        <v/>
      </c>
      <c r="U13" t="str">
        <f t="shared" si="5"/>
        <v/>
      </c>
      <c r="V13" t="str">
        <f t="shared" si="6"/>
        <v/>
      </c>
      <c r="W13" t="str">
        <f t="shared" si="7"/>
        <v/>
      </c>
      <c r="X13" s="2" t="str">
        <f t="shared" si="8"/>
        <v/>
      </c>
      <c r="Y13" t="str">
        <f>VLOOKUP($A13,ScionOutput!$A$3:$BL$215,64,FALSE)</f>
        <v xml:space="preserve">823048. LineStatEns probability points gap does not exceed threshold (no edge found)! StatOnlyEns probability points gap does not exceed threshold (no edge found)! No play due to strategy constraints. </v>
      </c>
    </row>
    <row r="14" spans="1:25" x14ac:dyDescent="0.2">
      <c r="A14">
        <v>822891</v>
      </c>
      <c r="B14" s="3">
        <f>VLOOKUP($A14,ScionOutput!$A$3:$BL$215,3,FALSE)</f>
        <v>46179</v>
      </c>
      <c r="C14">
        <f>VLOOKUP($A14,ScionOutput!$A$3:$BL$215,22,FALSE)</f>
        <v>28</v>
      </c>
      <c r="D14" t="str">
        <f>VLOOKUP($A14,ScionOutput!$A$3:$BL$215,23,FALSE)</f>
        <v>TEX</v>
      </c>
      <c r="E14">
        <f>VLOOKUP($A14,ScionOutput!$A$3:$BL$215,6,FALSE)</f>
        <v>7</v>
      </c>
      <c r="F14" t="str">
        <f>VLOOKUP($A14,ScionOutput!$A$3:$BL$215,7,FALSE)</f>
        <v>CLE</v>
      </c>
      <c r="G14">
        <f>VLOOKUP($A14,ScionOutput!$A$3:$BL$215,26,FALSE)</f>
        <v>-107</v>
      </c>
      <c r="H14">
        <f>VLOOKUP($A14,ScionOutput!$A$3:$BL$215,10,FALSE)</f>
        <v>-103</v>
      </c>
      <c r="I14" t="str">
        <f>VLOOKUP($A14,ScionOutput!$A$3:$BL$215,58,FALSE)</f>
        <v>No Play</v>
      </c>
      <c r="J14">
        <f>VLOOKUP($A14,ScionOutput!$A$3:$BL$215,59,FALSE)</f>
        <v>0</v>
      </c>
      <c r="K14">
        <f>VLOOKUP($A14,ScionOutput!$A$3:$BL$215,62,FALSE)</f>
        <v>0</v>
      </c>
      <c r="L14">
        <f>VLOOKUP($A14,ScionOutput!$A$3:$BL$215,63,FALSE)</f>
        <v>0</v>
      </c>
      <c r="M14" t="b">
        <f t="shared" si="1"/>
        <v>0</v>
      </c>
      <c r="N14">
        <f>VLOOKUP($A14,Outcomes!$B$3:$I$209,8,FALSE)</f>
        <v>6</v>
      </c>
      <c r="O14">
        <f t="shared" si="2"/>
        <v>-1</v>
      </c>
      <c r="P14">
        <f>VLOOKUP($A14,Outcomes!$B$3:$I$209,5,FALSE)</f>
        <v>0</v>
      </c>
      <c r="Q14">
        <f>VLOOKUP($A14,Outcomes!$B$3:$I$209,6,FALSE)</f>
        <v>6</v>
      </c>
      <c r="R14">
        <f>VLOOKUP($A14,Outcomes!$B$3:$I$209,7,FALSE)</f>
        <v>6</v>
      </c>
      <c r="S14" t="str">
        <f t="shared" si="3"/>
        <v>VisDog</v>
      </c>
      <c r="T14" t="str">
        <f t="shared" si="4"/>
        <v/>
      </c>
      <c r="U14" t="str">
        <f t="shared" si="5"/>
        <v/>
      </c>
      <c r="V14" t="str">
        <f t="shared" si="6"/>
        <v/>
      </c>
      <c r="W14" t="str">
        <f t="shared" si="7"/>
        <v/>
      </c>
      <c r="X14" s="2" t="str">
        <f t="shared" si="8"/>
        <v/>
      </c>
      <c r="Y14" t="str">
        <f>VLOOKUP($A14,ScionOutput!$A$3:$BL$215,64,FALSE)</f>
        <v xml:space="preserve">822891. LineStatEns probability points gap does not exceed threshold (no edge found)! No play due to strategy constraints. </v>
      </c>
    </row>
    <row r="15" spans="1:25" x14ac:dyDescent="0.2">
      <c r="A15">
        <v>822808</v>
      </c>
      <c r="B15" s="3">
        <f>VLOOKUP($A15,ScionOutput!$A$3:$BL$215,3,FALSE)</f>
        <v>46179</v>
      </c>
      <c r="C15">
        <f>VLOOKUP($A15,ScionOutput!$A$3:$BL$215,22,FALSE)</f>
        <v>29</v>
      </c>
      <c r="D15" t="str">
        <f>VLOOKUP($A15,ScionOutput!$A$3:$BL$215,23,FALSE)</f>
        <v>TOR</v>
      </c>
      <c r="E15">
        <f>VLOOKUP($A15,ScionOutput!$A$3:$BL$215,6,FALSE)</f>
        <v>2</v>
      </c>
      <c r="F15" t="str">
        <f>VLOOKUP($A15,ScionOutput!$A$3:$BL$215,7,FALSE)</f>
        <v>BAL</v>
      </c>
      <c r="G15">
        <f>VLOOKUP($A15,ScionOutput!$A$3:$BL$215,26,FALSE)</f>
        <v>-103</v>
      </c>
      <c r="H15">
        <f>VLOOKUP($A15,ScionOutput!$A$3:$BL$215,10,FALSE)</f>
        <v>-107</v>
      </c>
      <c r="I15" t="str">
        <f>VLOOKUP($A15,ScionOutput!$A$3:$BL$215,58,FALSE)</f>
        <v>No Play</v>
      </c>
      <c r="J15">
        <f>VLOOKUP($A15,ScionOutput!$A$3:$BL$215,59,FALSE)</f>
        <v>0</v>
      </c>
      <c r="K15">
        <f>VLOOKUP($A15,ScionOutput!$A$3:$BL$215,62,FALSE)</f>
        <v>0</v>
      </c>
      <c r="L15">
        <f>VLOOKUP($A15,ScionOutput!$A$3:$BL$215,63,FALSE)</f>
        <v>0</v>
      </c>
      <c r="M15" t="b">
        <f t="shared" si="1"/>
        <v>0</v>
      </c>
      <c r="N15">
        <f>VLOOKUP($A15,Outcomes!$B$3:$I$209,8,FALSE)</f>
        <v>10</v>
      </c>
      <c r="O15">
        <f t="shared" si="2"/>
        <v>1</v>
      </c>
      <c r="P15">
        <f>VLOOKUP($A15,Outcomes!$B$3:$I$209,5,FALSE)</f>
        <v>6</v>
      </c>
      <c r="Q15">
        <f>VLOOKUP($A15,Outcomes!$B$3:$I$209,6,FALSE)</f>
        <v>4</v>
      </c>
      <c r="R15">
        <f>VLOOKUP($A15,Outcomes!$B$3:$I$209,7,FALSE)</f>
        <v>-2</v>
      </c>
      <c r="S15" t="str">
        <f t="shared" si="3"/>
        <v>HomDog</v>
      </c>
      <c r="T15" t="str">
        <f t="shared" si="4"/>
        <v/>
      </c>
      <c r="U15" t="str">
        <f t="shared" si="5"/>
        <v/>
      </c>
      <c r="V15" t="str">
        <f t="shared" si="6"/>
        <v/>
      </c>
      <c r="W15" t="str">
        <f t="shared" si="7"/>
        <v/>
      </c>
      <c r="X15" s="2" t="str">
        <f t="shared" si="8"/>
        <v/>
      </c>
      <c r="Y15" t="str">
        <f>VLOOKUP($A15,ScionOutput!$A$3:$BL$215,64,FALSE)</f>
        <v xml:space="preserve">822808. VF plays are disallowed. No play due to strategy constraints. </v>
      </c>
    </row>
    <row r="16" spans="1:25" x14ac:dyDescent="0.2">
      <c r="A16">
        <v>824916</v>
      </c>
      <c r="B16" s="3">
        <f>VLOOKUP($A16,ScionOutput!$A$3:$BL$215,3,FALSE)</f>
        <v>46180</v>
      </c>
      <c r="C16">
        <f>VLOOKUP($A16,ScionOutput!$A$3:$BL$215,22,FALSE)</f>
        <v>0</v>
      </c>
      <c r="D16" t="str">
        <f>VLOOKUP($A16,ScionOutput!$A$3:$BL$215,23,FALSE)</f>
        <v>ATL</v>
      </c>
      <c r="E16">
        <f>VLOOKUP($A16,ScionOutput!$A$3:$BL$215,6,FALSE)</f>
        <v>22</v>
      </c>
      <c r="F16" t="str">
        <f>VLOOKUP($A16,ScionOutput!$A$3:$BL$215,7,FALSE)</f>
        <v>PIT</v>
      </c>
      <c r="G16">
        <f>VLOOKUP($A16,ScionOutput!$A$3:$BL$215,26,FALSE)</f>
        <v>-145</v>
      </c>
      <c r="H16">
        <f>VLOOKUP($A16,ScionOutput!$A$3:$BL$215,10,FALSE)</f>
        <v>133</v>
      </c>
      <c r="I16" t="str">
        <f>VLOOKUP($A16,ScionOutput!$A$3:$BL$215,58,FALSE)</f>
        <v>No Play</v>
      </c>
      <c r="J16">
        <f>VLOOKUP($A16,ScionOutput!$A$3:$BL$215,59,FALSE)</f>
        <v>0</v>
      </c>
      <c r="K16">
        <f>VLOOKUP($A16,ScionOutput!$A$3:$BL$215,62,FALSE)</f>
        <v>0</v>
      </c>
      <c r="L16">
        <f>VLOOKUP($A16,ScionOutput!$A$3:$BL$215,63,FALSE)</f>
        <v>0</v>
      </c>
      <c r="M16" t="b">
        <f t="shared" si="1"/>
        <v>0</v>
      </c>
      <c r="N16">
        <f>VLOOKUP($A16,Outcomes!$B$3:$I$209,8,FALSE)</f>
        <v>5</v>
      </c>
      <c r="O16">
        <f t="shared" si="2"/>
        <v>1</v>
      </c>
      <c r="P16">
        <f>VLOOKUP($A16,Outcomes!$B$3:$I$209,5,FALSE)</f>
        <v>3</v>
      </c>
      <c r="Q16">
        <f>VLOOKUP($A16,Outcomes!$B$3:$I$209,6,FALSE)</f>
        <v>2</v>
      </c>
      <c r="R16">
        <f>VLOOKUP($A16,Outcomes!$B$3:$I$209,7,FALSE)</f>
        <v>-1</v>
      </c>
      <c r="S16" t="str">
        <f t="shared" si="3"/>
        <v>HomFave</v>
      </c>
      <c r="T16" t="str">
        <f t="shared" si="4"/>
        <v/>
      </c>
      <c r="U16" t="str">
        <f t="shared" si="5"/>
        <v/>
      </c>
      <c r="V16" t="str">
        <f t="shared" si="6"/>
        <v/>
      </c>
      <c r="W16" t="str">
        <f t="shared" si="7"/>
        <v/>
      </c>
      <c r="X16" s="2" t="str">
        <f t="shared" si="8"/>
        <v/>
      </c>
      <c r="Y16" t="str">
        <f>VLOOKUP($A16,ScionOutput!$A$3:$BL$215,64,FALSE)</f>
        <v xml:space="preserve">824916. LineStatEns probability points gap does not exceed threshold (no edge found)! StatOnlyEns probability points gap does not exceed threshold (no edge found)! No play due to strategy constraints. </v>
      </c>
    </row>
    <row r="17" spans="1:25" x14ac:dyDescent="0.2">
      <c r="A17">
        <v>825074</v>
      </c>
      <c r="B17" s="3">
        <f>VLOOKUP($A17,ScionOutput!$A$3:$BL$215,3,FALSE)</f>
        <v>46180</v>
      </c>
      <c r="C17">
        <f>VLOOKUP($A17,ScionOutput!$A$3:$BL$215,22,FALSE)</f>
        <v>1</v>
      </c>
      <c r="D17" t="str">
        <f>VLOOKUP($A17,ScionOutput!$A$3:$BL$215,23,FALSE)</f>
        <v>ARZ</v>
      </c>
      <c r="E17">
        <f>VLOOKUP($A17,ScionOutput!$A$3:$BL$215,6,FALSE)</f>
        <v>16</v>
      </c>
      <c r="F17" t="str">
        <f>VLOOKUP($A17,ScionOutput!$A$3:$BL$215,7,FALSE)</f>
        <v>WAS</v>
      </c>
      <c r="G17">
        <f>VLOOKUP($A17,ScionOutput!$A$3:$BL$215,26,FALSE)</f>
        <v>-125</v>
      </c>
      <c r="H17">
        <f>VLOOKUP($A17,ScionOutput!$A$3:$BL$215,10,FALSE)</f>
        <v>115</v>
      </c>
      <c r="I17" t="str">
        <f>VLOOKUP($A17,ScionOutput!$A$3:$BL$215,58,FALSE)</f>
        <v>No Play</v>
      </c>
      <c r="J17">
        <f>VLOOKUP($A17,ScionOutput!$A$3:$BL$215,59,FALSE)</f>
        <v>0</v>
      </c>
      <c r="K17">
        <f>VLOOKUP($A17,ScionOutput!$A$3:$BL$215,62,FALSE)</f>
        <v>0</v>
      </c>
      <c r="L17">
        <f>VLOOKUP($A17,ScionOutput!$A$3:$BL$215,63,FALSE)</f>
        <v>0</v>
      </c>
      <c r="M17" t="b">
        <f t="shared" si="1"/>
        <v>0</v>
      </c>
      <c r="N17">
        <f>VLOOKUP($A17,Outcomes!$B$3:$I$209,8,FALSE)</f>
        <v>6</v>
      </c>
      <c r="O17">
        <f t="shared" si="2"/>
        <v>1</v>
      </c>
      <c r="P17">
        <f>VLOOKUP($A17,Outcomes!$B$3:$I$209,5,FALSE)</f>
        <v>5</v>
      </c>
      <c r="Q17">
        <f>VLOOKUP($A17,Outcomes!$B$3:$I$209,6,FALSE)</f>
        <v>1</v>
      </c>
      <c r="R17">
        <f>VLOOKUP($A17,Outcomes!$B$3:$I$209,7,FALSE)</f>
        <v>-4</v>
      </c>
      <c r="S17" t="str">
        <f t="shared" si="3"/>
        <v>HomFave</v>
      </c>
      <c r="T17" t="str">
        <f t="shared" si="4"/>
        <v/>
      </c>
      <c r="U17" t="str">
        <f t="shared" si="5"/>
        <v/>
      </c>
      <c r="V17" t="str">
        <f t="shared" si="6"/>
        <v/>
      </c>
      <c r="W17" t="str">
        <f t="shared" si="7"/>
        <v/>
      </c>
      <c r="X17" s="2" t="str">
        <f t="shared" si="8"/>
        <v/>
      </c>
      <c r="Y17" t="str">
        <f>VLOOKUP($A17,ScionOutput!$A$3:$BL$215,64,FALSE)</f>
        <v xml:space="preserve">825074. LineStatEns probability points gap does not exceed threshold (no edge found)! StatOnlyEns probability points gap does not exceed threshold (no edge found)! No play due to strategy constraints. </v>
      </c>
    </row>
    <row r="18" spans="1:25" x14ac:dyDescent="0.2">
      <c r="A18">
        <v>824670</v>
      </c>
      <c r="B18" s="3">
        <f>VLOOKUP($A18,ScionOutput!$A$3:$BL$215,3,FALSE)</f>
        <v>46180</v>
      </c>
      <c r="C18">
        <f>VLOOKUP($A18,ScionOutput!$A$3:$BL$215,22,FALSE)</f>
        <v>5</v>
      </c>
      <c r="D18" t="str">
        <f>VLOOKUP($A18,ScionOutput!$A$3:$BL$215,23,FALSE)</f>
        <v>CHC</v>
      </c>
      <c r="E18">
        <f>VLOOKUP($A18,ScionOutput!$A$3:$BL$215,6,FALSE)</f>
        <v>25</v>
      </c>
      <c r="F18" t="str">
        <f>VLOOKUP($A18,ScionOutput!$A$3:$BL$215,7,FALSE)</f>
        <v>SF</v>
      </c>
      <c r="G18">
        <f>VLOOKUP($A18,ScionOutput!$A$3:$BL$215,26,FALSE)</f>
        <v>-126</v>
      </c>
      <c r="H18">
        <f>VLOOKUP($A18,ScionOutput!$A$3:$BL$215,10,FALSE)</f>
        <v>116</v>
      </c>
      <c r="I18" t="str">
        <f>VLOOKUP($A18,ScionOutput!$A$3:$BL$215,58,FALSE)</f>
        <v>No Play</v>
      </c>
      <c r="J18">
        <f>VLOOKUP($A18,ScionOutput!$A$3:$BL$215,59,FALSE)</f>
        <v>0</v>
      </c>
      <c r="K18">
        <f>VLOOKUP($A18,ScionOutput!$A$3:$BL$215,62,FALSE)</f>
        <v>0</v>
      </c>
      <c r="L18">
        <f>VLOOKUP($A18,ScionOutput!$A$3:$BL$215,63,FALSE)</f>
        <v>0</v>
      </c>
      <c r="M18" t="b">
        <f t="shared" si="1"/>
        <v>0</v>
      </c>
      <c r="N18">
        <f>VLOOKUP($A18,Outcomes!$B$3:$I$209,8,FALSE)</f>
        <v>3</v>
      </c>
      <c r="O18">
        <f t="shared" si="2"/>
        <v>-1</v>
      </c>
      <c r="P18">
        <f>VLOOKUP($A18,Outcomes!$B$3:$I$209,5,FALSE)</f>
        <v>1</v>
      </c>
      <c r="Q18">
        <f>VLOOKUP($A18,Outcomes!$B$3:$I$209,6,FALSE)</f>
        <v>2</v>
      </c>
      <c r="R18">
        <f>VLOOKUP($A18,Outcomes!$B$3:$I$209,7,FALSE)</f>
        <v>1</v>
      </c>
      <c r="S18" t="str">
        <f t="shared" si="3"/>
        <v>VisDog</v>
      </c>
      <c r="T18" t="str">
        <f t="shared" si="4"/>
        <v/>
      </c>
      <c r="U18" t="str">
        <f t="shared" si="5"/>
        <v/>
      </c>
      <c r="V18" t="str">
        <f t="shared" si="6"/>
        <v/>
      </c>
      <c r="W18" t="str">
        <f t="shared" si="7"/>
        <v/>
      </c>
      <c r="X18" s="2" t="str">
        <f t="shared" si="8"/>
        <v/>
      </c>
      <c r="Y18" t="str">
        <f>VLOOKUP($A18,ScionOutput!$A$3:$BL$215,64,FALSE)</f>
        <v xml:space="preserve">824670. LineStatEns probability points gap does not exceed threshold (no edge found)! StatOnlyEns probability points gap does not exceed threshold (no edge found)! No play due to strategy constraints. </v>
      </c>
    </row>
    <row r="19" spans="1:25" x14ac:dyDescent="0.2">
      <c r="A19">
        <v>824349</v>
      </c>
      <c r="B19" s="3">
        <f>VLOOKUP($A19,ScionOutput!$A$3:$BL$215,3,FALSE)</f>
        <v>46180</v>
      </c>
      <c r="C19">
        <f>VLOOKUP($A19,ScionOutput!$A$3:$BL$215,22,FALSE)</f>
        <v>8</v>
      </c>
      <c r="D19" t="str">
        <f>VLOOKUP($A19,ScionOutput!$A$3:$BL$215,23,FALSE)</f>
        <v>COL</v>
      </c>
      <c r="E19">
        <f>VLOOKUP($A19,ScionOutput!$A$3:$BL$215,6,FALSE)</f>
        <v>17</v>
      </c>
      <c r="F19" t="str">
        <f>VLOOKUP($A19,ScionOutput!$A$3:$BL$215,7,FALSE)</f>
        <v>MLW</v>
      </c>
      <c r="G19">
        <f>VLOOKUP($A19,ScionOutput!$A$3:$BL$215,26,FALSE)</f>
        <v>160</v>
      </c>
      <c r="H19">
        <f>VLOOKUP($A19,ScionOutput!$A$3:$BL$215,10,FALSE)</f>
        <v>-174</v>
      </c>
      <c r="I19" t="str">
        <f>VLOOKUP($A19,ScionOutput!$A$3:$BL$215,58,FALSE)</f>
        <v>No Play</v>
      </c>
      <c r="J19">
        <f>VLOOKUP($A19,ScionOutput!$A$3:$BL$215,59,FALSE)</f>
        <v>0</v>
      </c>
      <c r="K19">
        <f>VLOOKUP($A19,ScionOutput!$A$3:$BL$215,62,FALSE)</f>
        <v>0</v>
      </c>
      <c r="L19">
        <f>VLOOKUP($A19,ScionOutput!$A$3:$BL$215,63,FALSE)</f>
        <v>0</v>
      </c>
      <c r="M19" t="b">
        <f t="shared" si="1"/>
        <v>0</v>
      </c>
      <c r="N19">
        <f>VLOOKUP($A19,Outcomes!$B$3:$I$209,8,FALSE)</f>
        <v>16</v>
      </c>
      <c r="O19">
        <f t="shared" si="2"/>
        <v>-1</v>
      </c>
      <c r="P19">
        <f>VLOOKUP($A19,Outcomes!$B$3:$I$209,5,FALSE)</f>
        <v>4</v>
      </c>
      <c r="Q19">
        <f>VLOOKUP($A19,Outcomes!$B$3:$I$209,6,FALSE)</f>
        <v>12</v>
      </c>
      <c r="R19">
        <f>VLOOKUP($A19,Outcomes!$B$3:$I$209,7,FALSE)</f>
        <v>8</v>
      </c>
      <c r="S19" t="str">
        <f t="shared" si="3"/>
        <v>VisFave</v>
      </c>
      <c r="T19" t="str">
        <f t="shared" si="4"/>
        <v/>
      </c>
      <c r="U19" t="str">
        <f t="shared" si="5"/>
        <v/>
      </c>
      <c r="V19" t="str">
        <f t="shared" si="6"/>
        <v/>
      </c>
      <c r="W19" t="str">
        <f t="shared" si="7"/>
        <v/>
      </c>
      <c r="X19" s="2" t="str">
        <f t="shared" si="8"/>
        <v/>
      </c>
      <c r="Y19" t="str">
        <f>VLOOKUP($A19,ScionOutput!$A$3:$BL$215,64,FALSE)</f>
        <v xml:space="preserve">824349. LineStatEns is NoPlay as bookie-line outside range. StatOnlyEns is NoPlay as bookie-line outside range. No play due to strategy constraints. </v>
      </c>
    </row>
    <row r="20" spans="1:25" x14ac:dyDescent="0.2">
      <c r="A20">
        <v>824268</v>
      </c>
      <c r="B20" s="3">
        <f>VLOOKUP($A20,ScionOutput!$A$3:$BL$215,3,FALSE)</f>
        <v>46180</v>
      </c>
      <c r="C20">
        <f>VLOOKUP($A20,ScionOutput!$A$3:$BL$215,22,FALSE)</f>
        <v>10</v>
      </c>
      <c r="D20" t="str">
        <f>VLOOKUP($A20,ScionOutput!$A$3:$BL$215,23,FALSE)</f>
        <v>DET</v>
      </c>
      <c r="E20">
        <f>VLOOKUP($A20,ScionOutput!$A$3:$BL$215,6,FALSE)</f>
        <v>24</v>
      </c>
      <c r="F20" t="str">
        <f>VLOOKUP($A20,ScionOutput!$A$3:$BL$215,7,FALSE)</f>
        <v>SEA</v>
      </c>
      <c r="G20">
        <f>VLOOKUP($A20,ScionOutput!$A$3:$BL$215,26,FALSE)</f>
        <v>-111</v>
      </c>
      <c r="H20">
        <f>VLOOKUP($A20,ScionOutput!$A$3:$BL$215,10,FALSE)</f>
        <v>102</v>
      </c>
      <c r="I20" t="str">
        <f>VLOOKUP($A20,ScionOutput!$A$3:$BL$215,58,FALSE)</f>
        <v>VisDog</v>
      </c>
      <c r="J20">
        <f>VLOOKUP($A20,ScionOutput!$A$3:$BL$215,59,FALSE)</f>
        <v>-3.5189999999999999E-2</v>
      </c>
      <c r="K20">
        <f>VLOOKUP($A20,ScionOutput!$A$3:$BL$215,62,FALSE)</f>
        <v>5</v>
      </c>
      <c r="L20">
        <f>VLOOKUP($A20,ScionOutput!$A$3:$BL$215,63,FALSE)</f>
        <v>0.6</v>
      </c>
      <c r="M20" t="b">
        <f t="shared" si="1"/>
        <v>1</v>
      </c>
      <c r="N20">
        <f>VLOOKUP($A20,Outcomes!$B$3:$I$209,8,FALSE)</f>
        <v>9</v>
      </c>
      <c r="O20">
        <f t="shared" si="2"/>
        <v>1</v>
      </c>
      <c r="P20">
        <f>VLOOKUP($A20,Outcomes!$B$3:$I$209,5,FALSE)</f>
        <v>5</v>
      </c>
      <c r="Q20">
        <f>VLOOKUP($A20,Outcomes!$B$3:$I$209,6,FALSE)</f>
        <v>4</v>
      </c>
      <c r="R20">
        <f>VLOOKUP($A20,Outcomes!$B$3:$I$209,7,FALSE)</f>
        <v>-1</v>
      </c>
      <c r="S20" t="str">
        <f t="shared" si="3"/>
        <v>HomFave</v>
      </c>
      <c r="T20">
        <f t="shared" si="4"/>
        <v>0</v>
      </c>
      <c r="U20">
        <f t="shared" si="5"/>
        <v>100</v>
      </c>
      <c r="V20">
        <f t="shared" si="6"/>
        <v>0</v>
      </c>
      <c r="W20">
        <f t="shared" si="7"/>
        <v>-100</v>
      </c>
      <c r="X20" s="2">
        <f t="shared" si="8"/>
        <v>-1</v>
      </c>
      <c r="Y20" t="str">
        <f>VLOOKUP($A20,ScionOutput!$A$3:$BL$215,64,FALSE)</f>
        <v xml:space="preserve">824268. Play determined by LineStatEns and StatOnlyEns agreement. </v>
      </c>
    </row>
    <row r="21" spans="1:25" x14ac:dyDescent="0.2">
      <c r="A21">
        <v>823857</v>
      </c>
      <c r="B21" s="3">
        <f>VLOOKUP($A21,ScionOutput!$A$3:$BL$215,3,FALSE)</f>
        <v>46180</v>
      </c>
      <c r="C21">
        <f>VLOOKUP($A21,ScionOutput!$A$3:$BL$215,22,FALSE)</f>
        <v>11</v>
      </c>
      <c r="D21" t="str">
        <f>VLOOKUP($A21,ScionOutput!$A$3:$BL$215,23,FALSE)</f>
        <v>FLO</v>
      </c>
      <c r="E21">
        <f>VLOOKUP($A21,ScionOutput!$A$3:$BL$215,6,FALSE)</f>
        <v>27</v>
      </c>
      <c r="F21" t="str">
        <f>VLOOKUP($A21,ScionOutput!$A$3:$BL$215,7,FALSE)</f>
        <v>TB</v>
      </c>
      <c r="G21">
        <f>VLOOKUP($A21,ScionOutput!$A$3:$BL$215,26,FALSE)</f>
        <v>-105</v>
      </c>
      <c r="H21">
        <f>VLOOKUP($A21,ScionOutput!$A$3:$BL$215,10,FALSE)</f>
        <v>-103</v>
      </c>
      <c r="I21" t="str">
        <f>VLOOKUP($A21,ScionOutput!$A$3:$BL$215,58,FALSE)</f>
        <v>HomFave</v>
      </c>
      <c r="J21">
        <f>VLOOKUP($A21,ScionOutput!$A$3:$BL$215,59,FALSE)</f>
        <v>7.6400000000000001E-3</v>
      </c>
      <c r="K21">
        <f>VLOOKUP($A21,ScionOutput!$A$3:$BL$215,62,FALSE)</f>
        <v>1</v>
      </c>
      <c r="L21">
        <f>VLOOKUP($A21,ScionOutput!$A$3:$BL$215,63,FALSE)</f>
        <v>0.73</v>
      </c>
      <c r="M21" t="b">
        <f t="shared" si="1"/>
        <v>1</v>
      </c>
      <c r="N21">
        <f>VLOOKUP($A21,Outcomes!$B$3:$I$209,8,FALSE)</f>
        <v>5</v>
      </c>
      <c r="O21">
        <f t="shared" si="2"/>
        <v>1</v>
      </c>
      <c r="P21">
        <f>VLOOKUP($A21,Outcomes!$B$3:$I$209,5,FALSE)</f>
        <v>4</v>
      </c>
      <c r="Q21">
        <f>VLOOKUP($A21,Outcomes!$B$3:$I$209,6,FALSE)</f>
        <v>1</v>
      </c>
      <c r="R21">
        <f>VLOOKUP($A21,Outcomes!$B$3:$I$209,7,FALSE)</f>
        <v>-3</v>
      </c>
      <c r="S21" t="str">
        <f t="shared" si="3"/>
        <v>HomFave</v>
      </c>
      <c r="T21">
        <f t="shared" si="4"/>
        <v>1</v>
      </c>
      <c r="U21">
        <f t="shared" si="5"/>
        <v>105</v>
      </c>
      <c r="V21">
        <f t="shared" si="6"/>
        <v>205</v>
      </c>
      <c r="W21">
        <f t="shared" si="7"/>
        <v>100</v>
      </c>
      <c r="X21" s="2">
        <f t="shared" si="8"/>
        <v>0.95238095238095233</v>
      </c>
      <c r="Y21" t="str">
        <f>VLOOKUP($A21,ScionOutput!$A$3:$BL$215,64,FALSE)</f>
        <v xml:space="preserve">823857. Play determined by LineStatEns and StatOnlyEns agreement. </v>
      </c>
    </row>
    <row r="22" spans="1:25" x14ac:dyDescent="0.2">
      <c r="A22">
        <v>824183</v>
      </c>
      <c r="B22" s="3">
        <f>VLOOKUP($A22,ScionOutput!$A$3:$BL$215,3,FALSE)</f>
        <v>46180</v>
      </c>
      <c r="C22">
        <f>VLOOKUP($A22,ScionOutput!$A$3:$BL$215,22,FALSE)</f>
        <v>12</v>
      </c>
      <c r="D22" t="str">
        <f>VLOOKUP($A22,ScionOutput!$A$3:$BL$215,23,FALSE)</f>
        <v>HOU</v>
      </c>
      <c r="E22">
        <f>VLOOKUP($A22,ScionOutput!$A$3:$BL$215,6,FALSE)</f>
        <v>20</v>
      </c>
      <c r="F22" t="str">
        <f>VLOOKUP($A22,ScionOutput!$A$3:$BL$215,7,FALSE)</f>
        <v>OAK</v>
      </c>
      <c r="G22">
        <f>VLOOKUP($A22,ScionOutput!$A$3:$BL$215,26,FALSE)</f>
        <v>-105</v>
      </c>
      <c r="H22">
        <f>VLOOKUP($A22,ScionOutput!$A$3:$BL$215,10,FALSE)</f>
        <v>-103</v>
      </c>
      <c r="I22" t="str">
        <f>VLOOKUP($A22,ScionOutput!$A$3:$BL$215,58,FALSE)</f>
        <v>VisDog</v>
      </c>
      <c r="J22">
        <f>VLOOKUP($A22,ScionOutput!$A$3:$BL$215,59,FALSE)</f>
        <v>-3.236E-2</v>
      </c>
      <c r="K22">
        <f>VLOOKUP($A22,ScionOutput!$A$3:$BL$215,62,FALSE)</f>
        <v>5</v>
      </c>
      <c r="L22">
        <f>VLOOKUP($A22,ScionOutput!$A$3:$BL$215,63,FALSE)</f>
        <v>0.87</v>
      </c>
      <c r="M22" t="b">
        <f t="shared" si="1"/>
        <v>1</v>
      </c>
      <c r="N22">
        <f>VLOOKUP($A22,Outcomes!$B$3:$I$209,8,FALSE)</f>
        <v>5</v>
      </c>
      <c r="O22">
        <f t="shared" si="2"/>
        <v>-1</v>
      </c>
      <c r="P22">
        <f>VLOOKUP($A22,Outcomes!$B$3:$I$209,5,FALSE)</f>
        <v>0</v>
      </c>
      <c r="Q22">
        <f>VLOOKUP($A22,Outcomes!$B$3:$I$209,6,FALSE)</f>
        <v>5</v>
      </c>
      <c r="R22">
        <f>VLOOKUP($A22,Outcomes!$B$3:$I$209,7,FALSE)</f>
        <v>5</v>
      </c>
      <c r="S22" t="str">
        <f t="shared" si="3"/>
        <v>VisDog</v>
      </c>
      <c r="T22">
        <f t="shared" si="4"/>
        <v>1</v>
      </c>
      <c r="U22">
        <f t="shared" si="5"/>
        <v>103</v>
      </c>
      <c r="V22">
        <f t="shared" si="6"/>
        <v>203</v>
      </c>
      <c r="W22">
        <f t="shared" si="7"/>
        <v>100</v>
      </c>
      <c r="X22" s="2">
        <f t="shared" si="8"/>
        <v>0.970873786407767</v>
      </c>
      <c r="Y22" t="str">
        <f>VLOOKUP($A22,ScionOutput!$A$3:$BL$215,64,FALSE)</f>
        <v xml:space="preserve">824183. Play determined by LineStatEns and StatOnlyEns agreement. </v>
      </c>
    </row>
    <row r="23" spans="1:25" x14ac:dyDescent="0.2">
      <c r="A23">
        <v>823941</v>
      </c>
      <c r="B23" s="3">
        <f>VLOOKUP($A23,ScionOutput!$A$3:$BL$215,3,FALSE)</f>
        <v>46180</v>
      </c>
      <c r="C23">
        <f>VLOOKUP($A23,ScionOutput!$A$3:$BL$215,22,FALSE)</f>
        <v>14</v>
      </c>
      <c r="D23" t="str">
        <f>VLOOKUP($A23,ScionOutput!$A$3:$BL$215,23,FALSE)</f>
        <v>LA</v>
      </c>
      <c r="E23">
        <f>VLOOKUP($A23,ScionOutput!$A$3:$BL$215,6,FALSE)</f>
        <v>4</v>
      </c>
      <c r="F23" t="str">
        <f>VLOOKUP($A23,ScionOutput!$A$3:$BL$215,7,FALSE)</f>
        <v>LAA</v>
      </c>
      <c r="G23">
        <f>VLOOKUP($A23,ScionOutput!$A$3:$BL$215,26,FALSE)</f>
        <v>-206</v>
      </c>
      <c r="H23">
        <f>VLOOKUP($A23,ScionOutput!$A$3:$BL$215,10,FALSE)</f>
        <v>187</v>
      </c>
      <c r="I23" t="str">
        <f>VLOOKUP($A23,ScionOutput!$A$3:$BL$215,58,FALSE)</f>
        <v>No Play</v>
      </c>
      <c r="J23">
        <f>VLOOKUP($A23,ScionOutput!$A$3:$BL$215,59,FALSE)</f>
        <v>0</v>
      </c>
      <c r="K23">
        <f>VLOOKUP($A23,ScionOutput!$A$3:$BL$215,62,FALSE)</f>
        <v>0</v>
      </c>
      <c r="L23">
        <f>VLOOKUP($A23,ScionOutput!$A$3:$BL$215,63,FALSE)</f>
        <v>0</v>
      </c>
      <c r="M23" t="b">
        <f t="shared" si="1"/>
        <v>0</v>
      </c>
      <c r="N23">
        <f>VLOOKUP($A23,Outcomes!$B$3:$I$209,8,FALSE)</f>
        <v>18</v>
      </c>
      <c r="O23">
        <f t="shared" si="2"/>
        <v>-1</v>
      </c>
      <c r="P23">
        <f>VLOOKUP($A23,Outcomes!$B$3:$I$209,5,FALSE)</f>
        <v>5</v>
      </c>
      <c r="Q23">
        <f>VLOOKUP($A23,Outcomes!$B$3:$I$209,6,FALSE)</f>
        <v>13</v>
      </c>
      <c r="R23">
        <f>VLOOKUP($A23,Outcomes!$B$3:$I$209,7,FALSE)</f>
        <v>8</v>
      </c>
      <c r="S23" t="str">
        <f t="shared" si="3"/>
        <v>VisDog</v>
      </c>
      <c r="T23" t="str">
        <f t="shared" si="4"/>
        <v/>
      </c>
      <c r="U23" t="str">
        <f t="shared" si="5"/>
        <v/>
      </c>
      <c r="V23" t="str">
        <f t="shared" si="6"/>
        <v/>
      </c>
      <c r="W23" t="str">
        <f t="shared" si="7"/>
        <v/>
      </c>
      <c r="X23" s="2" t="str">
        <f t="shared" si="8"/>
        <v/>
      </c>
      <c r="Y23" t="str">
        <f>VLOOKUP($A23,ScionOutput!$A$3:$BL$215,64,FALSE)</f>
        <v xml:space="preserve">823941. LineStatEns is NoPlay as bookie-line outside range. StatOnlyEns is NoPlay as bookie-line outside range. No play due to strategy constraints. </v>
      </c>
    </row>
    <row r="24" spans="1:25" x14ac:dyDescent="0.2">
      <c r="A24">
        <v>823696</v>
      </c>
      <c r="B24" s="3">
        <f>VLOOKUP($A24,ScionOutput!$A$3:$BL$215,3,FALSE)</f>
        <v>46180</v>
      </c>
      <c r="C24">
        <f>VLOOKUP($A24,ScionOutput!$A$3:$BL$215,22,FALSE)</f>
        <v>15</v>
      </c>
      <c r="D24" t="str">
        <f>VLOOKUP($A24,ScionOutput!$A$3:$BL$215,23,FALSE)</f>
        <v>MIN</v>
      </c>
      <c r="E24">
        <f>VLOOKUP($A24,ScionOutput!$A$3:$BL$215,6,FALSE)</f>
        <v>13</v>
      </c>
      <c r="F24" t="str">
        <f>VLOOKUP($A24,ScionOutput!$A$3:$BL$215,7,FALSE)</f>
        <v>KC</v>
      </c>
      <c r="G24">
        <f>VLOOKUP($A24,ScionOutput!$A$3:$BL$215,26,FALSE)</f>
        <v>107</v>
      </c>
      <c r="H24">
        <f>VLOOKUP($A24,ScionOutput!$A$3:$BL$215,10,FALSE)</f>
        <v>-116</v>
      </c>
      <c r="I24" t="str">
        <f>VLOOKUP($A24,ScionOutput!$A$3:$BL$215,58,FALSE)</f>
        <v>No Play</v>
      </c>
      <c r="J24">
        <f>VLOOKUP($A24,ScionOutput!$A$3:$BL$215,59,FALSE)</f>
        <v>0</v>
      </c>
      <c r="K24">
        <f>VLOOKUP($A24,ScionOutput!$A$3:$BL$215,62,FALSE)</f>
        <v>0</v>
      </c>
      <c r="L24">
        <f>VLOOKUP($A24,ScionOutput!$A$3:$BL$215,63,FALSE)</f>
        <v>0</v>
      </c>
      <c r="M24" t="b">
        <f t="shared" si="1"/>
        <v>0</v>
      </c>
      <c r="N24">
        <f>VLOOKUP($A24,Outcomes!$B$3:$I$209,8,FALSE)</f>
        <v>11</v>
      </c>
      <c r="O24">
        <f t="shared" si="2"/>
        <v>-1</v>
      </c>
      <c r="P24">
        <f>VLOOKUP($A24,Outcomes!$B$3:$I$209,5,FALSE)</f>
        <v>5</v>
      </c>
      <c r="Q24">
        <f>VLOOKUP($A24,Outcomes!$B$3:$I$209,6,FALSE)</f>
        <v>6</v>
      </c>
      <c r="R24">
        <f>VLOOKUP($A24,Outcomes!$B$3:$I$209,7,FALSE)</f>
        <v>1</v>
      </c>
      <c r="S24" t="str">
        <f t="shared" si="3"/>
        <v>VisFave</v>
      </c>
      <c r="T24" t="str">
        <f t="shared" si="4"/>
        <v/>
      </c>
      <c r="U24" t="str">
        <f t="shared" si="5"/>
        <v/>
      </c>
      <c r="V24" t="str">
        <f t="shared" si="6"/>
        <v/>
      </c>
      <c r="W24" t="str">
        <f t="shared" si="7"/>
        <v/>
      </c>
      <c r="X24" s="2" t="str">
        <f t="shared" si="8"/>
        <v/>
      </c>
      <c r="Y24" t="str">
        <f>VLOOKUP($A24,ScionOutput!$A$3:$BL$215,64,FALSE)</f>
        <v xml:space="preserve">823696. VF plays are disallowed. No play due to strategy constraints. </v>
      </c>
    </row>
    <row r="25" spans="1:25" x14ac:dyDescent="0.2">
      <c r="A25">
        <v>823537</v>
      </c>
      <c r="B25" s="3">
        <f>VLOOKUP($A25,ScionOutput!$A$3:$BL$215,3,FALSE)</f>
        <v>46180</v>
      </c>
      <c r="C25">
        <f>VLOOKUP($A25,ScionOutput!$A$3:$BL$215,22,FALSE)</f>
        <v>19</v>
      </c>
      <c r="D25" t="str">
        <f>VLOOKUP($A25,ScionOutput!$A$3:$BL$215,23,FALSE)</f>
        <v>NYY</v>
      </c>
      <c r="E25">
        <f>VLOOKUP($A25,ScionOutput!$A$3:$BL$215,6,FALSE)</f>
        <v>3</v>
      </c>
      <c r="F25" t="str">
        <f>VLOOKUP($A25,ScionOutput!$A$3:$BL$215,7,FALSE)</f>
        <v>BOS</v>
      </c>
      <c r="G25">
        <f>VLOOKUP($A25,ScionOutput!$A$3:$BL$215,26,FALSE)</f>
        <v>-139</v>
      </c>
      <c r="H25">
        <f>VLOOKUP($A25,ScionOutput!$A$3:$BL$215,10,FALSE)</f>
        <v>128</v>
      </c>
      <c r="I25" t="str">
        <f>VLOOKUP($A25,ScionOutput!$A$3:$BL$215,58,FALSE)</f>
        <v>No Play</v>
      </c>
      <c r="J25">
        <f>VLOOKUP($A25,ScionOutput!$A$3:$BL$215,59,FALSE)</f>
        <v>0</v>
      </c>
      <c r="K25">
        <f>VLOOKUP($A25,ScionOutput!$A$3:$BL$215,62,FALSE)</f>
        <v>0</v>
      </c>
      <c r="L25">
        <f>VLOOKUP($A25,ScionOutput!$A$3:$BL$215,63,FALSE)</f>
        <v>0</v>
      </c>
      <c r="M25" t="b">
        <f t="shared" si="1"/>
        <v>0</v>
      </c>
      <c r="N25">
        <f>VLOOKUP($A25,Outcomes!$B$3:$I$209,8,FALSE)</f>
        <v>7</v>
      </c>
      <c r="O25">
        <f t="shared" si="2"/>
        <v>1</v>
      </c>
      <c r="P25">
        <f>VLOOKUP($A25,Outcomes!$B$3:$I$209,5,FALSE)</f>
        <v>6</v>
      </c>
      <c r="Q25">
        <f>VLOOKUP($A25,Outcomes!$B$3:$I$209,6,FALSE)</f>
        <v>1</v>
      </c>
      <c r="R25">
        <f>VLOOKUP($A25,Outcomes!$B$3:$I$209,7,FALSE)</f>
        <v>-5</v>
      </c>
      <c r="S25" t="str">
        <f t="shared" si="3"/>
        <v>HomFave</v>
      </c>
      <c r="T25" t="str">
        <f t="shared" si="4"/>
        <v/>
      </c>
      <c r="U25" t="str">
        <f t="shared" si="5"/>
        <v/>
      </c>
      <c r="V25" t="str">
        <f t="shared" si="6"/>
        <v/>
      </c>
      <c r="W25" t="str">
        <f t="shared" si="7"/>
        <v/>
      </c>
      <c r="X25" s="2" t="str">
        <f t="shared" si="8"/>
        <v/>
      </c>
      <c r="Y25" t="str">
        <f>VLOOKUP($A25,ScionOutput!$A$3:$BL$215,64,FALSE)</f>
        <v xml:space="preserve">823537. LineStatEns probability points gap does not exceed threshold (no edge found)! StatOnlyEns probability points gap does not exceed threshold (no edge found)! No play due to strategy constraints. </v>
      </c>
    </row>
    <row r="26" spans="1:25" x14ac:dyDescent="0.2">
      <c r="A26">
        <v>823453</v>
      </c>
      <c r="B26" s="3">
        <f>VLOOKUP($A26,ScionOutput!$A$3:$BL$215,3,FALSE)</f>
        <v>46180</v>
      </c>
      <c r="C26">
        <f>VLOOKUP($A26,ScionOutput!$A$3:$BL$215,22,FALSE)</f>
        <v>21</v>
      </c>
      <c r="D26" t="str">
        <f>VLOOKUP($A26,ScionOutput!$A$3:$BL$215,23,FALSE)</f>
        <v>PHI</v>
      </c>
      <c r="E26">
        <f>VLOOKUP($A26,ScionOutput!$A$3:$BL$215,6,FALSE)</f>
        <v>9</v>
      </c>
      <c r="F26" t="str">
        <f>VLOOKUP($A26,ScionOutput!$A$3:$BL$215,7,FALSE)</f>
        <v>CWS</v>
      </c>
      <c r="G26">
        <f>VLOOKUP($A26,ScionOutput!$A$3:$BL$215,26,FALSE)</f>
        <v>-163</v>
      </c>
      <c r="H26">
        <f>VLOOKUP($A26,ScionOutput!$A$3:$BL$215,10,FALSE)</f>
        <v>149</v>
      </c>
      <c r="I26" t="str">
        <f>VLOOKUP($A26,ScionOutput!$A$3:$BL$215,58,FALSE)</f>
        <v>No Play</v>
      </c>
      <c r="J26">
        <f>VLOOKUP($A26,ScionOutput!$A$3:$BL$215,59,FALSE)</f>
        <v>0</v>
      </c>
      <c r="K26">
        <f>VLOOKUP($A26,ScionOutput!$A$3:$BL$215,62,FALSE)</f>
        <v>0</v>
      </c>
      <c r="L26">
        <f>VLOOKUP($A26,ScionOutput!$A$3:$BL$215,63,FALSE)</f>
        <v>0</v>
      </c>
      <c r="M26" t="b">
        <f t="shared" si="1"/>
        <v>0</v>
      </c>
      <c r="N26">
        <f>VLOOKUP($A26,Outcomes!$B$3:$I$209,8,FALSE)</f>
        <v>14</v>
      </c>
      <c r="O26">
        <f t="shared" si="2"/>
        <v>1</v>
      </c>
      <c r="P26">
        <f>VLOOKUP($A26,Outcomes!$B$3:$I$209,5,FALSE)</f>
        <v>9</v>
      </c>
      <c r="Q26">
        <f>VLOOKUP($A26,Outcomes!$B$3:$I$209,6,FALSE)</f>
        <v>5</v>
      </c>
      <c r="R26">
        <f>VLOOKUP($A26,Outcomes!$B$3:$I$209,7,FALSE)</f>
        <v>-4</v>
      </c>
      <c r="S26" t="str">
        <f t="shared" si="3"/>
        <v>HomFave</v>
      </c>
      <c r="T26" t="str">
        <f t="shared" si="4"/>
        <v/>
      </c>
      <c r="U26" t="str">
        <f t="shared" si="5"/>
        <v/>
      </c>
      <c r="V26" t="str">
        <f t="shared" si="6"/>
        <v/>
      </c>
      <c r="W26" t="str">
        <f t="shared" si="7"/>
        <v/>
      </c>
      <c r="X26" s="2" t="str">
        <f t="shared" si="8"/>
        <v/>
      </c>
      <c r="Y26" t="str">
        <f>VLOOKUP($A26,ScionOutput!$A$3:$BL$215,64,FALSE)</f>
        <v xml:space="preserve">823453. LineStatEns is NoPlay as bookie-line outside range. StatOnlyEns is NoPlay as bookie-line outside range. No play due to strategy constraints. </v>
      </c>
    </row>
    <row r="27" spans="1:25" x14ac:dyDescent="0.2">
      <c r="A27">
        <v>823291</v>
      </c>
      <c r="B27" s="3">
        <f>VLOOKUP($A27,ScionOutput!$A$3:$BL$215,3,FALSE)</f>
        <v>46180</v>
      </c>
      <c r="C27">
        <f>VLOOKUP($A27,ScionOutput!$A$3:$BL$215,22,FALSE)</f>
        <v>23</v>
      </c>
      <c r="D27" t="str">
        <f>VLOOKUP($A27,ScionOutput!$A$3:$BL$215,23,FALSE)</f>
        <v>SD</v>
      </c>
      <c r="E27">
        <f>VLOOKUP($A27,ScionOutput!$A$3:$BL$215,6,FALSE)</f>
        <v>18</v>
      </c>
      <c r="F27" t="str">
        <f>VLOOKUP($A27,ScionOutput!$A$3:$BL$215,7,FALSE)</f>
        <v>NYM</v>
      </c>
      <c r="G27">
        <f>VLOOKUP($A27,ScionOutput!$A$3:$BL$215,26,FALSE)</f>
        <v>-103</v>
      </c>
      <c r="H27">
        <f>VLOOKUP($A27,ScionOutput!$A$3:$BL$215,10,FALSE)</f>
        <v>-105</v>
      </c>
      <c r="I27" t="str">
        <f>VLOOKUP($A27,ScionOutput!$A$3:$BL$215,58,FALSE)</f>
        <v>HomDog</v>
      </c>
      <c r="J27">
        <f>VLOOKUP($A27,ScionOutput!$A$3:$BL$215,59,FALSE)</f>
        <v>1.2359999999999999E-2</v>
      </c>
      <c r="K27">
        <f>VLOOKUP($A27,ScionOutput!$A$3:$BL$215,62,FALSE)</f>
        <v>5</v>
      </c>
      <c r="L27">
        <f>VLOOKUP($A27,ScionOutput!$A$3:$BL$215,63,FALSE)</f>
        <v>0.6</v>
      </c>
      <c r="M27" t="b">
        <f t="shared" si="1"/>
        <v>1</v>
      </c>
      <c r="N27">
        <f>VLOOKUP($A27,Outcomes!$B$3:$I$209,8,FALSE)</f>
        <v>10</v>
      </c>
      <c r="O27">
        <f t="shared" si="2"/>
        <v>-1</v>
      </c>
      <c r="P27">
        <f>VLOOKUP($A27,Outcomes!$B$3:$I$209,5,FALSE)</f>
        <v>3</v>
      </c>
      <c r="Q27">
        <f>VLOOKUP($A27,Outcomes!$B$3:$I$209,6,FALSE)</f>
        <v>7</v>
      </c>
      <c r="R27">
        <f>VLOOKUP($A27,Outcomes!$B$3:$I$209,7,FALSE)</f>
        <v>4</v>
      </c>
      <c r="S27" t="str">
        <f t="shared" si="3"/>
        <v>VisFave</v>
      </c>
      <c r="T27">
        <f t="shared" si="4"/>
        <v>0</v>
      </c>
      <c r="U27">
        <f t="shared" si="5"/>
        <v>103</v>
      </c>
      <c r="V27">
        <f t="shared" si="6"/>
        <v>0</v>
      </c>
      <c r="W27">
        <f t="shared" si="7"/>
        <v>-103</v>
      </c>
      <c r="X27" s="2">
        <f t="shared" si="8"/>
        <v>-1</v>
      </c>
      <c r="Y27" t="str">
        <f>VLOOKUP($A27,ScionOutput!$A$3:$BL$215,64,FALSE)</f>
        <v xml:space="preserve">823291. Play determined by LineStatEns and StatOnlyEns agreement. </v>
      </c>
    </row>
    <row r="28" spans="1:25" x14ac:dyDescent="0.2">
      <c r="A28">
        <v>823047</v>
      </c>
      <c r="B28" s="3">
        <f>VLOOKUP($A28,ScionOutput!$A$3:$BL$215,3,FALSE)</f>
        <v>46180</v>
      </c>
      <c r="C28">
        <f>VLOOKUP($A28,ScionOutput!$A$3:$BL$215,22,FALSE)</f>
        <v>26</v>
      </c>
      <c r="D28" t="str">
        <f>VLOOKUP($A28,ScionOutput!$A$3:$BL$215,23,FALSE)</f>
        <v>STL</v>
      </c>
      <c r="E28">
        <f>VLOOKUP($A28,ScionOutput!$A$3:$BL$215,6,FALSE)</f>
        <v>6</v>
      </c>
      <c r="F28" t="str">
        <f>VLOOKUP($A28,ScionOutput!$A$3:$BL$215,7,FALSE)</f>
        <v>CIN</v>
      </c>
      <c r="G28">
        <f>VLOOKUP($A28,ScionOutput!$A$3:$BL$215,26,FALSE)</f>
        <v>-141</v>
      </c>
      <c r="H28">
        <f>VLOOKUP($A28,ScionOutput!$A$3:$BL$215,10,FALSE)</f>
        <v>130</v>
      </c>
      <c r="I28" t="str">
        <f>VLOOKUP($A28,ScionOutput!$A$3:$BL$215,58,FALSE)</f>
        <v>No Play</v>
      </c>
      <c r="J28">
        <f>VLOOKUP($A28,ScionOutput!$A$3:$BL$215,59,FALSE)</f>
        <v>0</v>
      </c>
      <c r="K28">
        <f>VLOOKUP($A28,ScionOutput!$A$3:$BL$215,62,FALSE)</f>
        <v>0</v>
      </c>
      <c r="L28">
        <f>VLOOKUP($A28,ScionOutput!$A$3:$BL$215,63,FALSE)</f>
        <v>0</v>
      </c>
      <c r="M28" t="b">
        <f t="shared" si="1"/>
        <v>0</v>
      </c>
      <c r="N28">
        <f>VLOOKUP($A28,Outcomes!$B$3:$I$209,8,FALSE)</f>
        <v>8</v>
      </c>
      <c r="O28">
        <f t="shared" si="2"/>
        <v>1</v>
      </c>
      <c r="P28">
        <f>VLOOKUP($A28,Outcomes!$B$3:$I$209,5,FALSE)</f>
        <v>5</v>
      </c>
      <c r="Q28">
        <f>VLOOKUP($A28,Outcomes!$B$3:$I$209,6,FALSE)</f>
        <v>3</v>
      </c>
      <c r="R28">
        <f>VLOOKUP($A28,Outcomes!$B$3:$I$209,7,FALSE)</f>
        <v>-2</v>
      </c>
      <c r="S28" t="str">
        <f t="shared" si="3"/>
        <v>HomFave</v>
      </c>
      <c r="T28" t="str">
        <f t="shared" si="4"/>
        <v/>
      </c>
      <c r="U28" t="str">
        <f t="shared" si="5"/>
        <v/>
      </c>
      <c r="V28" t="str">
        <f t="shared" si="6"/>
        <v/>
      </c>
      <c r="W28" t="str">
        <f t="shared" si="7"/>
        <v/>
      </c>
      <c r="X28" s="2" t="str">
        <f t="shared" si="8"/>
        <v/>
      </c>
      <c r="Y28" t="str">
        <f>VLOOKUP($A28,ScionOutput!$A$3:$BL$215,64,FALSE)</f>
        <v xml:space="preserve">823047. LineStatEns probability points gap does not exceed threshold (no edge found)! StatOnlyEns probability points gap does not exceed threshold (no edge found)! No play due to strategy constraints. </v>
      </c>
    </row>
    <row r="29" spans="1:25" x14ac:dyDescent="0.2">
      <c r="A29">
        <v>822890</v>
      </c>
      <c r="B29" s="3">
        <f>VLOOKUP($A29,ScionOutput!$A$3:$BL$215,3,FALSE)</f>
        <v>46180</v>
      </c>
      <c r="C29">
        <f>VLOOKUP($A29,ScionOutput!$A$3:$BL$215,22,FALSE)</f>
        <v>28</v>
      </c>
      <c r="D29" t="str">
        <f>VLOOKUP($A29,ScionOutput!$A$3:$BL$215,23,FALSE)</f>
        <v>TEX</v>
      </c>
      <c r="E29">
        <f>VLOOKUP($A29,ScionOutput!$A$3:$BL$215,6,FALSE)</f>
        <v>7</v>
      </c>
      <c r="F29" t="str">
        <f>VLOOKUP($A29,ScionOutput!$A$3:$BL$215,7,FALSE)</f>
        <v>CLE</v>
      </c>
      <c r="G29">
        <f>VLOOKUP($A29,ScionOutput!$A$3:$BL$215,26,FALSE)</f>
        <v>-137</v>
      </c>
      <c r="H29">
        <f>VLOOKUP($A29,ScionOutput!$A$3:$BL$215,10,FALSE)</f>
        <v>126</v>
      </c>
      <c r="I29" t="str">
        <f>VLOOKUP($A29,ScionOutput!$A$3:$BL$215,58,FALSE)</f>
        <v>No Play</v>
      </c>
      <c r="J29">
        <f>VLOOKUP($A29,ScionOutput!$A$3:$BL$215,59,FALSE)</f>
        <v>0</v>
      </c>
      <c r="K29">
        <f>VLOOKUP($A29,ScionOutput!$A$3:$BL$215,62,FALSE)</f>
        <v>0</v>
      </c>
      <c r="L29">
        <f>VLOOKUP($A29,ScionOutput!$A$3:$BL$215,63,FALSE)</f>
        <v>0</v>
      </c>
      <c r="M29" t="b">
        <f t="shared" si="1"/>
        <v>0</v>
      </c>
      <c r="N29">
        <f>VLOOKUP($A29,Outcomes!$B$3:$I$209,8,FALSE)</f>
        <v>10</v>
      </c>
      <c r="O29">
        <f t="shared" si="2"/>
        <v>1</v>
      </c>
      <c r="P29">
        <f>VLOOKUP($A29,Outcomes!$B$3:$I$209,5,FALSE)</f>
        <v>10</v>
      </c>
      <c r="Q29">
        <f>VLOOKUP($A29,Outcomes!$B$3:$I$209,6,FALSE)</f>
        <v>0</v>
      </c>
      <c r="R29">
        <f>VLOOKUP($A29,Outcomes!$B$3:$I$209,7,FALSE)</f>
        <v>-10</v>
      </c>
      <c r="S29" t="str">
        <f t="shared" si="3"/>
        <v>HomFave</v>
      </c>
      <c r="T29" t="str">
        <f t="shared" si="4"/>
        <v/>
      </c>
      <c r="U29" t="str">
        <f t="shared" si="5"/>
        <v/>
      </c>
      <c r="V29" t="str">
        <f t="shared" si="6"/>
        <v/>
      </c>
      <c r="W29" t="str">
        <f t="shared" si="7"/>
        <v/>
      </c>
      <c r="X29" s="2" t="str">
        <f t="shared" si="8"/>
        <v/>
      </c>
      <c r="Y29" t="str">
        <f>VLOOKUP($A29,ScionOutput!$A$3:$BL$215,64,FALSE)</f>
        <v xml:space="preserve">822890. LineStatEns probability points gap does not exceed threshold (no edge found)! StatOnlyEns probability points gap does not exceed threshold (no edge found)! No play due to strategy constraints. </v>
      </c>
    </row>
    <row r="30" spans="1:25" x14ac:dyDescent="0.2">
      <c r="A30">
        <v>822807</v>
      </c>
      <c r="B30" s="3">
        <f>VLOOKUP($A30,ScionOutput!$A$3:$BL$215,3,FALSE)</f>
        <v>46180</v>
      </c>
      <c r="C30">
        <f>VLOOKUP($A30,ScionOutput!$A$3:$BL$215,22,FALSE)</f>
        <v>29</v>
      </c>
      <c r="D30" t="str">
        <f>VLOOKUP($A30,ScionOutput!$A$3:$BL$215,23,FALSE)</f>
        <v>TOR</v>
      </c>
      <c r="E30">
        <f>VLOOKUP($A30,ScionOutput!$A$3:$BL$215,6,FALSE)</f>
        <v>2</v>
      </c>
      <c r="F30" t="str">
        <f>VLOOKUP($A30,ScionOutput!$A$3:$BL$215,7,FALSE)</f>
        <v>BAL</v>
      </c>
      <c r="G30">
        <f>VLOOKUP($A30,ScionOutput!$A$3:$BL$215,26,FALSE)</f>
        <v>-130</v>
      </c>
      <c r="H30">
        <f>VLOOKUP($A30,ScionOutput!$A$3:$BL$215,10,FALSE)</f>
        <v>120</v>
      </c>
      <c r="I30" t="str">
        <f>VLOOKUP($A30,ScionOutput!$A$3:$BL$215,58,FALSE)</f>
        <v>No Play</v>
      </c>
      <c r="J30">
        <f>VLOOKUP($A30,ScionOutput!$A$3:$BL$215,59,FALSE)</f>
        <v>0</v>
      </c>
      <c r="K30">
        <f>VLOOKUP($A30,ScionOutput!$A$3:$BL$215,62,FALSE)</f>
        <v>0</v>
      </c>
      <c r="L30">
        <f>VLOOKUP($A30,ScionOutput!$A$3:$BL$215,63,FALSE)</f>
        <v>0</v>
      </c>
      <c r="M30" t="b">
        <f t="shared" si="1"/>
        <v>0</v>
      </c>
      <c r="N30">
        <f>VLOOKUP($A30,Outcomes!$B$3:$I$209,8,FALSE)</f>
        <v>10</v>
      </c>
      <c r="O30">
        <f t="shared" si="2"/>
        <v>1</v>
      </c>
      <c r="P30">
        <f>VLOOKUP($A30,Outcomes!$B$3:$I$209,5,FALSE)</f>
        <v>6</v>
      </c>
      <c r="Q30">
        <f>VLOOKUP($A30,Outcomes!$B$3:$I$209,6,FALSE)</f>
        <v>4</v>
      </c>
      <c r="R30">
        <f>VLOOKUP($A30,Outcomes!$B$3:$I$209,7,FALSE)</f>
        <v>-2</v>
      </c>
      <c r="S30" t="str">
        <f t="shared" si="3"/>
        <v>HomFave</v>
      </c>
      <c r="T30" t="str">
        <f t="shared" si="4"/>
        <v/>
      </c>
      <c r="U30" t="str">
        <f t="shared" si="5"/>
        <v/>
      </c>
      <c r="V30" t="str">
        <f t="shared" si="6"/>
        <v/>
      </c>
      <c r="W30" t="str">
        <f t="shared" si="7"/>
        <v/>
      </c>
      <c r="X30" s="2" t="str">
        <f t="shared" si="8"/>
        <v/>
      </c>
      <c r="Y30" t="str">
        <f>VLOOKUP($A30,ScionOutput!$A$3:$BL$215,64,FALSE)</f>
        <v xml:space="preserve">822807. LineStatEns probability points gap does not exceed threshold (no edge found)! StatOnlyEns probability points gap does not exceed threshold (no edge found)! No play due to strategy constraints. </v>
      </c>
    </row>
    <row r="31" spans="1:25" x14ac:dyDescent="0.2">
      <c r="A31">
        <v>824829</v>
      </c>
      <c r="B31" s="3">
        <f>VLOOKUP($A31,ScionOutput!$A$3:$BL$215,3,FALSE)</f>
        <v>46181</v>
      </c>
      <c r="C31">
        <f>VLOOKUP($A31,ScionOutput!$A$3:$BL$215,22,FALSE)</f>
        <v>2</v>
      </c>
      <c r="D31" t="str">
        <f>VLOOKUP($A31,ScionOutput!$A$3:$BL$215,23,FALSE)</f>
        <v>BAL</v>
      </c>
      <c r="E31">
        <f>VLOOKUP($A31,ScionOutput!$A$3:$BL$215,6,FALSE)</f>
        <v>24</v>
      </c>
      <c r="F31" t="str">
        <f>VLOOKUP($A31,ScionOutput!$A$3:$BL$215,7,FALSE)</f>
        <v>SEA</v>
      </c>
      <c r="G31">
        <f>VLOOKUP($A31,ScionOutput!$A$3:$BL$215,26,FALSE)</f>
        <v>111</v>
      </c>
      <c r="H31">
        <f>VLOOKUP($A31,ScionOutput!$A$3:$BL$215,10,FALSE)</f>
        <v>-120</v>
      </c>
      <c r="I31" t="str">
        <f>VLOOKUP($A31,ScionOutput!$A$3:$BL$215,58,FALSE)</f>
        <v>No Play</v>
      </c>
      <c r="J31">
        <f>VLOOKUP($A31,ScionOutput!$A$3:$BL$215,59,FALSE)</f>
        <v>0</v>
      </c>
      <c r="K31">
        <f>VLOOKUP($A31,ScionOutput!$A$3:$BL$215,62,FALSE)</f>
        <v>0</v>
      </c>
      <c r="L31">
        <f>VLOOKUP($A31,ScionOutput!$A$3:$BL$215,63,FALSE)</f>
        <v>0</v>
      </c>
      <c r="M31" t="b">
        <f t="shared" si="1"/>
        <v>0</v>
      </c>
      <c r="N31">
        <f>VLOOKUP($A31,Outcomes!$B$3:$I$209,8,FALSE)</f>
        <v>9</v>
      </c>
      <c r="O31">
        <f t="shared" si="2"/>
        <v>-1</v>
      </c>
      <c r="P31">
        <f>VLOOKUP($A31,Outcomes!$B$3:$I$209,5,FALSE)</f>
        <v>3</v>
      </c>
      <c r="Q31">
        <f>VLOOKUP($A31,Outcomes!$B$3:$I$209,6,FALSE)</f>
        <v>6</v>
      </c>
      <c r="R31">
        <f>VLOOKUP($A31,Outcomes!$B$3:$I$209,7,FALSE)</f>
        <v>3</v>
      </c>
      <c r="S31" t="str">
        <f t="shared" si="3"/>
        <v>VisFave</v>
      </c>
      <c r="T31" t="str">
        <f t="shared" si="4"/>
        <v/>
      </c>
      <c r="U31" t="str">
        <f t="shared" si="5"/>
        <v/>
      </c>
      <c r="V31" t="str">
        <f t="shared" si="6"/>
        <v/>
      </c>
      <c r="W31" t="str">
        <f t="shared" si="7"/>
        <v/>
      </c>
      <c r="X31" s="2" t="str">
        <f t="shared" si="8"/>
        <v/>
      </c>
      <c r="Y31" t="str">
        <f>VLOOKUP($A31,ScionOutput!$A$3:$BL$215,64,FALSE)</f>
        <v xml:space="preserve">824829. VF plays are disallowed. No play due to strategy constraints. </v>
      </c>
    </row>
    <row r="32" spans="1:25" x14ac:dyDescent="0.2">
      <c r="A32">
        <v>824025</v>
      </c>
      <c r="B32" s="3">
        <f>VLOOKUP($A32,ScionOutput!$A$3:$BL$215,3,FALSE)</f>
        <v>46181</v>
      </c>
      <c r="C32">
        <f>VLOOKUP($A32,ScionOutput!$A$3:$BL$215,22,FALSE)</f>
        <v>4</v>
      </c>
      <c r="D32" t="str">
        <f>VLOOKUP($A32,ScionOutput!$A$3:$BL$215,23,FALSE)</f>
        <v>LAA</v>
      </c>
      <c r="E32">
        <f>VLOOKUP($A32,ScionOutput!$A$3:$BL$215,6,FALSE)</f>
        <v>12</v>
      </c>
      <c r="F32" t="str">
        <f>VLOOKUP($A32,ScionOutput!$A$3:$BL$215,7,FALSE)</f>
        <v>HOU</v>
      </c>
      <c r="G32">
        <f>VLOOKUP($A32,ScionOutput!$A$3:$BL$215,26,FALSE)</f>
        <v>112</v>
      </c>
      <c r="H32">
        <f>VLOOKUP($A32,ScionOutput!$A$3:$BL$215,10,FALSE)</f>
        <v>-121</v>
      </c>
      <c r="I32" t="str">
        <f>VLOOKUP($A32,ScionOutput!$A$3:$BL$215,58,FALSE)</f>
        <v>No Play</v>
      </c>
      <c r="J32">
        <f>VLOOKUP($A32,ScionOutput!$A$3:$BL$215,59,FALSE)</f>
        <v>0</v>
      </c>
      <c r="K32">
        <f>VLOOKUP($A32,ScionOutput!$A$3:$BL$215,62,FALSE)</f>
        <v>0</v>
      </c>
      <c r="L32">
        <f>VLOOKUP($A32,ScionOutput!$A$3:$BL$215,63,FALSE)</f>
        <v>0</v>
      </c>
      <c r="M32" t="b">
        <f t="shared" si="1"/>
        <v>0</v>
      </c>
      <c r="N32">
        <f>VLOOKUP($A32,Outcomes!$B$3:$I$209,8,FALSE)</f>
        <v>9</v>
      </c>
      <c r="O32">
        <f t="shared" si="2"/>
        <v>-1</v>
      </c>
      <c r="P32">
        <f>VLOOKUP($A32,Outcomes!$B$3:$I$209,5,FALSE)</f>
        <v>4</v>
      </c>
      <c r="Q32">
        <f>VLOOKUP($A32,Outcomes!$B$3:$I$209,6,FALSE)</f>
        <v>5</v>
      </c>
      <c r="R32">
        <f>VLOOKUP($A32,Outcomes!$B$3:$I$209,7,FALSE)</f>
        <v>1</v>
      </c>
      <c r="S32" t="str">
        <f t="shared" si="3"/>
        <v>VisFave</v>
      </c>
      <c r="T32" t="str">
        <f t="shared" si="4"/>
        <v/>
      </c>
      <c r="U32" t="str">
        <f t="shared" si="5"/>
        <v/>
      </c>
      <c r="V32" t="str">
        <f t="shared" si="6"/>
        <v/>
      </c>
      <c r="W32" t="str">
        <f t="shared" si="7"/>
        <v/>
      </c>
      <c r="X32" s="2" t="str">
        <f t="shared" si="8"/>
        <v/>
      </c>
      <c r="Y32" t="str">
        <f>VLOOKUP($A32,ScionOutput!$A$3:$BL$215,64,FALSE)</f>
        <v xml:space="preserve">824025. VF plays are disallowed. No play due to strategy constraints. </v>
      </c>
    </row>
    <row r="33" spans="1:25" x14ac:dyDescent="0.2">
      <c r="A33">
        <v>824427</v>
      </c>
      <c r="B33" s="3">
        <f>VLOOKUP($A33,ScionOutput!$A$3:$BL$215,3,FALSE)</f>
        <v>46181</v>
      </c>
      <c r="C33">
        <f>VLOOKUP($A33,ScionOutput!$A$3:$BL$215,22,FALSE)</f>
        <v>7</v>
      </c>
      <c r="D33" t="str">
        <f>VLOOKUP($A33,ScionOutput!$A$3:$BL$215,23,FALSE)</f>
        <v>CLE</v>
      </c>
      <c r="E33">
        <f>VLOOKUP($A33,ScionOutput!$A$3:$BL$215,6,FALSE)</f>
        <v>19</v>
      </c>
      <c r="F33" t="str">
        <f>VLOOKUP($A33,ScionOutput!$A$3:$BL$215,7,FALSE)</f>
        <v>NYY</v>
      </c>
      <c r="G33">
        <f>VLOOKUP($A33,ScionOutput!$A$3:$BL$215,26,FALSE)</f>
        <v>-122</v>
      </c>
      <c r="H33">
        <f>VLOOKUP($A33,ScionOutput!$A$3:$BL$215,10,FALSE)</f>
        <v>113</v>
      </c>
      <c r="I33" t="str">
        <f>VLOOKUP($A33,ScionOutput!$A$3:$BL$215,58,FALSE)</f>
        <v>No Play</v>
      </c>
      <c r="J33">
        <f>VLOOKUP($A33,ScionOutput!$A$3:$BL$215,59,FALSE)</f>
        <v>0</v>
      </c>
      <c r="K33">
        <f>VLOOKUP($A33,ScionOutput!$A$3:$BL$215,62,FALSE)</f>
        <v>0</v>
      </c>
      <c r="L33">
        <f>VLOOKUP($A33,ScionOutput!$A$3:$BL$215,63,FALSE)</f>
        <v>0</v>
      </c>
      <c r="M33" t="b">
        <f t="shared" si="1"/>
        <v>0</v>
      </c>
      <c r="N33">
        <f>VLOOKUP($A33,Outcomes!$B$3:$I$209,8,FALSE)</f>
        <v>12</v>
      </c>
      <c r="O33">
        <f t="shared" si="2"/>
        <v>-1</v>
      </c>
      <c r="P33">
        <f>VLOOKUP($A33,Outcomes!$B$3:$I$209,5,FALSE)</f>
        <v>5</v>
      </c>
      <c r="Q33">
        <f>VLOOKUP($A33,Outcomes!$B$3:$I$209,6,FALSE)</f>
        <v>7</v>
      </c>
      <c r="R33">
        <f>VLOOKUP($A33,Outcomes!$B$3:$I$209,7,FALSE)</f>
        <v>2</v>
      </c>
      <c r="S33" t="str">
        <f t="shared" si="3"/>
        <v>VisDog</v>
      </c>
      <c r="T33" t="str">
        <f t="shared" si="4"/>
        <v/>
      </c>
      <c r="U33" t="str">
        <f t="shared" si="5"/>
        <v/>
      </c>
      <c r="V33" t="str">
        <f t="shared" si="6"/>
        <v/>
      </c>
      <c r="W33" t="str">
        <f t="shared" si="7"/>
        <v/>
      </c>
      <c r="X33" s="2" t="str">
        <f t="shared" si="8"/>
        <v/>
      </c>
      <c r="Y33" t="str">
        <f>VLOOKUP($A33,ScionOutput!$A$3:$BL$215,64,FALSE)</f>
        <v xml:space="preserve">824427. LineStatEns probability points gap does not exceed threshold (no edge found)! StatOnlyEns probability points gap does not exceed threshold (no edge found)! No play due to strategy constraints. </v>
      </c>
    </row>
    <row r="34" spans="1:25" x14ac:dyDescent="0.2">
      <c r="A34">
        <v>824998</v>
      </c>
      <c r="B34" s="3">
        <f>VLOOKUP($A34,ScionOutput!$A$3:$BL$215,3,FALSE)</f>
        <v>46181</v>
      </c>
      <c r="C34">
        <f>VLOOKUP($A34,ScionOutput!$A$3:$BL$215,22,FALSE)</f>
        <v>20</v>
      </c>
      <c r="D34" t="str">
        <f>VLOOKUP($A34,ScionOutput!$A$3:$BL$215,23,FALSE)</f>
        <v>OAK</v>
      </c>
      <c r="E34">
        <f>VLOOKUP($A34,ScionOutput!$A$3:$BL$215,6,FALSE)</f>
        <v>17</v>
      </c>
      <c r="F34" t="str">
        <f>VLOOKUP($A34,ScionOutput!$A$3:$BL$215,7,FALSE)</f>
        <v>MLW</v>
      </c>
      <c r="G34">
        <f>VLOOKUP($A34,ScionOutput!$A$3:$BL$215,26,FALSE)</f>
        <v>130</v>
      </c>
      <c r="H34">
        <f>VLOOKUP($A34,ScionOutput!$A$3:$BL$215,10,FALSE)</f>
        <v>-142</v>
      </c>
      <c r="I34" t="str">
        <f>VLOOKUP($A34,ScionOutput!$A$3:$BL$215,58,FALSE)</f>
        <v>No Play</v>
      </c>
      <c r="J34">
        <f>VLOOKUP($A34,ScionOutput!$A$3:$BL$215,59,FALSE)</f>
        <v>0</v>
      </c>
      <c r="K34">
        <f>VLOOKUP($A34,ScionOutput!$A$3:$BL$215,62,FALSE)</f>
        <v>0</v>
      </c>
      <c r="L34">
        <f>VLOOKUP($A34,ScionOutput!$A$3:$BL$215,63,FALSE)</f>
        <v>0</v>
      </c>
      <c r="M34" t="b">
        <f t="shared" si="1"/>
        <v>0</v>
      </c>
      <c r="N34">
        <f>VLOOKUP($A34,Outcomes!$B$3:$I$209,8,FALSE)</f>
        <v>29</v>
      </c>
      <c r="O34">
        <f t="shared" si="2"/>
        <v>-1</v>
      </c>
      <c r="P34">
        <f>VLOOKUP($A34,Outcomes!$B$3:$I$209,5,FALSE)</f>
        <v>14</v>
      </c>
      <c r="Q34">
        <f>VLOOKUP($A34,Outcomes!$B$3:$I$209,6,FALSE)</f>
        <v>15</v>
      </c>
      <c r="R34">
        <f>VLOOKUP($A34,Outcomes!$B$3:$I$209,7,FALSE)</f>
        <v>1</v>
      </c>
      <c r="S34" t="str">
        <f t="shared" si="3"/>
        <v>VisFave</v>
      </c>
      <c r="T34" t="str">
        <f t="shared" si="4"/>
        <v/>
      </c>
      <c r="U34" t="str">
        <f t="shared" si="5"/>
        <v/>
      </c>
      <c r="V34" t="str">
        <f t="shared" si="6"/>
        <v/>
      </c>
      <c r="W34" t="str">
        <f t="shared" si="7"/>
        <v/>
      </c>
      <c r="X34" s="2" t="str">
        <f t="shared" si="8"/>
        <v/>
      </c>
      <c r="Y34" t="str">
        <f>VLOOKUP($A34,ScionOutput!$A$3:$BL$215,64,FALSE)</f>
        <v xml:space="preserve">824998. VF plays are disallowed. No play due to strategy constraints. </v>
      </c>
    </row>
    <row r="35" spans="1:25" x14ac:dyDescent="0.2">
      <c r="A35">
        <v>823289</v>
      </c>
      <c r="B35" s="3">
        <f>VLOOKUP($A35,ScionOutput!$A$3:$BL$215,3,FALSE)</f>
        <v>46181</v>
      </c>
      <c r="C35">
        <f>VLOOKUP($A35,ScionOutput!$A$3:$BL$215,22,FALSE)</f>
        <v>23</v>
      </c>
      <c r="D35" t="str">
        <f>VLOOKUP($A35,ScionOutput!$A$3:$BL$215,23,FALSE)</f>
        <v>SD</v>
      </c>
      <c r="E35">
        <f>VLOOKUP($A35,ScionOutput!$A$3:$BL$215,6,FALSE)</f>
        <v>6</v>
      </c>
      <c r="F35" t="str">
        <f>VLOOKUP($A35,ScionOutput!$A$3:$BL$215,7,FALSE)</f>
        <v>CIN</v>
      </c>
      <c r="G35">
        <f>VLOOKUP($A35,ScionOutput!$A$3:$BL$215,26,FALSE)</f>
        <v>-128</v>
      </c>
      <c r="H35">
        <f>VLOOKUP($A35,ScionOutput!$A$3:$BL$215,10,FALSE)</f>
        <v>118</v>
      </c>
      <c r="I35" t="str">
        <f>VLOOKUP($A35,ScionOutput!$A$3:$BL$215,58,FALSE)</f>
        <v>No Play</v>
      </c>
      <c r="J35">
        <f>VLOOKUP($A35,ScionOutput!$A$3:$BL$215,59,FALSE)</f>
        <v>0</v>
      </c>
      <c r="K35">
        <f>VLOOKUP($A35,ScionOutput!$A$3:$BL$215,62,FALSE)</f>
        <v>0</v>
      </c>
      <c r="L35">
        <f>VLOOKUP($A35,ScionOutput!$A$3:$BL$215,63,FALSE)</f>
        <v>0</v>
      </c>
      <c r="M35" t="b">
        <f t="shared" si="1"/>
        <v>0</v>
      </c>
      <c r="N35">
        <f>VLOOKUP($A35,Outcomes!$B$3:$I$209,8,FALSE)</f>
        <v>8</v>
      </c>
      <c r="O35">
        <f t="shared" si="2"/>
        <v>1</v>
      </c>
      <c r="P35">
        <f>VLOOKUP($A35,Outcomes!$B$3:$I$209,5,FALSE)</f>
        <v>6</v>
      </c>
      <c r="Q35">
        <f>VLOOKUP($A35,Outcomes!$B$3:$I$209,6,FALSE)</f>
        <v>2</v>
      </c>
      <c r="R35">
        <f>VLOOKUP($A35,Outcomes!$B$3:$I$209,7,FALSE)</f>
        <v>-4</v>
      </c>
      <c r="S35" t="str">
        <f t="shared" si="3"/>
        <v>HomFave</v>
      </c>
      <c r="T35" t="str">
        <f t="shared" si="4"/>
        <v/>
      </c>
      <c r="U35" t="str">
        <f t="shared" si="5"/>
        <v/>
      </c>
      <c r="V35" t="str">
        <f t="shared" si="6"/>
        <v/>
      </c>
      <c r="W35" t="str">
        <f t="shared" si="7"/>
        <v/>
      </c>
      <c r="X35" s="2" t="str">
        <f t="shared" si="8"/>
        <v/>
      </c>
      <c r="Y35" t="str">
        <f>VLOOKUP($A35,ScionOutput!$A$3:$BL$215,64,FALSE)</f>
        <v xml:space="preserve">823289. LineStatEns probability points gap does not exceed threshold (no edge found)! StatOnlyEns probability points gap does not exceed threshold (no edge found)! No play due to strategy constraints. </v>
      </c>
    </row>
    <row r="36" spans="1:25" x14ac:dyDescent="0.2">
      <c r="A36">
        <v>823218</v>
      </c>
      <c r="B36" s="3">
        <f>VLOOKUP($A36,ScionOutput!$A$3:$BL$215,3,FALSE)</f>
        <v>46181</v>
      </c>
      <c r="C36">
        <f>VLOOKUP($A36,ScionOutput!$A$3:$BL$215,22,FALSE)</f>
        <v>25</v>
      </c>
      <c r="D36" t="str">
        <f>VLOOKUP($A36,ScionOutput!$A$3:$BL$215,23,FALSE)</f>
        <v>SF</v>
      </c>
      <c r="E36">
        <f>VLOOKUP($A36,ScionOutput!$A$3:$BL$215,6,FALSE)</f>
        <v>16</v>
      </c>
      <c r="F36" t="str">
        <f>VLOOKUP($A36,ScionOutput!$A$3:$BL$215,7,FALSE)</f>
        <v>WAS</v>
      </c>
      <c r="G36">
        <f>VLOOKUP($A36,ScionOutput!$A$3:$BL$215,26,FALSE)</f>
        <v>-145</v>
      </c>
      <c r="H36">
        <f>VLOOKUP($A36,ScionOutput!$A$3:$BL$215,10,FALSE)</f>
        <v>133</v>
      </c>
      <c r="I36" t="str">
        <f>VLOOKUP($A36,ScionOutput!$A$3:$BL$215,58,FALSE)</f>
        <v>No Play</v>
      </c>
      <c r="J36">
        <f>VLOOKUP($A36,ScionOutput!$A$3:$BL$215,59,FALSE)</f>
        <v>0</v>
      </c>
      <c r="K36">
        <f>VLOOKUP($A36,ScionOutput!$A$3:$BL$215,62,FALSE)</f>
        <v>0</v>
      </c>
      <c r="L36">
        <f>VLOOKUP($A36,ScionOutput!$A$3:$BL$215,63,FALSE)</f>
        <v>0</v>
      </c>
      <c r="M36" t="b">
        <f t="shared" si="1"/>
        <v>0</v>
      </c>
      <c r="N36">
        <f>VLOOKUP($A36,Outcomes!$B$3:$I$209,8,FALSE)</f>
        <v>7</v>
      </c>
      <c r="O36">
        <f t="shared" si="2"/>
        <v>-1</v>
      </c>
      <c r="P36">
        <f>VLOOKUP($A36,Outcomes!$B$3:$I$209,5,FALSE)</f>
        <v>3</v>
      </c>
      <c r="Q36">
        <f>VLOOKUP($A36,Outcomes!$B$3:$I$209,6,FALSE)</f>
        <v>4</v>
      </c>
      <c r="R36">
        <f>VLOOKUP($A36,Outcomes!$B$3:$I$209,7,FALSE)</f>
        <v>1</v>
      </c>
      <c r="S36" t="str">
        <f t="shared" si="3"/>
        <v>VisDog</v>
      </c>
      <c r="T36" t="str">
        <f t="shared" si="4"/>
        <v/>
      </c>
      <c r="U36" t="str">
        <f t="shared" si="5"/>
        <v/>
      </c>
      <c r="V36" t="str">
        <f t="shared" si="6"/>
        <v/>
      </c>
      <c r="W36" t="str">
        <f t="shared" si="7"/>
        <v/>
      </c>
      <c r="X36" s="2" t="str">
        <f t="shared" si="8"/>
        <v/>
      </c>
      <c r="Y36" t="str">
        <f>VLOOKUP($A36,ScionOutput!$A$3:$BL$215,64,FALSE)</f>
        <v xml:space="preserve">823218. LineStatEns probability points gap does not exceed threshold (no edge found)! StatOnlyEns probability points gap does not exceed threshold (no edge found)! No play due to strategy constraints. </v>
      </c>
    </row>
    <row r="37" spans="1:25" x14ac:dyDescent="0.2">
      <c r="A37">
        <v>822972</v>
      </c>
      <c r="B37" s="3">
        <f>VLOOKUP($A37,ScionOutput!$A$3:$BL$215,3,FALSE)</f>
        <v>46181</v>
      </c>
      <c r="C37">
        <f>VLOOKUP($A37,ScionOutput!$A$3:$BL$215,22,FALSE)</f>
        <v>27</v>
      </c>
      <c r="D37" t="str">
        <f>VLOOKUP($A37,ScionOutput!$A$3:$BL$215,23,FALSE)</f>
        <v>TB</v>
      </c>
      <c r="E37">
        <f>VLOOKUP($A37,ScionOutput!$A$3:$BL$215,6,FALSE)</f>
        <v>3</v>
      </c>
      <c r="F37" t="str">
        <f>VLOOKUP($A37,ScionOutput!$A$3:$BL$215,7,FALSE)</f>
        <v>BOS</v>
      </c>
      <c r="G37">
        <f>VLOOKUP($A37,ScionOutput!$A$3:$BL$215,26,FALSE)</f>
        <v>-102</v>
      </c>
      <c r="H37">
        <f>VLOOKUP($A37,ScionOutput!$A$3:$BL$215,10,FALSE)</f>
        <v>-106</v>
      </c>
      <c r="I37" t="str">
        <f>VLOOKUP($A37,ScionOutput!$A$3:$BL$215,58,FALSE)</f>
        <v>No Play</v>
      </c>
      <c r="J37">
        <f>VLOOKUP($A37,ScionOutput!$A$3:$BL$215,59,FALSE)</f>
        <v>0</v>
      </c>
      <c r="K37">
        <f>VLOOKUP($A37,ScionOutput!$A$3:$BL$215,62,FALSE)</f>
        <v>0</v>
      </c>
      <c r="L37">
        <f>VLOOKUP($A37,ScionOutput!$A$3:$BL$215,63,FALSE)</f>
        <v>0</v>
      </c>
      <c r="M37" t="b">
        <f t="shared" si="1"/>
        <v>0</v>
      </c>
      <c r="N37">
        <f>VLOOKUP($A37,Outcomes!$B$3:$I$209,8,FALSE)</f>
        <v>4</v>
      </c>
      <c r="O37">
        <f t="shared" si="2"/>
        <v>1</v>
      </c>
      <c r="P37">
        <f>VLOOKUP($A37,Outcomes!$B$3:$I$209,5,FALSE)</f>
        <v>3</v>
      </c>
      <c r="Q37">
        <f>VLOOKUP($A37,Outcomes!$B$3:$I$209,6,FALSE)</f>
        <v>1</v>
      </c>
      <c r="R37">
        <f>VLOOKUP($A37,Outcomes!$B$3:$I$209,7,FALSE)</f>
        <v>-2</v>
      </c>
      <c r="S37" t="str">
        <f t="shared" si="3"/>
        <v>HomDog</v>
      </c>
      <c r="T37" t="str">
        <f t="shared" si="4"/>
        <v/>
      </c>
      <c r="U37" t="str">
        <f t="shared" si="5"/>
        <v/>
      </c>
      <c r="V37" t="str">
        <f t="shared" si="6"/>
        <v/>
      </c>
      <c r="W37" t="str">
        <f t="shared" si="7"/>
        <v/>
      </c>
      <c r="X37" s="2" t="str">
        <f t="shared" si="8"/>
        <v/>
      </c>
      <c r="Y37" t="str">
        <f>VLOOKUP($A37,ScionOutput!$A$3:$BL$215,64,FALSE)</f>
        <v xml:space="preserve">822972. VF plays are disallowed. No play due to strategy constraints. </v>
      </c>
    </row>
    <row r="38" spans="1:25" x14ac:dyDescent="0.2">
      <c r="A38">
        <v>822806</v>
      </c>
      <c r="B38" s="3">
        <f>VLOOKUP($A38,ScionOutput!$A$3:$BL$215,3,FALSE)</f>
        <v>46181</v>
      </c>
      <c r="C38">
        <f>VLOOKUP($A38,ScionOutput!$A$3:$BL$215,22,FALSE)</f>
        <v>29</v>
      </c>
      <c r="D38" t="str">
        <f>VLOOKUP($A38,ScionOutput!$A$3:$BL$215,23,FALSE)</f>
        <v>TOR</v>
      </c>
      <c r="E38">
        <f>VLOOKUP($A38,ScionOutput!$A$3:$BL$215,6,FALSE)</f>
        <v>21</v>
      </c>
      <c r="F38" t="str">
        <f>VLOOKUP($A38,ScionOutput!$A$3:$BL$215,7,FALSE)</f>
        <v>PHI</v>
      </c>
      <c r="G38">
        <f>VLOOKUP($A38,ScionOutput!$A$3:$BL$215,26,FALSE)</f>
        <v>154</v>
      </c>
      <c r="H38">
        <f>VLOOKUP($A38,ScionOutput!$A$3:$BL$215,10,FALSE)</f>
        <v>-168</v>
      </c>
      <c r="I38" t="str">
        <f>VLOOKUP($A38,ScionOutput!$A$3:$BL$215,58,FALSE)</f>
        <v>No Play</v>
      </c>
      <c r="J38">
        <f>VLOOKUP($A38,ScionOutput!$A$3:$BL$215,59,FALSE)</f>
        <v>0</v>
      </c>
      <c r="K38">
        <f>VLOOKUP($A38,ScionOutput!$A$3:$BL$215,62,FALSE)</f>
        <v>0</v>
      </c>
      <c r="L38">
        <f>VLOOKUP($A38,ScionOutput!$A$3:$BL$215,63,FALSE)</f>
        <v>0</v>
      </c>
      <c r="M38" t="b">
        <f t="shared" si="1"/>
        <v>0</v>
      </c>
      <c r="N38">
        <f>VLOOKUP($A38,Outcomes!$B$3:$I$209,8,FALSE)</f>
        <v>7</v>
      </c>
      <c r="O38">
        <f t="shared" si="2"/>
        <v>-1</v>
      </c>
      <c r="P38">
        <f>VLOOKUP($A38,Outcomes!$B$3:$I$209,5,FALSE)</f>
        <v>2</v>
      </c>
      <c r="Q38">
        <f>VLOOKUP($A38,Outcomes!$B$3:$I$209,6,FALSE)</f>
        <v>5</v>
      </c>
      <c r="R38">
        <f>VLOOKUP($A38,Outcomes!$B$3:$I$209,7,FALSE)</f>
        <v>3</v>
      </c>
      <c r="S38" t="str">
        <f t="shared" si="3"/>
        <v>VisFave</v>
      </c>
      <c r="T38" t="str">
        <f t="shared" si="4"/>
        <v/>
      </c>
      <c r="U38" t="str">
        <f t="shared" si="5"/>
        <v/>
      </c>
      <c r="V38" t="str">
        <f t="shared" si="6"/>
        <v/>
      </c>
      <c r="W38" t="str">
        <f t="shared" si="7"/>
        <v/>
      </c>
      <c r="X38" s="2" t="str">
        <f t="shared" si="8"/>
        <v/>
      </c>
      <c r="Y38" t="str">
        <f>VLOOKUP($A38,ScionOutput!$A$3:$BL$215,64,FALSE)</f>
        <v xml:space="preserve">822806. LineStatEns is NoPlay as bookie-line outside range. StatOnlyEns is NoPlay as bookie-line outside range. No play due to strategy constraints. </v>
      </c>
    </row>
    <row r="39" spans="1:25" x14ac:dyDescent="0.2">
      <c r="A39">
        <v>824830</v>
      </c>
      <c r="B39" s="3">
        <f>VLOOKUP($A39,ScionOutput!$A$3:$BL$215,3,FALSE)</f>
        <v>46182</v>
      </c>
      <c r="C39">
        <f>VLOOKUP($A39,ScionOutput!$A$3:$BL$215,22,FALSE)</f>
        <v>2</v>
      </c>
      <c r="D39" t="str">
        <f>VLOOKUP($A39,ScionOutput!$A$3:$BL$215,23,FALSE)</f>
        <v>BAL</v>
      </c>
      <c r="E39">
        <f>VLOOKUP($A39,ScionOutput!$A$3:$BL$215,6,FALSE)</f>
        <v>24</v>
      </c>
      <c r="F39" t="str">
        <f>VLOOKUP($A39,ScionOutput!$A$3:$BL$215,7,FALSE)</f>
        <v>SEA</v>
      </c>
      <c r="G39">
        <f>VLOOKUP($A39,ScionOutput!$A$3:$BL$215,26,FALSE)</f>
        <v>103</v>
      </c>
      <c r="H39">
        <f>VLOOKUP($A39,ScionOutput!$A$3:$BL$215,10,FALSE)</f>
        <v>-112</v>
      </c>
      <c r="I39" t="str">
        <f>VLOOKUP($A39,ScionOutput!$A$3:$BL$215,58,FALSE)</f>
        <v>No Play</v>
      </c>
      <c r="J39">
        <f>VLOOKUP($A39,ScionOutput!$A$3:$BL$215,59,FALSE)</f>
        <v>0</v>
      </c>
      <c r="K39">
        <f>VLOOKUP($A39,ScionOutput!$A$3:$BL$215,62,FALSE)</f>
        <v>0</v>
      </c>
      <c r="L39">
        <f>VLOOKUP($A39,ScionOutput!$A$3:$BL$215,63,FALSE)</f>
        <v>0</v>
      </c>
      <c r="M39" t="b">
        <f t="shared" si="1"/>
        <v>0</v>
      </c>
      <c r="N39">
        <f>VLOOKUP($A39,Outcomes!$B$3:$I$209,8,FALSE)</f>
        <v>11</v>
      </c>
      <c r="O39">
        <f t="shared" si="2"/>
        <v>-1</v>
      </c>
      <c r="P39">
        <f>VLOOKUP($A39,Outcomes!$B$3:$I$209,5,FALSE)</f>
        <v>5</v>
      </c>
      <c r="Q39">
        <f>VLOOKUP($A39,Outcomes!$B$3:$I$209,6,FALSE)</f>
        <v>6</v>
      </c>
      <c r="R39">
        <f>VLOOKUP($A39,Outcomes!$B$3:$I$209,7,FALSE)</f>
        <v>1</v>
      </c>
      <c r="S39" t="str">
        <f t="shared" si="3"/>
        <v>VisFave</v>
      </c>
      <c r="T39" t="str">
        <f t="shared" si="4"/>
        <v/>
      </c>
      <c r="U39" t="str">
        <f t="shared" si="5"/>
        <v/>
      </c>
      <c r="V39" t="str">
        <f t="shared" si="6"/>
        <v/>
      </c>
      <c r="W39" t="str">
        <f t="shared" si="7"/>
        <v/>
      </c>
      <c r="X39" s="2" t="str">
        <f t="shared" si="8"/>
        <v/>
      </c>
      <c r="Y39" t="str">
        <f>VLOOKUP($A39,ScionOutput!$A$3:$BL$215,64,FALSE)</f>
        <v xml:space="preserve">824830. VF plays are disallowed. No play due to strategy constraints. </v>
      </c>
    </row>
    <row r="40" spans="1:25" x14ac:dyDescent="0.2">
      <c r="A40">
        <v>824023</v>
      </c>
      <c r="B40" s="3">
        <f>VLOOKUP($A40,ScionOutput!$A$3:$BL$215,3,FALSE)</f>
        <v>46182</v>
      </c>
      <c r="C40">
        <f>VLOOKUP($A40,ScionOutput!$A$3:$BL$215,22,FALSE)</f>
        <v>4</v>
      </c>
      <c r="D40" t="str">
        <f>VLOOKUP($A40,ScionOutput!$A$3:$BL$215,23,FALSE)</f>
        <v>LAA</v>
      </c>
      <c r="E40">
        <f>VLOOKUP($A40,ScionOutput!$A$3:$BL$215,6,FALSE)</f>
        <v>12</v>
      </c>
      <c r="F40" t="str">
        <f>VLOOKUP($A40,ScionOutput!$A$3:$BL$215,7,FALSE)</f>
        <v>HOU</v>
      </c>
      <c r="G40">
        <f>VLOOKUP($A40,ScionOutput!$A$3:$BL$215,26,FALSE)</f>
        <v>111</v>
      </c>
      <c r="H40">
        <f>VLOOKUP($A40,ScionOutput!$A$3:$BL$215,10,FALSE)</f>
        <v>-120</v>
      </c>
      <c r="I40" t="str">
        <f>VLOOKUP($A40,ScionOutput!$A$3:$BL$215,58,FALSE)</f>
        <v>No Play</v>
      </c>
      <c r="J40">
        <f>VLOOKUP($A40,ScionOutput!$A$3:$BL$215,59,FALSE)</f>
        <v>0</v>
      </c>
      <c r="K40">
        <f>VLOOKUP($A40,ScionOutput!$A$3:$BL$215,62,FALSE)</f>
        <v>0</v>
      </c>
      <c r="L40">
        <f>VLOOKUP($A40,ScionOutput!$A$3:$BL$215,63,FALSE)</f>
        <v>0</v>
      </c>
      <c r="M40" t="b">
        <f t="shared" si="1"/>
        <v>0</v>
      </c>
      <c r="N40">
        <f>VLOOKUP($A40,Outcomes!$B$3:$I$209,8,FALSE)</f>
        <v>11</v>
      </c>
      <c r="O40">
        <f t="shared" si="2"/>
        <v>1</v>
      </c>
      <c r="P40">
        <f>VLOOKUP($A40,Outcomes!$B$3:$I$209,5,FALSE)</f>
        <v>10</v>
      </c>
      <c r="Q40">
        <f>VLOOKUP($A40,Outcomes!$B$3:$I$209,6,FALSE)</f>
        <v>1</v>
      </c>
      <c r="R40">
        <f>VLOOKUP($A40,Outcomes!$B$3:$I$209,7,FALSE)</f>
        <v>-9</v>
      </c>
      <c r="S40" t="str">
        <f t="shared" si="3"/>
        <v>HomDog</v>
      </c>
      <c r="T40" t="str">
        <f t="shared" si="4"/>
        <v/>
      </c>
      <c r="U40" t="str">
        <f t="shared" si="5"/>
        <v/>
      </c>
      <c r="V40" t="str">
        <f t="shared" si="6"/>
        <v/>
      </c>
      <c r="W40" t="str">
        <f t="shared" si="7"/>
        <v/>
      </c>
      <c r="X40" s="2" t="str">
        <f t="shared" si="8"/>
        <v/>
      </c>
      <c r="Y40" t="str">
        <f>VLOOKUP($A40,ScionOutput!$A$3:$BL$215,64,FALSE)</f>
        <v xml:space="preserve">824023. VF plays are disallowed. No play due to strategy constraints. </v>
      </c>
    </row>
    <row r="41" spans="1:25" x14ac:dyDescent="0.2">
      <c r="A41">
        <v>824429</v>
      </c>
      <c r="B41" s="3">
        <f>VLOOKUP($A41,ScionOutput!$A$3:$BL$215,3,FALSE)</f>
        <v>46182</v>
      </c>
      <c r="C41">
        <f>VLOOKUP($A41,ScionOutput!$A$3:$BL$215,22,FALSE)</f>
        <v>7</v>
      </c>
      <c r="D41" t="str">
        <f>VLOOKUP($A41,ScionOutput!$A$3:$BL$215,23,FALSE)</f>
        <v>CLE</v>
      </c>
      <c r="E41">
        <f>VLOOKUP($A41,ScionOutput!$A$3:$BL$215,6,FALSE)</f>
        <v>19</v>
      </c>
      <c r="F41" t="str">
        <f>VLOOKUP($A41,ScionOutput!$A$3:$BL$215,7,FALSE)</f>
        <v>NYY</v>
      </c>
      <c r="G41">
        <f>VLOOKUP($A41,ScionOutput!$A$3:$BL$215,26,FALSE)</f>
        <v>107</v>
      </c>
      <c r="H41">
        <f>VLOOKUP($A41,ScionOutput!$A$3:$BL$215,10,FALSE)</f>
        <v>-116</v>
      </c>
      <c r="I41" t="str">
        <f>VLOOKUP($A41,ScionOutput!$A$3:$BL$215,58,FALSE)</f>
        <v>No Play</v>
      </c>
      <c r="J41">
        <f>VLOOKUP($A41,ScionOutput!$A$3:$BL$215,59,FALSE)</f>
        <v>0</v>
      </c>
      <c r="K41">
        <f>VLOOKUP($A41,ScionOutput!$A$3:$BL$215,62,FALSE)</f>
        <v>0</v>
      </c>
      <c r="L41">
        <f>VLOOKUP($A41,ScionOutput!$A$3:$BL$215,63,FALSE)</f>
        <v>0</v>
      </c>
      <c r="M41" t="b">
        <f t="shared" si="1"/>
        <v>0</v>
      </c>
      <c r="N41">
        <f>VLOOKUP($A41,Outcomes!$B$3:$I$209,8,FALSE)</f>
        <v>5</v>
      </c>
      <c r="O41">
        <f t="shared" si="2"/>
        <v>-1</v>
      </c>
      <c r="P41">
        <f>VLOOKUP($A41,Outcomes!$B$3:$I$209,5,FALSE)</f>
        <v>2</v>
      </c>
      <c r="Q41">
        <f>VLOOKUP($A41,Outcomes!$B$3:$I$209,6,FALSE)</f>
        <v>3</v>
      </c>
      <c r="R41">
        <f>VLOOKUP($A41,Outcomes!$B$3:$I$209,7,FALSE)</f>
        <v>1</v>
      </c>
      <c r="S41" t="str">
        <f t="shared" si="3"/>
        <v>VisFave</v>
      </c>
      <c r="T41" t="str">
        <f t="shared" si="4"/>
        <v/>
      </c>
      <c r="U41" t="str">
        <f t="shared" si="5"/>
        <v/>
      </c>
      <c r="V41" t="str">
        <f t="shared" si="6"/>
        <v/>
      </c>
      <c r="W41" t="str">
        <f t="shared" si="7"/>
        <v/>
      </c>
      <c r="X41" s="2" t="str">
        <f t="shared" si="8"/>
        <v/>
      </c>
      <c r="Y41" t="str">
        <f>VLOOKUP($A41,ScionOutput!$A$3:$BL$215,64,FALSE)</f>
        <v xml:space="preserve">824429. VF plays are disallowed. No play due to strategy constraints. </v>
      </c>
    </row>
    <row r="42" spans="1:25" x14ac:dyDescent="0.2">
      <c r="A42">
        <v>824347</v>
      </c>
      <c r="B42" s="3">
        <f>VLOOKUP($A42,ScionOutput!$A$3:$BL$215,3,FALSE)</f>
        <v>46182</v>
      </c>
      <c r="C42">
        <f>VLOOKUP($A42,ScionOutput!$A$3:$BL$215,22,FALSE)</f>
        <v>8</v>
      </c>
      <c r="D42" t="str">
        <f>VLOOKUP($A42,ScionOutput!$A$3:$BL$215,23,FALSE)</f>
        <v>COL</v>
      </c>
      <c r="E42">
        <f>VLOOKUP($A42,ScionOutput!$A$3:$BL$215,6,FALSE)</f>
        <v>5</v>
      </c>
      <c r="F42" t="str">
        <f>VLOOKUP($A42,ScionOutput!$A$3:$BL$215,7,FALSE)</f>
        <v>CHC</v>
      </c>
      <c r="G42">
        <f>VLOOKUP($A42,ScionOutput!$A$3:$BL$215,26,FALSE)</f>
        <v>141</v>
      </c>
      <c r="H42">
        <f>VLOOKUP($A42,ScionOutput!$A$3:$BL$215,10,FALSE)</f>
        <v>-153</v>
      </c>
      <c r="I42" t="str">
        <f>VLOOKUP($A42,ScionOutput!$A$3:$BL$215,58,FALSE)</f>
        <v>No Play</v>
      </c>
      <c r="J42">
        <f>VLOOKUP($A42,ScionOutput!$A$3:$BL$215,59,FALSE)</f>
        <v>0</v>
      </c>
      <c r="K42">
        <f>VLOOKUP($A42,ScionOutput!$A$3:$BL$215,62,FALSE)</f>
        <v>0</v>
      </c>
      <c r="L42">
        <f>VLOOKUP($A42,ScionOutput!$A$3:$BL$215,63,FALSE)</f>
        <v>0</v>
      </c>
      <c r="M42" t="b">
        <f t="shared" si="1"/>
        <v>0</v>
      </c>
      <c r="N42">
        <f>VLOOKUP($A42,Outcomes!$B$3:$I$209,8,FALSE)</f>
        <v>10</v>
      </c>
      <c r="O42">
        <f t="shared" si="2"/>
        <v>1</v>
      </c>
      <c r="P42">
        <f>VLOOKUP($A42,Outcomes!$B$3:$I$209,5,FALSE)</f>
        <v>7</v>
      </c>
      <c r="Q42">
        <f>VLOOKUP($A42,Outcomes!$B$3:$I$209,6,FALSE)</f>
        <v>3</v>
      </c>
      <c r="R42">
        <f>VLOOKUP($A42,Outcomes!$B$3:$I$209,7,FALSE)</f>
        <v>-4</v>
      </c>
      <c r="S42" t="str">
        <f t="shared" si="3"/>
        <v>HomDog</v>
      </c>
      <c r="T42" t="str">
        <f t="shared" si="4"/>
        <v/>
      </c>
      <c r="U42" t="str">
        <f t="shared" si="5"/>
        <v/>
      </c>
      <c r="V42" t="str">
        <f t="shared" si="6"/>
        <v/>
      </c>
      <c r="W42" t="str">
        <f t="shared" si="7"/>
        <v/>
      </c>
      <c r="X42" s="2" t="str">
        <f t="shared" si="8"/>
        <v/>
      </c>
      <c r="Y42" t="str">
        <f>VLOOKUP($A42,ScionOutput!$A$3:$BL$215,64,FALSE)</f>
        <v xml:space="preserve">824347. VF plays are disallowed. No play due to strategy constraints. </v>
      </c>
    </row>
    <row r="43" spans="1:25" x14ac:dyDescent="0.2">
      <c r="A43">
        <v>824591</v>
      </c>
      <c r="B43" s="3">
        <f>VLOOKUP($A43,ScionOutput!$A$3:$BL$215,3,FALSE)</f>
        <v>46182</v>
      </c>
      <c r="C43">
        <f>VLOOKUP($A43,ScionOutput!$A$3:$BL$215,22,FALSE)</f>
        <v>9</v>
      </c>
      <c r="D43" t="str">
        <f>VLOOKUP($A43,ScionOutput!$A$3:$BL$215,23,FALSE)</f>
        <v>CWS</v>
      </c>
      <c r="E43">
        <f>VLOOKUP($A43,ScionOutput!$A$3:$BL$215,6,FALSE)</f>
        <v>0</v>
      </c>
      <c r="F43" t="str">
        <f>VLOOKUP($A43,ScionOutput!$A$3:$BL$215,7,FALSE)</f>
        <v>ATL</v>
      </c>
      <c r="G43">
        <f>VLOOKUP($A43,ScionOutput!$A$3:$BL$215,26,FALSE)</f>
        <v>139</v>
      </c>
      <c r="H43">
        <f>VLOOKUP($A43,ScionOutput!$A$3:$BL$215,10,FALSE)</f>
        <v>-152</v>
      </c>
      <c r="I43" t="str">
        <f>VLOOKUP($A43,ScionOutput!$A$3:$BL$215,58,FALSE)</f>
        <v>No Play</v>
      </c>
      <c r="J43">
        <f>VLOOKUP($A43,ScionOutput!$A$3:$BL$215,59,FALSE)</f>
        <v>0</v>
      </c>
      <c r="K43">
        <f>VLOOKUP($A43,ScionOutput!$A$3:$BL$215,62,FALSE)</f>
        <v>0</v>
      </c>
      <c r="L43">
        <f>VLOOKUP($A43,ScionOutput!$A$3:$BL$215,63,FALSE)</f>
        <v>0</v>
      </c>
      <c r="M43" t="b">
        <f t="shared" si="1"/>
        <v>0</v>
      </c>
      <c r="N43">
        <f>VLOOKUP($A43,Outcomes!$B$3:$I$209,8,FALSE)</f>
        <v>11</v>
      </c>
      <c r="O43">
        <f t="shared" si="2"/>
        <v>1</v>
      </c>
      <c r="P43">
        <f>VLOOKUP($A43,Outcomes!$B$3:$I$209,5,FALSE)</f>
        <v>6</v>
      </c>
      <c r="Q43">
        <f>VLOOKUP($A43,Outcomes!$B$3:$I$209,6,FALSE)</f>
        <v>5</v>
      </c>
      <c r="R43">
        <f>VLOOKUP($A43,Outcomes!$B$3:$I$209,7,FALSE)</f>
        <v>-1</v>
      </c>
      <c r="S43" t="str">
        <f t="shared" si="3"/>
        <v>HomDog</v>
      </c>
      <c r="T43" t="str">
        <f t="shared" si="4"/>
        <v/>
      </c>
      <c r="U43" t="str">
        <f t="shared" si="5"/>
        <v/>
      </c>
      <c r="V43" t="str">
        <f t="shared" si="6"/>
        <v/>
      </c>
      <c r="W43" t="str">
        <f t="shared" si="7"/>
        <v/>
      </c>
      <c r="X43" s="2" t="str">
        <f t="shared" si="8"/>
        <v/>
      </c>
      <c r="Y43" t="str">
        <f>VLOOKUP($A43,ScionOutput!$A$3:$BL$215,64,FALSE)</f>
        <v xml:space="preserve">824591. LineStatEns price is outside allowable range! VF plays are disallowed. No play due to strategy constraints. </v>
      </c>
    </row>
    <row r="44" spans="1:25" x14ac:dyDescent="0.2">
      <c r="A44">
        <v>824267</v>
      </c>
      <c r="B44" s="3">
        <f>VLOOKUP($A44,ScionOutput!$A$3:$BL$215,3,FALSE)</f>
        <v>46182</v>
      </c>
      <c r="C44">
        <f>VLOOKUP($A44,ScionOutput!$A$3:$BL$215,22,FALSE)</f>
        <v>10</v>
      </c>
      <c r="D44" t="str">
        <f>VLOOKUP($A44,ScionOutput!$A$3:$BL$215,23,FALSE)</f>
        <v>DET</v>
      </c>
      <c r="E44">
        <f>VLOOKUP($A44,ScionOutput!$A$3:$BL$215,6,FALSE)</f>
        <v>15</v>
      </c>
      <c r="F44" t="str">
        <f>VLOOKUP($A44,ScionOutput!$A$3:$BL$215,7,FALSE)</f>
        <v>MIN</v>
      </c>
      <c r="G44">
        <f>VLOOKUP($A44,ScionOutput!$A$3:$BL$215,26,FALSE)</f>
        <v>-122</v>
      </c>
      <c r="H44">
        <f>VLOOKUP($A44,ScionOutput!$A$3:$BL$215,10,FALSE)</f>
        <v>112</v>
      </c>
      <c r="I44" t="str">
        <f>VLOOKUP($A44,ScionOutput!$A$3:$BL$215,58,FALSE)</f>
        <v>No Play</v>
      </c>
      <c r="J44">
        <f>VLOOKUP($A44,ScionOutput!$A$3:$BL$215,59,FALSE)</f>
        <v>0</v>
      </c>
      <c r="K44">
        <f>VLOOKUP($A44,ScionOutput!$A$3:$BL$215,62,FALSE)</f>
        <v>0</v>
      </c>
      <c r="L44">
        <f>VLOOKUP($A44,ScionOutput!$A$3:$BL$215,63,FALSE)</f>
        <v>0</v>
      </c>
      <c r="M44" t="b">
        <f t="shared" si="1"/>
        <v>0</v>
      </c>
      <c r="N44">
        <f>VLOOKUP($A44,Outcomes!$B$3:$I$209,8,FALSE)</f>
        <v>14</v>
      </c>
      <c r="O44">
        <f t="shared" si="2"/>
        <v>1</v>
      </c>
      <c r="P44">
        <f>VLOOKUP($A44,Outcomes!$B$3:$I$209,5,FALSE)</f>
        <v>10</v>
      </c>
      <c r="Q44">
        <f>VLOOKUP($A44,Outcomes!$B$3:$I$209,6,FALSE)</f>
        <v>4</v>
      </c>
      <c r="R44">
        <f>VLOOKUP($A44,Outcomes!$B$3:$I$209,7,FALSE)</f>
        <v>-6</v>
      </c>
      <c r="S44" t="str">
        <f t="shared" si="3"/>
        <v>HomFave</v>
      </c>
      <c r="T44" t="str">
        <f t="shared" si="4"/>
        <v/>
      </c>
      <c r="U44" t="str">
        <f t="shared" si="5"/>
        <v/>
      </c>
      <c r="V44" t="str">
        <f t="shared" si="6"/>
        <v/>
      </c>
      <c r="W44" t="str">
        <f t="shared" si="7"/>
        <v/>
      </c>
      <c r="X44" s="2" t="str">
        <f t="shared" si="8"/>
        <v/>
      </c>
      <c r="Y44" t="str">
        <f>VLOOKUP($A44,ScionOutput!$A$3:$BL$215,64,FALSE)</f>
        <v xml:space="preserve">824267. LineStatEns probability points gap does not exceed threshold (no edge found)! StatOnlyEns probability points gap does not exceed threshold (no edge found)! No play due to strategy constraints. </v>
      </c>
    </row>
    <row r="45" spans="1:25" x14ac:dyDescent="0.2">
      <c r="A45">
        <v>823858</v>
      </c>
      <c r="B45" s="3">
        <f>VLOOKUP($A45,ScionOutput!$A$3:$BL$215,3,FALSE)</f>
        <v>46182</v>
      </c>
      <c r="C45">
        <f>VLOOKUP($A45,ScionOutput!$A$3:$BL$215,22,FALSE)</f>
        <v>11</v>
      </c>
      <c r="D45" t="str">
        <f>VLOOKUP($A45,ScionOutput!$A$3:$BL$215,23,FALSE)</f>
        <v>FLO</v>
      </c>
      <c r="E45">
        <f>VLOOKUP($A45,ScionOutput!$A$3:$BL$215,6,FALSE)</f>
        <v>1</v>
      </c>
      <c r="F45" t="str">
        <f>VLOOKUP($A45,ScionOutput!$A$3:$BL$215,7,FALSE)</f>
        <v>ARZ</v>
      </c>
      <c r="G45">
        <f>VLOOKUP($A45,ScionOutput!$A$3:$BL$215,26,FALSE)</f>
        <v>-135</v>
      </c>
      <c r="H45">
        <f>VLOOKUP($A45,ScionOutput!$A$3:$BL$215,10,FALSE)</f>
        <v>124</v>
      </c>
      <c r="I45" t="str">
        <f>VLOOKUP($A45,ScionOutput!$A$3:$BL$215,58,FALSE)</f>
        <v>No Play</v>
      </c>
      <c r="J45">
        <f>VLOOKUP($A45,ScionOutput!$A$3:$BL$215,59,FALSE)</f>
        <v>0</v>
      </c>
      <c r="K45">
        <f>VLOOKUP($A45,ScionOutput!$A$3:$BL$215,62,FALSE)</f>
        <v>0</v>
      </c>
      <c r="L45">
        <f>VLOOKUP($A45,ScionOutput!$A$3:$BL$215,63,FALSE)</f>
        <v>0</v>
      </c>
      <c r="M45" t="b">
        <f t="shared" si="1"/>
        <v>0</v>
      </c>
      <c r="N45">
        <f>VLOOKUP($A45,Outcomes!$B$3:$I$209,8,FALSE)</f>
        <v>16</v>
      </c>
      <c r="O45">
        <f t="shared" si="2"/>
        <v>1</v>
      </c>
      <c r="P45">
        <f>VLOOKUP($A45,Outcomes!$B$3:$I$209,5,FALSE)</f>
        <v>10</v>
      </c>
      <c r="Q45">
        <f>VLOOKUP($A45,Outcomes!$B$3:$I$209,6,FALSE)</f>
        <v>6</v>
      </c>
      <c r="R45">
        <f>VLOOKUP($A45,Outcomes!$B$3:$I$209,7,FALSE)</f>
        <v>-4</v>
      </c>
      <c r="S45" t="str">
        <f t="shared" si="3"/>
        <v>HomFave</v>
      </c>
      <c r="T45" t="str">
        <f t="shared" si="4"/>
        <v/>
      </c>
      <c r="U45" t="str">
        <f t="shared" si="5"/>
        <v/>
      </c>
      <c r="V45" t="str">
        <f t="shared" si="6"/>
        <v/>
      </c>
      <c r="W45" t="str">
        <f t="shared" si="7"/>
        <v/>
      </c>
      <c r="X45" s="2" t="str">
        <f t="shared" si="8"/>
        <v/>
      </c>
      <c r="Y45" t="str">
        <f>VLOOKUP($A45,ScionOutput!$A$3:$BL$215,64,FALSE)</f>
        <v xml:space="preserve">823858. LineStatEns probability points gap does not exceed threshold (no edge found)! StatOnlyEns probability points gap does not exceed threshold (no edge found)! No play due to strategy constraints. </v>
      </c>
    </row>
    <row r="46" spans="1:25" x14ac:dyDescent="0.2">
      <c r="A46">
        <v>824105</v>
      </c>
      <c r="B46" s="3">
        <f>VLOOKUP($A46,ScionOutput!$A$3:$BL$215,3,FALSE)</f>
        <v>46182</v>
      </c>
      <c r="C46">
        <f>VLOOKUP($A46,ScionOutput!$A$3:$BL$215,22,FALSE)</f>
        <v>13</v>
      </c>
      <c r="D46" t="str">
        <f>VLOOKUP($A46,ScionOutput!$A$3:$BL$215,23,FALSE)</f>
        <v>KC</v>
      </c>
      <c r="E46">
        <f>VLOOKUP($A46,ScionOutput!$A$3:$BL$215,6,FALSE)</f>
        <v>28</v>
      </c>
      <c r="F46" t="str">
        <f>VLOOKUP($A46,ScionOutput!$A$3:$BL$215,7,FALSE)</f>
        <v>TEX</v>
      </c>
      <c r="G46">
        <f>VLOOKUP($A46,ScionOutput!$A$3:$BL$215,26,FALSE)</f>
        <v>110</v>
      </c>
      <c r="H46">
        <f>VLOOKUP($A46,ScionOutput!$A$3:$BL$215,10,FALSE)</f>
        <v>-120</v>
      </c>
      <c r="I46" t="str">
        <f>VLOOKUP($A46,ScionOutput!$A$3:$BL$215,58,FALSE)</f>
        <v>No Play</v>
      </c>
      <c r="J46">
        <f>VLOOKUP($A46,ScionOutput!$A$3:$BL$215,59,FALSE)</f>
        <v>0</v>
      </c>
      <c r="K46">
        <f>VLOOKUP($A46,ScionOutput!$A$3:$BL$215,62,FALSE)</f>
        <v>0</v>
      </c>
      <c r="L46">
        <f>VLOOKUP($A46,ScionOutput!$A$3:$BL$215,63,FALSE)</f>
        <v>0</v>
      </c>
      <c r="M46" t="b">
        <f t="shared" si="1"/>
        <v>0</v>
      </c>
      <c r="N46">
        <f>VLOOKUP($A46,Outcomes!$B$3:$I$209,8,FALSE)</f>
        <v>8</v>
      </c>
      <c r="O46">
        <f t="shared" si="2"/>
        <v>1</v>
      </c>
      <c r="P46">
        <f>VLOOKUP($A46,Outcomes!$B$3:$I$209,5,FALSE)</f>
        <v>5</v>
      </c>
      <c r="Q46">
        <f>VLOOKUP($A46,Outcomes!$B$3:$I$209,6,FALSE)</f>
        <v>3</v>
      </c>
      <c r="R46">
        <f>VLOOKUP($A46,Outcomes!$B$3:$I$209,7,FALSE)</f>
        <v>-2</v>
      </c>
      <c r="S46" t="str">
        <f t="shared" si="3"/>
        <v>HomDog</v>
      </c>
      <c r="T46" t="str">
        <f t="shared" si="4"/>
        <v/>
      </c>
      <c r="U46" t="str">
        <f t="shared" si="5"/>
        <v/>
      </c>
      <c r="V46" t="str">
        <f t="shared" si="6"/>
        <v/>
      </c>
      <c r="W46" t="str">
        <f t="shared" si="7"/>
        <v/>
      </c>
      <c r="X46" s="2" t="str">
        <f t="shared" si="8"/>
        <v/>
      </c>
      <c r="Y46" t="str">
        <f>VLOOKUP($A46,ScionOutput!$A$3:$BL$215,64,FALSE)</f>
        <v xml:space="preserve">824105. VF plays are disallowed. No play due to strategy constraints. </v>
      </c>
    </row>
    <row r="47" spans="1:25" x14ac:dyDescent="0.2">
      <c r="A47">
        <v>823620</v>
      </c>
      <c r="B47" s="3">
        <f>VLOOKUP($A47,ScionOutput!$A$3:$BL$215,3,FALSE)</f>
        <v>46182</v>
      </c>
      <c r="C47">
        <f>VLOOKUP($A47,ScionOutput!$A$3:$BL$215,22,FALSE)</f>
        <v>18</v>
      </c>
      <c r="D47" t="str">
        <f>VLOOKUP($A47,ScionOutput!$A$3:$BL$215,23,FALSE)</f>
        <v>NYM</v>
      </c>
      <c r="E47">
        <f>VLOOKUP($A47,ScionOutput!$A$3:$BL$215,6,FALSE)</f>
        <v>26</v>
      </c>
      <c r="F47" t="str">
        <f>VLOOKUP($A47,ScionOutput!$A$3:$BL$215,7,FALSE)</f>
        <v>STL</v>
      </c>
      <c r="G47">
        <f>VLOOKUP($A47,ScionOutput!$A$3:$BL$215,26,FALSE)</f>
        <v>-125</v>
      </c>
      <c r="H47">
        <f>VLOOKUP($A47,ScionOutput!$A$3:$BL$215,10,FALSE)</f>
        <v>115</v>
      </c>
      <c r="I47" t="str">
        <f>VLOOKUP($A47,ScionOutput!$A$3:$BL$215,58,FALSE)</f>
        <v>No Play</v>
      </c>
      <c r="J47">
        <f>VLOOKUP($A47,ScionOutput!$A$3:$BL$215,59,FALSE)</f>
        <v>0</v>
      </c>
      <c r="K47">
        <f>VLOOKUP($A47,ScionOutput!$A$3:$BL$215,62,FALSE)</f>
        <v>0</v>
      </c>
      <c r="L47">
        <f>VLOOKUP($A47,ScionOutput!$A$3:$BL$215,63,FALSE)</f>
        <v>0</v>
      </c>
      <c r="M47" t="b">
        <f t="shared" si="1"/>
        <v>0</v>
      </c>
      <c r="N47">
        <f>VLOOKUP($A47,Outcomes!$B$3:$I$209,8,FALSE)</f>
        <v>7</v>
      </c>
      <c r="O47">
        <f t="shared" si="2"/>
        <v>-1</v>
      </c>
      <c r="P47">
        <f>VLOOKUP($A47,Outcomes!$B$3:$I$209,5,FALSE)</f>
        <v>0</v>
      </c>
      <c r="Q47">
        <f>VLOOKUP($A47,Outcomes!$B$3:$I$209,6,FALSE)</f>
        <v>7</v>
      </c>
      <c r="R47">
        <f>VLOOKUP($A47,Outcomes!$B$3:$I$209,7,FALSE)</f>
        <v>7</v>
      </c>
      <c r="S47" t="str">
        <f t="shared" si="3"/>
        <v>VisDog</v>
      </c>
      <c r="T47" t="str">
        <f t="shared" si="4"/>
        <v/>
      </c>
      <c r="U47" t="str">
        <f t="shared" si="5"/>
        <v/>
      </c>
      <c r="V47" t="str">
        <f t="shared" si="6"/>
        <v/>
      </c>
      <c r="W47" t="str">
        <f t="shared" si="7"/>
        <v/>
      </c>
      <c r="X47" s="2" t="str">
        <f t="shared" si="8"/>
        <v/>
      </c>
      <c r="Y47" t="str">
        <f>VLOOKUP($A47,ScionOutput!$A$3:$BL$215,64,FALSE)</f>
        <v xml:space="preserve">823620. LineStatEns probability points gap does not exceed threshold (no edge found)! StatOnlyEns probability points gap does not exceed threshold (no edge found)! No play due to strategy constraints. </v>
      </c>
    </row>
    <row r="48" spans="1:25" x14ac:dyDescent="0.2">
      <c r="A48">
        <v>824999</v>
      </c>
      <c r="B48" s="3">
        <f>VLOOKUP($A48,ScionOutput!$A$3:$BL$215,3,FALSE)</f>
        <v>46182</v>
      </c>
      <c r="C48">
        <f>VLOOKUP($A48,ScionOutput!$A$3:$BL$215,22,FALSE)</f>
        <v>20</v>
      </c>
      <c r="D48" t="str">
        <f>VLOOKUP($A48,ScionOutput!$A$3:$BL$215,23,FALSE)</f>
        <v>OAK</v>
      </c>
      <c r="E48">
        <f>VLOOKUP($A48,ScionOutput!$A$3:$BL$215,6,FALSE)</f>
        <v>17</v>
      </c>
      <c r="F48" t="str">
        <f>VLOOKUP($A48,ScionOutput!$A$3:$BL$215,7,FALSE)</f>
        <v>MLW</v>
      </c>
      <c r="G48">
        <f>VLOOKUP($A48,ScionOutput!$A$3:$BL$215,26,FALSE)</f>
        <v>-106</v>
      </c>
      <c r="H48">
        <f>VLOOKUP($A48,ScionOutput!$A$3:$BL$215,10,FALSE)</f>
        <v>-102</v>
      </c>
      <c r="I48" t="str">
        <f>VLOOKUP($A48,ScionOutput!$A$3:$BL$215,58,FALSE)</f>
        <v>No Play</v>
      </c>
      <c r="J48">
        <f>VLOOKUP($A48,ScionOutput!$A$3:$BL$215,59,FALSE)</f>
        <v>0</v>
      </c>
      <c r="K48">
        <f>VLOOKUP($A48,ScionOutput!$A$3:$BL$215,62,FALSE)</f>
        <v>0</v>
      </c>
      <c r="L48">
        <f>VLOOKUP($A48,ScionOutput!$A$3:$BL$215,63,FALSE)</f>
        <v>0</v>
      </c>
      <c r="M48" t="b">
        <f t="shared" si="1"/>
        <v>0</v>
      </c>
      <c r="N48">
        <f>VLOOKUP($A48,Outcomes!$B$3:$I$209,8,FALSE)</f>
        <v>12</v>
      </c>
      <c r="O48">
        <f t="shared" si="2"/>
        <v>1</v>
      </c>
      <c r="P48">
        <f>VLOOKUP($A48,Outcomes!$B$3:$I$209,5,FALSE)</f>
        <v>7</v>
      </c>
      <c r="Q48">
        <f>VLOOKUP($A48,Outcomes!$B$3:$I$209,6,FALSE)</f>
        <v>5</v>
      </c>
      <c r="R48">
        <f>VLOOKUP($A48,Outcomes!$B$3:$I$209,7,FALSE)</f>
        <v>-2</v>
      </c>
      <c r="S48" t="str">
        <f t="shared" si="3"/>
        <v>HomFave</v>
      </c>
      <c r="T48" t="str">
        <f t="shared" si="4"/>
        <v/>
      </c>
      <c r="U48" t="str">
        <f t="shared" si="5"/>
        <v/>
      </c>
      <c r="V48" t="str">
        <f t="shared" si="6"/>
        <v/>
      </c>
      <c r="W48" t="str">
        <f t="shared" si="7"/>
        <v/>
      </c>
      <c r="X48" s="2" t="str">
        <f t="shared" si="8"/>
        <v/>
      </c>
      <c r="Y48" t="str">
        <f>VLOOKUP($A48,ScionOutput!$A$3:$BL$215,64,FALSE)</f>
        <v xml:space="preserve">824999. LineStatEns probability points gap does not exceed threshold (no edge found)! No play due to strategy constraints. </v>
      </c>
    </row>
    <row r="49" spans="1:25" x14ac:dyDescent="0.2">
      <c r="A49">
        <v>823374</v>
      </c>
      <c r="B49" s="3">
        <f>VLOOKUP($A49,ScionOutput!$A$3:$BL$215,3,FALSE)</f>
        <v>46182</v>
      </c>
      <c r="C49">
        <f>VLOOKUP($A49,ScionOutput!$A$3:$BL$215,22,FALSE)</f>
        <v>22</v>
      </c>
      <c r="D49" t="str">
        <f>VLOOKUP($A49,ScionOutput!$A$3:$BL$215,23,FALSE)</f>
        <v>PIT</v>
      </c>
      <c r="E49">
        <f>VLOOKUP($A49,ScionOutput!$A$3:$BL$215,6,FALSE)</f>
        <v>14</v>
      </c>
      <c r="F49" t="str">
        <f>VLOOKUP($A49,ScionOutput!$A$3:$BL$215,7,FALSE)</f>
        <v>LA</v>
      </c>
      <c r="G49">
        <f>VLOOKUP($A49,ScionOutput!$A$3:$BL$215,26,FALSE)</f>
        <v>-112</v>
      </c>
      <c r="H49">
        <f>VLOOKUP($A49,ScionOutput!$A$3:$BL$215,10,FALSE)</f>
        <v>104</v>
      </c>
      <c r="I49" t="str">
        <f>VLOOKUP($A49,ScionOutput!$A$3:$BL$215,58,FALSE)</f>
        <v>No Play</v>
      </c>
      <c r="J49">
        <f>VLOOKUP($A49,ScionOutput!$A$3:$BL$215,59,FALSE)</f>
        <v>0</v>
      </c>
      <c r="K49">
        <f>VLOOKUP($A49,ScionOutput!$A$3:$BL$215,62,FALSE)</f>
        <v>0</v>
      </c>
      <c r="L49">
        <f>VLOOKUP($A49,ScionOutput!$A$3:$BL$215,63,FALSE)</f>
        <v>0</v>
      </c>
      <c r="M49" t="b">
        <f t="shared" si="1"/>
        <v>0</v>
      </c>
      <c r="N49">
        <f>VLOOKUP($A49,Outcomes!$B$3:$I$209,8,FALSE)</f>
        <v>15</v>
      </c>
      <c r="O49">
        <f t="shared" si="2"/>
        <v>-1</v>
      </c>
      <c r="P49">
        <f>VLOOKUP($A49,Outcomes!$B$3:$I$209,5,FALSE)</f>
        <v>3</v>
      </c>
      <c r="Q49">
        <f>VLOOKUP($A49,Outcomes!$B$3:$I$209,6,FALSE)</f>
        <v>12</v>
      </c>
      <c r="R49">
        <f>VLOOKUP($A49,Outcomes!$B$3:$I$209,7,FALSE)</f>
        <v>9</v>
      </c>
      <c r="S49" t="str">
        <f t="shared" si="3"/>
        <v>VisDog</v>
      </c>
      <c r="T49" t="str">
        <f t="shared" si="4"/>
        <v/>
      </c>
      <c r="U49" t="str">
        <f t="shared" si="5"/>
        <v/>
      </c>
      <c r="V49" t="str">
        <f t="shared" si="6"/>
        <v/>
      </c>
      <c r="W49" t="str">
        <f t="shared" si="7"/>
        <v/>
      </c>
      <c r="X49" s="2" t="str">
        <f t="shared" si="8"/>
        <v/>
      </c>
      <c r="Y49" t="str">
        <f>VLOOKUP($A49,ScionOutput!$A$3:$BL$215,64,FALSE)</f>
        <v xml:space="preserve">823374. LineStatEns probability points gap does not exceed threshold (no edge found)! No play due to strategy constraints. </v>
      </c>
    </row>
    <row r="50" spans="1:25" x14ac:dyDescent="0.2">
      <c r="A50">
        <v>823290</v>
      </c>
      <c r="B50" s="3">
        <f>VLOOKUP($A50,ScionOutput!$A$3:$BL$215,3,FALSE)</f>
        <v>46182</v>
      </c>
      <c r="C50">
        <f>VLOOKUP($A50,ScionOutput!$A$3:$BL$215,22,FALSE)</f>
        <v>23</v>
      </c>
      <c r="D50" t="str">
        <f>VLOOKUP($A50,ScionOutput!$A$3:$BL$215,23,FALSE)</f>
        <v>SD</v>
      </c>
      <c r="E50">
        <f>VLOOKUP($A50,ScionOutput!$A$3:$BL$215,6,FALSE)</f>
        <v>6</v>
      </c>
      <c r="F50" t="str">
        <f>VLOOKUP($A50,ScionOutput!$A$3:$BL$215,7,FALSE)</f>
        <v>CIN</v>
      </c>
      <c r="G50">
        <f>VLOOKUP($A50,ScionOutput!$A$3:$BL$215,26,FALSE)</f>
        <v>114</v>
      </c>
      <c r="H50">
        <f>VLOOKUP($A50,ScionOutput!$A$3:$BL$215,10,FALSE)</f>
        <v>-123</v>
      </c>
      <c r="I50" t="str">
        <f>VLOOKUP($A50,ScionOutput!$A$3:$BL$215,58,FALSE)</f>
        <v>No Play</v>
      </c>
      <c r="J50">
        <f>VLOOKUP($A50,ScionOutput!$A$3:$BL$215,59,FALSE)</f>
        <v>0</v>
      </c>
      <c r="K50">
        <f>VLOOKUP($A50,ScionOutput!$A$3:$BL$215,62,FALSE)</f>
        <v>0</v>
      </c>
      <c r="L50">
        <f>VLOOKUP($A50,ScionOutput!$A$3:$BL$215,63,FALSE)</f>
        <v>0</v>
      </c>
      <c r="M50" t="b">
        <f t="shared" si="1"/>
        <v>0</v>
      </c>
      <c r="N50">
        <f>VLOOKUP($A50,Outcomes!$B$3:$I$209,8,FALSE)</f>
        <v>8</v>
      </c>
      <c r="O50">
        <f t="shared" si="2"/>
        <v>-1</v>
      </c>
      <c r="P50">
        <f>VLOOKUP($A50,Outcomes!$B$3:$I$209,5,FALSE)</f>
        <v>3</v>
      </c>
      <c r="Q50">
        <f>VLOOKUP($A50,Outcomes!$B$3:$I$209,6,FALSE)</f>
        <v>5</v>
      </c>
      <c r="R50">
        <f>VLOOKUP($A50,Outcomes!$B$3:$I$209,7,FALSE)</f>
        <v>2</v>
      </c>
      <c r="S50" t="str">
        <f t="shared" si="3"/>
        <v>VisFave</v>
      </c>
      <c r="T50" t="str">
        <f t="shared" si="4"/>
        <v/>
      </c>
      <c r="U50" t="str">
        <f t="shared" si="5"/>
        <v/>
      </c>
      <c r="V50" t="str">
        <f t="shared" si="6"/>
        <v/>
      </c>
      <c r="W50" t="str">
        <f t="shared" si="7"/>
        <v/>
      </c>
      <c r="X50" s="2" t="str">
        <f t="shared" si="8"/>
        <v/>
      </c>
      <c r="Y50" t="str">
        <f>VLOOKUP($A50,ScionOutput!$A$3:$BL$215,64,FALSE)</f>
        <v xml:space="preserve">823290. VF plays are disallowed. No play due to strategy constraints. </v>
      </c>
    </row>
    <row r="51" spans="1:25" x14ac:dyDescent="0.2">
      <c r="A51">
        <v>823214</v>
      </c>
      <c r="B51" s="3">
        <f>VLOOKUP($A51,ScionOutput!$A$3:$BL$215,3,FALSE)</f>
        <v>46182</v>
      </c>
      <c r="C51">
        <f>VLOOKUP($A51,ScionOutput!$A$3:$BL$215,22,FALSE)</f>
        <v>25</v>
      </c>
      <c r="D51" t="str">
        <f>VLOOKUP($A51,ScionOutput!$A$3:$BL$215,23,FALSE)</f>
        <v>SF</v>
      </c>
      <c r="E51">
        <f>VLOOKUP($A51,ScionOutput!$A$3:$BL$215,6,FALSE)</f>
        <v>16</v>
      </c>
      <c r="F51" t="str">
        <f>VLOOKUP($A51,ScionOutput!$A$3:$BL$215,7,FALSE)</f>
        <v>WAS</v>
      </c>
      <c r="G51">
        <f>VLOOKUP($A51,ScionOutput!$A$3:$BL$215,26,FALSE)</f>
        <v>-104</v>
      </c>
      <c r="H51">
        <f>VLOOKUP($A51,ScionOutput!$A$3:$BL$215,10,FALSE)</f>
        <v>-105</v>
      </c>
      <c r="I51" t="str">
        <f>VLOOKUP($A51,ScionOutput!$A$3:$BL$215,58,FALSE)</f>
        <v>No Play</v>
      </c>
      <c r="J51">
        <f>VLOOKUP($A51,ScionOutput!$A$3:$BL$215,59,FALSE)</f>
        <v>0</v>
      </c>
      <c r="K51">
        <f>VLOOKUP($A51,ScionOutput!$A$3:$BL$215,62,FALSE)</f>
        <v>0</v>
      </c>
      <c r="L51">
        <f>VLOOKUP($A51,ScionOutput!$A$3:$BL$215,63,FALSE)</f>
        <v>0</v>
      </c>
      <c r="M51" t="b">
        <f t="shared" si="1"/>
        <v>0</v>
      </c>
      <c r="N51">
        <f>VLOOKUP($A51,Outcomes!$B$3:$I$209,8,FALSE)</f>
        <v>9</v>
      </c>
      <c r="O51">
        <f t="shared" si="2"/>
        <v>-1</v>
      </c>
      <c r="P51">
        <f>VLOOKUP($A51,Outcomes!$B$3:$I$209,5,FALSE)</f>
        <v>3</v>
      </c>
      <c r="Q51">
        <f>VLOOKUP($A51,Outcomes!$B$3:$I$209,6,FALSE)</f>
        <v>6</v>
      </c>
      <c r="R51">
        <f>VLOOKUP($A51,Outcomes!$B$3:$I$209,7,FALSE)</f>
        <v>3</v>
      </c>
      <c r="S51" t="str">
        <f t="shared" si="3"/>
        <v>VisFave</v>
      </c>
      <c r="T51" t="str">
        <f t="shared" si="4"/>
        <v/>
      </c>
      <c r="U51" t="str">
        <f t="shared" si="5"/>
        <v/>
      </c>
      <c r="V51" t="str">
        <f t="shared" si="6"/>
        <v/>
      </c>
      <c r="W51" t="str">
        <f t="shared" si="7"/>
        <v/>
      </c>
      <c r="X51" s="2" t="str">
        <f t="shared" si="8"/>
        <v/>
      </c>
      <c r="Y51" t="str">
        <f>VLOOKUP($A51,ScionOutput!$A$3:$BL$215,64,FALSE)</f>
        <v xml:space="preserve">823214. VF plays are disallowed. No play due to strategy constraints. </v>
      </c>
    </row>
    <row r="52" spans="1:25" x14ac:dyDescent="0.2">
      <c r="A52">
        <v>822969</v>
      </c>
      <c r="B52" s="3">
        <f>VLOOKUP($A52,ScionOutput!$A$3:$BL$215,3,FALSE)</f>
        <v>46182</v>
      </c>
      <c r="C52">
        <f>VLOOKUP($A52,ScionOutput!$A$3:$BL$215,22,FALSE)</f>
        <v>27</v>
      </c>
      <c r="D52" t="str">
        <f>VLOOKUP($A52,ScionOutput!$A$3:$BL$215,23,FALSE)</f>
        <v>TB</v>
      </c>
      <c r="E52">
        <f>VLOOKUP($A52,ScionOutput!$A$3:$BL$215,6,FALSE)</f>
        <v>3</v>
      </c>
      <c r="F52" t="str">
        <f>VLOOKUP($A52,ScionOutput!$A$3:$BL$215,7,FALSE)</f>
        <v>BOS</v>
      </c>
      <c r="G52">
        <f>VLOOKUP($A52,ScionOutput!$A$3:$BL$215,26,FALSE)</f>
        <v>107</v>
      </c>
      <c r="H52">
        <f>VLOOKUP($A52,ScionOutput!$A$3:$BL$215,10,FALSE)</f>
        <v>-115</v>
      </c>
      <c r="I52" t="str">
        <f>VLOOKUP($A52,ScionOutput!$A$3:$BL$215,58,FALSE)</f>
        <v>No Play</v>
      </c>
      <c r="J52">
        <f>VLOOKUP($A52,ScionOutput!$A$3:$BL$215,59,FALSE)</f>
        <v>0</v>
      </c>
      <c r="K52">
        <f>VLOOKUP($A52,ScionOutput!$A$3:$BL$215,62,FALSE)</f>
        <v>0</v>
      </c>
      <c r="L52">
        <f>VLOOKUP($A52,ScionOutput!$A$3:$BL$215,63,FALSE)</f>
        <v>0</v>
      </c>
      <c r="M52" t="b">
        <f t="shared" si="1"/>
        <v>0</v>
      </c>
      <c r="N52">
        <f>VLOOKUP($A52,Outcomes!$B$3:$I$209,8,FALSE)</f>
        <v>7</v>
      </c>
      <c r="O52">
        <f t="shared" si="2"/>
        <v>1</v>
      </c>
      <c r="P52">
        <f>VLOOKUP($A52,Outcomes!$B$3:$I$209,5,FALSE)</f>
        <v>4</v>
      </c>
      <c r="Q52">
        <f>VLOOKUP($A52,Outcomes!$B$3:$I$209,6,FALSE)</f>
        <v>3</v>
      </c>
      <c r="R52">
        <f>VLOOKUP($A52,Outcomes!$B$3:$I$209,7,FALSE)</f>
        <v>-1</v>
      </c>
      <c r="S52" t="str">
        <f t="shared" si="3"/>
        <v>HomDog</v>
      </c>
      <c r="T52" t="str">
        <f t="shared" si="4"/>
        <v/>
      </c>
      <c r="U52" t="str">
        <f t="shared" si="5"/>
        <v/>
      </c>
      <c r="V52" t="str">
        <f t="shared" si="6"/>
        <v/>
      </c>
      <c r="W52" t="str">
        <f t="shared" si="7"/>
        <v/>
      </c>
      <c r="X52" s="2" t="str">
        <f t="shared" si="8"/>
        <v/>
      </c>
      <c r="Y52" t="str">
        <f>VLOOKUP($A52,ScionOutput!$A$3:$BL$215,64,FALSE)</f>
        <v xml:space="preserve">822969. VF plays are disallowed. No play due to strategy constraints. </v>
      </c>
    </row>
    <row r="53" spans="1:25" x14ac:dyDescent="0.2">
      <c r="A53">
        <v>822805</v>
      </c>
      <c r="B53" s="3">
        <f>VLOOKUP($A53,ScionOutput!$A$3:$BL$215,3,FALSE)</f>
        <v>46182</v>
      </c>
      <c r="C53">
        <f>VLOOKUP($A53,ScionOutput!$A$3:$BL$215,22,FALSE)</f>
        <v>29</v>
      </c>
      <c r="D53" t="str">
        <f>VLOOKUP($A53,ScionOutput!$A$3:$BL$215,23,FALSE)</f>
        <v>TOR</v>
      </c>
      <c r="E53">
        <f>VLOOKUP($A53,ScionOutput!$A$3:$BL$215,6,FALSE)</f>
        <v>21</v>
      </c>
      <c r="F53" t="str">
        <f>VLOOKUP($A53,ScionOutput!$A$3:$BL$215,7,FALSE)</f>
        <v>PHI</v>
      </c>
      <c r="G53">
        <f>VLOOKUP($A53,ScionOutput!$A$3:$BL$215,26,FALSE)</f>
        <v>-107</v>
      </c>
      <c r="H53">
        <f>VLOOKUP($A53,ScionOutput!$A$3:$BL$215,10,FALSE)</f>
        <v>-101</v>
      </c>
      <c r="I53" t="str">
        <f>VLOOKUP($A53,ScionOutput!$A$3:$BL$215,58,FALSE)</f>
        <v>HomFave</v>
      </c>
      <c r="J53">
        <f>VLOOKUP($A53,ScionOutput!$A$3:$BL$215,59,FALSE)</f>
        <v>2.2929999999999999E-2</v>
      </c>
      <c r="K53">
        <f>VLOOKUP($A53,ScionOutput!$A$3:$BL$215,62,FALSE)</f>
        <v>3</v>
      </c>
      <c r="L53">
        <f>VLOOKUP($A53,ScionOutput!$A$3:$BL$215,63,FALSE)</f>
        <v>0.8</v>
      </c>
      <c r="M53" t="b">
        <f t="shared" si="1"/>
        <v>0</v>
      </c>
      <c r="N53">
        <f>VLOOKUP($A53,Outcomes!$B$3:$I$209,8,FALSE)</f>
        <v>5</v>
      </c>
      <c r="O53">
        <f t="shared" si="2"/>
        <v>1</v>
      </c>
      <c r="P53">
        <f>VLOOKUP($A53,Outcomes!$B$3:$I$209,5,FALSE)</f>
        <v>3</v>
      </c>
      <c r="Q53">
        <f>VLOOKUP($A53,Outcomes!$B$3:$I$209,6,FALSE)</f>
        <v>2</v>
      </c>
      <c r="R53">
        <f>VLOOKUP($A53,Outcomes!$B$3:$I$209,7,FALSE)</f>
        <v>-1</v>
      </c>
      <c r="S53" t="str">
        <f t="shared" si="3"/>
        <v>HomFave</v>
      </c>
      <c r="T53">
        <f t="shared" si="4"/>
        <v>1</v>
      </c>
      <c r="U53">
        <f t="shared" si="5"/>
        <v>107</v>
      </c>
      <c r="V53">
        <f t="shared" si="6"/>
        <v>207</v>
      </c>
      <c r="W53">
        <f t="shared" si="7"/>
        <v>100</v>
      </c>
      <c r="X53" s="2">
        <f t="shared" si="8"/>
        <v>0.93457943925233644</v>
      </c>
      <c r="Y53" t="str">
        <f>VLOOKUP($A53,ScionOutput!$A$3:$BL$215,64,FALSE)</f>
        <v xml:space="preserve">822805. StatOnlyEns probability points gap does not exceed threshold (no edge found)! Play determined by LineStatEns only. </v>
      </c>
    </row>
    <row r="54" spans="1:25" x14ac:dyDescent="0.2">
      <c r="A54">
        <v>824831</v>
      </c>
      <c r="B54" s="3">
        <f>VLOOKUP($A54,ScionOutput!$A$3:$BL$215,3,FALSE)</f>
        <v>46183</v>
      </c>
      <c r="C54">
        <f>VLOOKUP($A54,ScionOutput!$A$3:$BL$215,22,FALSE)</f>
        <v>2</v>
      </c>
      <c r="D54" t="str">
        <f>VLOOKUP($A54,ScionOutput!$A$3:$BL$215,23,FALSE)</f>
        <v>BAL</v>
      </c>
      <c r="E54">
        <f>VLOOKUP($A54,ScionOutput!$A$3:$BL$215,6,FALSE)</f>
        <v>24</v>
      </c>
      <c r="F54" t="str">
        <f>VLOOKUP($A54,ScionOutput!$A$3:$BL$215,7,FALSE)</f>
        <v>SEA</v>
      </c>
      <c r="G54">
        <f>VLOOKUP($A54,ScionOutput!$A$3:$BL$215,26,FALSE)</f>
        <v>-104</v>
      </c>
      <c r="H54">
        <f>VLOOKUP($A54,ScionOutput!$A$3:$BL$215,10,FALSE)</f>
        <v>-104</v>
      </c>
      <c r="I54" t="str">
        <f>VLOOKUP($A54,ScionOutput!$A$3:$BL$215,58,FALSE)</f>
        <v>No Play</v>
      </c>
      <c r="J54">
        <f>VLOOKUP($A54,ScionOutput!$A$3:$BL$215,59,FALSE)</f>
        <v>0</v>
      </c>
      <c r="K54">
        <f>VLOOKUP($A54,ScionOutput!$A$3:$BL$215,62,FALSE)</f>
        <v>0</v>
      </c>
      <c r="L54">
        <f>VLOOKUP($A54,ScionOutput!$A$3:$BL$215,63,FALSE)</f>
        <v>0</v>
      </c>
      <c r="M54" t="b">
        <f t="shared" si="1"/>
        <v>0</v>
      </c>
      <c r="N54">
        <f>VLOOKUP($A54,Outcomes!$B$3:$I$209,8,FALSE)</f>
        <v>9</v>
      </c>
      <c r="O54">
        <f t="shared" si="2"/>
        <v>1</v>
      </c>
      <c r="P54">
        <f>VLOOKUP($A54,Outcomes!$B$3:$I$209,5,FALSE)</f>
        <v>7</v>
      </c>
      <c r="Q54">
        <f>VLOOKUP($A54,Outcomes!$B$3:$I$209,6,FALSE)</f>
        <v>2</v>
      </c>
      <c r="R54">
        <f>VLOOKUP($A54,Outcomes!$B$3:$I$209,7,FALSE)</f>
        <v>-5</v>
      </c>
      <c r="S54" t="str">
        <f t="shared" si="3"/>
        <v>HomDog</v>
      </c>
      <c r="T54" t="str">
        <f t="shared" si="4"/>
        <v/>
      </c>
      <c r="U54" t="str">
        <f t="shared" si="5"/>
        <v/>
      </c>
      <c r="V54" t="str">
        <f t="shared" si="6"/>
        <v/>
      </c>
      <c r="W54" t="str">
        <f t="shared" si="7"/>
        <v/>
      </c>
      <c r="X54" s="2" t="str">
        <f t="shared" si="8"/>
        <v/>
      </c>
      <c r="Y54" t="str">
        <f>VLOOKUP($A54,ScionOutput!$A$3:$BL$215,64,FALSE)</f>
        <v xml:space="preserve">824831. VF plays are disallowed. No play due to strategy constraints. </v>
      </c>
    </row>
    <row r="55" spans="1:25" x14ac:dyDescent="0.2">
      <c r="A55">
        <v>824022</v>
      </c>
      <c r="B55" s="3">
        <f>VLOOKUP($A55,ScionOutput!$A$3:$BL$215,3,FALSE)</f>
        <v>46183</v>
      </c>
      <c r="C55">
        <f>VLOOKUP($A55,ScionOutput!$A$3:$BL$215,22,FALSE)</f>
        <v>4</v>
      </c>
      <c r="D55" t="str">
        <f>VLOOKUP($A55,ScionOutput!$A$3:$BL$215,23,FALSE)</f>
        <v>LAA</v>
      </c>
      <c r="E55">
        <f>VLOOKUP($A55,ScionOutput!$A$3:$BL$215,6,FALSE)</f>
        <v>12</v>
      </c>
      <c r="F55" t="str">
        <f>VLOOKUP($A55,ScionOutput!$A$3:$BL$215,7,FALSE)</f>
        <v>HOU</v>
      </c>
      <c r="G55">
        <f>VLOOKUP($A55,ScionOutput!$A$3:$BL$215,26,FALSE)</f>
        <v>-111</v>
      </c>
      <c r="H55">
        <f>VLOOKUP($A55,ScionOutput!$A$3:$BL$215,10,FALSE)</f>
        <v>102</v>
      </c>
      <c r="I55" t="str">
        <f>VLOOKUP($A55,ScionOutput!$A$3:$BL$215,58,FALSE)</f>
        <v>No Play</v>
      </c>
      <c r="J55">
        <f>VLOOKUP($A55,ScionOutput!$A$3:$BL$215,59,FALSE)</f>
        <v>0</v>
      </c>
      <c r="K55">
        <f>VLOOKUP($A55,ScionOutput!$A$3:$BL$215,62,FALSE)</f>
        <v>0</v>
      </c>
      <c r="L55">
        <f>VLOOKUP($A55,ScionOutput!$A$3:$BL$215,63,FALSE)</f>
        <v>0</v>
      </c>
      <c r="M55" t="b">
        <f t="shared" si="1"/>
        <v>0</v>
      </c>
      <c r="N55">
        <f>VLOOKUP($A55,Outcomes!$B$3:$I$209,8,FALSE)</f>
        <v>5</v>
      </c>
      <c r="O55">
        <f t="shared" si="2"/>
        <v>1</v>
      </c>
      <c r="P55">
        <f>VLOOKUP($A55,Outcomes!$B$3:$I$209,5,FALSE)</f>
        <v>3</v>
      </c>
      <c r="Q55">
        <f>VLOOKUP($A55,Outcomes!$B$3:$I$209,6,FALSE)</f>
        <v>2</v>
      </c>
      <c r="R55">
        <f>VLOOKUP($A55,Outcomes!$B$3:$I$209,7,FALSE)</f>
        <v>-1</v>
      </c>
      <c r="S55" t="str">
        <f t="shared" si="3"/>
        <v>HomFave</v>
      </c>
      <c r="T55" t="str">
        <f t="shared" si="4"/>
        <v/>
      </c>
      <c r="U55" t="str">
        <f t="shared" si="5"/>
        <v/>
      </c>
      <c r="V55" t="str">
        <f t="shared" si="6"/>
        <v/>
      </c>
      <c r="W55" t="str">
        <f t="shared" si="7"/>
        <v/>
      </c>
      <c r="X55" s="2" t="str">
        <f t="shared" si="8"/>
        <v/>
      </c>
      <c r="Y55" t="str">
        <f>VLOOKUP($A55,ScionOutput!$A$3:$BL$215,64,FALSE)</f>
        <v xml:space="preserve">824022. LineStatEns probability points gap does not exceed threshold (no edge found)! StatOnlyEns probability points gap does not exceed threshold (no edge found)! No play due to strategy constraints. </v>
      </c>
    </row>
    <row r="56" spans="1:25" x14ac:dyDescent="0.2">
      <c r="A56">
        <v>824428</v>
      </c>
      <c r="B56" s="3">
        <f>VLOOKUP($A56,ScionOutput!$A$3:$BL$215,3,FALSE)</f>
        <v>46183</v>
      </c>
      <c r="C56">
        <f>VLOOKUP($A56,ScionOutput!$A$3:$BL$215,22,FALSE)</f>
        <v>7</v>
      </c>
      <c r="D56" t="str">
        <f>VLOOKUP($A56,ScionOutput!$A$3:$BL$215,23,FALSE)</f>
        <v>CLE</v>
      </c>
      <c r="E56">
        <f>VLOOKUP($A56,ScionOutput!$A$3:$BL$215,6,FALSE)</f>
        <v>19</v>
      </c>
      <c r="F56" t="str">
        <f>VLOOKUP($A56,ScionOutput!$A$3:$BL$215,7,FALSE)</f>
        <v>NYY</v>
      </c>
      <c r="G56">
        <f>VLOOKUP($A56,ScionOutput!$A$3:$BL$215,26,FALSE)</f>
        <v>-115</v>
      </c>
      <c r="H56">
        <f>VLOOKUP($A56,ScionOutput!$A$3:$BL$215,10,FALSE)</f>
        <v>106</v>
      </c>
      <c r="I56" t="str">
        <f>VLOOKUP($A56,ScionOutput!$A$3:$BL$215,58,FALSE)</f>
        <v>No Play</v>
      </c>
      <c r="J56">
        <f>VLOOKUP($A56,ScionOutput!$A$3:$BL$215,59,FALSE)</f>
        <v>0</v>
      </c>
      <c r="K56">
        <f>VLOOKUP($A56,ScionOutput!$A$3:$BL$215,62,FALSE)</f>
        <v>0</v>
      </c>
      <c r="L56">
        <f>VLOOKUP($A56,ScionOutput!$A$3:$BL$215,63,FALSE)</f>
        <v>0</v>
      </c>
      <c r="M56" t="b">
        <f t="shared" si="1"/>
        <v>0</v>
      </c>
      <c r="N56">
        <f>VLOOKUP($A56,Outcomes!$B$3:$I$209,8,FALSE)</f>
        <v>12</v>
      </c>
      <c r="O56">
        <f t="shared" si="2"/>
        <v>-1</v>
      </c>
      <c r="P56">
        <f>VLOOKUP($A56,Outcomes!$B$3:$I$209,5,FALSE)</f>
        <v>4</v>
      </c>
      <c r="Q56">
        <f>VLOOKUP($A56,Outcomes!$B$3:$I$209,6,FALSE)</f>
        <v>8</v>
      </c>
      <c r="R56">
        <f>VLOOKUP($A56,Outcomes!$B$3:$I$209,7,FALSE)</f>
        <v>4</v>
      </c>
      <c r="S56" t="str">
        <f t="shared" si="3"/>
        <v>VisDog</v>
      </c>
      <c r="T56" t="str">
        <f t="shared" si="4"/>
        <v/>
      </c>
      <c r="U56" t="str">
        <f t="shared" si="5"/>
        <v/>
      </c>
      <c r="V56" t="str">
        <f t="shared" si="6"/>
        <v/>
      </c>
      <c r="W56" t="str">
        <f t="shared" si="7"/>
        <v/>
      </c>
      <c r="X56" s="2" t="str">
        <f t="shared" si="8"/>
        <v/>
      </c>
      <c r="Y56" t="str">
        <f>VLOOKUP($A56,ScionOutput!$A$3:$BL$215,64,FALSE)</f>
        <v xml:space="preserve">824428. LineStatEns probability points gap does not exceed threshold (no edge found)! StatOnlyEns probability points gap does not exceed threshold (no edge found)! No play due to strategy constraints. </v>
      </c>
    </row>
    <row r="57" spans="1:25" x14ac:dyDescent="0.2">
      <c r="A57">
        <v>824348</v>
      </c>
      <c r="B57" s="3">
        <f>VLOOKUP($A57,ScionOutput!$A$3:$BL$215,3,FALSE)</f>
        <v>46183</v>
      </c>
      <c r="C57">
        <f>VLOOKUP($A57,ScionOutput!$A$3:$BL$215,22,FALSE)</f>
        <v>8</v>
      </c>
      <c r="D57" t="str">
        <f>VLOOKUP($A57,ScionOutput!$A$3:$BL$215,23,FALSE)</f>
        <v>COL</v>
      </c>
      <c r="E57">
        <f>VLOOKUP($A57,ScionOutput!$A$3:$BL$215,6,FALSE)</f>
        <v>5</v>
      </c>
      <c r="F57" t="str">
        <f>VLOOKUP($A57,ScionOutput!$A$3:$BL$215,7,FALSE)</f>
        <v>CHC</v>
      </c>
      <c r="G57">
        <f>VLOOKUP($A57,ScionOutput!$A$3:$BL$215,26,FALSE)</f>
        <v>149</v>
      </c>
      <c r="H57">
        <f>VLOOKUP($A57,ScionOutput!$A$3:$BL$215,10,FALSE)</f>
        <v>-162</v>
      </c>
      <c r="I57" t="str">
        <f>VLOOKUP($A57,ScionOutput!$A$3:$BL$215,58,FALSE)</f>
        <v>No Play</v>
      </c>
      <c r="J57">
        <f>VLOOKUP($A57,ScionOutput!$A$3:$BL$215,59,FALSE)</f>
        <v>0</v>
      </c>
      <c r="K57">
        <f>VLOOKUP($A57,ScionOutput!$A$3:$BL$215,62,FALSE)</f>
        <v>0</v>
      </c>
      <c r="L57">
        <f>VLOOKUP($A57,ScionOutput!$A$3:$BL$215,63,FALSE)</f>
        <v>0</v>
      </c>
      <c r="M57" t="b">
        <f t="shared" si="1"/>
        <v>0</v>
      </c>
      <c r="N57">
        <f>VLOOKUP($A57,Outcomes!$B$3:$I$209,8,FALSE)</f>
        <v>5</v>
      </c>
      <c r="O57">
        <f t="shared" si="2"/>
        <v>1</v>
      </c>
      <c r="P57">
        <f>VLOOKUP($A57,Outcomes!$B$3:$I$209,5,FALSE)</f>
        <v>3</v>
      </c>
      <c r="Q57">
        <f>VLOOKUP($A57,Outcomes!$B$3:$I$209,6,FALSE)</f>
        <v>2</v>
      </c>
      <c r="R57">
        <f>VLOOKUP($A57,Outcomes!$B$3:$I$209,7,FALSE)</f>
        <v>-1</v>
      </c>
      <c r="S57" t="str">
        <f t="shared" si="3"/>
        <v>HomDog</v>
      </c>
      <c r="T57" t="str">
        <f t="shared" si="4"/>
        <v/>
      </c>
      <c r="U57" t="str">
        <f t="shared" si="5"/>
        <v/>
      </c>
      <c r="V57" t="str">
        <f t="shared" si="6"/>
        <v/>
      </c>
      <c r="W57" t="str">
        <f t="shared" si="7"/>
        <v/>
      </c>
      <c r="X57" s="2" t="str">
        <f t="shared" si="8"/>
        <v/>
      </c>
      <c r="Y57" t="str">
        <f>VLOOKUP($A57,ScionOutput!$A$3:$BL$215,64,FALSE)</f>
        <v xml:space="preserve">824348. VF plays are disallowed. No play due to strategy constraints. </v>
      </c>
    </row>
    <row r="58" spans="1:25" x14ac:dyDescent="0.2">
      <c r="A58">
        <v>824590</v>
      </c>
      <c r="B58" s="3">
        <f>VLOOKUP($A58,ScionOutput!$A$3:$BL$215,3,FALSE)</f>
        <v>46183</v>
      </c>
      <c r="C58">
        <f>VLOOKUP($A58,ScionOutput!$A$3:$BL$215,22,FALSE)</f>
        <v>9</v>
      </c>
      <c r="D58" t="str">
        <f>VLOOKUP($A58,ScionOutput!$A$3:$BL$215,23,FALSE)</f>
        <v>CWS</v>
      </c>
      <c r="E58">
        <f>VLOOKUP($A58,ScionOutput!$A$3:$BL$215,6,FALSE)</f>
        <v>0</v>
      </c>
      <c r="F58" t="str">
        <f>VLOOKUP($A58,ScionOutput!$A$3:$BL$215,7,FALSE)</f>
        <v>ATL</v>
      </c>
      <c r="G58">
        <f>VLOOKUP($A58,ScionOutput!$A$3:$BL$215,26,FALSE)</f>
        <v>132</v>
      </c>
      <c r="H58">
        <f>VLOOKUP($A58,ScionOutput!$A$3:$BL$215,10,FALSE)</f>
        <v>-143</v>
      </c>
      <c r="I58" t="str">
        <f>VLOOKUP($A58,ScionOutput!$A$3:$BL$215,58,FALSE)</f>
        <v>No Play</v>
      </c>
      <c r="J58">
        <f>VLOOKUP($A58,ScionOutput!$A$3:$BL$215,59,FALSE)</f>
        <v>0</v>
      </c>
      <c r="K58">
        <f>VLOOKUP($A58,ScionOutput!$A$3:$BL$215,62,FALSE)</f>
        <v>0</v>
      </c>
      <c r="L58">
        <f>VLOOKUP($A58,ScionOutput!$A$3:$BL$215,63,FALSE)</f>
        <v>0</v>
      </c>
      <c r="M58" t="b">
        <f t="shared" si="1"/>
        <v>0</v>
      </c>
      <c r="N58">
        <f>VLOOKUP($A58,Outcomes!$B$3:$I$209,8,FALSE)</f>
        <v>3</v>
      </c>
      <c r="O58">
        <f t="shared" si="2"/>
        <v>1</v>
      </c>
      <c r="P58">
        <f>VLOOKUP($A58,Outcomes!$B$3:$I$209,5,FALSE)</f>
        <v>2</v>
      </c>
      <c r="Q58">
        <f>VLOOKUP($A58,Outcomes!$B$3:$I$209,6,FALSE)</f>
        <v>1</v>
      </c>
      <c r="R58">
        <f>VLOOKUP($A58,Outcomes!$B$3:$I$209,7,FALSE)</f>
        <v>-1</v>
      </c>
      <c r="S58" t="str">
        <f t="shared" si="3"/>
        <v>HomDog</v>
      </c>
      <c r="T58" t="str">
        <f t="shared" si="4"/>
        <v/>
      </c>
      <c r="U58" t="str">
        <f t="shared" si="5"/>
        <v/>
      </c>
      <c r="V58" t="str">
        <f t="shared" si="6"/>
        <v/>
      </c>
      <c r="W58" t="str">
        <f t="shared" si="7"/>
        <v/>
      </c>
      <c r="X58" s="2" t="str">
        <f t="shared" si="8"/>
        <v/>
      </c>
      <c r="Y58" t="str">
        <f>VLOOKUP($A58,ScionOutput!$A$3:$BL$215,64,FALSE)</f>
        <v xml:space="preserve">824590. LineStatEns price is outside allowable range! StatOnlyEns price is outside allowable range! No play due to strategy constraints. </v>
      </c>
    </row>
    <row r="59" spans="1:25" x14ac:dyDescent="0.2">
      <c r="A59">
        <v>824266</v>
      </c>
      <c r="B59" s="3">
        <f>VLOOKUP($A59,ScionOutput!$A$3:$BL$215,3,FALSE)</f>
        <v>46183</v>
      </c>
      <c r="C59">
        <f>VLOOKUP($A59,ScionOutput!$A$3:$BL$215,22,FALSE)</f>
        <v>10</v>
      </c>
      <c r="D59" t="str">
        <f>VLOOKUP($A59,ScionOutput!$A$3:$BL$215,23,FALSE)</f>
        <v>DET</v>
      </c>
      <c r="E59">
        <f>VLOOKUP($A59,ScionOutput!$A$3:$BL$215,6,FALSE)</f>
        <v>15</v>
      </c>
      <c r="F59" t="str">
        <f>VLOOKUP($A59,ScionOutput!$A$3:$BL$215,7,FALSE)</f>
        <v>MIN</v>
      </c>
      <c r="G59">
        <f>VLOOKUP($A59,ScionOutput!$A$3:$BL$215,26,FALSE)</f>
        <v>-164</v>
      </c>
      <c r="H59">
        <f>VLOOKUP($A59,ScionOutput!$A$3:$BL$215,10,FALSE)</f>
        <v>150</v>
      </c>
      <c r="I59" t="str">
        <f>VLOOKUP($A59,ScionOutput!$A$3:$BL$215,58,FALSE)</f>
        <v>No Play</v>
      </c>
      <c r="J59">
        <f>VLOOKUP($A59,ScionOutput!$A$3:$BL$215,59,FALSE)</f>
        <v>0</v>
      </c>
      <c r="K59">
        <f>VLOOKUP($A59,ScionOutput!$A$3:$BL$215,62,FALSE)</f>
        <v>0</v>
      </c>
      <c r="L59">
        <f>VLOOKUP($A59,ScionOutput!$A$3:$BL$215,63,FALSE)</f>
        <v>0</v>
      </c>
      <c r="M59" t="b">
        <f t="shared" si="1"/>
        <v>0</v>
      </c>
      <c r="N59">
        <f>VLOOKUP($A59,Outcomes!$B$3:$I$209,8,FALSE)</f>
        <v>10</v>
      </c>
      <c r="O59">
        <f t="shared" si="2"/>
        <v>-1</v>
      </c>
      <c r="P59">
        <f>VLOOKUP($A59,Outcomes!$B$3:$I$209,5,FALSE)</f>
        <v>4</v>
      </c>
      <c r="Q59">
        <f>VLOOKUP($A59,Outcomes!$B$3:$I$209,6,FALSE)</f>
        <v>6</v>
      </c>
      <c r="R59">
        <f>VLOOKUP($A59,Outcomes!$B$3:$I$209,7,FALSE)</f>
        <v>2</v>
      </c>
      <c r="S59" t="str">
        <f t="shared" si="3"/>
        <v>VisDog</v>
      </c>
      <c r="T59" t="str">
        <f t="shared" si="4"/>
        <v/>
      </c>
      <c r="U59" t="str">
        <f t="shared" si="5"/>
        <v/>
      </c>
      <c r="V59" t="str">
        <f t="shared" si="6"/>
        <v/>
      </c>
      <c r="W59" t="str">
        <f t="shared" si="7"/>
        <v/>
      </c>
      <c r="X59" s="2" t="str">
        <f t="shared" si="8"/>
        <v/>
      </c>
      <c r="Y59" t="str">
        <f>VLOOKUP($A59,ScionOutput!$A$3:$BL$215,64,FALSE)</f>
        <v xml:space="preserve">824266. V_SP is Null, team-based avg used. NoPlay as V_SP is Null. </v>
      </c>
    </row>
    <row r="60" spans="1:25" x14ac:dyDescent="0.2">
      <c r="A60">
        <v>823856</v>
      </c>
      <c r="B60" s="3">
        <f>VLOOKUP($A60,ScionOutput!$A$3:$BL$215,3,FALSE)</f>
        <v>46183</v>
      </c>
      <c r="C60">
        <f>VLOOKUP($A60,ScionOutput!$A$3:$BL$215,22,FALSE)</f>
        <v>11</v>
      </c>
      <c r="D60" t="str">
        <f>VLOOKUP($A60,ScionOutput!$A$3:$BL$215,23,FALSE)</f>
        <v>FLO</v>
      </c>
      <c r="E60">
        <f>VLOOKUP($A60,ScionOutput!$A$3:$BL$215,6,FALSE)</f>
        <v>1</v>
      </c>
      <c r="F60" t="str">
        <f>VLOOKUP($A60,ScionOutput!$A$3:$BL$215,7,FALSE)</f>
        <v>ARZ</v>
      </c>
      <c r="G60">
        <f>VLOOKUP($A60,ScionOutput!$A$3:$BL$215,26,FALSE)</f>
        <v>102</v>
      </c>
      <c r="H60">
        <f>VLOOKUP($A60,ScionOutput!$A$3:$BL$215,10,FALSE)</f>
        <v>-111</v>
      </c>
      <c r="I60" t="str">
        <f>VLOOKUP($A60,ScionOutput!$A$3:$BL$215,58,FALSE)</f>
        <v>HomDog</v>
      </c>
      <c r="J60">
        <f>VLOOKUP($A60,ScionOutput!$A$3:$BL$215,59,FALSE)</f>
        <v>1.519E-2</v>
      </c>
      <c r="K60">
        <f>VLOOKUP($A60,ScionOutput!$A$3:$BL$215,62,FALSE)</f>
        <v>5</v>
      </c>
      <c r="L60">
        <f>VLOOKUP($A60,ScionOutput!$A$3:$BL$215,63,FALSE)</f>
        <v>0.6</v>
      </c>
      <c r="M60" t="b">
        <f t="shared" si="1"/>
        <v>1</v>
      </c>
      <c r="N60">
        <f>VLOOKUP($A60,Outcomes!$B$3:$I$209,8,FALSE)</f>
        <v>8</v>
      </c>
      <c r="O60">
        <f t="shared" si="2"/>
        <v>1</v>
      </c>
      <c r="P60">
        <f>VLOOKUP($A60,Outcomes!$B$3:$I$209,5,FALSE)</f>
        <v>8</v>
      </c>
      <c r="Q60">
        <f>VLOOKUP($A60,Outcomes!$B$3:$I$209,6,FALSE)</f>
        <v>0</v>
      </c>
      <c r="R60">
        <f>VLOOKUP($A60,Outcomes!$B$3:$I$209,7,FALSE)</f>
        <v>-8</v>
      </c>
      <c r="S60" t="str">
        <f t="shared" si="3"/>
        <v>HomDog</v>
      </c>
      <c r="T60">
        <f t="shared" si="4"/>
        <v>1</v>
      </c>
      <c r="U60">
        <f t="shared" si="5"/>
        <v>100</v>
      </c>
      <c r="V60">
        <f t="shared" si="6"/>
        <v>202</v>
      </c>
      <c r="W60">
        <f t="shared" si="7"/>
        <v>102</v>
      </c>
      <c r="X60" s="2">
        <f t="shared" si="8"/>
        <v>1.02</v>
      </c>
      <c r="Y60" t="str">
        <f>VLOOKUP($A60,ScionOutput!$A$3:$BL$215,64,FALSE)</f>
        <v xml:space="preserve">823856. Play determined by LineStatEns and StatOnlyEns agreement. </v>
      </c>
    </row>
    <row r="61" spans="1:25" x14ac:dyDescent="0.2">
      <c r="A61">
        <v>824103</v>
      </c>
      <c r="B61" s="3">
        <f>VLOOKUP($A61,ScionOutput!$A$3:$BL$215,3,FALSE)</f>
        <v>46183</v>
      </c>
      <c r="C61">
        <f>VLOOKUP($A61,ScionOutput!$A$3:$BL$215,22,FALSE)</f>
        <v>13</v>
      </c>
      <c r="D61" t="str">
        <f>VLOOKUP($A61,ScionOutput!$A$3:$BL$215,23,FALSE)</f>
        <v>KC</v>
      </c>
      <c r="E61">
        <f>VLOOKUP($A61,ScionOutput!$A$3:$BL$215,6,FALSE)</f>
        <v>28</v>
      </c>
      <c r="F61" t="str">
        <f>VLOOKUP($A61,ScionOutput!$A$3:$BL$215,7,FALSE)</f>
        <v>TEX</v>
      </c>
      <c r="G61">
        <f>VLOOKUP($A61,ScionOutput!$A$3:$BL$215,26,FALSE)</f>
        <v>108</v>
      </c>
      <c r="H61">
        <f>VLOOKUP($A61,ScionOutput!$A$3:$BL$215,10,FALSE)</f>
        <v>-117</v>
      </c>
      <c r="I61" t="str">
        <f>VLOOKUP($A61,ScionOutput!$A$3:$BL$215,58,FALSE)</f>
        <v>No Play</v>
      </c>
      <c r="J61">
        <f>VLOOKUP($A61,ScionOutput!$A$3:$BL$215,59,FALSE)</f>
        <v>0</v>
      </c>
      <c r="K61">
        <f>VLOOKUP($A61,ScionOutput!$A$3:$BL$215,62,FALSE)</f>
        <v>0</v>
      </c>
      <c r="L61">
        <f>VLOOKUP($A61,ScionOutput!$A$3:$BL$215,63,FALSE)</f>
        <v>0</v>
      </c>
      <c r="M61" t="b">
        <f t="shared" si="1"/>
        <v>0</v>
      </c>
      <c r="N61">
        <f>VLOOKUP($A61,Outcomes!$B$3:$I$209,8,FALSE)</f>
        <v>10</v>
      </c>
      <c r="O61">
        <f t="shared" si="2"/>
        <v>-1</v>
      </c>
      <c r="P61">
        <f>VLOOKUP($A61,Outcomes!$B$3:$I$209,5,FALSE)</f>
        <v>4</v>
      </c>
      <c r="Q61">
        <f>VLOOKUP($A61,Outcomes!$B$3:$I$209,6,FALSE)</f>
        <v>6</v>
      </c>
      <c r="R61">
        <f>VLOOKUP($A61,Outcomes!$B$3:$I$209,7,FALSE)</f>
        <v>2</v>
      </c>
      <c r="S61" t="str">
        <f t="shared" si="3"/>
        <v>VisFave</v>
      </c>
      <c r="T61" t="str">
        <f t="shared" si="4"/>
        <v/>
      </c>
      <c r="U61" t="str">
        <f t="shared" si="5"/>
        <v/>
      </c>
      <c r="V61" t="str">
        <f t="shared" si="6"/>
        <v/>
      </c>
      <c r="W61" t="str">
        <f t="shared" si="7"/>
        <v/>
      </c>
      <c r="X61" s="2" t="str">
        <f t="shared" si="8"/>
        <v/>
      </c>
      <c r="Y61" t="str">
        <f>VLOOKUP($A61,ScionOutput!$A$3:$BL$215,64,FALSE)</f>
        <v xml:space="preserve">824103. VF plays are disallowed. No play due to strategy constraints. </v>
      </c>
    </row>
    <row r="62" spans="1:25" x14ac:dyDescent="0.2">
      <c r="A62">
        <v>823618</v>
      </c>
      <c r="B62" s="3">
        <f>VLOOKUP($A62,ScionOutput!$A$3:$BL$215,3,FALSE)</f>
        <v>46183</v>
      </c>
      <c r="C62">
        <f>VLOOKUP($A62,ScionOutput!$A$3:$BL$215,22,FALSE)</f>
        <v>18</v>
      </c>
      <c r="D62" t="str">
        <f>VLOOKUP($A62,ScionOutput!$A$3:$BL$215,23,FALSE)</f>
        <v>NYM</v>
      </c>
      <c r="E62">
        <f>VLOOKUP($A62,ScionOutput!$A$3:$BL$215,6,FALSE)</f>
        <v>26</v>
      </c>
      <c r="F62" t="str">
        <f>VLOOKUP($A62,ScionOutput!$A$3:$BL$215,7,FALSE)</f>
        <v>STL</v>
      </c>
      <c r="G62">
        <f>VLOOKUP($A62,ScionOutput!$A$3:$BL$215,26,FALSE)</f>
        <v>-128</v>
      </c>
      <c r="H62">
        <f>VLOOKUP($A62,ScionOutput!$A$3:$BL$215,10,FALSE)</f>
        <v>118</v>
      </c>
      <c r="I62" t="str">
        <f>VLOOKUP($A62,ScionOutput!$A$3:$BL$215,58,FALSE)</f>
        <v>No Play</v>
      </c>
      <c r="J62">
        <f>VLOOKUP($A62,ScionOutput!$A$3:$BL$215,59,FALSE)</f>
        <v>0</v>
      </c>
      <c r="K62">
        <f>VLOOKUP($A62,ScionOutput!$A$3:$BL$215,62,FALSE)</f>
        <v>0</v>
      </c>
      <c r="L62">
        <f>VLOOKUP($A62,ScionOutput!$A$3:$BL$215,63,FALSE)</f>
        <v>0</v>
      </c>
      <c r="M62" t="b">
        <f t="shared" si="1"/>
        <v>0</v>
      </c>
      <c r="N62">
        <f>VLOOKUP($A62,Outcomes!$B$3:$I$209,8,FALSE)</f>
        <v>11</v>
      </c>
      <c r="O62">
        <f t="shared" si="2"/>
        <v>-1</v>
      </c>
      <c r="P62">
        <f>VLOOKUP($A62,Outcomes!$B$3:$I$209,5,FALSE)</f>
        <v>2</v>
      </c>
      <c r="Q62">
        <f>VLOOKUP($A62,Outcomes!$B$3:$I$209,6,FALSE)</f>
        <v>9</v>
      </c>
      <c r="R62">
        <f>VLOOKUP($A62,Outcomes!$B$3:$I$209,7,FALSE)</f>
        <v>7</v>
      </c>
      <c r="S62" t="str">
        <f t="shared" si="3"/>
        <v>VisDog</v>
      </c>
      <c r="T62" t="str">
        <f t="shared" si="4"/>
        <v/>
      </c>
      <c r="U62" t="str">
        <f t="shared" si="5"/>
        <v/>
      </c>
      <c r="V62" t="str">
        <f t="shared" si="6"/>
        <v/>
      </c>
      <c r="W62" t="str">
        <f t="shared" si="7"/>
        <v/>
      </c>
      <c r="X62" s="2" t="str">
        <f t="shared" si="8"/>
        <v/>
      </c>
      <c r="Y62" t="str">
        <f>VLOOKUP($A62,ScionOutput!$A$3:$BL$215,64,FALSE)</f>
        <v xml:space="preserve">823618. LineStatEns probability points gap does not exceed threshold (no edge found)! StatOnlyEns probability points gap does not exceed threshold (no edge found)! No play due to strategy constraints. </v>
      </c>
    </row>
    <row r="63" spans="1:25" x14ac:dyDescent="0.2">
      <c r="A63">
        <v>824996</v>
      </c>
      <c r="B63" s="3">
        <f>VLOOKUP($A63,ScionOutput!$A$3:$BL$215,3,FALSE)</f>
        <v>46183</v>
      </c>
      <c r="C63">
        <f>VLOOKUP($A63,ScionOutput!$A$3:$BL$215,22,FALSE)</f>
        <v>20</v>
      </c>
      <c r="D63" t="str">
        <f>VLOOKUP($A63,ScionOutput!$A$3:$BL$215,23,FALSE)</f>
        <v>OAK</v>
      </c>
      <c r="E63">
        <f>VLOOKUP($A63,ScionOutput!$A$3:$BL$215,6,FALSE)</f>
        <v>17</v>
      </c>
      <c r="F63" t="str">
        <f>VLOOKUP($A63,ScionOutput!$A$3:$BL$215,7,FALSE)</f>
        <v>MLW</v>
      </c>
      <c r="G63">
        <f>VLOOKUP($A63,ScionOutput!$A$3:$BL$215,26,FALSE)</f>
        <v>-105</v>
      </c>
      <c r="H63">
        <f>VLOOKUP($A63,ScionOutput!$A$3:$BL$215,10,FALSE)</f>
        <v>-103</v>
      </c>
      <c r="I63" t="str">
        <f>VLOOKUP($A63,ScionOutput!$A$3:$BL$215,58,FALSE)</f>
        <v>VisDog</v>
      </c>
      <c r="J63">
        <f>VLOOKUP($A63,ScionOutput!$A$3:$BL$215,59,FALSE)</f>
        <v>-6.2359999999999999E-2</v>
      </c>
      <c r="K63">
        <f>VLOOKUP($A63,ScionOutput!$A$3:$BL$215,62,FALSE)</f>
        <v>5</v>
      </c>
      <c r="L63">
        <f>VLOOKUP($A63,ScionOutput!$A$3:$BL$215,63,FALSE)</f>
        <v>0.98</v>
      </c>
      <c r="M63" t="b">
        <f t="shared" si="1"/>
        <v>0</v>
      </c>
      <c r="N63">
        <f>VLOOKUP($A63,Outcomes!$B$3:$I$209,8,FALSE)</f>
        <v>7</v>
      </c>
      <c r="O63">
        <f t="shared" si="2"/>
        <v>1</v>
      </c>
      <c r="P63">
        <f>VLOOKUP($A63,Outcomes!$B$3:$I$209,5,FALSE)</f>
        <v>4</v>
      </c>
      <c r="Q63">
        <f>VLOOKUP($A63,Outcomes!$B$3:$I$209,6,FALSE)</f>
        <v>3</v>
      </c>
      <c r="R63">
        <f>VLOOKUP($A63,Outcomes!$B$3:$I$209,7,FALSE)</f>
        <v>-1</v>
      </c>
      <c r="S63" t="str">
        <f t="shared" si="3"/>
        <v>HomFave</v>
      </c>
      <c r="T63">
        <f t="shared" si="4"/>
        <v>0</v>
      </c>
      <c r="U63">
        <f t="shared" si="5"/>
        <v>103</v>
      </c>
      <c r="V63">
        <f t="shared" si="6"/>
        <v>0</v>
      </c>
      <c r="W63">
        <f t="shared" si="7"/>
        <v>-103</v>
      </c>
      <c r="X63" s="2">
        <f t="shared" si="8"/>
        <v>-1</v>
      </c>
      <c r="Y63" t="str">
        <f>VLOOKUP($A63,ScionOutput!$A$3:$BL$215,64,FALSE)</f>
        <v xml:space="preserve">824996. Play determined by StatOnlyEns when it disagrees with LineStatEns. </v>
      </c>
    </row>
    <row r="64" spans="1:25" x14ac:dyDescent="0.2">
      <c r="A64">
        <v>823372</v>
      </c>
      <c r="B64" s="3">
        <f>VLOOKUP($A64,ScionOutput!$A$3:$BL$215,3,FALSE)</f>
        <v>46183</v>
      </c>
      <c r="C64">
        <f>VLOOKUP($A64,ScionOutput!$A$3:$BL$215,22,FALSE)</f>
        <v>22</v>
      </c>
      <c r="D64" t="str">
        <f>VLOOKUP($A64,ScionOutput!$A$3:$BL$215,23,FALSE)</f>
        <v>PIT</v>
      </c>
      <c r="E64">
        <f>VLOOKUP($A64,ScionOutput!$A$3:$BL$215,6,FALSE)</f>
        <v>14</v>
      </c>
      <c r="F64" t="str">
        <f>VLOOKUP($A64,ScionOutput!$A$3:$BL$215,7,FALSE)</f>
        <v>LA</v>
      </c>
      <c r="G64">
        <f>VLOOKUP($A64,ScionOutput!$A$3:$BL$215,26,FALSE)</f>
        <v>175</v>
      </c>
      <c r="H64">
        <f>VLOOKUP($A64,ScionOutput!$A$3:$BL$215,10,FALSE)</f>
        <v>-193</v>
      </c>
      <c r="I64" t="str">
        <f>VLOOKUP($A64,ScionOutput!$A$3:$BL$215,58,FALSE)</f>
        <v>No Play</v>
      </c>
      <c r="J64">
        <f>VLOOKUP($A64,ScionOutput!$A$3:$BL$215,59,FALSE)</f>
        <v>0</v>
      </c>
      <c r="K64">
        <f>VLOOKUP($A64,ScionOutput!$A$3:$BL$215,62,FALSE)</f>
        <v>0</v>
      </c>
      <c r="L64">
        <f>VLOOKUP($A64,ScionOutput!$A$3:$BL$215,63,FALSE)</f>
        <v>0</v>
      </c>
      <c r="M64" t="b">
        <f t="shared" si="1"/>
        <v>0</v>
      </c>
      <c r="N64">
        <f>VLOOKUP($A64,Outcomes!$B$3:$I$209,8,FALSE)</f>
        <v>17</v>
      </c>
      <c r="O64">
        <f t="shared" si="2"/>
        <v>1</v>
      </c>
      <c r="P64">
        <f>VLOOKUP($A64,Outcomes!$B$3:$I$209,5,FALSE)</f>
        <v>9</v>
      </c>
      <c r="Q64">
        <f>VLOOKUP($A64,Outcomes!$B$3:$I$209,6,FALSE)</f>
        <v>8</v>
      </c>
      <c r="R64">
        <f>VLOOKUP($A64,Outcomes!$B$3:$I$209,7,FALSE)</f>
        <v>-1</v>
      </c>
      <c r="S64" t="str">
        <f t="shared" si="3"/>
        <v>HomDog</v>
      </c>
      <c r="T64" t="str">
        <f t="shared" si="4"/>
        <v/>
      </c>
      <c r="U64" t="str">
        <f t="shared" si="5"/>
        <v/>
      </c>
      <c r="V64" t="str">
        <f t="shared" si="6"/>
        <v/>
      </c>
      <c r="W64" t="str">
        <f t="shared" si="7"/>
        <v/>
      </c>
      <c r="X64" s="2" t="str">
        <f t="shared" si="8"/>
        <v/>
      </c>
      <c r="Y64" t="str">
        <f>VLOOKUP($A64,ScionOutput!$A$3:$BL$215,64,FALSE)</f>
        <v xml:space="preserve">823372. LineStatEns is NoPlay as bookie-line outside range. StatOnlyEns is NoPlay as bookie-line outside range. No play due to strategy constraints. </v>
      </c>
    </row>
    <row r="65" spans="1:25" x14ac:dyDescent="0.2">
      <c r="A65">
        <v>823287</v>
      </c>
      <c r="B65" s="3">
        <f>VLOOKUP($A65,ScionOutput!$A$3:$BL$215,3,FALSE)</f>
        <v>46183</v>
      </c>
      <c r="C65">
        <f>VLOOKUP($A65,ScionOutput!$A$3:$BL$215,22,FALSE)</f>
        <v>23</v>
      </c>
      <c r="D65" t="str">
        <f>VLOOKUP($A65,ScionOutput!$A$3:$BL$215,23,FALSE)</f>
        <v>SD</v>
      </c>
      <c r="E65">
        <f>VLOOKUP($A65,ScionOutput!$A$3:$BL$215,6,FALSE)</f>
        <v>6</v>
      </c>
      <c r="F65" t="str">
        <f>VLOOKUP($A65,ScionOutput!$A$3:$BL$215,7,FALSE)</f>
        <v>CIN</v>
      </c>
      <c r="G65">
        <f>VLOOKUP($A65,ScionOutput!$A$3:$BL$215,26,FALSE)</f>
        <v>-158</v>
      </c>
      <c r="H65">
        <f>VLOOKUP($A65,ScionOutput!$A$3:$BL$215,10,FALSE)</f>
        <v>145</v>
      </c>
      <c r="I65" t="str">
        <f>VLOOKUP($A65,ScionOutput!$A$3:$BL$215,58,FALSE)</f>
        <v>No Play</v>
      </c>
      <c r="J65">
        <f>VLOOKUP($A65,ScionOutput!$A$3:$BL$215,59,FALSE)</f>
        <v>0</v>
      </c>
      <c r="K65">
        <f>VLOOKUP($A65,ScionOutput!$A$3:$BL$215,62,FALSE)</f>
        <v>0</v>
      </c>
      <c r="L65">
        <f>VLOOKUP($A65,ScionOutput!$A$3:$BL$215,63,FALSE)</f>
        <v>0</v>
      </c>
      <c r="M65" t="b">
        <f t="shared" si="1"/>
        <v>0</v>
      </c>
      <c r="N65">
        <f>VLOOKUP($A65,Outcomes!$B$3:$I$209,8,FALSE)</f>
        <v>9</v>
      </c>
      <c r="O65">
        <f t="shared" si="2"/>
        <v>1</v>
      </c>
      <c r="P65">
        <f>VLOOKUP($A65,Outcomes!$B$3:$I$209,5,FALSE)</f>
        <v>5</v>
      </c>
      <c r="Q65">
        <f>VLOOKUP($A65,Outcomes!$B$3:$I$209,6,FALSE)</f>
        <v>4</v>
      </c>
      <c r="R65">
        <f>VLOOKUP($A65,Outcomes!$B$3:$I$209,7,FALSE)</f>
        <v>-1</v>
      </c>
      <c r="S65" t="str">
        <f t="shared" si="3"/>
        <v>HomFave</v>
      </c>
      <c r="T65" t="str">
        <f t="shared" si="4"/>
        <v/>
      </c>
      <c r="U65" t="str">
        <f t="shared" si="5"/>
        <v/>
      </c>
      <c r="V65" t="str">
        <f t="shared" si="6"/>
        <v/>
      </c>
      <c r="W65" t="str">
        <f t="shared" si="7"/>
        <v/>
      </c>
      <c r="X65" s="2" t="str">
        <f t="shared" si="8"/>
        <v/>
      </c>
      <c r="Y65" t="str">
        <f>VLOOKUP($A65,ScionOutput!$A$3:$BL$215,64,FALSE)</f>
        <v xml:space="preserve">823287. LineStatEns is NoPlay as bookie-line outside range. StatOnlyEns is NoPlay as bookie-line outside range. No play due to strategy constraints. </v>
      </c>
    </row>
    <row r="66" spans="1:25" x14ac:dyDescent="0.2">
      <c r="A66">
        <v>823215</v>
      </c>
      <c r="B66" s="3">
        <f>VLOOKUP($A66,ScionOutput!$A$3:$BL$215,3,FALSE)</f>
        <v>46183</v>
      </c>
      <c r="C66">
        <f>VLOOKUP($A66,ScionOutput!$A$3:$BL$215,22,FALSE)</f>
        <v>25</v>
      </c>
      <c r="D66" t="str">
        <f>VLOOKUP($A66,ScionOutput!$A$3:$BL$215,23,FALSE)</f>
        <v>SF</v>
      </c>
      <c r="E66">
        <f>VLOOKUP($A66,ScionOutput!$A$3:$BL$215,6,FALSE)</f>
        <v>16</v>
      </c>
      <c r="F66" t="str">
        <f>VLOOKUP($A66,ScionOutput!$A$3:$BL$215,7,FALSE)</f>
        <v>WAS</v>
      </c>
      <c r="G66">
        <f>VLOOKUP($A66,ScionOutput!$A$3:$BL$215,26,FALSE)</f>
        <v>-105</v>
      </c>
      <c r="H66">
        <f>VLOOKUP($A66,ScionOutput!$A$3:$BL$215,10,FALSE)</f>
        <v>-103</v>
      </c>
      <c r="I66" t="str">
        <f>VLOOKUP($A66,ScionOutput!$A$3:$BL$215,58,FALSE)</f>
        <v>VisDog</v>
      </c>
      <c r="J66">
        <f>VLOOKUP($A66,ScionOutput!$A$3:$BL$215,59,FALSE)</f>
        <v>-3.236E-2</v>
      </c>
      <c r="K66">
        <f>VLOOKUP($A66,ScionOutput!$A$3:$BL$215,62,FALSE)</f>
        <v>3</v>
      </c>
      <c r="L66">
        <f>VLOOKUP($A66,ScionOutput!$A$3:$BL$215,63,FALSE)</f>
        <v>0.93</v>
      </c>
      <c r="M66" t="b">
        <f t="shared" si="1"/>
        <v>0</v>
      </c>
      <c r="N66">
        <f>VLOOKUP($A66,Outcomes!$B$3:$I$209,8,FALSE)</f>
        <v>21</v>
      </c>
      <c r="O66">
        <f t="shared" ref="O66:O127" si="9">IF(P66&gt;Q66,1,IF(P66&lt;Q66,-1,0))</f>
        <v>1</v>
      </c>
      <c r="P66">
        <f>VLOOKUP($A66,Outcomes!$B$3:$I$209,5,FALSE)</f>
        <v>11</v>
      </c>
      <c r="Q66">
        <f>VLOOKUP($A66,Outcomes!$B$3:$I$209,6,FALSE)</f>
        <v>10</v>
      </c>
      <c r="R66">
        <f>VLOOKUP($A66,Outcomes!$B$3:$I$209,7,FALSE)</f>
        <v>-1</v>
      </c>
      <c r="S66" t="str">
        <f t="shared" ref="S66:S127" si="10">IF(R66=0,"Push",IF(G66&lt;H66,IF(R66&lt;0,"HomFave","VisDog"),IF(R66&gt;0,"VisFave","HomDog")))</f>
        <v>HomFave</v>
      </c>
      <c r="T66">
        <f t="shared" ref="T66:T127" si="11">IF(OR(R66=0,I66="No Play"),"",IF(S66=I66,1,0))</f>
        <v>0</v>
      </c>
      <c r="U66">
        <f t="shared" ref="U66:U127" si="12">IF(T66="","",IF(G66&lt;H66,IF(I66="HomFave",ABS(G66),IF(H66&lt;0,ABS(H66),100)),IF(I66="VisFave",ABS(H66),IF(G66&lt;0,ABS(G66),100))))</f>
        <v>103</v>
      </c>
      <c r="V66">
        <f t="shared" ref="V66:V127" si="13">IF(T66="","",IF(T66=0,0,IF(G66&lt;H66,IF(I66="HomFave",U66+100,IF(H66&lt;0,100+U66,U66+ABS(H66))),IF(I66="VisFave",U66+100,IF(G66&lt;0,100+U66,U66+ABS(G66))))))</f>
        <v>0</v>
      </c>
      <c r="W66">
        <f t="shared" ref="W66:W127" si="14">IF(T66="","",V66-U66)</f>
        <v>-103</v>
      </c>
      <c r="X66" s="2">
        <f t="shared" ref="X66:X127" si="15">IF(T66="","",W66/U66)</f>
        <v>-1</v>
      </c>
      <c r="Y66" t="str">
        <f>VLOOKUP($A66,ScionOutput!$A$3:$BL$215,64,FALSE)</f>
        <v xml:space="preserve">823215. StatOnlyEns probability points gap does not exceed threshold (no edge found)! Play determined by LineStatEns only. </v>
      </c>
    </row>
    <row r="67" spans="1:25" x14ac:dyDescent="0.2">
      <c r="A67">
        <v>822970</v>
      </c>
      <c r="B67" s="3">
        <f>VLOOKUP($A67,ScionOutput!$A$3:$BL$215,3,FALSE)</f>
        <v>46183</v>
      </c>
      <c r="C67">
        <f>VLOOKUP($A67,ScionOutput!$A$3:$BL$215,22,FALSE)</f>
        <v>27</v>
      </c>
      <c r="D67" t="str">
        <f>VLOOKUP($A67,ScionOutput!$A$3:$BL$215,23,FALSE)</f>
        <v>TB</v>
      </c>
      <c r="E67">
        <f>VLOOKUP($A67,ScionOutput!$A$3:$BL$215,6,FALSE)</f>
        <v>3</v>
      </c>
      <c r="F67" t="str">
        <f>VLOOKUP($A67,ScionOutput!$A$3:$BL$215,7,FALSE)</f>
        <v>BOS</v>
      </c>
      <c r="G67">
        <f>VLOOKUP($A67,ScionOutput!$A$3:$BL$215,26,FALSE)</f>
        <v>-154</v>
      </c>
      <c r="H67">
        <f>VLOOKUP($A67,ScionOutput!$A$3:$BL$215,10,FALSE)</f>
        <v>142</v>
      </c>
      <c r="I67" t="str">
        <f>VLOOKUP($A67,ScionOutput!$A$3:$BL$215,58,FALSE)</f>
        <v>No Play</v>
      </c>
      <c r="J67">
        <f>VLOOKUP($A67,ScionOutput!$A$3:$BL$215,59,FALSE)</f>
        <v>0</v>
      </c>
      <c r="K67">
        <f>VLOOKUP($A67,ScionOutput!$A$3:$BL$215,62,FALSE)</f>
        <v>0</v>
      </c>
      <c r="L67">
        <f>VLOOKUP($A67,ScionOutput!$A$3:$BL$215,63,FALSE)</f>
        <v>0</v>
      </c>
      <c r="M67" t="b">
        <f t="shared" ref="M67:M130" si="16">ISNUMBER(SEARCH("Play determined by LineStatEns and StatOnlyEns agreement", Y67))</f>
        <v>0</v>
      </c>
      <c r="N67">
        <f>VLOOKUP($A67,Outcomes!$B$3:$I$209,8,FALSE)</f>
        <v>12</v>
      </c>
      <c r="O67">
        <f t="shared" si="9"/>
        <v>1</v>
      </c>
      <c r="P67">
        <f>VLOOKUP($A67,Outcomes!$B$3:$I$209,5,FALSE)</f>
        <v>7</v>
      </c>
      <c r="Q67">
        <f>VLOOKUP($A67,Outcomes!$B$3:$I$209,6,FALSE)</f>
        <v>5</v>
      </c>
      <c r="R67">
        <f>VLOOKUP($A67,Outcomes!$B$3:$I$209,7,FALSE)</f>
        <v>-2</v>
      </c>
      <c r="S67" t="str">
        <f t="shared" si="10"/>
        <v>HomFave</v>
      </c>
      <c r="T67" t="str">
        <f t="shared" si="11"/>
        <v/>
      </c>
      <c r="U67" t="str">
        <f t="shared" si="12"/>
        <v/>
      </c>
      <c r="V67" t="str">
        <f t="shared" si="13"/>
        <v/>
      </c>
      <c r="W67" t="str">
        <f t="shared" si="14"/>
        <v/>
      </c>
      <c r="X67" s="2" t="str">
        <f t="shared" si="15"/>
        <v/>
      </c>
      <c r="Y67" t="str">
        <f>VLOOKUP($A67,ScionOutput!$A$3:$BL$215,64,FALSE)</f>
        <v xml:space="preserve">822970. LineStatEns is NoPlay as bookie-line outside range. StatOnlyEns is NoPlay as bookie-line outside range. No play due to strategy constraints. </v>
      </c>
    </row>
    <row r="68" spans="1:25" x14ac:dyDescent="0.2">
      <c r="A68">
        <v>822804</v>
      </c>
      <c r="B68" s="3">
        <f>VLOOKUP($A68,ScionOutput!$A$3:$BL$215,3,FALSE)</f>
        <v>46183</v>
      </c>
      <c r="C68">
        <f>VLOOKUP($A68,ScionOutput!$A$3:$BL$215,22,FALSE)</f>
        <v>29</v>
      </c>
      <c r="D68" t="str">
        <f>VLOOKUP($A68,ScionOutput!$A$3:$BL$215,23,FALSE)</f>
        <v>TOR</v>
      </c>
      <c r="E68">
        <f>VLOOKUP($A68,ScionOutput!$A$3:$BL$215,6,FALSE)</f>
        <v>21</v>
      </c>
      <c r="F68" t="str">
        <f>VLOOKUP($A68,ScionOutput!$A$3:$BL$215,7,FALSE)</f>
        <v>PHI</v>
      </c>
      <c r="G68">
        <f>VLOOKUP($A68,ScionOutput!$A$3:$BL$215,26,FALSE)</f>
        <v>114</v>
      </c>
      <c r="H68">
        <f>VLOOKUP($A68,ScionOutput!$A$3:$BL$215,10,FALSE)</f>
        <v>-124</v>
      </c>
      <c r="I68" t="str">
        <f>VLOOKUP($A68,ScionOutput!$A$3:$BL$215,58,FALSE)</f>
        <v>No Play</v>
      </c>
      <c r="J68">
        <f>VLOOKUP($A68,ScionOutput!$A$3:$BL$215,59,FALSE)</f>
        <v>0</v>
      </c>
      <c r="K68">
        <f>VLOOKUP($A68,ScionOutput!$A$3:$BL$215,62,FALSE)</f>
        <v>0</v>
      </c>
      <c r="L68">
        <f>VLOOKUP($A68,ScionOutput!$A$3:$BL$215,63,FALSE)</f>
        <v>0</v>
      </c>
      <c r="M68" t="b">
        <f t="shared" si="16"/>
        <v>0</v>
      </c>
      <c r="N68">
        <f>VLOOKUP($A68,Outcomes!$B$3:$I$209,8,FALSE)</f>
        <v>11</v>
      </c>
      <c r="O68">
        <f t="shared" si="9"/>
        <v>-1</v>
      </c>
      <c r="P68">
        <f>VLOOKUP($A68,Outcomes!$B$3:$I$209,5,FALSE)</f>
        <v>4</v>
      </c>
      <c r="Q68">
        <f>VLOOKUP($A68,Outcomes!$B$3:$I$209,6,FALSE)</f>
        <v>7</v>
      </c>
      <c r="R68">
        <f>VLOOKUP($A68,Outcomes!$B$3:$I$209,7,FALSE)</f>
        <v>3</v>
      </c>
      <c r="S68" t="str">
        <f t="shared" si="10"/>
        <v>VisFave</v>
      </c>
      <c r="T68" t="str">
        <f t="shared" si="11"/>
        <v/>
      </c>
      <c r="U68" t="str">
        <f t="shared" si="12"/>
        <v/>
      </c>
      <c r="V68" t="str">
        <f t="shared" si="13"/>
        <v/>
      </c>
      <c r="W68" t="str">
        <f t="shared" si="14"/>
        <v/>
      </c>
      <c r="X68" s="2" t="str">
        <f t="shared" si="15"/>
        <v/>
      </c>
      <c r="Y68" t="str">
        <f>VLOOKUP($A68,ScionOutput!$A$3:$BL$215,64,FALSE)</f>
        <v xml:space="preserve">822804. VF plays are disallowed. No play due to strategy constraints. </v>
      </c>
    </row>
    <row r="69" spans="1:25" x14ac:dyDescent="0.2">
      <c r="A69">
        <v>824827</v>
      </c>
      <c r="B69" s="3">
        <f>VLOOKUP($A69,ScionOutput!$A$3:$BL$215,3,FALSE)</f>
        <v>46184</v>
      </c>
      <c r="C69">
        <f>VLOOKUP($A69,ScionOutput!$A$3:$BL$215,22,FALSE)</f>
        <v>2</v>
      </c>
      <c r="D69" t="str">
        <f>VLOOKUP($A69,ScionOutput!$A$3:$BL$215,23,FALSE)</f>
        <v>BAL</v>
      </c>
      <c r="E69">
        <f>VLOOKUP($A69,ScionOutput!$A$3:$BL$215,6,FALSE)</f>
        <v>24</v>
      </c>
      <c r="F69" t="str">
        <f>VLOOKUP($A69,ScionOutput!$A$3:$BL$215,7,FALSE)</f>
        <v>SEA</v>
      </c>
      <c r="G69">
        <f>VLOOKUP($A69,ScionOutput!$A$3:$BL$215,26,FALSE)</f>
        <v>100</v>
      </c>
      <c r="H69">
        <f>VLOOKUP($A69,ScionOutput!$A$3:$BL$215,10,FALSE)</f>
        <v>-110</v>
      </c>
      <c r="I69" t="str">
        <f>VLOOKUP($A69,ScionOutput!$A$3:$BL$215,58,FALSE)</f>
        <v>No Play</v>
      </c>
      <c r="J69">
        <f>VLOOKUP($A69,ScionOutput!$A$3:$BL$215,59,FALSE)</f>
        <v>0</v>
      </c>
      <c r="K69">
        <f>VLOOKUP($A69,ScionOutput!$A$3:$BL$215,62,FALSE)</f>
        <v>0</v>
      </c>
      <c r="L69">
        <f>VLOOKUP($A69,ScionOutput!$A$3:$BL$215,63,FALSE)</f>
        <v>0</v>
      </c>
      <c r="M69" t="b">
        <f t="shared" si="16"/>
        <v>0</v>
      </c>
      <c r="N69">
        <f>VLOOKUP($A69,Outcomes!$B$3:$I$209,8,FALSE)</f>
        <v>12</v>
      </c>
      <c r="O69">
        <f t="shared" si="9"/>
        <v>1</v>
      </c>
      <c r="P69">
        <f>VLOOKUP($A69,Outcomes!$B$3:$I$209,5,FALSE)</f>
        <v>7</v>
      </c>
      <c r="Q69">
        <f>VLOOKUP($A69,Outcomes!$B$3:$I$209,6,FALSE)</f>
        <v>5</v>
      </c>
      <c r="R69">
        <f>VLOOKUP($A69,Outcomes!$B$3:$I$209,7,FALSE)</f>
        <v>-2</v>
      </c>
      <c r="S69" t="str">
        <f t="shared" si="10"/>
        <v>HomDog</v>
      </c>
      <c r="T69" t="str">
        <f t="shared" si="11"/>
        <v/>
      </c>
      <c r="U69" t="str">
        <f t="shared" si="12"/>
        <v/>
      </c>
      <c r="V69" t="str">
        <f t="shared" si="13"/>
        <v/>
      </c>
      <c r="W69" t="str">
        <f t="shared" si="14"/>
        <v/>
      </c>
      <c r="X69" s="2" t="str">
        <f t="shared" si="15"/>
        <v/>
      </c>
      <c r="Y69" t="str">
        <f>VLOOKUP($A69,ScionOutput!$A$3:$BL$215,64,FALSE)</f>
        <v xml:space="preserve">824827. VF plays are disallowed. No play due to strategy constraints. </v>
      </c>
    </row>
    <row r="70" spans="1:25" x14ac:dyDescent="0.2">
      <c r="A70">
        <v>824346</v>
      </c>
      <c r="B70" s="3">
        <f>VLOOKUP($A70,ScionOutput!$A$3:$BL$215,3,FALSE)</f>
        <v>46184</v>
      </c>
      <c r="C70">
        <f>VLOOKUP($A70,ScionOutput!$A$3:$BL$215,22,FALSE)</f>
        <v>8</v>
      </c>
      <c r="D70" t="str">
        <f>VLOOKUP($A70,ScionOutput!$A$3:$BL$215,23,FALSE)</f>
        <v>COL</v>
      </c>
      <c r="E70">
        <f>VLOOKUP($A70,ScionOutput!$A$3:$BL$215,6,FALSE)</f>
        <v>5</v>
      </c>
      <c r="F70" t="str">
        <f>VLOOKUP($A70,ScionOutput!$A$3:$BL$215,7,FALSE)</f>
        <v>CHC</v>
      </c>
      <c r="G70">
        <f>VLOOKUP($A70,ScionOutput!$A$3:$BL$215,26,FALSE)</f>
        <v>132</v>
      </c>
      <c r="H70">
        <f>VLOOKUP($A70,ScionOutput!$A$3:$BL$215,10,FALSE)</f>
        <v>-146</v>
      </c>
      <c r="I70" t="str">
        <f>VLOOKUP($A70,ScionOutput!$A$3:$BL$215,58,FALSE)</f>
        <v>No Play</v>
      </c>
      <c r="J70">
        <f>VLOOKUP($A70,ScionOutput!$A$3:$BL$215,59,FALSE)</f>
        <v>0</v>
      </c>
      <c r="K70">
        <f>VLOOKUP($A70,ScionOutput!$A$3:$BL$215,62,FALSE)</f>
        <v>0</v>
      </c>
      <c r="L70">
        <f>VLOOKUP($A70,ScionOutput!$A$3:$BL$215,63,FALSE)</f>
        <v>0</v>
      </c>
      <c r="M70" t="b">
        <f t="shared" si="16"/>
        <v>0</v>
      </c>
      <c r="N70">
        <f>VLOOKUP($A70,Outcomes!$B$3:$I$209,8,FALSE)</f>
        <v>12</v>
      </c>
      <c r="O70">
        <f t="shared" si="9"/>
        <v>-1</v>
      </c>
      <c r="P70">
        <f>VLOOKUP($A70,Outcomes!$B$3:$I$209,5,FALSE)</f>
        <v>3</v>
      </c>
      <c r="Q70">
        <f>VLOOKUP($A70,Outcomes!$B$3:$I$209,6,FALSE)</f>
        <v>9</v>
      </c>
      <c r="R70">
        <f>VLOOKUP($A70,Outcomes!$B$3:$I$209,7,FALSE)</f>
        <v>6</v>
      </c>
      <c r="S70" t="str">
        <f t="shared" si="10"/>
        <v>VisFave</v>
      </c>
      <c r="T70" t="str">
        <f t="shared" si="11"/>
        <v/>
      </c>
      <c r="U70" t="str">
        <f t="shared" si="12"/>
        <v/>
      </c>
      <c r="V70" t="str">
        <f t="shared" si="13"/>
        <v/>
      </c>
      <c r="W70" t="str">
        <f t="shared" si="14"/>
        <v/>
      </c>
      <c r="X70" s="2" t="str">
        <f t="shared" si="15"/>
        <v/>
      </c>
      <c r="Y70" t="str">
        <f>VLOOKUP($A70,ScionOutput!$A$3:$BL$215,64,FALSE)</f>
        <v xml:space="preserve">824346. LineStatEns price is outside allowable range! VF plays are disallowed. No play due to strategy constraints. </v>
      </c>
    </row>
    <row r="71" spans="1:25" x14ac:dyDescent="0.2">
      <c r="A71">
        <v>824265</v>
      </c>
      <c r="B71" s="3">
        <f>VLOOKUP($A71,ScionOutput!$A$3:$BL$215,3,FALSE)</f>
        <v>46184</v>
      </c>
      <c r="C71">
        <f>VLOOKUP($A71,ScionOutput!$A$3:$BL$215,22,FALSE)</f>
        <v>10</v>
      </c>
      <c r="D71" t="str">
        <f>VLOOKUP($A71,ScionOutput!$A$3:$BL$215,23,FALSE)</f>
        <v>DET</v>
      </c>
      <c r="E71">
        <f>VLOOKUP($A71,ScionOutput!$A$3:$BL$215,6,FALSE)</f>
        <v>15</v>
      </c>
      <c r="F71" t="str">
        <f>VLOOKUP($A71,ScionOutput!$A$3:$BL$215,7,FALSE)</f>
        <v>MIN</v>
      </c>
      <c r="G71">
        <f>VLOOKUP($A71,ScionOutput!$A$3:$BL$215,26,FALSE)</f>
        <v>-120</v>
      </c>
      <c r="H71">
        <f>VLOOKUP($A71,ScionOutput!$A$3:$BL$215,10,FALSE)</f>
        <v>109</v>
      </c>
      <c r="I71" t="str">
        <f>VLOOKUP($A71,ScionOutput!$A$3:$BL$215,58,FALSE)</f>
        <v>No Play</v>
      </c>
      <c r="J71">
        <f>VLOOKUP($A71,ScionOutput!$A$3:$BL$215,59,FALSE)</f>
        <v>0</v>
      </c>
      <c r="K71">
        <f>VLOOKUP($A71,ScionOutput!$A$3:$BL$215,62,FALSE)</f>
        <v>0</v>
      </c>
      <c r="L71">
        <f>VLOOKUP($A71,ScionOutput!$A$3:$BL$215,63,FALSE)</f>
        <v>0</v>
      </c>
      <c r="M71" t="b">
        <f t="shared" si="16"/>
        <v>0</v>
      </c>
      <c r="N71">
        <f>VLOOKUP($A71,Outcomes!$B$3:$I$209,8,FALSE)</f>
        <v>11</v>
      </c>
      <c r="O71">
        <f t="shared" si="9"/>
        <v>1</v>
      </c>
      <c r="P71">
        <f>VLOOKUP($A71,Outcomes!$B$3:$I$209,5,FALSE)</f>
        <v>11</v>
      </c>
      <c r="Q71">
        <f>VLOOKUP($A71,Outcomes!$B$3:$I$209,6,FALSE)</f>
        <v>0</v>
      </c>
      <c r="R71">
        <f>VLOOKUP($A71,Outcomes!$B$3:$I$209,7,FALSE)</f>
        <v>-11</v>
      </c>
      <c r="S71" t="str">
        <f t="shared" si="10"/>
        <v>HomFave</v>
      </c>
      <c r="T71" t="str">
        <f t="shared" si="11"/>
        <v/>
      </c>
      <c r="U71" t="str">
        <f t="shared" si="12"/>
        <v/>
      </c>
      <c r="V71" t="str">
        <f t="shared" si="13"/>
        <v/>
      </c>
      <c r="W71" t="str">
        <f t="shared" si="14"/>
        <v/>
      </c>
      <c r="X71" s="2" t="str">
        <f t="shared" si="15"/>
        <v/>
      </c>
      <c r="Y71" t="str">
        <f>VLOOKUP($A71,ScionOutput!$A$3:$BL$215,64,FALSE)</f>
        <v xml:space="preserve">824265. LineStatEns probability points gap does not exceed threshold (no edge found)! StatOnlyEns probability points gap does not exceed threshold (no edge found)! No play due to strategy constraints. </v>
      </c>
    </row>
    <row r="72" spans="1:25" x14ac:dyDescent="0.2">
      <c r="A72">
        <v>823855</v>
      </c>
      <c r="B72" s="3">
        <f>VLOOKUP($A72,ScionOutput!$A$3:$BL$215,3,FALSE)</f>
        <v>46184</v>
      </c>
      <c r="C72">
        <f>VLOOKUP($A72,ScionOutput!$A$3:$BL$215,22,FALSE)</f>
        <v>11</v>
      </c>
      <c r="D72" t="str">
        <f>VLOOKUP($A72,ScionOutput!$A$3:$BL$215,23,FALSE)</f>
        <v>FLO</v>
      </c>
      <c r="E72">
        <f>VLOOKUP($A72,ScionOutput!$A$3:$BL$215,6,FALSE)</f>
        <v>1</v>
      </c>
      <c r="F72" t="str">
        <f>VLOOKUP($A72,ScionOutput!$A$3:$BL$215,7,FALSE)</f>
        <v>ARZ</v>
      </c>
      <c r="G72">
        <f>VLOOKUP($A72,ScionOutput!$A$3:$BL$215,26,FALSE)</f>
        <v>-108</v>
      </c>
      <c r="H72">
        <f>VLOOKUP($A72,ScionOutput!$A$3:$BL$215,10,FALSE)</f>
        <v>-102</v>
      </c>
      <c r="I72" t="str">
        <f>VLOOKUP($A72,ScionOutput!$A$3:$BL$215,58,FALSE)</f>
        <v>HomFave</v>
      </c>
      <c r="J72">
        <f>VLOOKUP($A72,ScionOutput!$A$3:$BL$215,59,FALSE)</f>
        <v>2.3029999999999998E-2</v>
      </c>
      <c r="K72">
        <f>VLOOKUP($A72,ScionOutput!$A$3:$BL$215,62,FALSE)</f>
        <v>1</v>
      </c>
      <c r="L72">
        <f>VLOOKUP($A72,ScionOutput!$A$3:$BL$215,63,FALSE)</f>
        <v>0.93</v>
      </c>
      <c r="M72" t="b">
        <f t="shared" si="16"/>
        <v>1</v>
      </c>
      <c r="N72">
        <f>VLOOKUP($A72,Outcomes!$B$3:$I$209,8,FALSE)</f>
        <v>2</v>
      </c>
      <c r="O72">
        <f t="shared" si="9"/>
        <v>1</v>
      </c>
      <c r="P72">
        <f>VLOOKUP($A72,Outcomes!$B$3:$I$209,5,FALSE)</f>
        <v>2</v>
      </c>
      <c r="Q72">
        <f>VLOOKUP($A72,Outcomes!$B$3:$I$209,6,FALSE)</f>
        <v>0</v>
      </c>
      <c r="R72">
        <f>VLOOKUP($A72,Outcomes!$B$3:$I$209,7,FALSE)</f>
        <v>-2</v>
      </c>
      <c r="S72" t="str">
        <f t="shared" si="10"/>
        <v>HomFave</v>
      </c>
      <c r="T72">
        <f t="shared" si="11"/>
        <v>1</v>
      </c>
      <c r="U72">
        <f t="shared" si="12"/>
        <v>108</v>
      </c>
      <c r="V72">
        <f t="shared" si="13"/>
        <v>208</v>
      </c>
      <c r="W72">
        <f t="shared" si="14"/>
        <v>100</v>
      </c>
      <c r="X72" s="2">
        <f t="shared" si="15"/>
        <v>0.92592592592592593</v>
      </c>
      <c r="Y72" t="str">
        <f>VLOOKUP($A72,ScionOutput!$A$3:$BL$215,64,FALSE)</f>
        <v xml:space="preserve">823855. Play determined by LineStatEns and StatOnlyEns agreement. </v>
      </c>
    </row>
    <row r="73" spans="1:25" x14ac:dyDescent="0.2">
      <c r="A73">
        <v>824101</v>
      </c>
      <c r="B73" s="3">
        <f>VLOOKUP($A73,ScionOutput!$A$3:$BL$215,3,FALSE)</f>
        <v>46184</v>
      </c>
      <c r="C73">
        <f>VLOOKUP($A73,ScionOutput!$A$3:$BL$215,22,FALSE)</f>
        <v>13</v>
      </c>
      <c r="D73" t="str">
        <f>VLOOKUP($A73,ScionOutput!$A$3:$BL$215,23,FALSE)</f>
        <v>KC</v>
      </c>
      <c r="E73">
        <f>VLOOKUP($A73,ScionOutput!$A$3:$BL$215,6,FALSE)</f>
        <v>28</v>
      </c>
      <c r="F73" t="str">
        <f>VLOOKUP($A73,ScionOutput!$A$3:$BL$215,7,FALSE)</f>
        <v>TEX</v>
      </c>
      <c r="G73">
        <f>VLOOKUP($A73,ScionOutput!$A$3:$BL$215,26,FALSE)</f>
        <v>-115</v>
      </c>
      <c r="H73">
        <f>VLOOKUP($A73,ScionOutput!$A$3:$BL$215,10,FALSE)</f>
        <v>104</v>
      </c>
      <c r="I73" t="str">
        <f>VLOOKUP($A73,ScionOutput!$A$3:$BL$215,58,FALSE)</f>
        <v>HomFave</v>
      </c>
      <c r="J73">
        <f>VLOOKUP($A73,ScionOutput!$A$3:$BL$215,59,FALSE)</f>
        <v>8.2000000000000007E-3</v>
      </c>
      <c r="K73">
        <f>VLOOKUP($A73,ScionOutput!$A$3:$BL$215,62,FALSE)</f>
        <v>3</v>
      </c>
      <c r="L73">
        <f>VLOOKUP($A73,ScionOutput!$A$3:$BL$215,63,FALSE)</f>
        <v>0.87</v>
      </c>
      <c r="M73" t="b">
        <f t="shared" si="16"/>
        <v>0</v>
      </c>
      <c r="N73">
        <f>VLOOKUP($A73,Outcomes!$B$3:$I$209,8,FALSE)</f>
        <v>6</v>
      </c>
      <c r="O73">
        <f t="shared" si="9"/>
        <v>-1</v>
      </c>
      <c r="P73">
        <f>VLOOKUP($A73,Outcomes!$B$3:$I$209,5,FALSE)</f>
        <v>2</v>
      </c>
      <c r="Q73">
        <f>VLOOKUP($A73,Outcomes!$B$3:$I$209,6,FALSE)</f>
        <v>4</v>
      </c>
      <c r="R73">
        <f>VLOOKUP($A73,Outcomes!$B$3:$I$209,7,FALSE)</f>
        <v>2</v>
      </c>
      <c r="S73" t="str">
        <f t="shared" si="10"/>
        <v>VisDog</v>
      </c>
      <c r="T73">
        <f t="shared" si="11"/>
        <v>0</v>
      </c>
      <c r="U73">
        <f t="shared" si="12"/>
        <v>115</v>
      </c>
      <c r="V73">
        <f t="shared" si="13"/>
        <v>0</v>
      </c>
      <c r="W73">
        <f t="shared" si="14"/>
        <v>-115</v>
      </c>
      <c r="X73" s="2">
        <f t="shared" si="15"/>
        <v>-1</v>
      </c>
      <c r="Y73" t="str">
        <f>VLOOKUP($A73,ScionOutput!$A$3:$BL$215,64,FALSE)</f>
        <v xml:space="preserve">824101. StatOnlyEns probability points gap does not exceed threshold (no edge found)! Play determined by LineStatEns only. </v>
      </c>
    </row>
    <row r="74" spans="1:25" x14ac:dyDescent="0.2">
      <c r="A74">
        <v>823619</v>
      </c>
      <c r="B74" s="3">
        <f>VLOOKUP($A74,ScionOutput!$A$3:$BL$215,3,FALSE)</f>
        <v>46184</v>
      </c>
      <c r="C74">
        <f>VLOOKUP($A74,ScionOutput!$A$3:$BL$215,22,FALSE)</f>
        <v>18</v>
      </c>
      <c r="D74" t="str">
        <f>VLOOKUP($A74,ScionOutput!$A$3:$BL$215,23,FALSE)</f>
        <v>NYM</v>
      </c>
      <c r="E74">
        <f>VLOOKUP($A74,ScionOutput!$A$3:$BL$215,6,FALSE)</f>
        <v>26</v>
      </c>
      <c r="F74" t="str">
        <f>VLOOKUP($A74,ScionOutput!$A$3:$BL$215,7,FALSE)</f>
        <v>STL</v>
      </c>
      <c r="G74">
        <f>VLOOKUP($A74,ScionOutput!$A$3:$BL$215,26,FALSE)</f>
        <v>-135</v>
      </c>
      <c r="H74">
        <f>VLOOKUP($A74,ScionOutput!$A$3:$BL$215,10,FALSE)</f>
        <v>122</v>
      </c>
      <c r="I74" t="str">
        <f>VLOOKUP($A74,ScionOutput!$A$3:$BL$215,58,FALSE)</f>
        <v>No Play</v>
      </c>
      <c r="J74">
        <f>VLOOKUP($A74,ScionOutput!$A$3:$BL$215,59,FALSE)</f>
        <v>0</v>
      </c>
      <c r="K74">
        <f>VLOOKUP($A74,ScionOutput!$A$3:$BL$215,62,FALSE)</f>
        <v>0</v>
      </c>
      <c r="L74">
        <f>VLOOKUP($A74,ScionOutput!$A$3:$BL$215,63,FALSE)</f>
        <v>0</v>
      </c>
      <c r="M74" t="b">
        <f t="shared" si="16"/>
        <v>0</v>
      </c>
      <c r="N74">
        <f>VLOOKUP($A74,Outcomes!$B$3:$I$209,8,FALSE)</f>
        <v>9</v>
      </c>
      <c r="O74">
        <f t="shared" si="9"/>
        <v>1</v>
      </c>
      <c r="P74">
        <f>VLOOKUP($A74,Outcomes!$B$3:$I$209,5,FALSE)</f>
        <v>5</v>
      </c>
      <c r="Q74">
        <f>VLOOKUP($A74,Outcomes!$B$3:$I$209,6,FALSE)</f>
        <v>4</v>
      </c>
      <c r="R74">
        <f>VLOOKUP($A74,Outcomes!$B$3:$I$209,7,FALSE)</f>
        <v>-1</v>
      </c>
      <c r="S74" t="str">
        <f t="shared" si="10"/>
        <v>HomFave</v>
      </c>
      <c r="T74" t="str">
        <f t="shared" si="11"/>
        <v/>
      </c>
      <c r="U74" t="str">
        <f t="shared" si="12"/>
        <v/>
      </c>
      <c r="V74" t="str">
        <f t="shared" si="13"/>
        <v/>
      </c>
      <c r="W74" t="str">
        <f t="shared" si="14"/>
        <v/>
      </c>
      <c r="X74" s="2" t="str">
        <f t="shared" si="15"/>
        <v/>
      </c>
      <c r="Y74" t="str">
        <f>VLOOKUP($A74,ScionOutput!$A$3:$BL$215,64,FALSE)</f>
        <v xml:space="preserve">823619. LineStatEns probability points gap does not exceed threshold (no edge found)! StatOnlyEns probability points gap does not exceed threshold (no edge found)! No play due to strategy constraints. </v>
      </c>
    </row>
    <row r="75" spans="1:25" x14ac:dyDescent="0.2">
      <c r="A75">
        <v>823371</v>
      </c>
      <c r="B75" s="3">
        <f>VLOOKUP($A75,ScionOutput!$A$3:$BL$215,3,FALSE)</f>
        <v>46184</v>
      </c>
      <c r="C75">
        <f>VLOOKUP($A75,ScionOutput!$A$3:$BL$215,22,FALSE)</f>
        <v>22</v>
      </c>
      <c r="D75" t="str">
        <f>VLOOKUP($A75,ScionOutput!$A$3:$BL$215,23,FALSE)</f>
        <v>PIT</v>
      </c>
      <c r="E75">
        <f>VLOOKUP($A75,ScionOutput!$A$3:$BL$215,6,FALSE)</f>
        <v>14</v>
      </c>
      <c r="F75" t="str">
        <f>VLOOKUP($A75,ScionOutput!$A$3:$BL$215,7,FALSE)</f>
        <v>LA</v>
      </c>
      <c r="G75">
        <f>VLOOKUP($A75,ScionOutput!$A$3:$BL$215,26,FALSE)</f>
        <v>137</v>
      </c>
      <c r="H75">
        <f>VLOOKUP($A75,ScionOutput!$A$3:$BL$215,10,FALSE)</f>
        <v>-152</v>
      </c>
      <c r="I75" t="str">
        <f>VLOOKUP($A75,ScionOutput!$A$3:$BL$215,58,FALSE)</f>
        <v>No Play</v>
      </c>
      <c r="J75">
        <f>VLOOKUP($A75,ScionOutput!$A$3:$BL$215,59,FALSE)</f>
        <v>0</v>
      </c>
      <c r="K75">
        <f>VLOOKUP($A75,ScionOutput!$A$3:$BL$215,62,FALSE)</f>
        <v>0</v>
      </c>
      <c r="L75">
        <f>VLOOKUP($A75,ScionOutput!$A$3:$BL$215,63,FALSE)</f>
        <v>0</v>
      </c>
      <c r="M75" t="b">
        <f t="shared" si="16"/>
        <v>0</v>
      </c>
      <c r="N75">
        <f>VLOOKUP($A75,Outcomes!$B$3:$I$209,8,FALSE)</f>
        <v>14</v>
      </c>
      <c r="O75">
        <f t="shared" si="9"/>
        <v>-1</v>
      </c>
      <c r="P75">
        <f>VLOOKUP($A75,Outcomes!$B$3:$I$209,5,FALSE)</f>
        <v>6</v>
      </c>
      <c r="Q75">
        <f>VLOOKUP($A75,Outcomes!$B$3:$I$209,6,FALSE)</f>
        <v>8</v>
      </c>
      <c r="R75">
        <f>VLOOKUP($A75,Outcomes!$B$3:$I$209,7,FALSE)</f>
        <v>2</v>
      </c>
      <c r="S75" t="str">
        <f t="shared" si="10"/>
        <v>VisFave</v>
      </c>
      <c r="T75" t="str">
        <f t="shared" si="11"/>
        <v/>
      </c>
      <c r="U75" t="str">
        <f t="shared" si="12"/>
        <v/>
      </c>
      <c r="V75" t="str">
        <f t="shared" si="13"/>
        <v/>
      </c>
      <c r="W75" t="str">
        <f t="shared" si="14"/>
        <v/>
      </c>
      <c r="X75" s="2" t="str">
        <f t="shared" si="15"/>
        <v/>
      </c>
      <c r="Y75" t="str">
        <f>VLOOKUP($A75,ScionOutput!$A$3:$BL$215,64,FALSE)</f>
        <v xml:space="preserve">823371. VF plays are disallowed. No play due to strategy constraints. </v>
      </c>
    </row>
    <row r="76" spans="1:25" x14ac:dyDescent="0.2">
      <c r="A76">
        <v>824826</v>
      </c>
      <c r="B76" s="3">
        <f>VLOOKUP($A76,ScionOutput!$A$3:$BL$215,3,FALSE)</f>
        <v>46185</v>
      </c>
      <c r="C76">
        <f>VLOOKUP($A76,ScionOutput!$A$3:$BL$215,22,FALSE)</f>
        <v>2</v>
      </c>
      <c r="D76" t="str">
        <f>VLOOKUP($A76,ScionOutput!$A$3:$BL$215,23,FALSE)</f>
        <v>BAL</v>
      </c>
      <c r="E76">
        <f>VLOOKUP($A76,ScionOutput!$A$3:$BL$215,6,FALSE)</f>
        <v>23</v>
      </c>
      <c r="F76" t="str">
        <f>VLOOKUP($A76,ScionOutput!$A$3:$BL$215,7,FALSE)</f>
        <v>SD</v>
      </c>
      <c r="G76">
        <f>VLOOKUP($A76,ScionOutput!$A$3:$BL$215,26,FALSE)</f>
        <v>-122</v>
      </c>
      <c r="H76">
        <f>VLOOKUP($A76,ScionOutput!$A$3:$BL$215,10,FALSE)</f>
        <v>113</v>
      </c>
      <c r="I76" t="str">
        <f>VLOOKUP($A76,ScionOutput!$A$3:$BL$215,58,FALSE)</f>
        <v>No Play</v>
      </c>
      <c r="J76">
        <f>VLOOKUP($A76,ScionOutput!$A$3:$BL$215,59,FALSE)</f>
        <v>0</v>
      </c>
      <c r="K76">
        <f>VLOOKUP($A76,ScionOutput!$A$3:$BL$215,62,FALSE)</f>
        <v>0</v>
      </c>
      <c r="L76">
        <f>VLOOKUP($A76,ScionOutput!$A$3:$BL$215,63,FALSE)</f>
        <v>0</v>
      </c>
      <c r="M76" t="b">
        <f t="shared" si="16"/>
        <v>0</v>
      </c>
      <c r="N76">
        <f>VLOOKUP($A76,Outcomes!$B$3:$I$209,8,FALSE)</f>
        <v>10</v>
      </c>
      <c r="O76">
        <f t="shared" si="9"/>
        <v>1</v>
      </c>
      <c r="P76">
        <f>VLOOKUP($A76,Outcomes!$B$3:$I$209,5,FALSE)</f>
        <v>7</v>
      </c>
      <c r="Q76">
        <f>VLOOKUP($A76,Outcomes!$B$3:$I$209,6,FALSE)</f>
        <v>3</v>
      </c>
      <c r="R76">
        <f>VLOOKUP($A76,Outcomes!$B$3:$I$209,7,FALSE)</f>
        <v>-4</v>
      </c>
      <c r="S76" t="str">
        <f t="shared" si="10"/>
        <v>HomFave</v>
      </c>
      <c r="T76" t="str">
        <f t="shared" si="11"/>
        <v/>
      </c>
      <c r="U76" t="str">
        <f t="shared" si="12"/>
        <v/>
      </c>
      <c r="V76" t="str">
        <f t="shared" si="13"/>
        <v/>
      </c>
      <c r="W76" t="str">
        <f t="shared" si="14"/>
        <v/>
      </c>
      <c r="X76" s="2" t="str">
        <f t="shared" si="15"/>
        <v/>
      </c>
      <c r="Y76" t="str">
        <f>VLOOKUP($A76,ScionOutput!$A$3:$BL$215,64,FALSE)</f>
        <v xml:space="preserve">824826. LineStatEns probability points gap does not exceed threshold (no edge found)! StatOnlyEns probability points gap does not exceed threshold (no edge found)! No play due to strategy constraints. </v>
      </c>
    </row>
    <row r="77" spans="1:25" x14ac:dyDescent="0.2">
      <c r="A77">
        <v>824752</v>
      </c>
      <c r="B77" s="3">
        <f>VLOOKUP($A77,ScionOutput!$A$3:$BL$215,3,FALSE)</f>
        <v>46185</v>
      </c>
      <c r="C77">
        <f>VLOOKUP($A77,ScionOutput!$A$3:$BL$215,22,FALSE)</f>
        <v>3</v>
      </c>
      <c r="D77" t="str">
        <f>VLOOKUP($A77,ScionOutput!$A$3:$BL$215,23,FALSE)</f>
        <v>BOS</v>
      </c>
      <c r="E77">
        <f>VLOOKUP($A77,ScionOutput!$A$3:$BL$215,6,FALSE)</f>
        <v>28</v>
      </c>
      <c r="F77" t="str">
        <f>VLOOKUP($A77,ScionOutput!$A$3:$BL$215,7,FALSE)</f>
        <v>TEX</v>
      </c>
      <c r="G77">
        <f>VLOOKUP($A77,ScionOutput!$A$3:$BL$215,26,FALSE)</f>
        <v>-126</v>
      </c>
      <c r="H77">
        <f>VLOOKUP($A77,ScionOutput!$A$3:$BL$215,10,FALSE)</f>
        <v>117</v>
      </c>
      <c r="I77" t="str">
        <f>VLOOKUP($A77,ScionOutput!$A$3:$BL$215,58,FALSE)</f>
        <v>No Play</v>
      </c>
      <c r="J77">
        <f>VLOOKUP($A77,ScionOutput!$A$3:$BL$215,59,FALSE)</f>
        <v>0</v>
      </c>
      <c r="K77">
        <f>VLOOKUP($A77,ScionOutput!$A$3:$BL$215,62,FALSE)</f>
        <v>0</v>
      </c>
      <c r="L77">
        <f>VLOOKUP($A77,ScionOutput!$A$3:$BL$215,63,FALSE)</f>
        <v>0</v>
      </c>
      <c r="M77" t="b">
        <f t="shared" si="16"/>
        <v>0</v>
      </c>
      <c r="N77">
        <f>VLOOKUP($A77,Outcomes!$B$3:$I$209,8,FALSE)</f>
        <v>11</v>
      </c>
      <c r="O77">
        <f t="shared" si="9"/>
        <v>1</v>
      </c>
      <c r="P77">
        <f>VLOOKUP($A77,Outcomes!$B$3:$I$209,5,FALSE)</f>
        <v>10</v>
      </c>
      <c r="Q77">
        <f>VLOOKUP($A77,Outcomes!$B$3:$I$209,6,FALSE)</f>
        <v>1</v>
      </c>
      <c r="R77">
        <f>VLOOKUP($A77,Outcomes!$B$3:$I$209,7,FALSE)</f>
        <v>-9</v>
      </c>
      <c r="S77" t="str">
        <f t="shared" si="10"/>
        <v>HomFave</v>
      </c>
      <c r="T77" t="str">
        <f t="shared" si="11"/>
        <v/>
      </c>
      <c r="U77" t="str">
        <f t="shared" si="12"/>
        <v/>
      </c>
      <c r="V77" t="str">
        <f t="shared" si="13"/>
        <v/>
      </c>
      <c r="W77" t="str">
        <f t="shared" si="14"/>
        <v/>
      </c>
      <c r="X77" s="2" t="str">
        <f t="shared" si="15"/>
        <v/>
      </c>
      <c r="Y77" t="str">
        <f>VLOOKUP($A77,ScionOutput!$A$3:$BL$215,64,FALSE)</f>
        <v xml:space="preserve">824752. LineStatEns probability points gap does not exceed threshold (no edge found)! StatOnlyEns probability points gap does not exceed threshold (no edge found)! No play due to strategy constraints. </v>
      </c>
    </row>
    <row r="78" spans="1:25" x14ac:dyDescent="0.2">
      <c r="A78">
        <v>824020</v>
      </c>
      <c r="B78" s="3">
        <f>VLOOKUP($A78,ScionOutput!$A$3:$BL$215,3,FALSE)</f>
        <v>46185</v>
      </c>
      <c r="C78">
        <f>VLOOKUP($A78,ScionOutput!$A$3:$BL$215,22,FALSE)</f>
        <v>4</v>
      </c>
      <c r="D78" t="str">
        <f>VLOOKUP($A78,ScionOutput!$A$3:$BL$215,23,FALSE)</f>
        <v>LAA</v>
      </c>
      <c r="E78">
        <f>VLOOKUP($A78,ScionOutput!$A$3:$BL$215,6,FALSE)</f>
        <v>27</v>
      </c>
      <c r="F78" t="str">
        <f>VLOOKUP($A78,ScionOutput!$A$3:$BL$215,7,FALSE)</f>
        <v>TB</v>
      </c>
      <c r="G78">
        <f>VLOOKUP($A78,ScionOutput!$A$3:$BL$215,26,FALSE)</f>
        <v>148</v>
      </c>
      <c r="H78">
        <f>VLOOKUP($A78,ScionOutput!$A$3:$BL$215,10,FALSE)</f>
        <v>-162</v>
      </c>
      <c r="I78" t="str">
        <f>VLOOKUP($A78,ScionOutput!$A$3:$BL$215,58,FALSE)</f>
        <v>No Play</v>
      </c>
      <c r="J78">
        <f>VLOOKUP($A78,ScionOutput!$A$3:$BL$215,59,FALSE)</f>
        <v>0</v>
      </c>
      <c r="K78">
        <f>VLOOKUP($A78,ScionOutput!$A$3:$BL$215,62,FALSE)</f>
        <v>0</v>
      </c>
      <c r="L78">
        <f>VLOOKUP($A78,ScionOutput!$A$3:$BL$215,63,FALSE)</f>
        <v>0</v>
      </c>
      <c r="M78" t="b">
        <f t="shared" si="16"/>
        <v>0</v>
      </c>
      <c r="N78">
        <f>VLOOKUP($A78,Outcomes!$B$3:$I$209,8,FALSE)</f>
        <v>7</v>
      </c>
      <c r="O78">
        <f t="shared" si="9"/>
        <v>1</v>
      </c>
      <c r="P78">
        <f>VLOOKUP($A78,Outcomes!$B$3:$I$209,5,FALSE)</f>
        <v>4</v>
      </c>
      <c r="Q78">
        <f>VLOOKUP($A78,Outcomes!$B$3:$I$209,6,FALSE)</f>
        <v>3</v>
      </c>
      <c r="R78">
        <f>VLOOKUP($A78,Outcomes!$B$3:$I$209,7,FALSE)</f>
        <v>-1</v>
      </c>
      <c r="S78" t="str">
        <f t="shared" si="10"/>
        <v>HomDog</v>
      </c>
      <c r="T78" t="str">
        <f t="shared" si="11"/>
        <v/>
      </c>
      <c r="U78" t="str">
        <f t="shared" si="12"/>
        <v/>
      </c>
      <c r="V78" t="str">
        <f t="shared" si="13"/>
        <v/>
      </c>
      <c r="W78" t="str">
        <f t="shared" si="14"/>
        <v/>
      </c>
      <c r="X78" s="2" t="str">
        <f t="shared" si="15"/>
        <v/>
      </c>
      <c r="Y78" t="str">
        <f>VLOOKUP($A78,ScionOutput!$A$3:$BL$215,64,FALSE)</f>
        <v xml:space="preserve">824020. VF plays are disallowed. No play due to strategy constraints. </v>
      </c>
    </row>
    <row r="79" spans="1:25" x14ac:dyDescent="0.2">
      <c r="A79">
        <v>824507</v>
      </c>
      <c r="B79" s="3">
        <f>VLOOKUP($A79,ScionOutput!$A$3:$BL$215,3,FALSE)</f>
        <v>46185</v>
      </c>
      <c r="C79">
        <f>VLOOKUP($A79,ScionOutput!$A$3:$BL$215,22,FALSE)</f>
        <v>6</v>
      </c>
      <c r="D79" t="str">
        <f>VLOOKUP($A79,ScionOutput!$A$3:$BL$215,23,FALSE)</f>
        <v>CIN</v>
      </c>
      <c r="E79">
        <f>VLOOKUP($A79,ScionOutput!$A$3:$BL$215,6,FALSE)</f>
        <v>1</v>
      </c>
      <c r="F79" t="str">
        <f>VLOOKUP($A79,ScionOutput!$A$3:$BL$215,7,FALSE)</f>
        <v>ARZ</v>
      </c>
      <c r="G79">
        <f>VLOOKUP($A79,ScionOutput!$A$3:$BL$215,26,FALSE)</f>
        <v>-110</v>
      </c>
      <c r="H79">
        <f>VLOOKUP($A79,ScionOutput!$A$3:$BL$215,10,FALSE)</f>
        <v>101</v>
      </c>
      <c r="I79" t="str">
        <f>VLOOKUP($A79,ScionOutput!$A$3:$BL$215,58,FALSE)</f>
        <v>VisDog</v>
      </c>
      <c r="J79">
        <f>VLOOKUP($A79,ScionOutput!$A$3:$BL$215,59,FALSE)</f>
        <v>-3.2870000000000003E-2</v>
      </c>
      <c r="K79">
        <f>VLOOKUP($A79,ScionOutput!$A$3:$BL$215,62,FALSE)</f>
        <v>3</v>
      </c>
      <c r="L79">
        <f>VLOOKUP($A79,ScionOutput!$A$3:$BL$215,63,FALSE)</f>
        <v>0.73</v>
      </c>
      <c r="M79" t="b">
        <f t="shared" si="16"/>
        <v>0</v>
      </c>
      <c r="N79">
        <f>VLOOKUP($A79,Outcomes!$B$3:$I$209,8,FALSE)</f>
        <v>7</v>
      </c>
      <c r="O79">
        <f t="shared" si="9"/>
        <v>-1</v>
      </c>
      <c r="P79">
        <f>VLOOKUP($A79,Outcomes!$B$3:$I$209,5,FALSE)</f>
        <v>2</v>
      </c>
      <c r="Q79">
        <f>VLOOKUP($A79,Outcomes!$B$3:$I$209,6,FALSE)</f>
        <v>5</v>
      </c>
      <c r="R79">
        <f>VLOOKUP($A79,Outcomes!$B$3:$I$209,7,FALSE)</f>
        <v>3</v>
      </c>
      <c r="S79" t="str">
        <f t="shared" si="10"/>
        <v>VisDog</v>
      </c>
      <c r="T79">
        <f t="shared" si="11"/>
        <v>1</v>
      </c>
      <c r="U79">
        <f t="shared" si="12"/>
        <v>100</v>
      </c>
      <c r="V79">
        <f t="shared" si="13"/>
        <v>201</v>
      </c>
      <c r="W79">
        <f t="shared" si="14"/>
        <v>101</v>
      </c>
      <c r="X79" s="2">
        <f t="shared" si="15"/>
        <v>1.01</v>
      </c>
      <c r="Y79" t="str">
        <f>VLOOKUP($A79,ScionOutput!$A$3:$BL$215,64,FALSE)</f>
        <v xml:space="preserve">824507. StatOnlyEns probability points gap does not exceed threshold (no edge found)! Play determined by LineStatEns only. </v>
      </c>
    </row>
    <row r="80" spans="1:25" x14ac:dyDescent="0.2">
      <c r="A80">
        <v>824425</v>
      </c>
      <c r="B80" s="3">
        <f>VLOOKUP($A80,ScionOutput!$A$3:$BL$215,3,FALSE)</f>
        <v>46185</v>
      </c>
      <c r="C80">
        <f>VLOOKUP($A80,ScionOutput!$A$3:$BL$215,22,FALSE)</f>
        <v>7</v>
      </c>
      <c r="D80" t="str">
        <f>VLOOKUP($A80,ScionOutput!$A$3:$BL$215,23,FALSE)</f>
        <v>CLE</v>
      </c>
      <c r="E80">
        <f>VLOOKUP($A80,ScionOutput!$A$3:$BL$215,6,FALSE)</f>
        <v>10</v>
      </c>
      <c r="F80" t="str">
        <f>VLOOKUP($A80,ScionOutput!$A$3:$BL$215,7,FALSE)</f>
        <v>DET</v>
      </c>
      <c r="G80">
        <f>VLOOKUP($A80,ScionOutput!$A$3:$BL$215,26,FALSE)</f>
        <v>-116</v>
      </c>
      <c r="H80">
        <f>VLOOKUP($A80,ScionOutput!$A$3:$BL$215,10,FALSE)</f>
        <v>107</v>
      </c>
      <c r="I80" t="str">
        <f>VLOOKUP($A80,ScionOutput!$A$3:$BL$215,58,FALSE)</f>
        <v>VisDog</v>
      </c>
      <c r="J80">
        <f>VLOOKUP($A80,ScionOutput!$A$3:$BL$215,59,FALSE)</f>
        <v>-3.644E-2</v>
      </c>
      <c r="K80">
        <f>VLOOKUP($A80,ScionOutput!$A$3:$BL$215,62,FALSE)</f>
        <v>3</v>
      </c>
      <c r="L80">
        <f>VLOOKUP($A80,ScionOutput!$A$3:$BL$215,63,FALSE)</f>
        <v>0.73</v>
      </c>
      <c r="M80" t="b">
        <f t="shared" si="16"/>
        <v>0</v>
      </c>
      <c r="N80">
        <f>VLOOKUP($A80,Outcomes!$B$3:$I$209,8,FALSE)</f>
        <v>5</v>
      </c>
      <c r="O80">
        <f t="shared" si="9"/>
        <v>1</v>
      </c>
      <c r="P80">
        <f>VLOOKUP($A80,Outcomes!$B$3:$I$209,5,FALSE)</f>
        <v>3</v>
      </c>
      <c r="Q80">
        <f>VLOOKUP($A80,Outcomes!$B$3:$I$209,6,FALSE)</f>
        <v>2</v>
      </c>
      <c r="R80">
        <f>VLOOKUP($A80,Outcomes!$B$3:$I$209,7,FALSE)</f>
        <v>-1</v>
      </c>
      <c r="S80" t="str">
        <f t="shared" si="10"/>
        <v>HomFave</v>
      </c>
      <c r="T80">
        <f t="shared" si="11"/>
        <v>0</v>
      </c>
      <c r="U80">
        <f t="shared" si="12"/>
        <v>100</v>
      </c>
      <c r="V80">
        <f t="shared" si="13"/>
        <v>0</v>
      </c>
      <c r="W80">
        <f t="shared" si="14"/>
        <v>-100</v>
      </c>
      <c r="X80" s="2">
        <f t="shared" si="15"/>
        <v>-1</v>
      </c>
      <c r="Y80" t="str">
        <f>VLOOKUP($A80,ScionOutput!$A$3:$BL$215,64,FALSE)</f>
        <v xml:space="preserve">824425. StatOnlyEns probability points gap does not exceed threshold (no edge found)! Play determined by LineStatEns only. </v>
      </c>
    </row>
    <row r="81" spans="1:25" x14ac:dyDescent="0.2">
      <c r="A81">
        <v>824588</v>
      </c>
      <c r="B81" s="3">
        <f>VLOOKUP($A81,ScionOutput!$A$3:$BL$215,3,FALSE)</f>
        <v>46185</v>
      </c>
      <c r="C81">
        <f>VLOOKUP($A81,ScionOutput!$A$3:$BL$215,22,FALSE)</f>
        <v>9</v>
      </c>
      <c r="D81" t="str">
        <f>VLOOKUP($A81,ScionOutput!$A$3:$BL$215,23,FALSE)</f>
        <v>CWS</v>
      </c>
      <c r="E81">
        <f>VLOOKUP($A81,ScionOutput!$A$3:$BL$215,6,FALSE)</f>
        <v>14</v>
      </c>
      <c r="F81" t="str">
        <f>VLOOKUP($A81,ScionOutput!$A$3:$BL$215,7,FALSE)</f>
        <v>LA</v>
      </c>
      <c r="G81">
        <f>VLOOKUP($A81,ScionOutput!$A$3:$BL$215,26,FALSE)</f>
        <v>134</v>
      </c>
      <c r="H81">
        <f>VLOOKUP($A81,ScionOutput!$A$3:$BL$215,10,FALSE)</f>
        <v>-146</v>
      </c>
      <c r="I81" t="str">
        <f>VLOOKUP($A81,ScionOutput!$A$3:$BL$215,58,FALSE)</f>
        <v>No Play</v>
      </c>
      <c r="J81">
        <f>VLOOKUP($A81,ScionOutput!$A$3:$BL$215,59,FALSE)</f>
        <v>0</v>
      </c>
      <c r="K81">
        <f>VLOOKUP($A81,ScionOutput!$A$3:$BL$215,62,FALSE)</f>
        <v>0</v>
      </c>
      <c r="L81">
        <f>VLOOKUP($A81,ScionOutput!$A$3:$BL$215,63,FALSE)</f>
        <v>0</v>
      </c>
      <c r="M81" t="b">
        <f t="shared" si="16"/>
        <v>0</v>
      </c>
      <c r="N81">
        <f>VLOOKUP($A81,Outcomes!$B$3:$I$209,8,FALSE)</f>
        <v>10</v>
      </c>
      <c r="O81">
        <f t="shared" si="9"/>
        <v>1</v>
      </c>
      <c r="P81">
        <f>VLOOKUP($A81,Outcomes!$B$3:$I$209,5,FALSE)</f>
        <v>8</v>
      </c>
      <c r="Q81">
        <f>VLOOKUP($A81,Outcomes!$B$3:$I$209,6,FALSE)</f>
        <v>2</v>
      </c>
      <c r="R81">
        <f>VLOOKUP($A81,Outcomes!$B$3:$I$209,7,FALSE)</f>
        <v>-6</v>
      </c>
      <c r="S81" t="str">
        <f t="shared" si="10"/>
        <v>HomDog</v>
      </c>
      <c r="T81" t="str">
        <f t="shared" si="11"/>
        <v/>
      </c>
      <c r="U81" t="str">
        <f t="shared" si="12"/>
        <v/>
      </c>
      <c r="V81" t="str">
        <f t="shared" si="13"/>
        <v/>
      </c>
      <c r="W81" t="str">
        <f t="shared" si="14"/>
        <v/>
      </c>
      <c r="X81" s="2" t="str">
        <f t="shared" si="15"/>
        <v/>
      </c>
      <c r="Y81" t="str">
        <f>VLOOKUP($A81,ScionOutput!$A$3:$BL$215,64,FALSE)</f>
        <v xml:space="preserve">824588. LineStatEns price is outside allowable range! VF plays are disallowed. No play due to strategy constraints. </v>
      </c>
    </row>
    <row r="82" spans="1:25" x14ac:dyDescent="0.2">
      <c r="A82">
        <v>824102</v>
      </c>
      <c r="B82" s="3">
        <f>VLOOKUP($A82,ScionOutput!$A$3:$BL$215,3,FALSE)</f>
        <v>46185</v>
      </c>
      <c r="C82">
        <f>VLOOKUP($A82,ScionOutput!$A$3:$BL$215,22,FALSE)</f>
        <v>13</v>
      </c>
      <c r="D82" t="str">
        <f>VLOOKUP($A82,ScionOutput!$A$3:$BL$215,23,FALSE)</f>
        <v>KC</v>
      </c>
      <c r="E82">
        <f>VLOOKUP($A82,ScionOutput!$A$3:$BL$215,6,FALSE)</f>
        <v>12</v>
      </c>
      <c r="F82" t="str">
        <f>VLOOKUP($A82,ScionOutput!$A$3:$BL$215,7,FALSE)</f>
        <v>HOU</v>
      </c>
      <c r="G82">
        <f>VLOOKUP($A82,ScionOutput!$A$3:$BL$215,26,FALSE)</f>
        <v>100</v>
      </c>
      <c r="H82">
        <f>VLOOKUP($A82,ScionOutput!$A$3:$BL$215,10,FALSE)</f>
        <v>-109</v>
      </c>
      <c r="I82" t="str">
        <f>VLOOKUP($A82,ScionOutput!$A$3:$BL$215,58,FALSE)</f>
        <v>No Play</v>
      </c>
      <c r="J82">
        <f>VLOOKUP($A82,ScionOutput!$A$3:$BL$215,59,FALSE)</f>
        <v>0</v>
      </c>
      <c r="K82">
        <f>VLOOKUP($A82,ScionOutput!$A$3:$BL$215,62,FALSE)</f>
        <v>0</v>
      </c>
      <c r="L82">
        <f>VLOOKUP($A82,ScionOutput!$A$3:$BL$215,63,FALSE)</f>
        <v>0</v>
      </c>
      <c r="M82" t="b">
        <f t="shared" si="16"/>
        <v>0</v>
      </c>
      <c r="N82">
        <f>VLOOKUP($A82,Outcomes!$B$3:$I$209,8,FALSE)</f>
        <v>18</v>
      </c>
      <c r="O82">
        <f t="shared" si="9"/>
        <v>-1</v>
      </c>
      <c r="P82">
        <f>VLOOKUP($A82,Outcomes!$B$3:$I$209,5,FALSE)</f>
        <v>8</v>
      </c>
      <c r="Q82">
        <f>VLOOKUP($A82,Outcomes!$B$3:$I$209,6,FALSE)</f>
        <v>10</v>
      </c>
      <c r="R82">
        <f>VLOOKUP($A82,Outcomes!$B$3:$I$209,7,FALSE)</f>
        <v>2</v>
      </c>
      <c r="S82" t="str">
        <f t="shared" si="10"/>
        <v>VisFave</v>
      </c>
      <c r="T82" t="str">
        <f t="shared" si="11"/>
        <v/>
      </c>
      <c r="U82" t="str">
        <f t="shared" si="12"/>
        <v/>
      </c>
      <c r="V82" t="str">
        <f t="shared" si="13"/>
        <v/>
      </c>
      <c r="W82" t="str">
        <f t="shared" si="14"/>
        <v/>
      </c>
      <c r="X82" s="2" t="str">
        <f t="shared" si="15"/>
        <v/>
      </c>
      <c r="Y82" t="str">
        <f>VLOOKUP($A82,ScionOutput!$A$3:$BL$215,64,FALSE)</f>
        <v xml:space="preserve">824102. VF plays are disallowed. No play due to strategy constraints. </v>
      </c>
    </row>
    <row r="83" spans="1:25" x14ac:dyDescent="0.2">
      <c r="A83">
        <v>823695</v>
      </c>
      <c r="B83" s="3">
        <f>VLOOKUP($A83,ScionOutput!$A$3:$BL$215,3,FALSE)</f>
        <v>46185</v>
      </c>
      <c r="C83">
        <f>VLOOKUP($A83,ScionOutput!$A$3:$BL$215,22,FALSE)</f>
        <v>15</v>
      </c>
      <c r="D83" t="str">
        <f>VLOOKUP($A83,ScionOutput!$A$3:$BL$215,23,FALSE)</f>
        <v>MIN</v>
      </c>
      <c r="E83">
        <f>VLOOKUP($A83,ScionOutput!$A$3:$BL$215,6,FALSE)</f>
        <v>26</v>
      </c>
      <c r="F83" t="str">
        <f>VLOOKUP($A83,ScionOutput!$A$3:$BL$215,7,FALSE)</f>
        <v>STL</v>
      </c>
      <c r="G83">
        <f>VLOOKUP($A83,ScionOutput!$A$3:$BL$215,26,FALSE)</f>
        <v>-130</v>
      </c>
      <c r="H83">
        <f>VLOOKUP($A83,ScionOutput!$A$3:$BL$215,10,FALSE)</f>
        <v>120</v>
      </c>
      <c r="I83" t="str">
        <f>VLOOKUP($A83,ScionOutput!$A$3:$BL$215,58,FALSE)</f>
        <v>No Play</v>
      </c>
      <c r="J83">
        <f>VLOOKUP($A83,ScionOutput!$A$3:$BL$215,59,FALSE)</f>
        <v>0</v>
      </c>
      <c r="K83">
        <f>VLOOKUP($A83,ScionOutput!$A$3:$BL$215,62,FALSE)</f>
        <v>0</v>
      </c>
      <c r="L83">
        <f>VLOOKUP($A83,ScionOutput!$A$3:$BL$215,63,FALSE)</f>
        <v>0</v>
      </c>
      <c r="M83" t="b">
        <f t="shared" si="16"/>
        <v>0</v>
      </c>
      <c r="N83">
        <f>VLOOKUP($A83,Outcomes!$B$3:$I$209,8,FALSE)</f>
        <v>17</v>
      </c>
      <c r="O83">
        <f t="shared" si="9"/>
        <v>1</v>
      </c>
      <c r="P83">
        <f>VLOOKUP($A83,Outcomes!$B$3:$I$209,5,FALSE)</f>
        <v>9</v>
      </c>
      <c r="Q83">
        <f>VLOOKUP($A83,Outcomes!$B$3:$I$209,6,FALSE)</f>
        <v>8</v>
      </c>
      <c r="R83">
        <f>VLOOKUP($A83,Outcomes!$B$3:$I$209,7,FALSE)</f>
        <v>-1</v>
      </c>
      <c r="S83" t="str">
        <f t="shared" si="10"/>
        <v>HomFave</v>
      </c>
      <c r="T83" t="str">
        <f t="shared" si="11"/>
        <v/>
      </c>
      <c r="U83" t="str">
        <f t="shared" si="12"/>
        <v/>
      </c>
      <c r="V83" t="str">
        <f t="shared" si="13"/>
        <v/>
      </c>
      <c r="W83" t="str">
        <f t="shared" si="14"/>
        <v/>
      </c>
      <c r="X83" s="2" t="str">
        <f t="shared" si="15"/>
        <v/>
      </c>
      <c r="Y83" t="str">
        <f>VLOOKUP($A83,ScionOutput!$A$3:$BL$215,64,FALSE)</f>
        <v xml:space="preserve">823695. LineStatEns probability points gap does not exceed threshold (no edge found)! StatOnlyEns probability points gap does not exceed threshold (no edge found)! No play due to strategy constraints. </v>
      </c>
    </row>
    <row r="84" spans="1:25" x14ac:dyDescent="0.2">
      <c r="A84">
        <v>822726</v>
      </c>
      <c r="B84" s="3">
        <f>VLOOKUP($A84,ScionOutput!$A$3:$BL$215,3,FALSE)</f>
        <v>46185</v>
      </c>
      <c r="C84">
        <f>VLOOKUP($A84,ScionOutput!$A$3:$BL$215,22,FALSE)</f>
        <v>16</v>
      </c>
      <c r="D84" t="str">
        <f>VLOOKUP($A84,ScionOutput!$A$3:$BL$215,23,FALSE)</f>
        <v>WAS</v>
      </c>
      <c r="E84">
        <f>VLOOKUP($A84,ScionOutput!$A$3:$BL$215,6,FALSE)</f>
        <v>24</v>
      </c>
      <c r="F84" t="str">
        <f>VLOOKUP($A84,ScionOutput!$A$3:$BL$215,7,FALSE)</f>
        <v>SEA</v>
      </c>
      <c r="G84">
        <f>VLOOKUP($A84,ScionOutput!$A$3:$BL$215,26,FALSE)</f>
        <v>126</v>
      </c>
      <c r="H84">
        <f>VLOOKUP($A84,ScionOutput!$A$3:$BL$215,10,FALSE)</f>
        <v>-137</v>
      </c>
      <c r="I84" t="str">
        <f>VLOOKUP($A84,ScionOutput!$A$3:$BL$215,58,FALSE)</f>
        <v>No Play</v>
      </c>
      <c r="J84">
        <f>VLOOKUP($A84,ScionOutput!$A$3:$BL$215,59,FALSE)</f>
        <v>0</v>
      </c>
      <c r="K84">
        <f>VLOOKUP($A84,ScionOutput!$A$3:$BL$215,62,FALSE)</f>
        <v>0</v>
      </c>
      <c r="L84">
        <f>VLOOKUP($A84,ScionOutput!$A$3:$BL$215,63,FALSE)</f>
        <v>0</v>
      </c>
      <c r="M84" t="b">
        <f t="shared" si="16"/>
        <v>0</v>
      </c>
      <c r="N84">
        <f>VLOOKUP($A84,Outcomes!$B$3:$I$209,8,FALSE)</f>
        <v>12</v>
      </c>
      <c r="O84">
        <f t="shared" si="9"/>
        <v>-1</v>
      </c>
      <c r="P84">
        <f>VLOOKUP($A84,Outcomes!$B$3:$I$209,5,FALSE)</f>
        <v>2</v>
      </c>
      <c r="Q84">
        <f>VLOOKUP($A84,Outcomes!$B$3:$I$209,6,FALSE)</f>
        <v>10</v>
      </c>
      <c r="R84">
        <f>VLOOKUP($A84,Outcomes!$B$3:$I$209,7,FALSE)</f>
        <v>8</v>
      </c>
      <c r="S84" t="str">
        <f t="shared" si="10"/>
        <v>VisFave</v>
      </c>
      <c r="T84" t="str">
        <f t="shared" si="11"/>
        <v/>
      </c>
      <c r="U84" t="str">
        <f t="shared" si="12"/>
        <v/>
      </c>
      <c r="V84" t="str">
        <f t="shared" si="13"/>
        <v/>
      </c>
      <c r="W84" t="str">
        <f t="shared" si="14"/>
        <v/>
      </c>
      <c r="X84" s="2" t="str">
        <f t="shared" si="15"/>
        <v/>
      </c>
      <c r="Y84" t="str">
        <f>VLOOKUP($A84,ScionOutput!$A$3:$BL$215,64,FALSE)</f>
        <v xml:space="preserve">822726. VF plays are disallowed. No play due to strategy constraints. </v>
      </c>
    </row>
    <row r="85" spans="1:25" x14ac:dyDescent="0.2">
      <c r="A85">
        <v>823778</v>
      </c>
      <c r="B85" s="3">
        <f>VLOOKUP($A85,ScionOutput!$A$3:$BL$215,3,FALSE)</f>
        <v>46185</v>
      </c>
      <c r="C85">
        <f>VLOOKUP($A85,ScionOutput!$A$3:$BL$215,22,FALSE)</f>
        <v>17</v>
      </c>
      <c r="D85" t="str">
        <f>VLOOKUP($A85,ScionOutput!$A$3:$BL$215,23,FALSE)</f>
        <v>MLW</v>
      </c>
      <c r="E85">
        <f>VLOOKUP($A85,ScionOutput!$A$3:$BL$215,6,FALSE)</f>
        <v>21</v>
      </c>
      <c r="F85" t="str">
        <f>VLOOKUP($A85,ScionOutput!$A$3:$BL$215,7,FALSE)</f>
        <v>PHI</v>
      </c>
      <c r="G85">
        <f>VLOOKUP($A85,ScionOutput!$A$3:$BL$215,26,FALSE)</f>
        <v>-236</v>
      </c>
      <c r="H85">
        <f>VLOOKUP($A85,ScionOutput!$A$3:$BL$215,10,FALSE)</f>
        <v>213</v>
      </c>
      <c r="I85" t="str">
        <f>VLOOKUP($A85,ScionOutput!$A$3:$BL$215,58,FALSE)</f>
        <v>No Play</v>
      </c>
      <c r="J85">
        <f>VLOOKUP($A85,ScionOutput!$A$3:$BL$215,59,FALSE)</f>
        <v>0</v>
      </c>
      <c r="K85">
        <f>VLOOKUP($A85,ScionOutput!$A$3:$BL$215,62,FALSE)</f>
        <v>0</v>
      </c>
      <c r="L85">
        <f>VLOOKUP($A85,ScionOutput!$A$3:$BL$215,63,FALSE)</f>
        <v>0</v>
      </c>
      <c r="M85" t="b">
        <f t="shared" si="16"/>
        <v>0</v>
      </c>
      <c r="N85">
        <f>VLOOKUP($A85,Outcomes!$B$3:$I$209,8,FALSE)</f>
        <v>6</v>
      </c>
      <c r="O85">
        <f t="shared" si="9"/>
        <v>1</v>
      </c>
      <c r="P85">
        <f>VLOOKUP($A85,Outcomes!$B$3:$I$209,5,FALSE)</f>
        <v>6</v>
      </c>
      <c r="Q85">
        <f>VLOOKUP($A85,Outcomes!$B$3:$I$209,6,FALSE)</f>
        <v>0</v>
      </c>
      <c r="R85">
        <f>VLOOKUP($A85,Outcomes!$B$3:$I$209,7,FALSE)</f>
        <v>-6</v>
      </c>
      <c r="S85" t="str">
        <f t="shared" si="10"/>
        <v>HomFave</v>
      </c>
      <c r="T85" t="str">
        <f t="shared" si="11"/>
        <v/>
      </c>
      <c r="U85" t="str">
        <f t="shared" si="12"/>
        <v/>
      </c>
      <c r="V85" t="str">
        <f t="shared" si="13"/>
        <v/>
      </c>
      <c r="W85" t="str">
        <f t="shared" si="14"/>
        <v/>
      </c>
      <c r="X85" s="2" t="str">
        <f t="shared" si="15"/>
        <v/>
      </c>
      <c r="Y85" t="str">
        <f>VLOOKUP($A85,ScionOutput!$A$3:$BL$215,64,FALSE)</f>
        <v xml:space="preserve">823778. V_SP is Null, team-based avg used. NoPlay as V_SP is Null. </v>
      </c>
    </row>
    <row r="86" spans="1:25" x14ac:dyDescent="0.2">
      <c r="A86">
        <v>823617</v>
      </c>
      <c r="B86" s="3">
        <f>VLOOKUP($A86,ScionOutput!$A$3:$BL$215,3,FALSE)</f>
        <v>46185</v>
      </c>
      <c r="C86">
        <f>VLOOKUP($A86,ScionOutput!$A$3:$BL$215,22,FALSE)</f>
        <v>18</v>
      </c>
      <c r="D86" t="str">
        <f>VLOOKUP($A86,ScionOutput!$A$3:$BL$215,23,FALSE)</f>
        <v>NYM</v>
      </c>
      <c r="E86">
        <f>VLOOKUP($A86,ScionOutput!$A$3:$BL$215,6,FALSE)</f>
        <v>0</v>
      </c>
      <c r="F86" t="str">
        <f>VLOOKUP($A86,ScionOutput!$A$3:$BL$215,7,FALSE)</f>
        <v>ATL</v>
      </c>
      <c r="G86">
        <f>VLOOKUP($A86,ScionOutput!$A$3:$BL$215,26,FALSE)</f>
        <v>-123</v>
      </c>
      <c r="H86">
        <f>VLOOKUP($A86,ScionOutput!$A$3:$BL$215,10,FALSE)</f>
        <v>113</v>
      </c>
      <c r="I86" t="str">
        <f>VLOOKUP($A86,ScionOutput!$A$3:$BL$215,58,FALSE)</f>
        <v>VisDog</v>
      </c>
      <c r="J86">
        <f>VLOOKUP($A86,ScionOutput!$A$3:$BL$215,59,FALSE)</f>
        <v>-6.0199999999999997E-2</v>
      </c>
      <c r="K86">
        <f>VLOOKUP($A86,ScionOutput!$A$3:$BL$215,62,FALSE)</f>
        <v>5</v>
      </c>
      <c r="L86">
        <f>VLOOKUP($A86,ScionOutput!$A$3:$BL$215,63,FALSE)</f>
        <v>0.73</v>
      </c>
      <c r="M86" t="b">
        <f t="shared" si="16"/>
        <v>1</v>
      </c>
      <c r="N86">
        <f>VLOOKUP($A86,Outcomes!$B$3:$I$209,8,FALSE)</f>
        <v>12</v>
      </c>
      <c r="O86">
        <f t="shared" si="9"/>
        <v>1</v>
      </c>
      <c r="P86">
        <f>VLOOKUP($A86,Outcomes!$B$3:$I$209,5,FALSE)</f>
        <v>7</v>
      </c>
      <c r="Q86">
        <f>VLOOKUP($A86,Outcomes!$B$3:$I$209,6,FALSE)</f>
        <v>5</v>
      </c>
      <c r="R86">
        <f>VLOOKUP($A86,Outcomes!$B$3:$I$209,7,FALSE)</f>
        <v>-2</v>
      </c>
      <c r="S86" t="str">
        <f t="shared" si="10"/>
        <v>HomFave</v>
      </c>
      <c r="T86">
        <f t="shared" si="11"/>
        <v>0</v>
      </c>
      <c r="U86">
        <f t="shared" si="12"/>
        <v>100</v>
      </c>
      <c r="V86">
        <f t="shared" si="13"/>
        <v>0</v>
      </c>
      <c r="W86">
        <f t="shared" si="14"/>
        <v>-100</v>
      </c>
      <c r="X86" s="2">
        <f t="shared" si="15"/>
        <v>-1</v>
      </c>
      <c r="Y86" t="str">
        <f>VLOOKUP($A86,ScionOutput!$A$3:$BL$215,64,FALSE)</f>
        <v xml:space="preserve">823617. Play determined by LineStatEns and StatOnlyEns agreement. </v>
      </c>
    </row>
    <row r="87" spans="1:25" x14ac:dyDescent="0.2">
      <c r="A87">
        <v>824997</v>
      </c>
      <c r="B87" s="3">
        <f>VLOOKUP($A87,ScionOutput!$A$3:$BL$215,3,FALSE)</f>
        <v>46185</v>
      </c>
      <c r="C87">
        <f>VLOOKUP($A87,ScionOutput!$A$3:$BL$215,22,FALSE)</f>
        <v>20</v>
      </c>
      <c r="D87" t="str">
        <f>VLOOKUP($A87,ScionOutput!$A$3:$BL$215,23,FALSE)</f>
        <v>OAK</v>
      </c>
      <c r="E87">
        <f>VLOOKUP($A87,ScionOutput!$A$3:$BL$215,6,FALSE)</f>
        <v>8</v>
      </c>
      <c r="F87" t="str">
        <f>VLOOKUP($A87,ScionOutput!$A$3:$BL$215,7,FALSE)</f>
        <v>COL</v>
      </c>
      <c r="G87">
        <f>VLOOKUP($A87,ScionOutput!$A$3:$BL$215,26,FALSE)</f>
        <v>-207</v>
      </c>
      <c r="H87">
        <f>VLOOKUP($A87,ScionOutput!$A$3:$BL$215,10,FALSE)</f>
        <v>188</v>
      </c>
      <c r="I87" t="str">
        <f>VLOOKUP($A87,ScionOutput!$A$3:$BL$215,58,FALSE)</f>
        <v>No Play</v>
      </c>
      <c r="J87">
        <f>VLOOKUP($A87,ScionOutput!$A$3:$BL$215,59,FALSE)</f>
        <v>0</v>
      </c>
      <c r="K87">
        <f>VLOOKUP($A87,ScionOutput!$A$3:$BL$215,62,FALSE)</f>
        <v>0</v>
      </c>
      <c r="L87">
        <f>VLOOKUP($A87,ScionOutput!$A$3:$BL$215,63,FALSE)</f>
        <v>0</v>
      </c>
      <c r="M87" t="b">
        <f t="shared" si="16"/>
        <v>0</v>
      </c>
      <c r="N87">
        <f>VLOOKUP($A87,Outcomes!$B$3:$I$209,8,FALSE)</f>
        <v>10</v>
      </c>
      <c r="O87">
        <f t="shared" si="9"/>
        <v>1</v>
      </c>
      <c r="P87">
        <f>VLOOKUP($A87,Outcomes!$B$3:$I$209,5,FALSE)</f>
        <v>6</v>
      </c>
      <c r="Q87">
        <f>VLOOKUP($A87,Outcomes!$B$3:$I$209,6,FALSE)</f>
        <v>4</v>
      </c>
      <c r="R87">
        <f>VLOOKUP($A87,Outcomes!$B$3:$I$209,7,FALSE)</f>
        <v>-2</v>
      </c>
      <c r="S87" t="str">
        <f t="shared" si="10"/>
        <v>HomFave</v>
      </c>
      <c r="T87" t="str">
        <f t="shared" si="11"/>
        <v/>
      </c>
      <c r="U87" t="str">
        <f t="shared" si="12"/>
        <v/>
      </c>
      <c r="V87" t="str">
        <f t="shared" si="13"/>
        <v/>
      </c>
      <c r="W87" t="str">
        <f t="shared" si="14"/>
        <v/>
      </c>
      <c r="X87" s="2" t="str">
        <f t="shared" si="15"/>
        <v/>
      </c>
      <c r="Y87" t="str">
        <f>VLOOKUP($A87,ScionOutput!$A$3:$BL$215,64,FALSE)</f>
        <v xml:space="preserve">824997. V_SP is Null, team-based avg used. NoPlay as V_SP is Null. </v>
      </c>
    </row>
    <row r="88" spans="1:25" x14ac:dyDescent="0.2">
      <c r="A88">
        <v>823370</v>
      </c>
      <c r="B88" s="3">
        <f>VLOOKUP($A88,ScionOutput!$A$3:$BL$215,3,FALSE)</f>
        <v>46185</v>
      </c>
      <c r="C88">
        <f>VLOOKUP($A88,ScionOutput!$A$3:$BL$215,22,FALSE)</f>
        <v>22</v>
      </c>
      <c r="D88" t="str">
        <f>VLOOKUP($A88,ScionOutput!$A$3:$BL$215,23,FALSE)</f>
        <v>PIT</v>
      </c>
      <c r="E88">
        <f>VLOOKUP($A88,ScionOutput!$A$3:$BL$215,6,FALSE)</f>
        <v>11</v>
      </c>
      <c r="F88" t="str">
        <f>VLOOKUP($A88,ScionOutput!$A$3:$BL$215,7,FALSE)</f>
        <v>FLO</v>
      </c>
      <c r="G88">
        <f>VLOOKUP($A88,ScionOutput!$A$3:$BL$215,26,FALSE)</f>
        <v>-137</v>
      </c>
      <c r="H88">
        <f>VLOOKUP($A88,ScionOutput!$A$3:$BL$215,10,FALSE)</f>
        <v>127</v>
      </c>
      <c r="I88" t="str">
        <f>VLOOKUP($A88,ScionOutput!$A$3:$BL$215,58,FALSE)</f>
        <v>No Play</v>
      </c>
      <c r="J88">
        <f>VLOOKUP($A88,ScionOutput!$A$3:$BL$215,59,FALSE)</f>
        <v>0</v>
      </c>
      <c r="K88">
        <f>VLOOKUP($A88,ScionOutput!$A$3:$BL$215,62,FALSE)</f>
        <v>0</v>
      </c>
      <c r="L88">
        <f>VLOOKUP($A88,ScionOutput!$A$3:$BL$215,63,FALSE)</f>
        <v>0</v>
      </c>
      <c r="M88" t="b">
        <f t="shared" si="16"/>
        <v>0</v>
      </c>
      <c r="N88">
        <f>VLOOKUP($A88,Outcomes!$B$3:$I$209,8,FALSE)</f>
        <v>11</v>
      </c>
      <c r="O88">
        <f t="shared" si="9"/>
        <v>-1</v>
      </c>
      <c r="P88">
        <f>VLOOKUP($A88,Outcomes!$B$3:$I$209,5,FALSE)</f>
        <v>3</v>
      </c>
      <c r="Q88">
        <f>VLOOKUP($A88,Outcomes!$B$3:$I$209,6,FALSE)</f>
        <v>8</v>
      </c>
      <c r="R88">
        <f>VLOOKUP($A88,Outcomes!$B$3:$I$209,7,FALSE)</f>
        <v>5</v>
      </c>
      <c r="S88" t="str">
        <f t="shared" si="10"/>
        <v>VisDog</v>
      </c>
      <c r="T88" t="str">
        <f t="shared" si="11"/>
        <v/>
      </c>
      <c r="U88" t="str">
        <f t="shared" si="12"/>
        <v/>
      </c>
      <c r="V88" t="str">
        <f t="shared" si="13"/>
        <v/>
      </c>
      <c r="W88" t="str">
        <f t="shared" si="14"/>
        <v/>
      </c>
      <c r="X88" s="2" t="str">
        <f t="shared" si="15"/>
        <v/>
      </c>
      <c r="Y88" t="str">
        <f>VLOOKUP($A88,ScionOutput!$A$3:$BL$215,64,FALSE)</f>
        <v xml:space="preserve">823370. LineStatEns probability points gap does not exceed threshold (no edge found)! StatOnlyEns probability points gap does not exceed threshold (no edge found)! No play due to strategy constraints. </v>
      </c>
    </row>
    <row r="89" spans="1:25" x14ac:dyDescent="0.2">
      <c r="A89">
        <v>823211</v>
      </c>
      <c r="B89" s="3">
        <f>VLOOKUP($A89,ScionOutput!$A$3:$BL$215,3,FALSE)</f>
        <v>46185</v>
      </c>
      <c r="C89">
        <f>VLOOKUP($A89,ScionOutput!$A$3:$BL$215,22,FALSE)</f>
        <v>25</v>
      </c>
      <c r="D89" t="str">
        <f>VLOOKUP($A89,ScionOutput!$A$3:$BL$215,23,FALSE)</f>
        <v>SF</v>
      </c>
      <c r="E89">
        <f>VLOOKUP($A89,ScionOutput!$A$3:$BL$215,6,FALSE)</f>
        <v>5</v>
      </c>
      <c r="F89" t="str">
        <f>VLOOKUP($A89,ScionOutput!$A$3:$BL$215,7,FALSE)</f>
        <v>CHC</v>
      </c>
      <c r="G89">
        <f>VLOOKUP($A89,ScionOutput!$A$3:$BL$215,26,FALSE)</f>
        <v>-120</v>
      </c>
      <c r="H89">
        <f>VLOOKUP($A89,ScionOutput!$A$3:$BL$215,10,FALSE)</f>
        <v>111</v>
      </c>
      <c r="I89" t="str">
        <f>VLOOKUP($A89,ScionOutput!$A$3:$BL$215,58,FALSE)</f>
        <v>No Play</v>
      </c>
      <c r="J89">
        <f>VLOOKUP($A89,ScionOutput!$A$3:$BL$215,59,FALSE)</f>
        <v>0</v>
      </c>
      <c r="K89">
        <f>VLOOKUP($A89,ScionOutput!$A$3:$BL$215,62,FALSE)</f>
        <v>0</v>
      </c>
      <c r="L89">
        <f>VLOOKUP($A89,ScionOutput!$A$3:$BL$215,63,FALSE)</f>
        <v>0</v>
      </c>
      <c r="M89" t="b">
        <f t="shared" si="16"/>
        <v>0</v>
      </c>
      <c r="N89">
        <f>VLOOKUP($A89,Outcomes!$B$3:$I$209,8,FALSE)</f>
        <v>6</v>
      </c>
      <c r="O89">
        <f t="shared" si="9"/>
        <v>-1</v>
      </c>
      <c r="P89">
        <f>VLOOKUP($A89,Outcomes!$B$3:$I$209,5,FALSE)</f>
        <v>1</v>
      </c>
      <c r="Q89">
        <f>VLOOKUP($A89,Outcomes!$B$3:$I$209,6,FALSE)</f>
        <v>5</v>
      </c>
      <c r="R89">
        <f>VLOOKUP($A89,Outcomes!$B$3:$I$209,7,FALSE)</f>
        <v>4</v>
      </c>
      <c r="S89" t="str">
        <f t="shared" si="10"/>
        <v>VisDog</v>
      </c>
      <c r="T89" t="str">
        <f t="shared" si="11"/>
        <v/>
      </c>
      <c r="U89" t="str">
        <f t="shared" si="12"/>
        <v/>
      </c>
      <c r="V89" t="str">
        <f t="shared" si="13"/>
        <v/>
      </c>
      <c r="W89" t="str">
        <f t="shared" si="14"/>
        <v/>
      </c>
      <c r="X89" s="2" t="str">
        <f t="shared" si="15"/>
        <v/>
      </c>
      <c r="Y89" t="str">
        <f>VLOOKUP($A89,ScionOutput!$A$3:$BL$215,64,FALSE)</f>
        <v xml:space="preserve">823211. LineStatEns probability points gap does not exceed threshold (no edge found)! No play due to strategy constraints. </v>
      </c>
    </row>
    <row r="90" spans="1:25" x14ac:dyDescent="0.2">
      <c r="A90">
        <v>822803</v>
      </c>
      <c r="B90" s="3">
        <f>VLOOKUP($A90,ScionOutput!$A$3:$BL$215,3,FALSE)</f>
        <v>46185</v>
      </c>
      <c r="C90">
        <f>VLOOKUP($A90,ScionOutput!$A$3:$BL$215,22,FALSE)</f>
        <v>29</v>
      </c>
      <c r="D90" t="str">
        <f>VLOOKUP($A90,ScionOutput!$A$3:$BL$215,23,FALSE)</f>
        <v>TOR</v>
      </c>
      <c r="E90">
        <f>VLOOKUP($A90,ScionOutput!$A$3:$BL$215,6,FALSE)</f>
        <v>19</v>
      </c>
      <c r="F90" t="str">
        <f>VLOOKUP($A90,ScionOutput!$A$3:$BL$215,7,FALSE)</f>
        <v>NYY</v>
      </c>
      <c r="G90">
        <f>VLOOKUP($A90,ScionOutput!$A$3:$BL$215,26,FALSE)</f>
        <v>-108</v>
      </c>
      <c r="H90">
        <f>VLOOKUP($A90,ScionOutput!$A$3:$BL$215,10,FALSE)</f>
        <v>100</v>
      </c>
      <c r="I90" t="str">
        <f>VLOOKUP($A90,ScionOutput!$A$3:$BL$215,58,FALSE)</f>
        <v>VisDog</v>
      </c>
      <c r="J90">
        <f>VLOOKUP($A90,ScionOutput!$A$3:$BL$215,59,FALSE)</f>
        <v>-2.9430000000000001E-2</v>
      </c>
      <c r="K90">
        <f>VLOOKUP($A90,ScionOutput!$A$3:$BL$215,62,FALSE)</f>
        <v>5</v>
      </c>
      <c r="L90">
        <f>VLOOKUP($A90,ScionOutput!$A$3:$BL$215,63,FALSE)</f>
        <v>0.8</v>
      </c>
      <c r="M90" t="b">
        <f t="shared" si="16"/>
        <v>1</v>
      </c>
      <c r="N90">
        <f>VLOOKUP($A90,Outcomes!$B$3:$I$209,8,FALSE)</f>
        <v>13</v>
      </c>
      <c r="O90">
        <f t="shared" si="9"/>
        <v>1</v>
      </c>
      <c r="P90">
        <f>VLOOKUP($A90,Outcomes!$B$3:$I$209,5,FALSE)</f>
        <v>8</v>
      </c>
      <c r="Q90">
        <f>VLOOKUP($A90,Outcomes!$B$3:$I$209,6,FALSE)</f>
        <v>5</v>
      </c>
      <c r="R90">
        <f>VLOOKUP($A90,Outcomes!$B$3:$I$209,7,FALSE)</f>
        <v>-3</v>
      </c>
      <c r="S90" t="str">
        <f t="shared" si="10"/>
        <v>HomFave</v>
      </c>
      <c r="T90">
        <f t="shared" si="11"/>
        <v>0</v>
      </c>
      <c r="U90">
        <f t="shared" si="12"/>
        <v>100</v>
      </c>
      <c r="V90">
        <f t="shared" si="13"/>
        <v>0</v>
      </c>
      <c r="W90">
        <f t="shared" si="14"/>
        <v>-100</v>
      </c>
      <c r="X90" s="2">
        <f t="shared" si="15"/>
        <v>-1</v>
      </c>
      <c r="Y90" t="str">
        <f>VLOOKUP($A90,ScionOutput!$A$3:$BL$215,64,FALSE)</f>
        <v xml:space="preserve">822803. Play determined by LineStatEns and StatOnlyEns agreement. </v>
      </c>
    </row>
    <row r="91" spans="1:25" x14ac:dyDescent="0.2">
      <c r="A91">
        <v>824828</v>
      </c>
      <c r="B91" s="3">
        <f>VLOOKUP($A91,ScionOutput!$A$3:$BL$215,3,FALSE)</f>
        <v>46186</v>
      </c>
      <c r="C91">
        <f>VLOOKUP($A91,ScionOutput!$A$3:$BL$215,22,FALSE)</f>
        <v>2</v>
      </c>
      <c r="D91" t="str">
        <f>VLOOKUP($A91,ScionOutput!$A$3:$BL$215,23,FALSE)</f>
        <v>BAL</v>
      </c>
      <c r="E91">
        <f>VLOOKUP($A91,ScionOutput!$A$3:$BL$215,6,FALSE)</f>
        <v>23</v>
      </c>
      <c r="F91" t="str">
        <f>VLOOKUP($A91,ScionOutput!$A$3:$BL$215,7,FALSE)</f>
        <v>SD</v>
      </c>
      <c r="G91">
        <f>VLOOKUP($A91,ScionOutput!$A$3:$BL$215,26,FALSE)</f>
        <v>-116</v>
      </c>
      <c r="H91">
        <f>VLOOKUP($A91,ScionOutput!$A$3:$BL$215,10,FALSE)</f>
        <v>107</v>
      </c>
      <c r="I91" t="str">
        <f>VLOOKUP($A91,ScionOutput!$A$3:$BL$215,58,FALSE)</f>
        <v>No Play</v>
      </c>
      <c r="J91">
        <f>VLOOKUP($A91,ScionOutput!$A$3:$BL$215,59,FALSE)</f>
        <v>0</v>
      </c>
      <c r="K91">
        <f>VLOOKUP($A91,ScionOutput!$A$3:$BL$215,62,FALSE)</f>
        <v>0</v>
      </c>
      <c r="L91">
        <f>VLOOKUP($A91,ScionOutput!$A$3:$BL$215,63,FALSE)</f>
        <v>0</v>
      </c>
      <c r="M91" t="b">
        <f t="shared" si="16"/>
        <v>0</v>
      </c>
      <c r="N91">
        <f>VLOOKUP($A91,Outcomes!$B$3:$I$209,8,FALSE)</f>
        <v>12</v>
      </c>
      <c r="O91">
        <f t="shared" si="9"/>
        <v>-1</v>
      </c>
      <c r="P91">
        <f>VLOOKUP($A91,Outcomes!$B$3:$I$209,5,FALSE)</f>
        <v>3</v>
      </c>
      <c r="Q91">
        <f>VLOOKUP($A91,Outcomes!$B$3:$I$209,6,FALSE)</f>
        <v>9</v>
      </c>
      <c r="R91">
        <f>VLOOKUP($A91,Outcomes!$B$3:$I$209,7,FALSE)</f>
        <v>6</v>
      </c>
      <c r="S91" t="str">
        <f t="shared" si="10"/>
        <v>VisDog</v>
      </c>
      <c r="T91" t="str">
        <f t="shared" si="11"/>
        <v/>
      </c>
      <c r="U91" t="str">
        <f t="shared" si="12"/>
        <v/>
      </c>
      <c r="V91" t="str">
        <f t="shared" si="13"/>
        <v/>
      </c>
      <c r="W91" t="str">
        <f t="shared" si="14"/>
        <v/>
      </c>
      <c r="X91" s="2" t="str">
        <f t="shared" si="15"/>
        <v/>
      </c>
      <c r="Y91" t="str">
        <f>VLOOKUP($A91,ScionOutput!$A$3:$BL$215,64,FALSE)</f>
        <v xml:space="preserve">824828. LineStatEns probability points gap does not exceed threshold (no edge found)! StatOnlyEns probability points gap does not exceed threshold (no edge found)! No play due to strategy constraints. </v>
      </c>
    </row>
    <row r="92" spans="1:25" x14ac:dyDescent="0.2">
      <c r="A92">
        <v>824749</v>
      </c>
      <c r="B92" s="3">
        <f>VLOOKUP($A92,ScionOutput!$A$3:$BL$215,3,FALSE)</f>
        <v>46186</v>
      </c>
      <c r="C92">
        <f>VLOOKUP($A92,ScionOutput!$A$3:$BL$215,22,FALSE)</f>
        <v>3</v>
      </c>
      <c r="D92" t="str">
        <f>VLOOKUP($A92,ScionOutput!$A$3:$BL$215,23,FALSE)</f>
        <v>BOS</v>
      </c>
      <c r="E92">
        <f>VLOOKUP($A92,ScionOutput!$A$3:$BL$215,6,FALSE)</f>
        <v>28</v>
      </c>
      <c r="F92" t="str">
        <f>VLOOKUP($A92,ScionOutput!$A$3:$BL$215,7,FALSE)</f>
        <v>TEX</v>
      </c>
      <c r="G92">
        <f>VLOOKUP($A92,ScionOutput!$A$3:$BL$215,26,FALSE)</f>
        <v>-111</v>
      </c>
      <c r="H92">
        <f>VLOOKUP($A92,ScionOutput!$A$3:$BL$215,10,FALSE)</f>
        <v>102</v>
      </c>
      <c r="I92" t="str">
        <f>VLOOKUP($A92,ScionOutput!$A$3:$BL$215,58,FALSE)</f>
        <v>No Play</v>
      </c>
      <c r="J92">
        <f>VLOOKUP($A92,ScionOutput!$A$3:$BL$215,59,FALSE)</f>
        <v>0</v>
      </c>
      <c r="K92">
        <f>VLOOKUP($A92,ScionOutput!$A$3:$BL$215,62,FALSE)</f>
        <v>0</v>
      </c>
      <c r="L92">
        <f>VLOOKUP($A92,ScionOutput!$A$3:$BL$215,63,FALSE)</f>
        <v>0</v>
      </c>
      <c r="M92" t="b">
        <f t="shared" si="16"/>
        <v>0</v>
      </c>
      <c r="N92">
        <f>VLOOKUP($A92,Outcomes!$B$3:$I$209,8,FALSE)</f>
        <v>9</v>
      </c>
      <c r="O92">
        <f t="shared" si="9"/>
        <v>1</v>
      </c>
      <c r="P92">
        <f>VLOOKUP($A92,Outcomes!$B$3:$I$209,5,FALSE)</f>
        <v>6</v>
      </c>
      <c r="Q92">
        <f>VLOOKUP($A92,Outcomes!$B$3:$I$209,6,FALSE)</f>
        <v>3</v>
      </c>
      <c r="R92">
        <f>VLOOKUP($A92,Outcomes!$B$3:$I$209,7,FALSE)</f>
        <v>-3</v>
      </c>
      <c r="S92" t="str">
        <f t="shared" si="10"/>
        <v>HomFave</v>
      </c>
      <c r="T92" t="str">
        <f t="shared" si="11"/>
        <v/>
      </c>
      <c r="U92" t="str">
        <f t="shared" si="12"/>
        <v/>
      </c>
      <c r="V92" t="str">
        <f t="shared" si="13"/>
        <v/>
      </c>
      <c r="W92" t="str">
        <f t="shared" si="14"/>
        <v/>
      </c>
      <c r="X92" s="2" t="str">
        <f t="shared" si="15"/>
        <v/>
      </c>
      <c r="Y92" t="str">
        <f>VLOOKUP($A92,ScionOutput!$A$3:$BL$215,64,FALSE)</f>
        <v xml:space="preserve">824749. LineStatEns probability points gap does not exceed threshold (no edge found)! StatOnlyEns probability points gap does not exceed threshold (no edge found)! No play due to strategy constraints. </v>
      </c>
    </row>
    <row r="93" spans="1:25" x14ac:dyDescent="0.2">
      <c r="A93">
        <v>824019</v>
      </c>
      <c r="B93" s="3">
        <f>VLOOKUP($A93,ScionOutput!$A$3:$BL$215,3,FALSE)</f>
        <v>46186</v>
      </c>
      <c r="C93">
        <f>VLOOKUP($A93,ScionOutput!$A$3:$BL$215,22,FALSE)</f>
        <v>4</v>
      </c>
      <c r="D93" t="str">
        <f>VLOOKUP($A93,ScionOutput!$A$3:$BL$215,23,FALSE)</f>
        <v>LAA</v>
      </c>
      <c r="E93">
        <f>VLOOKUP($A93,ScionOutput!$A$3:$BL$215,6,FALSE)</f>
        <v>27</v>
      </c>
      <c r="F93" t="str">
        <f>VLOOKUP($A93,ScionOutput!$A$3:$BL$215,7,FALSE)</f>
        <v>TB</v>
      </c>
      <c r="G93">
        <f>VLOOKUP($A93,ScionOutput!$A$3:$BL$215,26,FALSE)</f>
        <v>102</v>
      </c>
      <c r="H93">
        <f>VLOOKUP($A93,ScionOutput!$A$3:$BL$215,10,FALSE)</f>
        <v>-110</v>
      </c>
      <c r="I93" t="str">
        <f>VLOOKUP($A93,ScionOutput!$A$3:$BL$215,58,FALSE)</f>
        <v>No Play</v>
      </c>
      <c r="J93">
        <f>VLOOKUP($A93,ScionOutput!$A$3:$BL$215,59,FALSE)</f>
        <v>0</v>
      </c>
      <c r="K93">
        <f>VLOOKUP($A93,ScionOutput!$A$3:$BL$215,62,FALSE)</f>
        <v>0</v>
      </c>
      <c r="L93">
        <f>VLOOKUP($A93,ScionOutput!$A$3:$BL$215,63,FALSE)</f>
        <v>0</v>
      </c>
      <c r="M93" t="b">
        <f t="shared" si="16"/>
        <v>0</v>
      </c>
      <c r="N93">
        <f>VLOOKUP($A93,Outcomes!$B$3:$I$209,8,FALSE)</f>
        <v>8</v>
      </c>
      <c r="O93">
        <f t="shared" si="9"/>
        <v>1</v>
      </c>
      <c r="P93">
        <f>VLOOKUP($A93,Outcomes!$B$3:$I$209,5,FALSE)</f>
        <v>8</v>
      </c>
      <c r="Q93">
        <f>VLOOKUP($A93,Outcomes!$B$3:$I$209,6,FALSE)</f>
        <v>0</v>
      </c>
      <c r="R93">
        <f>VLOOKUP($A93,Outcomes!$B$3:$I$209,7,FALSE)</f>
        <v>-8</v>
      </c>
      <c r="S93" t="str">
        <f t="shared" si="10"/>
        <v>HomDog</v>
      </c>
      <c r="T93" t="str">
        <f t="shared" si="11"/>
        <v/>
      </c>
      <c r="U93" t="str">
        <f t="shared" si="12"/>
        <v/>
      </c>
      <c r="V93" t="str">
        <f t="shared" si="13"/>
        <v/>
      </c>
      <c r="W93" t="str">
        <f t="shared" si="14"/>
        <v/>
      </c>
      <c r="X93" s="2" t="str">
        <f t="shared" si="15"/>
        <v/>
      </c>
      <c r="Y93" t="str">
        <f>VLOOKUP($A93,ScionOutput!$A$3:$BL$215,64,FALSE)</f>
        <v xml:space="preserve">824019. VF plays are disallowed. No play due to strategy constraints. </v>
      </c>
    </row>
    <row r="94" spans="1:25" x14ac:dyDescent="0.2">
      <c r="A94">
        <v>824508</v>
      </c>
      <c r="B94" s="3">
        <f>VLOOKUP($A94,ScionOutput!$A$3:$BL$215,3,FALSE)</f>
        <v>46186</v>
      </c>
      <c r="C94">
        <f>VLOOKUP($A94,ScionOutput!$A$3:$BL$215,22,FALSE)</f>
        <v>6</v>
      </c>
      <c r="D94" t="str">
        <f>VLOOKUP($A94,ScionOutput!$A$3:$BL$215,23,FALSE)</f>
        <v>CIN</v>
      </c>
      <c r="E94">
        <f>VLOOKUP($A94,ScionOutput!$A$3:$BL$215,6,FALSE)</f>
        <v>1</v>
      </c>
      <c r="F94" t="str">
        <f>VLOOKUP($A94,ScionOutput!$A$3:$BL$215,7,FALSE)</f>
        <v>ARZ</v>
      </c>
      <c r="G94">
        <f>VLOOKUP($A94,ScionOutput!$A$3:$BL$215,26,FALSE)</f>
        <v>136</v>
      </c>
      <c r="H94">
        <f>VLOOKUP($A94,ScionOutput!$A$3:$BL$215,10,FALSE)</f>
        <v>-148</v>
      </c>
      <c r="I94" t="str">
        <f>VLOOKUP($A94,ScionOutput!$A$3:$BL$215,58,FALSE)</f>
        <v>No Play</v>
      </c>
      <c r="J94">
        <f>VLOOKUP($A94,ScionOutput!$A$3:$BL$215,59,FALSE)</f>
        <v>0</v>
      </c>
      <c r="K94">
        <f>VLOOKUP($A94,ScionOutput!$A$3:$BL$215,62,FALSE)</f>
        <v>0</v>
      </c>
      <c r="L94">
        <f>VLOOKUP($A94,ScionOutput!$A$3:$BL$215,63,FALSE)</f>
        <v>0</v>
      </c>
      <c r="M94" t="b">
        <f t="shared" si="16"/>
        <v>0</v>
      </c>
      <c r="N94">
        <f>VLOOKUP($A94,Outcomes!$B$3:$I$209,8,FALSE)</f>
        <v>3</v>
      </c>
      <c r="O94">
        <f t="shared" si="9"/>
        <v>1</v>
      </c>
      <c r="P94">
        <f>VLOOKUP($A94,Outcomes!$B$3:$I$209,5,FALSE)</f>
        <v>2</v>
      </c>
      <c r="Q94">
        <f>VLOOKUP($A94,Outcomes!$B$3:$I$209,6,FALSE)</f>
        <v>1</v>
      </c>
      <c r="R94">
        <f>VLOOKUP($A94,Outcomes!$B$3:$I$209,7,FALSE)</f>
        <v>-1</v>
      </c>
      <c r="S94" t="str">
        <f t="shared" si="10"/>
        <v>HomDog</v>
      </c>
      <c r="T94" t="str">
        <f t="shared" si="11"/>
        <v/>
      </c>
      <c r="U94" t="str">
        <f t="shared" si="12"/>
        <v/>
      </c>
      <c r="V94" t="str">
        <f t="shared" si="13"/>
        <v/>
      </c>
      <c r="W94" t="str">
        <f t="shared" si="14"/>
        <v/>
      </c>
      <c r="X94" s="2" t="str">
        <f t="shared" si="15"/>
        <v/>
      </c>
      <c r="Y94" t="str">
        <f>VLOOKUP($A94,ScionOutput!$A$3:$BL$215,64,FALSE)</f>
        <v xml:space="preserve">824508. VF plays are disallowed. No play due to strategy constraints. </v>
      </c>
    </row>
    <row r="95" spans="1:25" x14ac:dyDescent="0.2">
      <c r="A95">
        <v>824426</v>
      </c>
      <c r="B95" s="3">
        <f>VLOOKUP($A95,ScionOutput!$A$3:$BL$215,3,FALSE)</f>
        <v>46186</v>
      </c>
      <c r="C95">
        <f>VLOOKUP($A95,ScionOutput!$A$3:$BL$215,22,FALSE)</f>
        <v>7</v>
      </c>
      <c r="D95" t="str">
        <f>VLOOKUP($A95,ScionOutput!$A$3:$BL$215,23,FALSE)</f>
        <v>CLE</v>
      </c>
      <c r="E95">
        <f>VLOOKUP($A95,ScionOutput!$A$3:$BL$215,6,FALSE)</f>
        <v>10</v>
      </c>
      <c r="F95" t="str">
        <f>VLOOKUP($A95,ScionOutput!$A$3:$BL$215,7,FALSE)</f>
        <v>DET</v>
      </c>
      <c r="G95">
        <f>VLOOKUP($A95,ScionOutput!$A$3:$BL$215,26,FALSE)</f>
        <v>121</v>
      </c>
      <c r="H95">
        <f>VLOOKUP($A95,ScionOutput!$A$3:$BL$215,10,FALSE)</f>
        <v>-131</v>
      </c>
      <c r="I95" t="str">
        <f>VLOOKUP($A95,ScionOutput!$A$3:$BL$215,58,FALSE)</f>
        <v>No Play</v>
      </c>
      <c r="J95">
        <f>VLOOKUP($A95,ScionOutput!$A$3:$BL$215,59,FALSE)</f>
        <v>0</v>
      </c>
      <c r="K95">
        <f>VLOOKUP($A95,ScionOutput!$A$3:$BL$215,62,FALSE)</f>
        <v>0</v>
      </c>
      <c r="L95">
        <f>VLOOKUP($A95,ScionOutput!$A$3:$BL$215,63,FALSE)</f>
        <v>0</v>
      </c>
      <c r="M95" t="b">
        <f t="shared" si="16"/>
        <v>0</v>
      </c>
      <c r="N95">
        <f>VLOOKUP($A95,Outcomes!$B$3:$I$209,8,FALSE)</f>
        <v>4</v>
      </c>
      <c r="O95">
        <f t="shared" si="9"/>
        <v>1</v>
      </c>
      <c r="P95">
        <f>VLOOKUP($A95,Outcomes!$B$3:$I$209,5,FALSE)</f>
        <v>3</v>
      </c>
      <c r="Q95">
        <f>VLOOKUP($A95,Outcomes!$B$3:$I$209,6,FALSE)</f>
        <v>1</v>
      </c>
      <c r="R95">
        <f>VLOOKUP($A95,Outcomes!$B$3:$I$209,7,FALSE)</f>
        <v>-2</v>
      </c>
      <c r="S95" t="str">
        <f t="shared" si="10"/>
        <v>HomDog</v>
      </c>
      <c r="T95" t="str">
        <f t="shared" si="11"/>
        <v/>
      </c>
      <c r="U95" t="str">
        <f t="shared" si="12"/>
        <v/>
      </c>
      <c r="V95" t="str">
        <f t="shared" si="13"/>
        <v/>
      </c>
      <c r="W95" t="str">
        <f t="shared" si="14"/>
        <v/>
      </c>
      <c r="X95" s="2" t="str">
        <f t="shared" si="15"/>
        <v/>
      </c>
      <c r="Y95" t="str">
        <f>VLOOKUP($A95,ScionOutput!$A$3:$BL$215,64,FALSE)</f>
        <v xml:space="preserve">824426. VF plays are disallowed. No play due to strategy constraints. </v>
      </c>
    </row>
    <row r="96" spans="1:25" x14ac:dyDescent="0.2">
      <c r="A96">
        <v>824587</v>
      </c>
      <c r="B96" s="3">
        <f>VLOOKUP($A96,ScionOutput!$A$3:$BL$215,3,FALSE)</f>
        <v>46186</v>
      </c>
      <c r="C96">
        <f>VLOOKUP($A96,ScionOutput!$A$3:$BL$215,22,FALSE)</f>
        <v>9</v>
      </c>
      <c r="D96" t="str">
        <f>VLOOKUP($A96,ScionOutput!$A$3:$BL$215,23,FALSE)</f>
        <v>CWS</v>
      </c>
      <c r="E96">
        <f>VLOOKUP($A96,ScionOutput!$A$3:$BL$215,6,FALSE)</f>
        <v>14</v>
      </c>
      <c r="F96" t="str">
        <f>VLOOKUP($A96,ScionOutput!$A$3:$BL$215,7,FALSE)</f>
        <v>LA</v>
      </c>
      <c r="G96">
        <f>VLOOKUP($A96,ScionOutput!$A$3:$BL$215,26,FALSE)</f>
        <v>185</v>
      </c>
      <c r="H96">
        <f>VLOOKUP($A96,ScionOutput!$A$3:$BL$215,10,FALSE)</f>
        <v>-203</v>
      </c>
      <c r="I96" t="str">
        <f>VLOOKUP($A96,ScionOutput!$A$3:$BL$215,58,FALSE)</f>
        <v>No Play</v>
      </c>
      <c r="J96">
        <f>VLOOKUP($A96,ScionOutput!$A$3:$BL$215,59,FALSE)</f>
        <v>0</v>
      </c>
      <c r="K96">
        <f>VLOOKUP($A96,ScionOutput!$A$3:$BL$215,62,FALSE)</f>
        <v>0</v>
      </c>
      <c r="L96">
        <f>VLOOKUP($A96,ScionOutput!$A$3:$BL$215,63,FALSE)</f>
        <v>0</v>
      </c>
      <c r="M96" t="b">
        <f t="shared" si="16"/>
        <v>0</v>
      </c>
      <c r="N96">
        <f>VLOOKUP($A96,Outcomes!$B$3:$I$209,8,FALSE)</f>
        <v>8</v>
      </c>
      <c r="O96">
        <f t="shared" si="9"/>
        <v>-1</v>
      </c>
      <c r="P96">
        <f>VLOOKUP($A96,Outcomes!$B$3:$I$209,5,FALSE)</f>
        <v>1</v>
      </c>
      <c r="Q96">
        <f>VLOOKUP($A96,Outcomes!$B$3:$I$209,6,FALSE)</f>
        <v>7</v>
      </c>
      <c r="R96">
        <f>VLOOKUP($A96,Outcomes!$B$3:$I$209,7,FALSE)</f>
        <v>6</v>
      </c>
      <c r="S96" t="str">
        <f t="shared" si="10"/>
        <v>VisFave</v>
      </c>
      <c r="T96" t="str">
        <f t="shared" si="11"/>
        <v/>
      </c>
      <c r="U96" t="str">
        <f t="shared" si="12"/>
        <v/>
      </c>
      <c r="V96" t="str">
        <f t="shared" si="13"/>
        <v/>
      </c>
      <c r="W96" t="str">
        <f t="shared" si="14"/>
        <v/>
      </c>
      <c r="X96" s="2" t="str">
        <f t="shared" si="15"/>
        <v/>
      </c>
      <c r="Y96" t="str">
        <f>VLOOKUP($A96,ScionOutput!$A$3:$BL$215,64,FALSE)</f>
        <v xml:space="preserve">824587. LineStatEns is NoPlay as bookie-line outside range. StatOnlyEns is NoPlay as bookie-line outside range. No play due to strategy constraints. </v>
      </c>
    </row>
    <row r="97" spans="1:25" x14ac:dyDescent="0.2">
      <c r="A97">
        <v>824100</v>
      </c>
      <c r="B97" s="3">
        <f>VLOOKUP($A97,ScionOutput!$A$3:$BL$215,3,FALSE)</f>
        <v>46186</v>
      </c>
      <c r="C97">
        <f>VLOOKUP($A97,ScionOutput!$A$3:$BL$215,22,FALSE)</f>
        <v>13</v>
      </c>
      <c r="D97" t="str">
        <f>VLOOKUP($A97,ScionOutput!$A$3:$BL$215,23,FALSE)</f>
        <v>KC</v>
      </c>
      <c r="E97">
        <f>VLOOKUP($A97,ScionOutput!$A$3:$BL$215,6,FALSE)</f>
        <v>12</v>
      </c>
      <c r="F97" t="str">
        <f>VLOOKUP($A97,ScionOutput!$A$3:$BL$215,7,FALSE)</f>
        <v>HOU</v>
      </c>
      <c r="G97">
        <f>VLOOKUP($A97,ScionOutput!$A$3:$BL$215,26,FALSE)</f>
        <v>-121</v>
      </c>
      <c r="H97">
        <f>VLOOKUP($A97,ScionOutput!$A$3:$BL$215,10,FALSE)</f>
        <v>112</v>
      </c>
      <c r="I97" t="str">
        <f>VLOOKUP($A97,ScionOutput!$A$3:$BL$215,58,FALSE)</f>
        <v>VisDog</v>
      </c>
      <c r="J97">
        <f>VLOOKUP($A97,ScionOutput!$A$3:$BL$215,59,FALSE)</f>
        <v>-5.7189999999999998E-2</v>
      </c>
      <c r="K97">
        <f>VLOOKUP($A97,ScionOutput!$A$3:$BL$215,62,FALSE)</f>
        <v>5</v>
      </c>
      <c r="L97">
        <f>VLOOKUP($A97,ScionOutput!$A$3:$BL$215,63,FALSE)</f>
        <v>0.67</v>
      </c>
      <c r="M97" t="b">
        <f t="shared" si="16"/>
        <v>1</v>
      </c>
      <c r="N97">
        <f>VLOOKUP($A97,Outcomes!$B$3:$I$209,8,FALSE)</f>
        <v>15</v>
      </c>
      <c r="O97">
        <f t="shared" si="9"/>
        <v>-1</v>
      </c>
      <c r="P97">
        <f>VLOOKUP($A97,Outcomes!$B$3:$I$209,5,FALSE)</f>
        <v>7</v>
      </c>
      <c r="Q97">
        <f>VLOOKUP($A97,Outcomes!$B$3:$I$209,6,FALSE)</f>
        <v>8</v>
      </c>
      <c r="R97">
        <f>VLOOKUP($A97,Outcomes!$B$3:$I$209,7,FALSE)</f>
        <v>1</v>
      </c>
      <c r="S97" t="str">
        <f t="shared" si="10"/>
        <v>VisDog</v>
      </c>
      <c r="T97">
        <f t="shared" si="11"/>
        <v>1</v>
      </c>
      <c r="U97">
        <f t="shared" si="12"/>
        <v>100</v>
      </c>
      <c r="V97">
        <f t="shared" si="13"/>
        <v>212</v>
      </c>
      <c r="W97">
        <f t="shared" si="14"/>
        <v>112</v>
      </c>
      <c r="X97" s="2">
        <f t="shared" si="15"/>
        <v>1.1200000000000001</v>
      </c>
      <c r="Y97" t="str">
        <f>VLOOKUP($A97,ScionOutput!$A$3:$BL$215,64,FALSE)</f>
        <v xml:space="preserve">824100. Play determined by LineStatEns and StatOnlyEns agreement. </v>
      </c>
    </row>
    <row r="98" spans="1:25" x14ac:dyDescent="0.2">
      <c r="A98">
        <v>823694</v>
      </c>
      <c r="B98" s="3">
        <f>VLOOKUP($A98,ScionOutput!$A$3:$BL$215,3,FALSE)</f>
        <v>46186</v>
      </c>
      <c r="C98">
        <f>VLOOKUP($A98,ScionOutput!$A$3:$BL$215,22,FALSE)</f>
        <v>15</v>
      </c>
      <c r="D98" t="str">
        <f>VLOOKUP($A98,ScionOutput!$A$3:$BL$215,23,FALSE)</f>
        <v>MIN</v>
      </c>
      <c r="E98">
        <f>VLOOKUP($A98,ScionOutput!$A$3:$BL$215,6,FALSE)</f>
        <v>26</v>
      </c>
      <c r="F98" t="str">
        <f>VLOOKUP($A98,ScionOutput!$A$3:$BL$215,7,FALSE)</f>
        <v>STL</v>
      </c>
      <c r="G98">
        <f>VLOOKUP($A98,ScionOutput!$A$3:$BL$215,26,FALSE)</f>
        <v>102</v>
      </c>
      <c r="H98">
        <f>VLOOKUP($A98,ScionOutput!$A$3:$BL$215,10,FALSE)</f>
        <v>-110</v>
      </c>
      <c r="I98" t="str">
        <f>VLOOKUP($A98,ScionOutput!$A$3:$BL$215,58,FALSE)</f>
        <v>HomDog</v>
      </c>
      <c r="J98">
        <f>VLOOKUP($A98,ScionOutput!$A$3:$BL$215,59,FALSE)</f>
        <v>1.4109999999999999E-2</v>
      </c>
      <c r="K98">
        <f>VLOOKUP($A98,ScionOutput!$A$3:$BL$215,62,FALSE)</f>
        <v>5</v>
      </c>
      <c r="L98">
        <f>VLOOKUP($A98,ScionOutput!$A$3:$BL$215,63,FALSE)</f>
        <v>0.53</v>
      </c>
      <c r="M98" t="b">
        <f t="shared" si="16"/>
        <v>1</v>
      </c>
      <c r="N98">
        <f>VLOOKUP($A98,Outcomes!$B$3:$I$209,8,FALSE)</f>
        <v>15</v>
      </c>
      <c r="O98">
        <f t="shared" si="9"/>
        <v>-1</v>
      </c>
      <c r="P98">
        <f>VLOOKUP($A98,Outcomes!$B$3:$I$209,5,FALSE)</f>
        <v>6</v>
      </c>
      <c r="Q98">
        <f>VLOOKUP($A98,Outcomes!$B$3:$I$209,6,FALSE)</f>
        <v>9</v>
      </c>
      <c r="R98">
        <f>VLOOKUP($A98,Outcomes!$B$3:$I$209,7,FALSE)</f>
        <v>3</v>
      </c>
      <c r="S98" t="str">
        <f t="shared" si="10"/>
        <v>VisFave</v>
      </c>
      <c r="T98">
        <f t="shared" si="11"/>
        <v>0</v>
      </c>
      <c r="U98">
        <f t="shared" si="12"/>
        <v>100</v>
      </c>
      <c r="V98">
        <f t="shared" si="13"/>
        <v>0</v>
      </c>
      <c r="W98">
        <f t="shared" si="14"/>
        <v>-100</v>
      </c>
      <c r="X98" s="2">
        <f t="shared" si="15"/>
        <v>-1</v>
      </c>
      <c r="Y98" t="str">
        <f>VLOOKUP($A98,ScionOutput!$A$3:$BL$215,64,FALSE)</f>
        <v xml:space="preserve">823694. Play determined by LineStatEns and StatOnlyEns agreement. </v>
      </c>
    </row>
    <row r="99" spans="1:25" x14ac:dyDescent="0.2">
      <c r="A99">
        <v>822725</v>
      </c>
      <c r="B99" s="3">
        <f>VLOOKUP($A99,ScionOutput!$A$3:$BL$215,3,FALSE)</f>
        <v>46186</v>
      </c>
      <c r="C99">
        <f>VLOOKUP($A99,ScionOutput!$A$3:$BL$215,22,FALSE)</f>
        <v>16</v>
      </c>
      <c r="D99" t="str">
        <f>VLOOKUP($A99,ScionOutput!$A$3:$BL$215,23,FALSE)</f>
        <v>WAS</v>
      </c>
      <c r="E99">
        <f>VLOOKUP($A99,ScionOutput!$A$3:$BL$215,6,FALSE)</f>
        <v>24</v>
      </c>
      <c r="F99" t="str">
        <f>VLOOKUP($A99,ScionOutput!$A$3:$BL$215,7,FALSE)</f>
        <v>SEA</v>
      </c>
      <c r="G99">
        <f>VLOOKUP($A99,ScionOutput!$A$3:$BL$215,26,FALSE)</f>
        <v>-116</v>
      </c>
      <c r="H99">
        <f>VLOOKUP($A99,ScionOutput!$A$3:$BL$215,10,FALSE)</f>
        <v>108</v>
      </c>
      <c r="I99" t="str">
        <f>VLOOKUP($A99,ScionOutput!$A$3:$BL$215,58,FALSE)</f>
        <v>VisDog</v>
      </c>
      <c r="J99">
        <f>VLOOKUP($A99,ScionOutput!$A$3:$BL$215,59,FALSE)</f>
        <v>-4.7640000000000002E-2</v>
      </c>
      <c r="K99">
        <f>VLOOKUP($A99,ScionOutput!$A$3:$BL$215,62,FALSE)</f>
        <v>5</v>
      </c>
      <c r="L99">
        <f>VLOOKUP($A99,ScionOutput!$A$3:$BL$215,63,FALSE)</f>
        <v>0.73</v>
      </c>
      <c r="M99" t="b">
        <f t="shared" si="16"/>
        <v>1</v>
      </c>
      <c r="N99">
        <f>VLOOKUP($A99,Outcomes!$B$3:$I$209,8,FALSE)</f>
        <v>11</v>
      </c>
      <c r="O99">
        <f t="shared" si="9"/>
        <v>1</v>
      </c>
      <c r="P99">
        <f>VLOOKUP($A99,Outcomes!$B$3:$I$209,5,FALSE)</f>
        <v>8</v>
      </c>
      <c r="Q99">
        <f>VLOOKUP($A99,Outcomes!$B$3:$I$209,6,FALSE)</f>
        <v>3</v>
      </c>
      <c r="R99">
        <f>VLOOKUP($A99,Outcomes!$B$3:$I$209,7,FALSE)</f>
        <v>-5</v>
      </c>
      <c r="S99" t="str">
        <f t="shared" si="10"/>
        <v>HomFave</v>
      </c>
      <c r="T99">
        <f t="shared" si="11"/>
        <v>0</v>
      </c>
      <c r="U99">
        <f t="shared" si="12"/>
        <v>100</v>
      </c>
      <c r="V99">
        <f t="shared" si="13"/>
        <v>0</v>
      </c>
      <c r="W99">
        <f t="shared" si="14"/>
        <v>-100</v>
      </c>
      <c r="X99" s="2">
        <f t="shared" si="15"/>
        <v>-1</v>
      </c>
      <c r="Y99" t="str">
        <f>VLOOKUP($A99,ScionOutput!$A$3:$BL$215,64,FALSE)</f>
        <v xml:space="preserve">822725. Play determined by LineStatEns and StatOnlyEns agreement. </v>
      </c>
    </row>
    <row r="100" spans="1:25" x14ac:dyDescent="0.2">
      <c r="A100">
        <v>823776</v>
      </c>
      <c r="B100" s="3">
        <f>VLOOKUP($A100,ScionOutput!$A$3:$BL$215,3,FALSE)</f>
        <v>46186</v>
      </c>
      <c r="C100">
        <f>VLOOKUP($A100,ScionOutput!$A$3:$BL$215,22,FALSE)</f>
        <v>17</v>
      </c>
      <c r="D100" t="str">
        <f>VLOOKUP($A100,ScionOutput!$A$3:$BL$215,23,FALSE)</f>
        <v>MLW</v>
      </c>
      <c r="E100">
        <f>VLOOKUP($A100,ScionOutput!$A$3:$BL$215,6,FALSE)</f>
        <v>21</v>
      </c>
      <c r="F100" t="str">
        <f>VLOOKUP($A100,ScionOutput!$A$3:$BL$215,7,FALSE)</f>
        <v>PHI</v>
      </c>
      <c r="G100">
        <f>VLOOKUP($A100,ScionOutput!$A$3:$BL$215,26,FALSE)</f>
        <v>-163</v>
      </c>
      <c r="H100">
        <f>VLOOKUP($A100,ScionOutput!$A$3:$BL$215,10,FALSE)</f>
        <v>150</v>
      </c>
      <c r="I100" t="str">
        <f>VLOOKUP($A100,ScionOutput!$A$3:$BL$215,58,FALSE)</f>
        <v>No Play</v>
      </c>
      <c r="J100">
        <f>VLOOKUP($A100,ScionOutput!$A$3:$BL$215,59,FALSE)</f>
        <v>0</v>
      </c>
      <c r="K100">
        <f>VLOOKUP($A100,ScionOutput!$A$3:$BL$215,62,FALSE)</f>
        <v>0</v>
      </c>
      <c r="L100">
        <f>VLOOKUP($A100,ScionOutput!$A$3:$BL$215,63,FALSE)</f>
        <v>0</v>
      </c>
      <c r="M100" t="b">
        <f t="shared" si="16"/>
        <v>0</v>
      </c>
      <c r="N100">
        <f>VLOOKUP($A100,Outcomes!$B$3:$I$209,8,FALSE)</f>
        <v>17</v>
      </c>
      <c r="O100">
        <f t="shared" si="9"/>
        <v>-1</v>
      </c>
      <c r="P100">
        <f>VLOOKUP($A100,Outcomes!$B$3:$I$209,5,FALSE)</f>
        <v>8</v>
      </c>
      <c r="Q100">
        <f>VLOOKUP($A100,Outcomes!$B$3:$I$209,6,FALSE)</f>
        <v>9</v>
      </c>
      <c r="R100">
        <f>VLOOKUP($A100,Outcomes!$B$3:$I$209,7,FALSE)</f>
        <v>1</v>
      </c>
      <c r="S100" t="str">
        <f t="shared" si="10"/>
        <v>VisDog</v>
      </c>
      <c r="T100" t="str">
        <f t="shared" si="11"/>
        <v/>
      </c>
      <c r="U100" t="str">
        <f t="shared" si="12"/>
        <v/>
      </c>
      <c r="V100" t="str">
        <f t="shared" si="13"/>
        <v/>
      </c>
      <c r="W100" t="str">
        <f t="shared" si="14"/>
        <v/>
      </c>
      <c r="X100" s="2" t="str">
        <f t="shared" si="15"/>
        <v/>
      </c>
      <c r="Y100" t="str">
        <f>VLOOKUP($A100,ScionOutput!$A$3:$BL$215,64,FALSE)</f>
        <v xml:space="preserve">823776. LineStatEns is NoPlay as bookie-line outside range. StatOnlyEns is NoPlay as bookie-line outside range. No play due to strategy constraints. </v>
      </c>
    </row>
    <row r="101" spans="1:25" x14ac:dyDescent="0.2">
      <c r="A101">
        <v>823616</v>
      </c>
      <c r="B101" s="3">
        <f>VLOOKUP($A101,ScionOutput!$A$3:$BL$215,3,FALSE)</f>
        <v>46186</v>
      </c>
      <c r="C101">
        <f>VLOOKUP($A101,ScionOutput!$A$3:$BL$215,22,FALSE)</f>
        <v>18</v>
      </c>
      <c r="D101" t="str">
        <f>VLOOKUP($A101,ScionOutput!$A$3:$BL$215,23,FALSE)</f>
        <v>NYM</v>
      </c>
      <c r="E101">
        <f>VLOOKUP($A101,ScionOutput!$A$3:$BL$215,6,FALSE)</f>
        <v>0</v>
      </c>
      <c r="F101" t="str">
        <f>VLOOKUP($A101,ScionOutput!$A$3:$BL$215,7,FALSE)</f>
        <v>ATL</v>
      </c>
      <c r="G101">
        <f>VLOOKUP($A101,ScionOutput!$A$3:$BL$215,26,FALSE)</f>
        <v>-114</v>
      </c>
      <c r="H101">
        <f>VLOOKUP($A101,ScionOutput!$A$3:$BL$215,10,FALSE)</f>
        <v>105</v>
      </c>
      <c r="I101" t="str">
        <f>VLOOKUP($A101,ScionOutput!$A$3:$BL$215,58,FALSE)</f>
        <v>No Play</v>
      </c>
      <c r="J101">
        <f>VLOOKUP($A101,ScionOutput!$A$3:$BL$215,59,FALSE)</f>
        <v>0</v>
      </c>
      <c r="K101">
        <f>VLOOKUP($A101,ScionOutput!$A$3:$BL$215,62,FALSE)</f>
        <v>0</v>
      </c>
      <c r="L101">
        <f>VLOOKUP($A101,ScionOutput!$A$3:$BL$215,63,FALSE)</f>
        <v>0</v>
      </c>
      <c r="M101" t="b">
        <f t="shared" si="16"/>
        <v>0</v>
      </c>
      <c r="N101">
        <f>VLOOKUP($A101,Outcomes!$B$3:$I$209,8,FALSE)</f>
        <v>4</v>
      </c>
      <c r="O101">
        <f t="shared" si="9"/>
        <v>-1</v>
      </c>
      <c r="P101">
        <f>VLOOKUP($A101,Outcomes!$B$3:$I$209,5,FALSE)</f>
        <v>1</v>
      </c>
      <c r="Q101">
        <f>VLOOKUP($A101,Outcomes!$B$3:$I$209,6,FALSE)</f>
        <v>3</v>
      </c>
      <c r="R101">
        <f>VLOOKUP($A101,Outcomes!$B$3:$I$209,7,FALSE)</f>
        <v>2</v>
      </c>
      <c r="S101" t="str">
        <f t="shared" si="10"/>
        <v>VisDog</v>
      </c>
      <c r="T101" t="str">
        <f t="shared" si="11"/>
        <v/>
      </c>
      <c r="U101" t="str">
        <f t="shared" si="12"/>
        <v/>
      </c>
      <c r="V101" t="str">
        <f t="shared" si="13"/>
        <v/>
      </c>
      <c r="W101" t="str">
        <f t="shared" si="14"/>
        <v/>
      </c>
      <c r="X101" s="2" t="str">
        <f t="shared" si="15"/>
        <v/>
      </c>
      <c r="Y101" t="str">
        <f>VLOOKUP($A101,ScionOutput!$A$3:$BL$215,64,FALSE)</f>
        <v xml:space="preserve">823616. LineStatEns probability points gap does not exceed threshold (no edge found)! No play due to strategy constraints. </v>
      </c>
    </row>
    <row r="102" spans="1:25" x14ac:dyDescent="0.2">
      <c r="A102">
        <v>824995</v>
      </c>
      <c r="B102" s="3">
        <f>VLOOKUP($A102,ScionOutput!$A$3:$BL$215,3,FALSE)</f>
        <v>46186</v>
      </c>
      <c r="C102">
        <f>VLOOKUP($A102,ScionOutput!$A$3:$BL$215,22,FALSE)</f>
        <v>20</v>
      </c>
      <c r="D102" t="str">
        <f>VLOOKUP($A102,ScionOutput!$A$3:$BL$215,23,FALSE)</f>
        <v>OAK</v>
      </c>
      <c r="E102">
        <f>VLOOKUP($A102,ScionOutput!$A$3:$BL$215,6,FALSE)</f>
        <v>8</v>
      </c>
      <c r="F102" t="str">
        <f>VLOOKUP($A102,ScionOutput!$A$3:$BL$215,7,FALSE)</f>
        <v>COL</v>
      </c>
      <c r="G102">
        <f>VLOOKUP($A102,ScionOutput!$A$3:$BL$215,26,FALSE)</f>
        <v>-148</v>
      </c>
      <c r="H102">
        <f>VLOOKUP($A102,ScionOutput!$A$3:$BL$215,10,FALSE)</f>
        <v>136</v>
      </c>
      <c r="I102" t="str">
        <f>VLOOKUP($A102,ScionOutput!$A$3:$BL$215,58,FALSE)</f>
        <v>No Play</v>
      </c>
      <c r="J102">
        <f>VLOOKUP($A102,ScionOutput!$A$3:$BL$215,59,FALSE)</f>
        <v>0</v>
      </c>
      <c r="K102">
        <f>VLOOKUP($A102,ScionOutput!$A$3:$BL$215,62,FALSE)</f>
        <v>0</v>
      </c>
      <c r="L102">
        <f>VLOOKUP($A102,ScionOutput!$A$3:$BL$215,63,FALSE)</f>
        <v>0</v>
      </c>
      <c r="M102" t="b">
        <f t="shared" si="16"/>
        <v>0</v>
      </c>
      <c r="N102">
        <f>VLOOKUP($A102,Outcomes!$B$3:$I$209,8,FALSE)</f>
        <v>12</v>
      </c>
      <c r="O102">
        <f t="shared" si="9"/>
        <v>1</v>
      </c>
      <c r="P102">
        <f>VLOOKUP($A102,Outcomes!$B$3:$I$209,5,FALSE)</f>
        <v>7</v>
      </c>
      <c r="Q102">
        <f>VLOOKUP($A102,Outcomes!$B$3:$I$209,6,FALSE)</f>
        <v>5</v>
      </c>
      <c r="R102">
        <f>VLOOKUP($A102,Outcomes!$B$3:$I$209,7,FALSE)</f>
        <v>-2</v>
      </c>
      <c r="S102" t="str">
        <f t="shared" si="10"/>
        <v>HomFave</v>
      </c>
      <c r="T102" t="str">
        <f t="shared" si="11"/>
        <v/>
      </c>
      <c r="U102" t="str">
        <f t="shared" si="12"/>
        <v/>
      </c>
      <c r="V102" t="str">
        <f t="shared" si="13"/>
        <v/>
      </c>
      <c r="W102" t="str">
        <f t="shared" si="14"/>
        <v/>
      </c>
      <c r="X102" s="2" t="str">
        <f t="shared" si="15"/>
        <v/>
      </c>
      <c r="Y102" t="str">
        <f>VLOOKUP($A102,ScionOutput!$A$3:$BL$215,64,FALSE)</f>
        <v xml:space="preserve">824995. H_SP is Null, team-based avg used. NoPlay as H_SP is Null. </v>
      </c>
    </row>
    <row r="103" spans="1:25" x14ac:dyDescent="0.2">
      <c r="A103">
        <v>823369</v>
      </c>
      <c r="B103" s="3">
        <f>VLOOKUP($A103,ScionOutput!$A$3:$BL$215,3,FALSE)</f>
        <v>46186</v>
      </c>
      <c r="C103">
        <f>VLOOKUP($A103,ScionOutput!$A$3:$BL$215,22,FALSE)</f>
        <v>22</v>
      </c>
      <c r="D103" t="str">
        <f>VLOOKUP($A103,ScionOutput!$A$3:$BL$215,23,FALSE)</f>
        <v>PIT</v>
      </c>
      <c r="E103">
        <f>VLOOKUP($A103,ScionOutput!$A$3:$BL$215,6,FALSE)</f>
        <v>11</v>
      </c>
      <c r="F103" t="str">
        <f>VLOOKUP($A103,ScionOutput!$A$3:$BL$215,7,FALSE)</f>
        <v>FLO</v>
      </c>
      <c r="G103">
        <f>VLOOKUP($A103,ScionOutput!$A$3:$BL$215,26,FALSE)</f>
        <v>-110</v>
      </c>
      <c r="H103">
        <f>VLOOKUP($A103,ScionOutput!$A$3:$BL$215,10,FALSE)</f>
        <v>102</v>
      </c>
      <c r="I103" t="str">
        <f>VLOOKUP($A103,ScionOutput!$A$3:$BL$215,58,FALSE)</f>
        <v>VisDog</v>
      </c>
      <c r="J103">
        <f>VLOOKUP($A103,ScionOutput!$A$3:$BL$215,59,FALSE)</f>
        <v>-2.4109999999999999E-2</v>
      </c>
      <c r="K103">
        <f>VLOOKUP($A103,ScionOutput!$A$3:$BL$215,62,FALSE)</f>
        <v>5</v>
      </c>
      <c r="L103">
        <f>VLOOKUP($A103,ScionOutput!$A$3:$BL$215,63,FALSE)</f>
        <v>0.6</v>
      </c>
      <c r="M103" t="b">
        <f t="shared" si="16"/>
        <v>1</v>
      </c>
      <c r="N103">
        <f>VLOOKUP($A103,Outcomes!$B$3:$I$209,8,FALSE)</f>
        <v>5</v>
      </c>
      <c r="O103">
        <f t="shared" si="9"/>
        <v>1</v>
      </c>
      <c r="P103">
        <f>VLOOKUP($A103,Outcomes!$B$3:$I$209,5,FALSE)</f>
        <v>3</v>
      </c>
      <c r="Q103">
        <f>VLOOKUP($A103,Outcomes!$B$3:$I$209,6,FALSE)</f>
        <v>2</v>
      </c>
      <c r="R103">
        <f>VLOOKUP($A103,Outcomes!$B$3:$I$209,7,FALSE)</f>
        <v>-1</v>
      </c>
      <c r="S103" t="str">
        <f t="shared" si="10"/>
        <v>HomFave</v>
      </c>
      <c r="T103">
        <f t="shared" si="11"/>
        <v>0</v>
      </c>
      <c r="U103">
        <f t="shared" si="12"/>
        <v>100</v>
      </c>
      <c r="V103">
        <f t="shared" si="13"/>
        <v>0</v>
      </c>
      <c r="W103">
        <f t="shared" si="14"/>
        <v>-100</v>
      </c>
      <c r="X103" s="2">
        <f t="shared" si="15"/>
        <v>-1</v>
      </c>
      <c r="Y103" t="str">
        <f>VLOOKUP($A103,ScionOutput!$A$3:$BL$215,64,FALSE)</f>
        <v xml:space="preserve">823369. Play determined by LineStatEns and StatOnlyEns agreement. </v>
      </c>
    </row>
    <row r="104" spans="1:25" x14ac:dyDescent="0.2">
      <c r="A104">
        <v>823213</v>
      </c>
      <c r="B104" s="3">
        <f>VLOOKUP($A104,ScionOutput!$A$3:$BL$215,3,FALSE)</f>
        <v>46186</v>
      </c>
      <c r="C104">
        <f>VLOOKUP($A104,ScionOutput!$A$3:$BL$215,22,FALSE)</f>
        <v>25</v>
      </c>
      <c r="D104" t="str">
        <f>VLOOKUP($A104,ScionOutput!$A$3:$BL$215,23,FALSE)</f>
        <v>SF</v>
      </c>
      <c r="E104">
        <f>VLOOKUP($A104,ScionOutput!$A$3:$BL$215,6,FALSE)</f>
        <v>5</v>
      </c>
      <c r="F104" t="str">
        <f>VLOOKUP($A104,ScionOutput!$A$3:$BL$215,7,FALSE)</f>
        <v>CHC</v>
      </c>
      <c r="G104">
        <f>VLOOKUP($A104,ScionOutput!$A$3:$BL$215,26,FALSE)</f>
        <v>105</v>
      </c>
      <c r="H104">
        <f>VLOOKUP($A104,ScionOutput!$A$3:$BL$215,10,FALSE)</f>
        <v>-114</v>
      </c>
      <c r="I104" t="str">
        <f>VLOOKUP($A104,ScionOutput!$A$3:$BL$215,58,FALSE)</f>
        <v>No Play</v>
      </c>
      <c r="J104">
        <f>VLOOKUP($A104,ScionOutput!$A$3:$BL$215,59,FALSE)</f>
        <v>0</v>
      </c>
      <c r="K104">
        <f>VLOOKUP($A104,ScionOutput!$A$3:$BL$215,62,FALSE)</f>
        <v>0</v>
      </c>
      <c r="L104">
        <f>VLOOKUP($A104,ScionOutput!$A$3:$BL$215,63,FALSE)</f>
        <v>0</v>
      </c>
      <c r="M104" t="b">
        <f t="shared" si="16"/>
        <v>0</v>
      </c>
      <c r="N104">
        <f>VLOOKUP($A104,Outcomes!$B$3:$I$209,8,FALSE)</f>
        <v>7</v>
      </c>
      <c r="O104">
        <f t="shared" si="9"/>
        <v>-1</v>
      </c>
      <c r="P104">
        <f>VLOOKUP($A104,Outcomes!$B$3:$I$209,5,FALSE)</f>
        <v>1</v>
      </c>
      <c r="Q104">
        <f>VLOOKUP($A104,Outcomes!$B$3:$I$209,6,FALSE)</f>
        <v>6</v>
      </c>
      <c r="R104">
        <f>VLOOKUP($A104,Outcomes!$B$3:$I$209,7,FALSE)</f>
        <v>5</v>
      </c>
      <c r="S104" t="str">
        <f t="shared" si="10"/>
        <v>VisFave</v>
      </c>
      <c r="T104" t="str">
        <f t="shared" si="11"/>
        <v/>
      </c>
      <c r="U104" t="str">
        <f t="shared" si="12"/>
        <v/>
      </c>
      <c r="V104" t="str">
        <f t="shared" si="13"/>
        <v/>
      </c>
      <c r="W104" t="str">
        <f t="shared" si="14"/>
        <v/>
      </c>
      <c r="X104" s="2" t="str">
        <f t="shared" si="15"/>
        <v/>
      </c>
      <c r="Y104" t="str">
        <f>VLOOKUP($A104,ScionOutput!$A$3:$BL$215,64,FALSE)</f>
        <v xml:space="preserve">823213. VF plays are disallowed. No play due to strategy constraints. </v>
      </c>
    </row>
    <row r="105" spans="1:25" x14ac:dyDescent="0.2">
      <c r="A105">
        <v>822802</v>
      </c>
      <c r="B105" s="3">
        <f>VLOOKUP($A105,ScionOutput!$A$3:$BL$215,3,FALSE)</f>
        <v>46186</v>
      </c>
      <c r="C105">
        <f>VLOOKUP($A105,ScionOutput!$A$3:$BL$215,22,FALSE)</f>
        <v>29</v>
      </c>
      <c r="D105" t="str">
        <f>VLOOKUP($A105,ScionOutput!$A$3:$BL$215,23,FALSE)</f>
        <v>TOR</v>
      </c>
      <c r="E105">
        <f>VLOOKUP($A105,ScionOutput!$A$3:$BL$215,6,FALSE)</f>
        <v>19</v>
      </c>
      <c r="F105" t="str">
        <f>VLOOKUP($A105,ScionOutput!$A$3:$BL$215,7,FALSE)</f>
        <v>NYY</v>
      </c>
      <c r="G105">
        <f>VLOOKUP($A105,ScionOutput!$A$3:$BL$215,26,FALSE)</f>
        <v>105</v>
      </c>
      <c r="H105">
        <f>VLOOKUP($A105,ScionOutput!$A$3:$BL$215,10,FALSE)</f>
        <v>-114</v>
      </c>
      <c r="I105" t="str">
        <f>VLOOKUP($A105,ScionOutput!$A$3:$BL$215,58,FALSE)</f>
        <v>No Play</v>
      </c>
      <c r="J105">
        <f>VLOOKUP($A105,ScionOutput!$A$3:$BL$215,59,FALSE)</f>
        <v>0</v>
      </c>
      <c r="K105">
        <f>VLOOKUP($A105,ScionOutput!$A$3:$BL$215,62,FALSE)</f>
        <v>0</v>
      </c>
      <c r="L105">
        <f>VLOOKUP($A105,ScionOutput!$A$3:$BL$215,63,FALSE)</f>
        <v>0</v>
      </c>
      <c r="M105" t="b">
        <f t="shared" si="16"/>
        <v>0</v>
      </c>
      <c r="N105">
        <f>VLOOKUP($A105,Outcomes!$B$3:$I$209,8,FALSE)</f>
        <v>4</v>
      </c>
      <c r="O105">
        <f t="shared" si="9"/>
        <v>-1</v>
      </c>
      <c r="P105">
        <f>VLOOKUP($A105,Outcomes!$B$3:$I$209,5,FALSE)</f>
        <v>1</v>
      </c>
      <c r="Q105">
        <f>VLOOKUP($A105,Outcomes!$B$3:$I$209,6,FALSE)</f>
        <v>3</v>
      </c>
      <c r="R105">
        <f>VLOOKUP($A105,Outcomes!$B$3:$I$209,7,FALSE)</f>
        <v>2</v>
      </c>
      <c r="S105" t="str">
        <f t="shared" si="10"/>
        <v>VisFave</v>
      </c>
      <c r="T105" t="str">
        <f t="shared" si="11"/>
        <v/>
      </c>
      <c r="U105" t="str">
        <f t="shared" si="12"/>
        <v/>
      </c>
      <c r="V105" t="str">
        <f t="shared" si="13"/>
        <v/>
      </c>
      <c r="W105" t="str">
        <f t="shared" si="14"/>
        <v/>
      </c>
      <c r="X105" s="2" t="str">
        <f t="shared" si="15"/>
        <v/>
      </c>
      <c r="Y105" t="str">
        <f>VLOOKUP($A105,ScionOutput!$A$3:$BL$215,64,FALSE)</f>
        <v xml:space="preserve">822802. VF plays are disallowed. No play due to strategy constraints. </v>
      </c>
    </row>
    <row r="106" spans="1:25" x14ac:dyDescent="0.2">
      <c r="A106">
        <v>824823</v>
      </c>
      <c r="B106" s="3">
        <f>VLOOKUP($A106,ScionOutput!$A$3:$BL$215,3,FALSE)</f>
        <v>46187</v>
      </c>
      <c r="C106">
        <f>VLOOKUP($A106,ScionOutput!$A$3:$BL$215,22,FALSE)</f>
        <v>2</v>
      </c>
      <c r="D106" t="str">
        <f>VLOOKUP($A106,ScionOutput!$A$3:$BL$215,23,FALSE)</f>
        <v>BAL</v>
      </c>
      <c r="E106">
        <f>VLOOKUP($A106,ScionOutput!$A$3:$BL$215,6,FALSE)</f>
        <v>23</v>
      </c>
      <c r="F106" t="str">
        <f>VLOOKUP($A106,ScionOutput!$A$3:$BL$215,7,FALSE)</f>
        <v>SD</v>
      </c>
      <c r="G106">
        <f>VLOOKUP($A106,ScionOutput!$A$3:$BL$215,26,FALSE)</f>
        <v>-134</v>
      </c>
      <c r="H106">
        <f>VLOOKUP($A106,ScionOutput!$A$3:$BL$215,10,FALSE)</f>
        <v>123</v>
      </c>
      <c r="I106" t="str">
        <f>VLOOKUP($A106,ScionOutput!$A$3:$BL$215,58,FALSE)</f>
        <v>No Play</v>
      </c>
      <c r="J106">
        <f>VLOOKUP($A106,ScionOutput!$A$3:$BL$215,59,FALSE)</f>
        <v>0</v>
      </c>
      <c r="K106">
        <f>VLOOKUP($A106,ScionOutput!$A$3:$BL$215,62,FALSE)</f>
        <v>0</v>
      </c>
      <c r="L106">
        <f>VLOOKUP($A106,ScionOutput!$A$3:$BL$215,63,FALSE)</f>
        <v>0</v>
      </c>
      <c r="M106" t="b">
        <f t="shared" si="16"/>
        <v>0</v>
      </c>
      <c r="N106">
        <f>VLOOKUP($A106,Outcomes!$B$3:$I$209,8,FALSE)</f>
        <v>7</v>
      </c>
      <c r="O106">
        <f t="shared" si="9"/>
        <v>-1</v>
      </c>
      <c r="P106">
        <f>VLOOKUP($A106,Outcomes!$B$3:$I$209,5,FALSE)</f>
        <v>2</v>
      </c>
      <c r="Q106">
        <f>VLOOKUP($A106,Outcomes!$B$3:$I$209,6,FALSE)</f>
        <v>5</v>
      </c>
      <c r="R106">
        <f>VLOOKUP($A106,Outcomes!$B$3:$I$209,7,FALSE)</f>
        <v>3</v>
      </c>
      <c r="S106" t="str">
        <f t="shared" si="10"/>
        <v>VisDog</v>
      </c>
      <c r="T106" t="str">
        <f t="shared" si="11"/>
        <v/>
      </c>
      <c r="U106" t="str">
        <f t="shared" si="12"/>
        <v/>
      </c>
      <c r="V106" t="str">
        <f t="shared" si="13"/>
        <v/>
      </c>
      <c r="W106" t="str">
        <f t="shared" si="14"/>
        <v/>
      </c>
      <c r="X106" s="2" t="str">
        <f t="shared" si="15"/>
        <v/>
      </c>
      <c r="Y106" t="str">
        <f>VLOOKUP($A106,ScionOutput!$A$3:$BL$215,64,FALSE)</f>
        <v xml:space="preserve">824823. LineStatEns probability points gap does not exceed threshold (no edge found)! StatOnlyEns probability points gap does not exceed threshold (no edge found)! No play due to strategy constraints. </v>
      </c>
    </row>
    <row r="107" spans="1:25" x14ac:dyDescent="0.2">
      <c r="A107">
        <v>824751</v>
      </c>
      <c r="B107" s="3">
        <f>VLOOKUP($A107,ScionOutput!$A$3:$BL$215,3,FALSE)</f>
        <v>46187</v>
      </c>
      <c r="C107">
        <f>VLOOKUP($A107,ScionOutput!$A$3:$BL$215,22,FALSE)</f>
        <v>3</v>
      </c>
      <c r="D107" t="str">
        <f>VLOOKUP($A107,ScionOutput!$A$3:$BL$215,23,FALSE)</f>
        <v>BOS</v>
      </c>
      <c r="E107">
        <f>VLOOKUP($A107,ScionOutput!$A$3:$BL$215,6,FALSE)</f>
        <v>28</v>
      </c>
      <c r="F107" t="str">
        <f>VLOOKUP($A107,ScionOutput!$A$3:$BL$215,7,FALSE)</f>
        <v>TEX</v>
      </c>
      <c r="G107">
        <f>VLOOKUP($A107,ScionOutput!$A$3:$BL$215,26,FALSE)</f>
        <v>-107</v>
      </c>
      <c r="H107">
        <f>VLOOKUP($A107,ScionOutput!$A$3:$BL$215,10,FALSE)</f>
        <v>-101</v>
      </c>
      <c r="I107" t="str">
        <f>VLOOKUP($A107,ScionOutput!$A$3:$BL$215,58,FALSE)</f>
        <v>VisDog</v>
      </c>
      <c r="J107">
        <f>VLOOKUP($A107,ScionOutput!$A$3:$BL$215,59,FALSE)</f>
        <v>-1.7069999999999998E-2</v>
      </c>
      <c r="K107">
        <f>VLOOKUP($A107,ScionOutput!$A$3:$BL$215,62,FALSE)</f>
        <v>3</v>
      </c>
      <c r="L107">
        <f>VLOOKUP($A107,ScionOutput!$A$3:$BL$215,63,FALSE)</f>
        <v>0.6</v>
      </c>
      <c r="M107" t="b">
        <f t="shared" si="16"/>
        <v>0</v>
      </c>
      <c r="N107">
        <f>VLOOKUP($A107,Outcomes!$B$3:$I$209,8,FALSE)</f>
        <v>10</v>
      </c>
      <c r="O107">
        <f t="shared" si="9"/>
        <v>-1</v>
      </c>
      <c r="P107">
        <f>VLOOKUP($A107,Outcomes!$B$3:$I$209,5,FALSE)</f>
        <v>4</v>
      </c>
      <c r="Q107">
        <f>VLOOKUP($A107,Outcomes!$B$3:$I$209,6,FALSE)</f>
        <v>6</v>
      </c>
      <c r="R107">
        <f>VLOOKUP($A107,Outcomes!$B$3:$I$209,7,FALSE)</f>
        <v>2</v>
      </c>
      <c r="S107" t="str">
        <f t="shared" si="10"/>
        <v>VisDog</v>
      </c>
      <c r="T107">
        <f t="shared" si="11"/>
        <v>1</v>
      </c>
      <c r="U107">
        <f t="shared" si="12"/>
        <v>101</v>
      </c>
      <c r="V107">
        <f t="shared" si="13"/>
        <v>201</v>
      </c>
      <c r="W107">
        <f t="shared" si="14"/>
        <v>100</v>
      </c>
      <c r="X107" s="2">
        <f t="shared" si="15"/>
        <v>0.99009900990099009</v>
      </c>
      <c r="Y107" t="str">
        <f>VLOOKUP($A107,ScionOutput!$A$3:$BL$215,64,FALSE)</f>
        <v xml:space="preserve">824751. StatOnlyEns probability points gap does not exceed threshold (no edge found)! Play determined by LineStatEns only. </v>
      </c>
    </row>
    <row r="108" spans="1:25" x14ac:dyDescent="0.2">
      <c r="A108">
        <v>824021</v>
      </c>
      <c r="B108" s="3">
        <f>VLOOKUP($A108,ScionOutput!$A$3:$BL$215,3,FALSE)</f>
        <v>46187</v>
      </c>
      <c r="C108">
        <f>VLOOKUP($A108,ScionOutput!$A$3:$BL$215,22,FALSE)</f>
        <v>4</v>
      </c>
      <c r="D108" t="str">
        <f>VLOOKUP($A108,ScionOutput!$A$3:$BL$215,23,FALSE)</f>
        <v>LAA</v>
      </c>
      <c r="E108">
        <f>VLOOKUP($A108,ScionOutput!$A$3:$BL$215,6,FALSE)</f>
        <v>27</v>
      </c>
      <c r="F108" t="str">
        <f>VLOOKUP($A108,ScionOutput!$A$3:$BL$215,7,FALSE)</f>
        <v>TB</v>
      </c>
      <c r="G108">
        <f>VLOOKUP($A108,ScionOutput!$A$3:$BL$215,26,FALSE)</f>
        <v>106</v>
      </c>
      <c r="H108">
        <f>VLOOKUP($A108,ScionOutput!$A$3:$BL$215,10,FALSE)</f>
        <v>-115</v>
      </c>
      <c r="I108" t="str">
        <f>VLOOKUP($A108,ScionOutput!$A$3:$BL$215,58,FALSE)</f>
        <v>No Play</v>
      </c>
      <c r="J108">
        <f>VLOOKUP($A108,ScionOutput!$A$3:$BL$215,59,FALSE)</f>
        <v>0</v>
      </c>
      <c r="K108">
        <f>VLOOKUP($A108,ScionOutput!$A$3:$BL$215,62,FALSE)</f>
        <v>0</v>
      </c>
      <c r="L108">
        <f>VLOOKUP($A108,ScionOutput!$A$3:$BL$215,63,FALSE)</f>
        <v>0</v>
      </c>
      <c r="M108" t="b">
        <f t="shared" si="16"/>
        <v>0</v>
      </c>
      <c r="N108">
        <f>VLOOKUP($A108,Outcomes!$B$3:$I$209,8,FALSE)</f>
        <v>11</v>
      </c>
      <c r="O108">
        <f t="shared" si="9"/>
        <v>-1</v>
      </c>
      <c r="P108">
        <f>VLOOKUP($A108,Outcomes!$B$3:$I$209,5,FALSE)</f>
        <v>3</v>
      </c>
      <c r="Q108">
        <f>VLOOKUP($A108,Outcomes!$B$3:$I$209,6,FALSE)</f>
        <v>8</v>
      </c>
      <c r="R108">
        <f>VLOOKUP($A108,Outcomes!$B$3:$I$209,7,FALSE)</f>
        <v>5</v>
      </c>
      <c r="S108" t="str">
        <f t="shared" si="10"/>
        <v>VisFave</v>
      </c>
      <c r="T108" t="str">
        <f t="shared" si="11"/>
        <v/>
      </c>
      <c r="U108" t="str">
        <f t="shared" si="12"/>
        <v/>
      </c>
      <c r="V108" t="str">
        <f t="shared" si="13"/>
        <v/>
      </c>
      <c r="W108" t="str">
        <f t="shared" si="14"/>
        <v/>
      </c>
      <c r="X108" s="2" t="str">
        <f t="shared" si="15"/>
        <v/>
      </c>
      <c r="Y108" t="str">
        <f>VLOOKUP($A108,ScionOutput!$A$3:$BL$215,64,FALSE)</f>
        <v xml:space="preserve">824021. V_SP is Null, team-based avg used. NoPlay as V_SP is Null. </v>
      </c>
    </row>
    <row r="109" spans="1:25" x14ac:dyDescent="0.2">
      <c r="A109">
        <v>824506</v>
      </c>
      <c r="B109" s="3">
        <f>VLOOKUP($A109,ScionOutput!$A$3:$BL$215,3,FALSE)</f>
        <v>46187</v>
      </c>
      <c r="C109">
        <f>VLOOKUP($A109,ScionOutput!$A$3:$BL$215,22,FALSE)</f>
        <v>6</v>
      </c>
      <c r="D109" t="str">
        <f>VLOOKUP($A109,ScionOutput!$A$3:$BL$215,23,FALSE)</f>
        <v>CIN</v>
      </c>
      <c r="E109">
        <f>VLOOKUP($A109,ScionOutput!$A$3:$BL$215,6,FALSE)</f>
        <v>1</v>
      </c>
      <c r="F109" t="str">
        <f>VLOOKUP($A109,ScionOutput!$A$3:$BL$215,7,FALSE)</f>
        <v>ARZ</v>
      </c>
      <c r="G109">
        <f>VLOOKUP($A109,ScionOutput!$A$3:$BL$215,26,FALSE)</f>
        <v>-101</v>
      </c>
      <c r="H109">
        <f>VLOOKUP($A109,ScionOutput!$A$3:$BL$215,10,FALSE)</f>
        <v>-107</v>
      </c>
      <c r="I109" t="str">
        <f>VLOOKUP($A109,ScionOutput!$A$3:$BL$215,58,FALSE)</f>
        <v>No Play</v>
      </c>
      <c r="J109">
        <f>VLOOKUP($A109,ScionOutput!$A$3:$BL$215,59,FALSE)</f>
        <v>0</v>
      </c>
      <c r="K109">
        <f>VLOOKUP($A109,ScionOutput!$A$3:$BL$215,62,FALSE)</f>
        <v>0</v>
      </c>
      <c r="L109">
        <f>VLOOKUP($A109,ScionOutput!$A$3:$BL$215,63,FALSE)</f>
        <v>0</v>
      </c>
      <c r="M109" t="b">
        <f t="shared" si="16"/>
        <v>0</v>
      </c>
      <c r="N109">
        <f>VLOOKUP($A109,Outcomes!$B$3:$I$209,8,FALSE)</f>
        <v>8</v>
      </c>
      <c r="O109">
        <f t="shared" si="9"/>
        <v>-1</v>
      </c>
      <c r="P109">
        <f>VLOOKUP($A109,Outcomes!$B$3:$I$209,5,FALSE)</f>
        <v>3</v>
      </c>
      <c r="Q109">
        <f>VLOOKUP($A109,Outcomes!$B$3:$I$209,6,FALSE)</f>
        <v>5</v>
      </c>
      <c r="R109">
        <f>VLOOKUP($A109,Outcomes!$B$3:$I$209,7,FALSE)</f>
        <v>2</v>
      </c>
      <c r="S109" t="str">
        <f t="shared" si="10"/>
        <v>VisFave</v>
      </c>
      <c r="T109" t="str">
        <f t="shared" si="11"/>
        <v/>
      </c>
      <c r="U109" t="str">
        <f t="shared" si="12"/>
        <v/>
      </c>
      <c r="V109" t="str">
        <f t="shared" si="13"/>
        <v/>
      </c>
      <c r="W109" t="str">
        <f t="shared" si="14"/>
        <v/>
      </c>
      <c r="X109" s="2" t="str">
        <f t="shared" si="15"/>
        <v/>
      </c>
      <c r="Y109" t="str">
        <f>VLOOKUP($A109,ScionOutput!$A$3:$BL$215,64,FALSE)</f>
        <v xml:space="preserve">824506. VF plays are disallowed. No play due to strategy constraints. </v>
      </c>
    </row>
    <row r="110" spans="1:25" x14ac:dyDescent="0.2">
      <c r="A110">
        <v>824586</v>
      </c>
      <c r="B110" s="3">
        <f>VLOOKUP($A110,ScionOutput!$A$3:$BL$215,3,FALSE)</f>
        <v>46187</v>
      </c>
      <c r="C110">
        <f>VLOOKUP($A110,ScionOutput!$A$3:$BL$215,22,FALSE)</f>
        <v>9</v>
      </c>
      <c r="D110" t="str">
        <f>VLOOKUP($A110,ScionOutput!$A$3:$BL$215,23,FALSE)</f>
        <v>CWS</v>
      </c>
      <c r="E110">
        <f>VLOOKUP($A110,ScionOutput!$A$3:$BL$215,6,FALSE)</f>
        <v>14</v>
      </c>
      <c r="F110" t="str">
        <f>VLOOKUP($A110,ScionOutput!$A$3:$BL$215,7,FALSE)</f>
        <v>LA</v>
      </c>
      <c r="G110">
        <f>VLOOKUP($A110,ScionOutput!$A$3:$BL$215,26,FALSE)</f>
        <v>171</v>
      </c>
      <c r="H110">
        <f>VLOOKUP($A110,ScionOutput!$A$3:$BL$215,10,FALSE)</f>
        <v>-188</v>
      </c>
      <c r="I110" t="str">
        <f>VLOOKUP($A110,ScionOutput!$A$3:$BL$215,58,FALSE)</f>
        <v>No Play</v>
      </c>
      <c r="J110">
        <f>VLOOKUP($A110,ScionOutput!$A$3:$BL$215,59,FALSE)</f>
        <v>0</v>
      </c>
      <c r="K110">
        <f>VLOOKUP($A110,ScionOutput!$A$3:$BL$215,62,FALSE)</f>
        <v>0</v>
      </c>
      <c r="L110">
        <f>VLOOKUP($A110,ScionOutput!$A$3:$BL$215,63,FALSE)</f>
        <v>0</v>
      </c>
      <c r="M110" t="b">
        <f t="shared" si="16"/>
        <v>0</v>
      </c>
      <c r="N110">
        <f>VLOOKUP($A110,Outcomes!$B$3:$I$209,8,FALSE)</f>
        <v>10</v>
      </c>
      <c r="O110">
        <f t="shared" si="9"/>
        <v>1</v>
      </c>
      <c r="P110">
        <f>VLOOKUP($A110,Outcomes!$B$3:$I$209,5,FALSE)</f>
        <v>6</v>
      </c>
      <c r="Q110">
        <f>VLOOKUP($A110,Outcomes!$B$3:$I$209,6,FALSE)</f>
        <v>4</v>
      </c>
      <c r="R110">
        <f>VLOOKUP($A110,Outcomes!$B$3:$I$209,7,FALSE)</f>
        <v>-2</v>
      </c>
      <c r="S110" t="str">
        <f t="shared" si="10"/>
        <v>HomDog</v>
      </c>
      <c r="T110" t="str">
        <f t="shared" si="11"/>
        <v/>
      </c>
      <c r="U110" t="str">
        <f t="shared" si="12"/>
        <v/>
      </c>
      <c r="V110" t="str">
        <f t="shared" si="13"/>
        <v/>
      </c>
      <c r="W110" t="str">
        <f t="shared" si="14"/>
        <v/>
      </c>
      <c r="X110" s="2" t="str">
        <f t="shared" si="15"/>
        <v/>
      </c>
      <c r="Y110" t="str">
        <f>VLOOKUP($A110,ScionOutput!$A$3:$BL$215,64,FALSE)</f>
        <v xml:space="preserve">824586. LineStatEns is NoPlay as bookie-line outside range. StatOnlyEns is NoPlay as bookie-line outside range. No play due to strategy constraints. </v>
      </c>
    </row>
    <row r="111" spans="1:25" x14ac:dyDescent="0.2">
      <c r="A111">
        <v>824099</v>
      </c>
      <c r="B111" s="3">
        <f>VLOOKUP($A111,ScionOutput!$A$3:$BL$215,3,FALSE)</f>
        <v>46187</v>
      </c>
      <c r="C111">
        <f>VLOOKUP($A111,ScionOutput!$A$3:$BL$215,22,FALSE)</f>
        <v>13</v>
      </c>
      <c r="D111" t="str">
        <f>VLOOKUP($A111,ScionOutput!$A$3:$BL$215,23,FALSE)</f>
        <v>KC</v>
      </c>
      <c r="E111">
        <f>VLOOKUP($A111,ScionOutput!$A$3:$BL$215,6,FALSE)</f>
        <v>12</v>
      </c>
      <c r="F111" t="str">
        <f>VLOOKUP($A111,ScionOutput!$A$3:$BL$215,7,FALSE)</f>
        <v>HOU</v>
      </c>
      <c r="G111">
        <f>VLOOKUP($A111,ScionOutput!$A$3:$BL$215,26,FALSE)</f>
        <v>-116</v>
      </c>
      <c r="H111">
        <f>VLOOKUP($A111,ScionOutput!$A$3:$BL$215,10,FALSE)</f>
        <v>107</v>
      </c>
      <c r="I111" t="str">
        <f>VLOOKUP($A111,ScionOutput!$A$3:$BL$215,58,FALSE)</f>
        <v>VisDog</v>
      </c>
      <c r="J111">
        <f>VLOOKUP($A111,ScionOutput!$A$3:$BL$215,59,FALSE)</f>
        <v>-4.6440000000000002E-2</v>
      </c>
      <c r="K111">
        <f>VLOOKUP($A111,ScionOutput!$A$3:$BL$215,62,FALSE)</f>
        <v>3</v>
      </c>
      <c r="L111">
        <f>VLOOKUP($A111,ScionOutput!$A$3:$BL$215,63,FALSE)</f>
        <v>0.73</v>
      </c>
      <c r="M111" t="b">
        <f t="shared" si="16"/>
        <v>0</v>
      </c>
      <c r="N111">
        <f>VLOOKUP($A111,Outcomes!$B$3:$I$209,8,FALSE)</f>
        <v>4</v>
      </c>
      <c r="O111">
        <f t="shared" si="9"/>
        <v>1</v>
      </c>
      <c r="P111">
        <f>VLOOKUP($A111,Outcomes!$B$3:$I$209,5,FALSE)</f>
        <v>4</v>
      </c>
      <c r="Q111">
        <f>VLOOKUP($A111,Outcomes!$B$3:$I$209,6,FALSE)</f>
        <v>0</v>
      </c>
      <c r="R111">
        <f>VLOOKUP($A111,Outcomes!$B$3:$I$209,7,FALSE)</f>
        <v>-4</v>
      </c>
      <c r="S111" t="str">
        <f t="shared" si="10"/>
        <v>HomFave</v>
      </c>
      <c r="T111">
        <f t="shared" si="11"/>
        <v>0</v>
      </c>
      <c r="U111">
        <f t="shared" si="12"/>
        <v>100</v>
      </c>
      <c r="V111">
        <f t="shared" si="13"/>
        <v>0</v>
      </c>
      <c r="W111">
        <f t="shared" si="14"/>
        <v>-100</v>
      </c>
      <c r="X111" s="2">
        <f t="shared" si="15"/>
        <v>-1</v>
      </c>
      <c r="Y111" t="str">
        <f>VLOOKUP($A111,ScionOutput!$A$3:$BL$215,64,FALSE)</f>
        <v xml:space="preserve">824099. StatOnlyEns probability points gap does not exceed threshold (no edge found)! Play determined by LineStatEns only. </v>
      </c>
    </row>
    <row r="112" spans="1:25" x14ac:dyDescent="0.2">
      <c r="A112">
        <v>823693</v>
      </c>
      <c r="B112" s="3">
        <f>VLOOKUP($A112,ScionOutput!$A$3:$BL$215,3,FALSE)</f>
        <v>46187</v>
      </c>
      <c r="C112">
        <f>VLOOKUP($A112,ScionOutput!$A$3:$BL$215,22,FALSE)</f>
        <v>15</v>
      </c>
      <c r="D112" t="str">
        <f>VLOOKUP($A112,ScionOutput!$A$3:$BL$215,23,FALSE)</f>
        <v>MIN</v>
      </c>
      <c r="E112">
        <f>VLOOKUP($A112,ScionOutput!$A$3:$BL$215,6,FALSE)</f>
        <v>26</v>
      </c>
      <c r="F112" t="str">
        <f>VLOOKUP($A112,ScionOutput!$A$3:$BL$215,7,FALSE)</f>
        <v>STL</v>
      </c>
      <c r="G112">
        <f>VLOOKUP($A112,ScionOutput!$A$3:$BL$215,26,FALSE)</f>
        <v>-108</v>
      </c>
      <c r="H112">
        <f>VLOOKUP($A112,ScionOutput!$A$3:$BL$215,10,FALSE)</f>
        <v>100</v>
      </c>
      <c r="I112" t="str">
        <f>VLOOKUP($A112,ScionOutput!$A$3:$BL$215,58,FALSE)</f>
        <v>No Play</v>
      </c>
      <c r="J112">
        <f>VLOOKUP($A112,ScionOutput!$A$3:$BL$215,59,FALSE)</f>
        <v>0</v>
      </c>
      <c r="K112">
        <f>VLOOKUP($A112,ScionOutput!$A$3:$BL$215,62,FALSE)</f>
        <v>0</v>
      </c>
      <c r="L112">
        <f>VLOOKUP($A112,ScionOutput!$A$3:$BL$215,63,FALSE)</f>
        <v>0</v>
      </c>
      <c r="M112" t="b">
        <f t="shared" si="16"/>
        <v>0</v>
      </c>
      <c r="N112">
        <f>VLOOKUP($A112,Outcomes!$B$3:$I$209,8,FALSE)</f>
        <v>9</v>
      </c>
      <c r="O112">
        <f t="shared" si="9"/>
        <v>1</v>
      </c>
      <c r="P112">
        <f>VLOOKUP($A112,Outcomes!$B$3:$I$209,5,FALSE)</f>
        <v>5</v>
      </c>
      <c r="Q112">
        <f>VLOOKUP($A112,Outcomes!$B$3:$I$209,6,FALSE)</f>
        <v>4</v>
      </c>
      <c r="R112">
        <f>VLOOKUP($A112,Outcomes!$B$3:$I$209,7,FALSE)</f>
        <v>-1</v>
      </c>
      <c r="S112" t="str">
        <f t="shared" si="10"/>
        <v>HomFave</v>
      </c>
      <c r="T112" t="str">
        <f t="shared" si="11"/>
        <v/>
      </c>
      <c r="U112" t="str">
        <f t="shared" si="12"/>
        <v/>
      </c>
      <c r="V112" t="str">
        <f t="shared" si="13"/>
        <v/>
      </c>
      <c r="W112" t="str">
        <f t="shared" si="14"/>
        <v/>
      </c>
      <c r="X112" s="2" t="str">
        <f t="shared" si="15"/>
        <v/>
      </c>
      <c r="Y112" t="str">
        <f>VLOOKUP($A112,ScionOutput!$A$3:$BL$215,64,FALSE)</f>
        <v xml:space="preserve">823693. LineStatEns probability points gap does not exceed threshold (no edge found)! StatOnlyEns probability points gap does not exceed threshold (no edge found)! No play due to strategy constraints. </v>
      </c>
    </row>
    <row r="113" spans="1:25" x14ac:dyDescent="0.2">
      <c r="A113">
        <v>822722</v>
      </c>
      <c r="B113" s="3">
        <f>VLOOKUP($A113,ScionOutput!$A$3:$BL$215,3,FALSE)</f>
        <v>46187</v>
      </c>
      <c r="C113">
        <f>VLOOKUP($A113,ScionOutput!$A$3:$BL$215,22,FALSE)</f>
        <v>16</v>
      </c>
      <c r="D113" t="str">
        <f>VLOOKUP($A113,ScionOutput!$A$3:$BL$215,23,FALSE)</f>
        <v>WAS</v>
      </c>
      <c r="E113">
        <f>VLOOKUP($A113,ScionOutput!$A$3:$BL$215,6,FALSE)</f>
        <v>24</v>
      </c>
      <c r="F113" t="str">
        <f>VLOOKUP($A113,ScionOutput!$A$3:$BL$215,7,FALSE)</f>
        <v>SEA</v>
      </c>
      <c r="G113">
        <f>VLOOKUP($A113,ScionOutput!$A$3:$BL$215,26,FALSE)</f>
        <v>119</v>
      </c>
      <c r="H113">
        <f>VLOOKUP($A113,ScionOutput!$A$3:$BL$215,10,FALSE)</f>
        <v>-129</v>
      </c>
      <c r="I113" t="str">
        <f>VLOOKUP($A113,ScionOutput!$A$3:$BL$215,58,FALSE)</f>
        <v>No Play</v>
      </c>
      <c r="J113">
        <f>VLOOKUP($A113,ScionOutput!$A$3:$BL$215,59,FALSE)</f>
        <v>0</v>
      </c>
      <c r="K113">
        <f>VLOOKUP($A113,ScionOutput!$A$3:$BL$215,62,FALSE)</f>
        <v>0</v>
      </c>
      <c r="L113">
        <f>VLOOKUP($A113,ScionOutput!$A$3:$BL$215,63,FALSE)</f>
        <v>0</v>
      </c>
      <c r="M113" t="b">
        <f t="shared" si="16"/>
        <v>0</v>
      </c>
      <c r="N113">
        <f>VLOOKUP($A113,Outcomes!$B$3:$I$209,8,FALSE)</f>
        <v>11</v>
      </c>
      <c r="O113">
        <f t="shared" si="9"/>
        <v>1</v>
      </c>
      <c r="P113">
        <f>VLOOKUP($A113,Outcomes!$B$3:$I$209,5,FALSE)</f>
        <v>10</v>
      </c>
      <c r="Q113">
        <f>VLOOKUP($A113,Outcomes!$B$3:$I$209,6,FALSE)</f>
        <v>1</v>
      </c>
      <c r="R113">
        <f>VLOOKUP($A113,Outcomes!$B$3:$I$209,7,FALSE)</f>
        <v>-9</v>
      </c>
      <c r="S113" t="str">
        <f t="shared" si="10"/>
        <v>HomDog</v>
      </c>
      <c r="T113" t="str">
        <f t="shared" si="11"/>
        <v/>
      </c>
      <c r="U113" t="str">
        <f t="shared" si="12"/>
        <v/>
      </c>
      <c r="V113" t="str">
        <f t="shared" si="13"/>
        <v/>
      </c>
      <c r="W113" t="str">
        <f t="shared" si="14"/>
        <v/>
      </c>
      <c r="X113" s="2" t="str">
        <f t="shared" si="15"/>
        <v/>
      </c>
      <c r="Y113" t="str">
        <f>VLOOKUP($A113,ScionOutput!$A$3:$BL$215,64,FALSE)</f>
        <v xml:space="preserve">822722. VF plays are disallowed. No play due to strategy constraints. </v>
      </c>
    </row>
    <row r="114" spans="1:25" x14ac:dyDescent="0.2">
      <c r="A114">
        <v>823777</v>
      </c>
      <c r="B114" s="3">
        <f>VLOOKUP($A114,ScionOutput!$A$3:$BL$215,3,FALSE)</f>
        <v>46187</v>
      </c>
      <c r="C114">
        <f>VLOOKUP($A114,ScionOutput!$A$3:$BL$215,22,FALSE)</f>
        <v>17</v>
      </c>
      <c r="D114" t="str">
        <f>VLOOKUP($A114,ScionOutput!$A$3:$BL$215,23,FALSE)</f>
        <v>MLW</v>
      </c>
      <c r="E114">
        <f>VLOOKUP($A114,ScionOutput!$A$3:$BL$215,6,FALSE)</f>
        <v>21</v>
      </c>
      <c r="F114" t="str">
        <f>VLOOKUP($A114,ScionOutput!$A$3:$BL$215,7,FALSE)</f>
        <v>PHI</v>
      </c>
      <c r="G114">
        <f>VLOOKUP($A114,ScionOutput!$A$3:$BL$215,26,FALSE)</f>
        <v>113</v>
      </c>
      <c r="H114">
        <f>VLOOKUP($A114,ScionOutput!$A$3:$BL$215,10,FALSE)</f>
        <v>-122</v>
      </c>
      <c r="I114" t="str">
        <f>VLOOKUP($A114,ScionOutput!$A$3:$BL$215,58,FALSE)</f>
        <v>No Play</v>
      </c>
      <c r="J114">
        <f>VLOOKUP($A114,ScionOutput!$A$3:$BL$215,59,FALSE)</f>
        <v>0</v>
      </c>
      <c r="K114">
        <f>VLOOKUP($A114,ScionOutput!$A$3:$BL$215,62,FALSE)</f>
        <v>0</v>
      </c>
      <c r="L114">
        <f>VLOOKUP($A114,ScionOutput!$A$3:$BL$215,63,FALSE)</f>
        <v>0</v>
      </c>
      <c r="M114" t="b">
        <f t="shared" si="16"/>
        <v>0</v>
      </c>
      <c r="N114">
        <f>VLOOKUP($A114,Outcomes!$B$3:$I$209,8,FALSE)</f>
        <v>4</v>
      </c>
      <c r="O114">
        <f t="shared" si="9"/>
        <v>1</v>
      </c>
      <c r="P114">
        <f>VLOOKUP($A114,Outcomes!$B$3:$I$209,5,FALSE)</f>
        <v>4</v>
      </c>
      <c r="Q114">
        <f>VLOOKUP($A114,Outcomes!$B$3:$I$209,6,FALSE)</f>
        <v>0</v>
      </c>
      <c r="R114">
        <f>VLOOKUP($A114,Outcomes!$B$3:$I$209,7,FALSE)</f>
        <v>-4</v>
      </c>
      <c r="S114" t="str">
        <f t="shared" si="10"/>
        <v>HomDog</v>
      </c>
      <c r="T114" t="str">
        <f t="shared" si="11"/>
        <v/>
      </c>
      <c r="U114" t="str">
        <f t="shared" si="12"/>
        <v/>
      </c>
      <c r="V114" t="str">
        <f t="shared" si="13"/>
        <v/>
      </c>
      <c r="W114" t="str">
        <f t="shared" si="14"/>
        <v/>
      </c>
      <c r="X114" s="2" t="str">
        <f t="shared" si="15"/>
        <v/>
      </c>
      <c r="Y114" t="str">
        <f>VLOOKUP($A114,ScionOutput!$A$3:$BL$215,64,FALSE)</f>
        <v xml:space="preserve">823777. VF plays are disallowed. No play due to strategy constraints. </v>
      </c>
    </row>
    <row r="115" spans="1:25" x14ac:dyDescent="0.2">
      <c r="A115">
        <v>823615</v>
      </c>
      <c r="B115" s="3">
        <f>VLOOKUP($A115,ScionOutput!$A$3:$BL$215,3,FALSE)</f>
        <v>46187</v>
      </c>
      <c r="C115">
        <f>VLOOKUP($A115,ScionOutput!$A$3:$BL$215,22,FALSE)</f>
        <v>18</v>
      </c>
      <c r="D115" t="str">
        <f>VLOOKUP($A115,ScionOutput!$A$3:$BL$215,23,FALSE)</f>
        <v>NYM</v>
      </c>
      <c r="E115">
        <f>VLOOKUP($A115,ScionOutput!$A$3:$BL$215,6,FALSE)</f>
        <v>0</v>
      </c>
      <c r="F115" t="str">
        <f>VLOOKUP($A115,ScionOutput!$A$3:$BL$215,7,FALSE)</f>
        <v>ATL</v>
      </c>
      <c r="G115">
        <f>VLOOKUP($A115,ScionOutput!$A$3:$BL$215,26,FALSE)</f>
        <v>-122</v>
      </c>
      <c r="H115">
        <f>VLOOKUP($A115,ScionOutput!$A$3:$BL$215,10,FALSE)</f>
        <v>113</v>
      </c>
      <c r="I115" t="str">
        <f>VLOOKUP($A115,ScionOutput!$A$3:$BL$215,58,FALSE)</f>
        <v>No Play</v>
      </c>
      <c r="J115">
        <f>VLOOKUP($A115,ScionOutput!$A$3:$BL$215,59,FALSE)</f>
        <v>0</v>
      </c>
      <c r="K115">
        <f>VLOOKUP($A115,ScionOutput!$A$3:$BL$215,62,FALSE)</f>
        <v>0</v>
      </c>
      <c r="L115">
        <f>VLOOKUP($A115,ScionOutput!$A$3:$BL$215,63,FALSE)</f>
        <v>0</v>
      </c>
      <c r="M115" t="b">
        <f t="shared" si="16"/>
        <v>0</v>
      </c>
      <c r="N115">
        <f>VLOOKUP($A115,Outcomes!$B$3:$I$209,8,FALSE)</f>
        <v>9</v>
      </c>
      <c r="O115">
        <f t="shared" si="9"/>
        <v>1</v>
      </c>
      <c r="P115">
        <f>VLOOKUP($A115,Outcomes!$B$3:$I$209,5,FALSE)</f>
        <v>8</v>
      </c>
      <c r="Q115">
        <f>VLOOKUP($A115,Outcomes!$B$3:$I$209,6,FALSE)</f>
        <v>1</v>
      </c>
      <c r="R115">
        <f>VLOOKUP($A115,Outcomes!$B$3:$I$209,7,FALSE)</f>
        <v>-7</v>
      </c>
      <c r="S115" t="str">
        <f t="shared" si="10"/>
        <v>HomFave</v>
      </c>
      <c r="T115" t="str">
        <f t="shared" si="11"/>
        <v/>
      </c>
      <c r="U115" t="str">
        <f t="shared" si="12"/>
        <v/>
      </c>
      <c r="V115" t="str">
        <f t="shared" si="13"/>
        <v/>
      </c>
      <c r="W115" t="str">
        <f t="shared" si="14"/>
        <v/>
      </c>
      <c r="X115" s="2" t="str">
        <f t="shared" si="15"/>
        <v/>
      </c>
      <c r="Y115" t="str">
        <f>VLOOKUP($A115,ScionOutput!$A$3:$BL$215,64,FALSE)</f>
        <v xml:space="preserve">823615. LineStatEns probability points gap does not exceed threshold (no edge found)! No play due to strategy constraints. </v>
      </c>
    </row>
    <row r="116" spans="1:25" x14ac:dyDescent="0.2">
      <c r="A116">
        <v>824994</v>
      </c>
      <c r="B116" s="3">
        <f>VLOOKUP($A116,ScionOutput!$A$3:$BL$215,3,FALSE)</f>
        <v>46187</v>
      </c>
      <c r="C116">
        <f>VLOOKUP($A116,ScionOutput!$A$3:$BL$215,22,FALSE)</f>
        <v>20</v>
      </c>
      <c r="D116" t="str">
        <f>VLOOKUP($A116,ScionOutput!$A$3:$BL$215,23,FALSE)</f>
        <v>OAK</v>
      </c>
      <c r="E116">
        <f>VLOOKUP($A116,ScionOutput!$A$3:$BL$215,6,FALSE)</f>
        <v>8</v>
      </c>
      <c r="F116" t="str">
        <f>VLOOKUP($A116,ScionOutput!$A$3:$BL$215,7,FALSE)</f>
        <v>COL</v>
      </c>
      <c r="G116">
        <f>VLOOKUP($A116,ScionOutput!$A$3:$BL$215,26,FALSE)</f>
        <v>-188</v>
      </c>
      <c r="H116">
        <f>VLOOKUP($A116,ScionOutput!$A$3:$BL$215,10,FALSE)</f>
        <v>171</v>
      </c>
      <c r="I116" t="str">
        <f>VLOOKUP($A116,ScionOutput!$A$3:$BL$215,58,FALSE)</f>
        <v>No Play</v>
      </c>
      <c r="J116">
        <f>VLOOKUP($A116,ScionOutput!$A$3:$BL$215,59,FALSE)</f>
        <v>0</v>
      </c>
      <c r="K116">
        <f>VLOOKUP($A116,ScionOutput!$A$3:$BL$215,62,FALSE)</f>
        <v>0</v>
      </c>
      <c r="L116">
        <f>VLOOKUP($A116,ScionOutput!$A$3:$BL$215,63,FALSE)</f>
        <v>0</v>
      </c>
      <c r="M116" t="b">
        <f t="shared" si="16"/>
        <v>0</v>
      </c>
      <c r="N116">
        <f>VLOOKUP($A116,Outcomes!$B$3:$I$209,8,FALSE)</f>
        <v>32</v>
      </c>
      <c r="O116">
        <f t="shared" si="9"/>
        <v>-1</v>
      </c>
      <c r="P116">
        <f>VLOOKUP($A116,Outcomes!$B$3:$I$209,5,FALSE)</f>
        <v>9</v>
      </c>
      <c r="Q116">
        <f>VLOOKUP($A116,Outcomes!$B$3:$I$209,6,FALSE)</f>
        <v>23</v>
      </c>
      <c r="R116">
        <f>VLOOKUP($A116,Outcomes!$B$3:$I$209,7,FALSE)</f>
        <v>14</v>
      </c>
      <c r="S116" t="str">
        <f t="shared" si="10"/>
        <v>VisDog</v>
      </c>
      <c r="T116" t="str">
        <f t="shared" si="11"/>
        <v/>
      </c>
      <c r="U116" t="str">
        <f t="shared" si="12"/>
        <v/>
      </c>
      <c r="V116" t="str">
        <f t="shared" si="13"/>
        <v/>
      </c>
      <c r="W116" t="str">
        <f t="shared" si="14"/>
        <v/>
      </c>
      <c r="X116" s="2" t="str">
        <f t="shared" si="15"/>
        <v/>
      </c>
      <c r="Y116" t="str">
        <f>VLOOKUP($A116,ScionOutput!$A$3:$BL$215,64,FALSE)</f>
        <v xml:space="preserve">824994. LineStatEns is NoPlay as bookie-line outside range. StatOnlyEns is NoPlay as bookie-line outside range. No play due to strategy constraints. </v>
      </c>
    </row>
    <row r="117" spans="1:25" x14ac:dyDescent="0.2">
      <c r="A117">
        <v>823368</v>
      </c>
      <c r="B117" s="3">
        <f>VLOOKUP($A117,ScionOutput!$A$3:$BL$215,3,FALSE)</f>
        <v>46187</v>
      </c>
      <c r="C117">
        <f>VLOOKUP($A117,ScionOutput!$A$3:$BL$215,22,FALSE)</f>
        <v>22</v>
      </c>
      <c r="D117" t="str">
        <f>VLOOKUP($A117,ScionOutput!$A$3:$BL$215,23,FALSE)</f>
        <v>PIT</v>
      </c>
      <c r="E117">
        <f>VLOOKUP($A117,ScionOutput!$A$3:$BL$215,6,FALSE)</f>
        <v>11</v>
      </c>
      <c r="F117" t="str">
        <f>VLOOKUP($A117,ScionOutput!$A$3:$BL$215,7,FALSE)</f>
        <v>FLO</v>
      </c>
      <c r="G117">
        <f>VLOOKUP($A117,ScionOutput!$A$3:$BL$215,26,FALSE)</f>
        <v>-150</v>
      </c>
      <c r="H117">
        <f>VLOOKUP($A117,ScionOutput!$A$3:$BL$215,10,FALSE)</f>
        <v>138</v>
      </c>
      <c r="I117" t="str">
        <f>VLOOKUP($A117,ScionOutput!$A$3:$BL$215,58,FALSE)</f>
        <v>No Play</v>
      </c>
      <c r="J117">
        <f>VLOOKUP($A117,ScionOutput!$A$3:$BL$215,59,FALSE)</f>
        <v>0</v>
      </c>
      <c r="K117">
        <f>VLOOKUP($A117,ScionOutput!$A$3:$BL$215,62,FALSE)</f>
        <v>0</v>
      </c>
      <c r="L117">
        <f>VLOOKUP($A117,ScionOutput!$A$3:$BL$215,63,FALSE)</f>
        <v>0</v>
      </c>
      <c r="M117" t="b">
        <f t="shared" si="16"/>
        <v>0</v>
      </c>
      <c r="N117">
        <f>VLOOKUP($A117,Outcomes!$B$3:$I$209,8,FALSE)</f>
        <v>6</v>
      </c>
      <c r="O117">
        <f t="shared" si="9"/>
        <v>-1</v>
      </c>
      <c r="P117">
        <f>VLOOKUP($A117,Outcomes!$B$3:$I$209,5,FALSE)</f>
        <v>2</v>
      </c>
      <c r="Q117">
        <f>VLOOKUP($A117,Outcomes!$B$3:$I$209,6,FALSE)</f>
        <v>4</v>
      </c>
      <c r="R117">
        <f>VLOOKUP($A117,Outcomes!$B$3:$I$209,7,FALSE)</f>
        <v>2</v>
      </c>
      <c r="S117" t="str">
        <f t="shared" si="10"/>
        <v>VisDog</v>
      </c>
      <c r="T117" t="str">
        <f t="shared" si="11"/>
        <v/>
      </c>
      <c r="U117" t="str">
        <f t="shared" si="12"/>
        <v/>
      </c>
      <c r="V117" t="str">
        <f t="shared" si="13"/>
        <v/>
      </c>
      <c r="W117" t="str">
        <f t="shared" si="14"/>
        <v/>
      </c>
      <c r="X117" s="2" t="str">
        <f t="shared" si="15"/>
        <v/>
      </c>
      <c r="Y117" t="str">
        <f>VLOOKUP($A117,ScionOutput!$A$3:$BL$215,64,FALSE)</f>
        <v xml:space="preserve">823368. LineStatEns probability points gap does not exceed threshold (no edge found)! No play due to strategy constraints. </v>
      </c>
    </row>
    <row r="118" spans="1:25" x14ac:dyDescent="0.2">
      <c r="A118">
        <v>823212</v>
      </c>
      <c r="B118" s="3">
        <f>VLOOKUP($A118,ScionOutput!$A$3:$BL$215,3,FALSE)</f>
        <v>46187</v>
      </c>
      <c r="C118">
        <f>VLOOKUP($A118,ScionOutput!$A$3:$BL$215,22,FALSE)</f>
        <v>25</v>
      </c>
      <c r="D118" t="str">
        <f>VLOOKUP($A118,ScionOutput!$A$3:$BL$215,23,FALSE)</f>
        <v>SF</v>
      </c>
      <c r="E118">
        <f>VLOOKUP($A118,ScionOutput!$A$3:$BL$215,6,FALSE)</f>
        <v>5</v>
      </c>
      <c r="F118" t="str">
        <f>VLOOKUP($A118,ScionOutput!$A$3:$BL$215,7,FALSE)</f>
        <v>CHC</v>
      </c>
      <c r="G118">
        <f>VLOOKUP($A118,ScionOutput!$A$3:$BL$215,26,FALSE)</f>
        <v>-124</v>
      </c>
      <c r="H118">
        <f>VLOOKUP($A118,ScionOutput!$A$3:$BL$215,10,FALSE)</f>
        <v>115</v>
      </c>
      <c r="I118" t="str">
        <f>VLOOKUP($A118,ScionOutput!$A$3:$BL$215,58,FALSE)</f>
        <v>No Play</v>
      </c>
      <c r="J118">
        <f>VLOOKUP($A118,ScionOutput!$A$3:$BL$215,59,FALSE)</f>
        <v>0</v>
      </c>
      <c r="K118">
        <f>VLOOKUP($A118,ScionOutput!$A$3:$BL$215,62,FALSE)</f>
        <v>0</v>
      </c>
      <c r="L118">
        <f>VLOOKUP($A118,ScionOutput!$A$3:$BL$215,63,FALSE)</f>
        <v>0</v>
      </c>
      <c r="M118" t="b">
        <f t="shared" si="16"/>
        <v>0</v>
      </c>
      <c r="N118">
        <f>VLOOKUP($A118,Outcomes!$B$3:$I$209,8,FALSE)</f>
        <v>6</v>
      </c>
      <c r="O118">
        <f t="shared" si="9"/>
        <v>1</v>
      </c>
      <c r="P118">
        <f>VLOOKUP($A118,Outcomes!$B$3:$I$209,5,FALSE)</f>
        <v>5</v>
      </c>
      <c r="Q118">
        <f>VLOOKUP($A118,Outcomes!$B$3:$I$209,6,FALSE)</f>
        <v>1</v>
      </c>
      <c r="R118">
        <f>VLOOKUP($A118,Outcomes!$B$3:$I$209,7,FALSE)</f>
        <v>-4</v>
      </c>
      <c r="S118" t="str">
        <f t="shared" si="10"/>
        <v>HomFave</v>
      </c>
      <c r="T118" t="str">
        <f t="shared" si="11"/>
        <v/>
      </c>
      <c r="U118" t="str">
        <f t="shared" si="12"/>
        <v/>
      </c>
      <c r="V118" t="str">
        <f t="shared" si="13"/>
        <v/>
      </c>
      <c r="W118" t="str">
        <f t="shared" si="14"/>
        <v/>
      </c>
      <c r="X118" s="2" t="str">
        <f t="shared" si="15"/>
        <v/>
      </c>
      <c r="Y118" t="str">
        <f>VLOOKUP($A118,ScionOutput!$A$3:$BL$215,64,FALSE)</f>
        <v xml:space="preserve">823212. V_SP is Null, team-based avg used. NoPlay as V_SP is Null. </v>
      </c>
    </row>
    <row r="119" spans="1:25" x14ac:dyDescent="0.2">
      <c r="A119">
        <v>822801</v>
      </c>
      <c r="B119" s="3">
        <f>VLOOKUP($A119,ScionOutput!$A$3:$BL$215,3,FALSE)</f>
        <v>46187</v>
      </c>
      <c r="C119">
        <f>VLOOKUP($A119,ScionOutput!$A$3:$BL$215,22,FALSE)</f>
        <v>29</v>
      </c>
      <c r="D119" t="str">
        <f>VLOOKUP($A119,ScionOutput!$A$3:$BL$215,23,FALSE)</f>
        <v>TOR</v>
      </c>
      <c r="E119">
        <f>VLOOKUP($A119,ScionOutput!$A$3:$BL$215,6,FALSE)</f>
        <v>19</v>
      </c>
      <c r="F119" t="str">
        <f>VLOOKUP($A119,ScionOutput!$A$3:$BL$215,7,FALSE)</f>
        <v>NYY</v>
      </c>
      <c r="G119">
        <f>VLOOKUP($A119,ScionOutput!$A$3:$BL$215,26,FALSE)</f>
        <v>112</v>
      </c>
      <c r="H119">
        <f>VLOOKUP($A119,ScionOutput!$A$3:$BL$215,10,FALSE)</f>
        <v>-121</v>
      </c>
      <c r="I119" t="str">
        <f>VLOOKUP($A119,ScionOutput!$A$3:$BL$215,58,FALSE)</f>
        <v>No Play</v>
      </c>
      <c r="J119">
        <f>VLOOKUP($A119,ScionOutput!$A$3:$BL$215,59,FALSE)</f>
        <v>0</v>
      </c>
      <c r="K119">
        <f>VLOOKUP($A119,ScionOutput!$A$3:$BL$215,62,FALSE)</f>
        <v>0</v>
      </c>
      <c r="L119">
        <f>VLOOKUP($A119,ScionOutput!$A$3:$BL$215,63,FALSE)</f>
        <v>0</v>
      </c>
      <c r="M119" t="b">
        <f t="shared" si="16"/>
        <v>0</v>
      </c>
      <c r="N119">
        <f>VLOOKUP($A119,Outcomes!$B$3:$I$209,8,FALSE)</f>
        <v>11</v>
      </c>
      <c r="O119">
        <f t="shared" si="9"/>
        <v>-1</v>
      </c>
      <c r="P119">
        <f>VLOOKUP($A119,Outcomes!$B$3:$I$209,5,FALSE)</f>
        <v>3</v>
      </c>
      <c r="Q119">
        <f>VLOOKUP($A119,Outcomes!$B$3:$I$209,6,FALSE)</f>
        <v>8</v>
      </c>
      <c r="R119">
        <f>VLOOKUP($A119,Outcomes!$B$3:$I$209,7,FALSE)</f>
        <v>5</v>
      </c>
      <c r="S119" t="str">
        <f t="shared" si="10"/>
        <v>VisFave</v>
      </c>
      <c r="T119" t="str">
        <f t="shared" si="11"/>
        <v/>
      </c>
      <c r="U119" t="str">
        <f t="shared" si="12"/>
        <v/>
      </c>
      <c r="V119" t="str">
        <f t="shared" si="13"/>
        <v/>
      </c>
      <c r="W119" t="str">
        <f t="shared" si="14"/>
        <v/>
      </c>
      <c r="X119" s="2" t="str">
        <f t="shared" si="15"/>
        <v/>
      </c>
      <c r="Y119" t="str">
        <f>VLOOKUP($A119,ScionOutput!$A$3:$BL$215,64,FALSE)</f>
        <v xml:space="preserve">822801. VF plays are disallowed. No play due to strategy constraints. </v>
      </c>
    </row>
    <row r="120" spans="1:25" x14ac:dyDescent="0.2">
      <c r="A120">
        <v>825071</v>
      </c>
      <c r="B120" s="3">
        <f>VLOOKUP($A120,ScionOutput!$A$3:$BL$215,3,FALSE)</f>
        <v>46188</v>
      </c>
      <c r="C120">
        <f>VLOOKUP($A120,ScionOutput!$A$3:$BL$215,22,FALSE)</f>
        <v>1</v>
      </c>
      <c r="D120" t="str">
        <f>VLOOKUP($A120,ScionOutput!$A$3:$BL$215,23,FALSE)</f>
        <v>ARZ</v>
      </c>
      <c r="E120">
        <f>VLOOKUP($A120,ScionOutput!$A$3:$BL$215,6,FALSE)</f>
        <v>4</v>
      </c>
      <c r="F120" t="str">
        <f>VLOOKUP($A120,ScionOutput!$A$3:$BL$215,7,FALSE)</f>
        <v>LAA</v>
      </c>
      <c r="G120">
        <f>VLOOKUP($A120,ScionOutput!$A$3:$BL$215,26,FALSE)</f>
        <v>-125</v>
      </c>
      <c r="H120">
        <f>VLOOKUP($A120,ScionOutput!$A$3:$BL$215,10,FALSE)</f>
        <v>116</v>
      </c>
      <c r="I120" t="str">
        <f>VLOOKUP($A120,ScionOutput!$A$3:$BL$215,58,FALSE)</f>
        <v>No Play</v>
      </c>
      <c r="J120">
        <f>VLOOKUP($A120,ScionOutput!$A$3:$BL$215,59,FALSE)</f>
        <v>0</v>
      </c>
      <c r="K120">
        <f>VLOOKUP($A120,ScionOutput!$A$3:$BL$215,62,FALSE)</f>
        <v>0</v>
      </c>
      <c r="L120">
        <f>VLOOKUP($A120,ScionOutput!$A$3:$BL$215,63,FALSE)</f>
        <v>0</v>
      </c>
      <c r="M120" t="b">
        <f t="shared" si="16"/>
        <v>0</v>
      </c>
      <c r="N120">
        <f>VLOOKUP($A120,Outcomes!$B$3:$I$209,8,FALSE)</f>
        <v>7</v>
      </c>
      <c r="O120">
        <f t="shared" si="9"/>
        <v>1</v>
      </c>
      <c r="P120">
        <f>VLOOKUP($A120,Outcomes!$B$3:$I$209,5,FALSE)</f>
        <v>4</v>
      </c>
      <c r="Q120">
        <f>VLOOKUP($A120,Outcomes!$B$3:$I$209,6,FALSE)</f>
        <v>3</v>
      </c>
      <c r="R120">
        <f>VLOOKUP($A120,Outcomes!$B$3:$I$209,7,FALSE)</f>
        <v>-1</v>
      </c>
      <c r="S120" t="str">
        <f t="shared" si="10"/>
        <v>HomFave</v>
      </c>
      <c r="T120" t="str">
        <f t="shared" si="11"/>
        <v/>
      </c>
      <c r="U120" t="str">
        <f t="shared" si="12"/>
        <v/>
      </c>
      <c r="V120" t="str">
        <f t="shared" si="13"/>
        <v/>
      </c>
      <c r="W120" t="str">
        <f t="shared" si="14"/>
        <v/>
      </c>
      <c r="X120" s="2" t="str">
        <f t="shared" si="15"/>
        <v/>
      </c>
      <c r="Y120" t="str">
        <f>VLOOKUP($A120,ScionOutput!$A$3:$BL$215,64,FALSE)</f>
        <v xml:space="preserve">825071. LineStatEns probability points gap does not exceed threshold (no edge found)! StatOnlyEns probability points gap does not exceed threshold (no edge found)! No play due to strategy constraints. </v>
      </c>
    </row>
    <row r="121" spans="1:25" x14ac:dyDescent="0.2">
      <c r="A121">
        <v>824666</v>
      </c>
      <c r="B121" s="3">
        <f>VLOOKUP($A121,ScionOutput!$A$3:$BL$215,3,FALSE)</f>
        <v>46188</v>
      </c>
      <c r="C121">
        <f>VLOOKUP($A121,ScionOutput!$A$3:$BL$215,22,FALSE)</f>
        <v>5</v>
      </c>
      <c r="D121" t="str">
        <f>VLOOKUP($A121,ScionOutput!$A$3:$BL$215,23,FALSE)</f>
        <v>CHC</v>
      </c>
      <c r="E121">
        <f>VLOOKUP($A121,ScionOutput!$A$3:$BL$215,6,FALSE)</f>
        <v>8</v>
      </c>
      <c r="F121" t="str">
        <f>VLOOKUP($A121,ScionOutput!$A$3:$BL$215,7,FALSE)</f>
        <v>COL</v>
      </c>
      <c r="G121">
        <f>VLOOKUP($A121,ScionOutput!$A$3:$BL$215,26,FALSE)</f>
        <v>-205</v>
      </c>
      <c r="H121">
        <f>VLOOKUP($A121,ScionOutput!$A$3:$BL$215,10,FALSE)</f>
        <v>186</v>
      </c>
      <c r="I121" t="str">
        <f>VLOOKUP($A121,ScionOutput!$A$3:$BL$215,58,FALSE)</f>
        <v>No Play</v>
      </c>
      <c r="J121">
        <f>VLOOKUP($A121,ScionOutput!$A$3:$BL$215,59,FALSE)</f>
        <v>0</v>
      </c>
      <c r="K121">
        <f>VLOOKUP($A121,ScionOutput!$A$3:$BL$215,62,FALSE)</f>
        <v>0</v>
      </c>
      <c r="L121">
        <f>VLOOKUP($A121,ScionOutput!$A$3:$BL$215,63,FALSE)</f>
        <v>0</v>
      </c>
      <c r="M121" t="b">
        <f t="shared" si="16"/>
        <v>0</v>
      </c>
      <c r="N121">
        <f>VLOOKUP($A121,Outcomes!$B$3:$I$209,8,FALSE)</f>
        <v>9</v>
      </c>
      <c r="O121">
        <f t="shared" si="9"/>
        <v>1</v>
      </c>
      <c r="P121">
        <f>VLOOKUP($A121,Outcomes!$B$3:$I$209,5,FALSE)</f>
        <v>5</v>
      </c>
      <c r="Q121">
        <f>VLOOKUP($A121,Outcomes!$B$3:$I$209,6,FALSE)</f>
        <v>4</v>
      </c>
      <c r="R121">
        <f>VLOOKUP($A121,Outcomes!$B$3:$I$209,7,FALSE)</f>
        <v>-1</v>
      </c>
      <c r="S121" t="str">
        <f t="shared" si="10"/>
        <v>HomFave</v>
      </c>
      <c r="T121" t="str">
        <f t="shared" si="11"/>
        <v/>
      </c>
      <c r="U121" t="str">
        <f t="shared" si="12"/>
        <v/>
      </c>
      <c r="V121" t="str">
        <f t="shared" si="13"/>
        <v/>
      </c>
      <c r="W121" t="str">
        <f t="shared" si="14"/>
        <v/>
      </c>
      <c r="X121" s="2" t="str">
        <f t="shared" si="15"/>
        <v/>
      </c>
      <c r="Y121" t="str">
        <f>VLOOKUP($A121,ScionOutput!$A$3:$BL$215,64,FALSE)</f>
        <v xml:space="preserve">824666. LineStatEns is NoPlay as bookie-line outside range. StatOnlyEns is NoPlay as bookie-line outside range. No play due to strategy constraints. </v>
      </c>
    </row>
    <row r="122" spans="1:25" x14ac:dyDescent="0.2">
      <c r="A122">
        <v>824505</v>
      </c>
      <c r="B122" s="3">
        <f>VLOOKUP($A122,ScionOutput!$A$3:$BL$215,3,FALSE)</f>
        <v>46188</v>
      </c>
      <c r="C122">
        <f>VLOOKUP($A122,ScionOutput!$A$3:$BL$215,22,FALSE)</f>
        <v>6</v>
      </c>
      <c r="D122" t="str">
        <f>VLOOKUP($A122,ScionOutput!$A$3:$BL$215,23,FALSE)</f>
        <v>CIN</v>
      </c>
      <c r="E122">
        <f>VLOOKUP($A122,ScionOutput!$A$3:$BL$215,6,FALSE)</f>
        <v>18</v>
      </c>
      <c r="F122" t="str">
        <f>VLOOKUP($A122,ScionOutput!$A$3:$BL$215,7,FALSE)</f>
        <v>NYM</v>
      </c>
      <c r="G122">
        <f>VLOOKUP($A122,ScionOutput!$A$3:$BL$215,26,FALSE)</f>
        <v>-131</v>
      </c>
      <c r="H122">
        <f>VLOOKUP($A122,ScionOutput!$A$3:$BL$215,10,FALSE)</f>
        <v>121</v>
      </c>
      <c r="I122" t="str">
        <f>VLOOKUP($A122,ScionOutput!$A$3:$BL$215,58,FALSE)</f>
        <v>No Play</v>
      </c>
      <c r="J122">
        <f>VLOOKUP($A122,ScionOutput!$A$3:$BL$215,59,FALSE)</f>
        <v>0</v>
      </c>
      <c r="K122">
        <f>VLOOKUP($A122,ScionOutput!$A$3:$BL$215,62,FALSE)</f>
        <v>0</v>
      </c>
      <c r="L122">
        <f>VLOOKUP($A122,ScionOutput!$A$3:$BL$215,63,FALSE)</f>
        <v>0</v>
      </c>
      <c r="M122" t="b">
        <f t="shared" si="16"/>
        <v>0</v>
      </c>
      <c r="N122">
        <f>VLOOKUP($A122,Outcomes!$B$3:$I$209,8,FALSE)</f>
        <v>12</v>
      </c>
      <c r="O122">
        <f t="shared" si="9"/>
        <v>1</v>
      </c>
      <c r="P122">
        <f>VLOOKUP($A122,Outcomes!$B$3:$I$209,5,FALSE)</f>
        <v>12</v>
      </c>
      <c r="Q122">
        <f>VLOOKUP($A122,Outcomes!$B$3:$I$209,6,FALSE)</f>
        <v>0</v>
      </c>
      <c r="R122">
        <f>VLOOKUP($A122,Outcomes!$B$3:$I$209,7,FALSE)</f>
        <v>-12</v>
      </c>
      <c r="S122" t="str">
        <f t="shared" si="10"/>
        <v>HomFave</v>
      </c>
      <c r="T122" t="str">
        <f t="shared" si="11"/>
        <v/>
      </c>
      <c r="U122" t="str">
        <f t="shared" si="12"/>
        <v/>
      </c>
      <c r="V122" t="str">
        <f t="shared" si="13"/>
        <v/>
      </c>
      <c r="W122" t="str">
        <f t="shared" si="14"/>
        <v/>
      </c>
      <c r="X122" s="2" t="str">
        <f t="shared" si="15"/>
        <v/>
      </c>
      <c r="Y122" t="str">
        <f>VLOOKUP($A122,ScionOutput!$A$3:$BL$215,64,FALSE)</f>
        <v xml:space="preserve">824505. LineStatEns probability points gap does not exceed threshold (no edge found)! StatOnlyEns probability points gap does not exceed threshold (no edge found)! No play due to strategy constraints. </v>
      </c>
    </row>
    <row r="123" spans="1:25" x14ac:dyDescent="0.2">
      <c r="A123">
        <v>824181</v>
      </c>
      <c r="B123" s="3">
        <f>VLOOKUP($A123,ScionOutput!$A$3:$BL$215,3,FALSE)</f>
        <v>46188</v>
      </c>
      <c r="C123">
        <f>VLOOKUP($A123,ScionOutput!$A$3:$BL$215,22,FALSE)</f>
        <v>12</v>
      </c>
      <c r="D123" t="str">
        <f>VLOOKUP($A123,ScionOutput!$A$3:$BL$215,23,FALSE)</f>
        <v>HOU</v>
      </c>
      <c r="E123">
        <f>VLOOKUP($A123,ScionOutput!$A$3:$BL$215,6,FALSE)</f>
        <v>10</v>
      </c>
      <c r="F123" t="str">
        <f>VLOOKUP($A123,ScionOutput!$A$3:$BL$215,7,FALSE)</f>
        <v>DET</v>
      </c>
      <c r="G123">
        <f>VLOOKUP($A123,ScionOutput!$A$3:$BL$215,26,FALSE)</f>
        <v>-114</v>
      </c>
      <c r="H123">
        <f>VLOOKUP($A123,ScionOutput!$A$3:$BL$215,10,FALSE)</f>
        <v>106</v>
      </c>
      <c r="I123" t="str">
        <f>VLOOKUP($A123,ScionOutput!$A$3:$BL$215,58,FALSE)</f>
        <v>VisDog</v>
      </c>
      <c r="J123">
        <f>VLOOKUP($A123,ScionOutput!$A$3:$BL$215,59,FALSE)</f>
        <v>-3.322E-2</v>
      </c>
      <c r="K123">
        <f>VLOOKUP($A123,ScionOutput!$A$3:$BL$215,62,FALSE)</f>
        <v>5</v>
      </c>
      <c r="L123">
        <f>VLOOKUP($A123,ScionOutput!$A$3:$BL$215,63,FALSE)</f>
        <v>0.8</v>
      </c>
      <c r="M123" t="b">
        <f t="shared" si="16"/>
        <v>1</v>
      </c>
      <c r="N123">
        <f>VLOOKUP($A123,Outcomes!$B$3:$I$209,8,FALSE)</f>
        <v>12</v>
      </c>
      <c r="O123">
        <f t="shared" si="9"/>
        <v>-1</v>
      </c>
      <c r="P123">
        <f>VLOOKUP($A123,Outcomes!$B$3:$I$209,5,FALSE)</f>
        <v>3</v>
      </c>
      <c r="Q123">
        <f>VLOOKUP($A123,Outcomes!$B$3:$I$209,6,FALSE)</f>
        <v>9</v>
      </c>
      <c r="R123">
        <f>VLOOKUP($A123,Outcomes!$B$3:$I$209,7,FALSE)</f>
        <v>6</v>
      </c>
      <c r="S123" t="str">
        <f t="shared" si="10"/>
        <v>VisDog</v>
      </c>
      <c r="T123">
        <f t="shared" si="11"/>
        <v>1</v>
      </c>
      <c r="U123">
        <f t="shared" si="12"/>
        <v>100</v>
      </c>
      <c r="V123">
        <f t="shared" si="13"/>
        <v>206</v>
      </c>
      <c r="W123">
        <f t="shared" si="14"/>
        <v>106</v>
      </c>
      <c r="X123" s="2">
        <f t="shared" si="15"/>
        <v>1.06</v>
      </c>
      <c r="Y123" t="str">
        <f>VLOOKUP($A123,ScionOutput!$A$3:$BL$215,64,FALSE)</f>
        <v xml:space="preserve">824181. Play determined by LineStatEns and StatOnlyEns agreement. </v>
      </c>
    </row>
    <row r="124" spans="1:25" x14ac:dyDescent="0.2">
      <c r="A124">
        <v>823938</v>
      </c>
      <c r="B124" s="3">
        <f>VLOOKUP($A124,ScionOutput!$A$3:$BL$215,3,FALSE)</f>
        <v>46188</v>
      </c>
      <c r="C124">
        <f>VLOOKUP($A124,ScionOutput!$A$3:$BL$215,22,FALSE)</f>
        <v>14</v>
      </c>
      <c r="D124" t="str">
        <f>VLOOKUP($A124,ScionOutput!$A$3:$BL$215,23,FALSE)</f>
        <v>LA</v>
      </c>
      <c r="E124">
        <f>VLOOKUP($A124,ScionOutput!$A$3:$BL$215,6,FALSE)</f>
        <v>27</v>
      </c>
      <c r="F124" t="str">
        <f>VLOOKUP($A124,ScionOutput!$A$3:$BL$215,7,FALSE)</f>
        <v>TB</v>
      </c>
      <c r="G124">
        <f>VLOOKUP($A124,ScionOutput!$A$3:$BL$215,26,FALSE)</f>
        <v>-172</v>
      </c>
      <c r="H124">
        <f>VLOOKUP($A124,ScionOutput!$A$3:$BL$215,10,FALSE)</f>
        <v>158</v>
      </c>
      <c r="I124" t="str">
        <f>VLOOKUP($A124,ScionOutput!$A$3:$BL$215,58,FALSE)</f>
        <v>No Play</v>
      </c>
      <c r="J124">
        <f>VLOOKUP($A124,ScionOutput!$A$3:$BL$215,59,FALSE)</f>
        <v>0</v>
      </c>
      <c r="K124">
        <f>VLOOKUP($A124,ScionOutput!$A$3:$BL$215,62,FALSE)</f>
        <v>0</v>
      </c>
      <c r="L124">
        <f>VLOOKUP($A124,ScionOutput!$A$3:$BL$215,63,FALSE)</f>
        <v>0</v>
      </c>
      <c r="M124" t="b">
        <f t="shared" si="16"/>
        <v>0</v>
      </c>
      <c r="N124">
        <f>VLOOKUP($A124,Outcomes!$B$3:$I$209,8,FALSE)</f>
        <v>7</v>
      </c>
      <c r="O124">
        <f t="shared" si="9"/>
        <v>1</v>
      </c>
      <c r="P124">
        <f>VLOOKUP($A124,Outcomes!$B$3:$I$209,5,FALSE)</f>
        <v>4</v>
      </c>
      <c r="Q124">
        <f>VLOOKUP($A124,Outcomes!$B$3:$I$209,6,FALSE)</f>
        <v>3</v>
      </c>
      <c r="R124">
        <f>VLOOKUP($A124,Outcomes!$B$3:$I$209,7,FALSE)</f>
        <v>-1</v>
      </c>
      <c r="S124" t="str">
        <f t="shared" si="10"/>
        <v>HomFave</v>
      </c>
      <c r="T124" t="str">
        <f t="shared" si="11"/>
        <v/>
      </c>
      <c r="U124" t="str">
        <f t="shared" si="12"/>
        <v/>
      </c>
      <c r="V124" t="str">
        <f t="shared" si="13"/>
        <v/>
      </c>
      <c r="W124" t="str">
        <f t="shared" si="14"/>
        <v/>
      </c>
      <c r="X124" s="2" t="str">
        <f t="shared" si="15"/>
        <v/>
      </c>
      <c r="Y124" t="str">
        <f>VLOOKUP($A124,ScionOutput!$A$3:$BL$215,64,FALSE)</f>
        <v xml:space="preserve">823938. LineStatEns is NoPlay as bookie-line outside range. StatOnlyEns is NoPlay as bookie-line outside range. No play due to strategy constraints. </v>
      </c>
    </row>
    <row r="125" spans="1:25" x14ac:dyDescent="0.2">
      <c r="A125">
        <v>822724</v>
      </c>
      <c r="B125" s="3">
        <f>VLOOKUP($A125,ScionOutput!$A$3:$BL$215,3,FALSE)</f>
        <v>46188</v>
      </c>
      <c r="C125">
        <f>VLOOKUP($A125,ScionOutput!$A$3:$BL$215,22,FALSE)</f>
        <v>16</v>
      </c>
      <c r="D125" t="str">
        <f>VLOOKUP($A125,ScionOutput!$A$3:$BL$215,23,FALSE)</f>
        <v>WAS</v>
      </c>
      <c r="E125">
        <f>VLOOKUP($A125,ScionOutput!$A$3:$BL$215,6,FALSE)</f>
        <v>13</v>
      </c>
      <c r="F125" t="str">
        <f>VLOOKUP($A125,ScionOutput!$A$3:$BL$215,7,FALSE)</f>
        <v>KC</v>
      </c>
      <c r="G125">
        <f>VLOOKUP($A125,ScionOutput!$A$3:$BL$215,26,FALSE)</f>
        <v>-127</v>
      </c>
      <c r="H125">
        <f>VLOOKUP($A125,ScionOutput!$A$3:$BL$215,10,FALSE)</f>
        <v>118</v>
      </c>
      <c r="I125" t="str">
        <f>VLOOKUP($A125,ScionOutput!$A$3:$BL$215,58,FALSE)</f>
        <v>No Play</v>
      </c>
      <c r="J125">
        <f>VLOOKUP($A125,ScionOutput!$A$3:$BL$215,59,FALSE)</f>
        <v>0</v>
      </c>
      <c r="K125">
        <f>VLOOKUP($A125,ScionOutput!$A$3:$BL$215,62,FALSE)</f>
        <v>0</v>
      </c>
      <c r="L125">
        <f>VLOOKUP($A125,ScionOutput!$A$3:$BL$215,63,FALSE)</f>
        <v>0</v>
      </c>
      <c r="M125" t="b">
        <f t="shared" si="16"/>
        <v>0</v>
      </c>
      <c r="N125">
        <f>VLOOKUP($A125,Outcomes!$B$3:$I$209,8,FALSE)</f>
        <v>10</v>
      </c>
      <c r="O125">
        <f t="shared" si="9"/>
        <v>1</v>
      </c>
      <c r="P125">
        <f>VLOOKUP($A125,Outcomes!$B$3:$I$209,5,FALSE)</f>
        <v>7</v>
      </c>
      <c r="Q125">
        <f>VLOOKUP($A125,Outcomes!$B$3:$I$209,6,FALSE)</f>
        <v>3</v>
      </c>
      <c r="R125">
        <f>VLOOKUP($A125,Outcomes!$B$3:$I$209,7,FALSE)</f>
        <v>-4</v>
      </c>
      <c r="S125" t="str">
        <f t="shared" si="10"/>
        <v>HomFave</v>
      </c>
      <c r="T125" t="str">
        <f t="shared" si="11"/>
        <v/>
      </c>
      <c r="U125" t="str">
        <f t="shared" si="12"/>
        <v/>
      </c>
      <c r="V125" t="str">
        <f t="shared" si="13"/>
        <v/>
      </c>
      <c r="W125" t="str">
        <f t="shared" si="14"/>
        <v/>
      </c>
      <c r="X125" s="2" t="str">
        <f t="shared" si="15"/>
        <v/>
      </c>
      <c r="Y125" t="str">
        <f>VLOOKUP($A125,ScionOutput!$A$3:$BL$215,64,FALSE)</f>
        <v xml:space="preserve">822724. V_SP is Null, team-based avg used. NoPlay as V_SP is Null. </v>
      </c>
    </row>
    <row r="126" spans="1:25" x14ac:dyDescent="0.2">
      <c r="A126">
        <v>824993</v>
      </c>
      <c r="B126" s="3">
        <f>VLOOKUP($A126,ScionOutput!$A$3:$BL$215,3,FALSE)</f>
        <v>46188</v>
      </c>
      <c r="C126">
        <f>VLOOKUP($A126,ScionOutput!$A$3:$BL$215,22,FALSE)</f>
        <v>20</v>
      </c>
      <c r="D126" t="str">
        <f>VLOOKUP($A126,ScionOutput!$A$3:$BL$215,23,FALSE)</f>
        <v>OAK</v>
      </c>
      <c r="E126">
        <f>VLOOKUP($A126,ScionOutput!$A$3:$BL$215,6,FALSE)</f>
        <v>22</v>
      </c>
      <c r="F126" t="str">
        <f>VLOOKUP($A126,ScionOutput!$A$3:$BL$215,7,FALSE)</f>
        <v>PIT</v>
      </c>
      <c r="G126">
        <f>VLOOKUP($A126,ScionOutput!$A$3:$BL$215,26,FALSE)</f>
        <v>-116</v>
      </c>
      <c r="H126">
        <f>VLOOKUP($A126,ScionOutput!$A$3:$BL$215,10,FALSE)</f>
        <v>107</v>
      </c>
      <c r="I126" t="str">
        <f>VLOOKUP($A126,ScionOutput!$A$3:$BL$215,58,FALSE)</f>
        <v>HomFave</v>
      </c>
      <c r="J126">
        <f>VLOOKUP($A126,ScionOutput!$A$3:$BL$215,59,FALSE)</f>
        <v>1.3559999999999999E-2</v>
      </c>
      <c r="K126">
        <f>VLOOKUP($A126,ScionOutput!$A$3:$BL$215,62,FALSE)</f>
        <v>1</v>
      </c>
      <c r="L126">
        <f>VLOOKUP($A126,ScionOutput!$A$3:$BL$215,63,FALSE)</f>
        <v>1</v>
      </c>
      <c r="M126" t="b">
        <f t="shared" si="16"/>
        <v>1</v>
      </c>
      <c r="N126">
        <f>VLOOKUP($A126,Outcomes!$B$3:$I$209,8,FALSE)</f>
        <v>13</v>
      </c>
      <c r="O126">
        <f t="shared" si="9"/>
        <v>1</v>
      </c>
      <c r="P126">
        <f>VLOOKUP($A126,Outcomes!$B$3:$I$209,5,FALSE)</f>
        <v>11</v>
      </c>
      <c r="Q126">
        <f>VLOOKUP($A126,Outcomes!$B$3:$I$209,6,FALSE)</f>
        <v>2</v>
      </c>
      <c r="R126">
        <f>VLOOKUP($A126,Outcomes!$B$3:$I$209,7,FALSE)</f>
        <v>-9</v>
      </c>
      <c r="S126" t="str">
        <f t="shared" si="10"/>
        <v>HomFave</v>
      </c>
      <c r="T126">
        <f t="shared" si="11"/>
        <v>1</v>
      </c>
      <c r="U126">
        <f t="shared" si="12"/>
        <v>116</v>
      </c>
      <c r="V126">
        <f t="shared" si="13"/>
        <v>216</v>
      </c>
      <c r="W126">
        <f t="shared" si="14"/>
        <v>100</v>
      </c>
      <c r="X126" s="2">
        <f t="shared" si="15"/>
        <v>0.86206896551724133</v>
      </c>
      <c r="Y126" t="str">
        <f>VLOOKUP($A126,ScionOutput!$A$3:$BL$215,64,FALSE)</f>
        <v xml:space="preserve">824993. Play determined by LineStatEns and StatOnlyEns agreement. </v>
      </c>
    </row>
    <row r="127" spans="1:25" x14ac:dyDescent="0.2">
      <c r="A127">
        <v>823452</v>
      </c>
      <c r="B127" s="3">
        <f>VLOOKUP($A127,ScionOutput!$A$3:$BL$215,3,FALSE)</f>
        <v>46188</v>
      </c>
      <c r="C127">
        <f>VLOOKUP($A127,ScionOutput!$A$3:$BL$215,22,FALSE)</f>
        <v>21</v>
      </c>
      <c r="D127" t="str">
        <f>VLOOKUP($A127,ScionOutput!$A$3:$BL$215,23,FALSE)</f>
        <v>PHI</v>
      </c>
      <c r="E127">
        <f>VLOOKUP($A127,ScionOutput!$A$3:$BL$215,6,FALSE)</f>
        <v>11</v>
      </c>
      <c r="F127" t="str">
        <f>VLOOKUP($A127,ScionOutput!$A$3:$BL$215,7,FALSE)</f>
        <v>FLO</v>
      </c>
      <c r="G127">
        <f>VLOOKUP($A127,ScionOutput!$A$3:$BL$215,26,FALSE)</f>
        <v>-186</v>
      </c>
      <c r="H127">
        <f>VLOOKUP($A127,ScionOutput!$A$3:$BL$215,10,FALSE)</f>
        <v>170</v>
      </c>
      <c r="I127" t="str">
        <f>VLOOKUP($A127,ScionOutput!$A$3:$BL$215,58,FALSE)</f>
        <v>No Play</v>
      </c>
      <c r="J127">
        <f>VLOOKUP($A127,ScionOutput!$A$3:$BL$215,59,FALSE)</f>
        <v>0</v>
      </c>
      <c r="K127">
        <f>VLOOKUP($A127,ScionOutput!$A$3:$BL$215,62,FALSE)</f>
        <v>0</v>
      </c>
      <c r="L127">
        <f>VLOOKUP($A127,ScionOutput!$A$3:$BL$215,63,FALSE)</f>
        <v>0</v>
      </c>
      <c r="M127" t="b">
        <f t="shared" si="16"/>
        <v>0</v>
      </c>
      <c r="N127">
        <f>VLOOKUP($A127,Outcomes!$B$3:$I$209,8,FALSE)</f>
        <v>7</v>
      </c>
      <c r="O127">
        <f t="shared" si="9"/>
        <v>1</v>
      </c>
      <c r="P127">
        <f>VLOOKUP($A127,Outcomes!$B$3:$I$209,5,FALSE)</f>
        <v>7</v>
      </c>
      <c r="Q127">
        <f>VLOOKUP($A127,Outcomes!$B$3:$I$209,6,FALSE)</f>
        <v>0</v>
      </c>
      <c r="R127">
        <f>VLOOKUP($A127,Outcomes!$B$3:$I$209,7,FALSE)</f>
        <v>-7</v>
      </c>
      <c r="S127" t="str">
        <f t="shared" si="10"/>
        <v>HomFave</v>
      </c>
      <c r="T127" t="str">
        <f t="shared" si="11"/>
        <v/>
      </c>
      <c r="U127" t="str">
        <f t="shared" si="12"/>
        <v/>
      </c>
      <c r="V127" t="str">
        <f t="shared" si="13"/>
        <v/>
      </c>
      <c r="W127" t="str">
        <f t="shared" si="14"/>
        <v/>
      </c>
      <c r="X127" s="2" t="str">
        <f t="shared" si="15"/>
        <v/>
      </c>
      <c r="Y127" t="str">
        <f>VLOOKUP($A127,ScionOutput!$A$3:$BL$215,64,FALSE)</f>
        <v xml:space="preserve">823452. LineStatEns is NoPlay as bookie-line outside range. StatOnlyEns is NoPlay as bookie-line outside range. No play due to strategy constraints. </v>
      </c>
    </row>
    <row r="128" spans="1:25" x14ac:dyDescent="0.2">
      <c r="A128">
        <v>823046</v>
      </c>
      <c r="B128" s="3">
        <f>VLOOKUP($A128,ScionOutput!$A$3:$BL$215,3,FALSE)</f>
        <v>46188</v>
      </c>
      <c r="C128">
        <f>VLOOKUP($A128,ScionOutput!$A$3:$BL$215,22,FALSE)</f>
        <v>26</v>
      </c>
      <c r="D128" t="str">
        <f>VLOOKUP($A128,ScionOutput!$A$3:$BL$215,23,FALSE)</f>
        <v>STL</v>
      </c>
      <c r="E128">
        <f>VLOOKUP($A128,ScionOutput!$A$3:$BL$215,6,FALSE)</f>
        <v>23</v>
      </c>
      <c r="F128" t="str">
        <f>VLOOKUP($A128,ScionOutput!$A$3:$BL$215,7,FALSE)</f>
        <v>SD</v>
      </c>
      <c r="G128">
        <f>VLOOKUP($A128,ScionOutput!$A$3:$BL$215,26,FALSE)</f>
        <v>-159</v>
      </c>
      <c r="H128">
        <f>VLOOKUP($A128,ScionOutput!$A$3:$BL$215,10,FALSE)</f>
        <v>146</v>
      </c>
      <c r="I128" t="str">
        <f>VLOOKUP($A128,ScionOutput!$A$3:$BL$215,58,FALSE)</f>
        <v>No Play</v>
      </c>
      <c r="J128">
        <f>VLOOKUP($A128,ScionOutput!$A$3:$BL$215,59,FALSE)</f>
        <v>0</v>
      </c>
      <c r="K128">
        <f>VLOOKUP($A128,ScionOutput!$A$3:$BL$215,62,FALSE)</f>
        <v>0</v>
      </c>
      <c r="L128">
        <f>VLOOKUP($A128,ScionOutput!$A$3:$BL$215,63,FALSE)</f>
        <v>0</v>
      </c>
      <c r="M128" t="b">
        <f t="shared" si="16"/>
        <v>0</v>
      </c>
      <c r="N128">
        <f>VLOOKUP($A128,Outcomes!$B$3:$I$209,8,FALSE)</f>
        <v>3</v>
      </c>
      <c r="O128">
        <f t="shared" ref="O128:O190" si="17">IF(P128&gt;Q128,1,IF(P128&lt;Q128,-1,0))</f>
        <v>1</v>
      </c>
      <c r="P128">
        <f>VLOOKUP($A128,Outcomes!$B$3:$I$209,5,FALSE)</f>
        <v>3</v>
      </c>
      <c r="Q128">
        <f>VLOOKUP($A128,Outcomes!$B$3:$I$209,6,FALSE)</f>
        <v>0</v>
      </c>
      <c r="R128">
        <f>VLOOKUP($A128,Outcomes!$B$3:$I$209,7,FALSE)</f>
        <v>-3</v>
      </c>
      <c r="S128" t="str">
        <f t="shared" ref="S128:S190" si="18">IF(R128=0,"Push",IF(G128&lt;H128,IF(R128&lt;0,"HomFave","VisDog"),IF(R128&gt;0,"VisFave","HomDog")))</f>
        <v>HomFave</v>
      </c>
      <c r="T128" t="str">
        <f t="shared" ref="T128:T190" si="19">IF(OR(R128=0,I128="No Play"),"",IF(S128=I128,1,0))</f>
        <v/>
      </c>
      <c r="U128" t="str">
        <f t="shared" ref="U128:U190" si="20">IF(T128="","",IF(G128&lt;H128,IF(I128="HomFave",ABS(G128),IF(H128&lt;0,ABS(H128),100)),IF(I128="VisFave",ABS(H128),IF(G128&lt;0,ABS(G128),100))))</f>
        <v/>
      </c>
      <c r="V128" t="str">
        <f t="shared" ref="V128:V190" si="21">IF(T128="","",IF(T128=0,0,IF(G128&lt;H128,IF(I128="HomFave",U128+100,IF(H128&lt;0,100+U128,U128+ABS(H128))),IF(I128="VisFave",U128+100,IF(G128&lt;0,100+U128,U128+ABS(G128))))))</f>
        <v/>
      </c>
      <c r="W128" t="str">
        <f t="shared" ref="W128:W190" si="22">IF(T128="","",V128-U128)</f>
        <v/>
      </c>
      <c r="X128" s="2" t="str">
        <f t="shared" ref="X128:X190" si="23">IF(T128="","",W128/U128)</f>
        <v/>
      </c>
      <c r="Y128" t="str">
        <f>VLOOKUP($A128,ScionOutput!$A$3:$BL$215,64,FALSE)</f>
        <v xml:space="preserve">823046. LineStatEns is NoPlay as bookie-line outside range. StatOnlyEns is NoPlay as bookie-line outside range. No play due to strategy constraints. </v>
      </c>
    </row>
    <row r="129" spans="1:25" x14ac:dyDescent="0.2">
      <c r="A129">
        <v>822887</v>
      </c>
      <c r="B129" s="3">
        <f>VLOOKUP($A129,ScionOutput!$A$3:$BL$215,3,FALSE)</f>
        <v>46188</v>
      </c>
      <c r="C129">
        <f>VLOOKUP($A129,ScionOutput!$A$3:$BL$215,22,FALSE)</f>
        <v>28</v>
      </c>
      <c r="D129" t="str">
        <f>VLOOKUP($A129,ScionOutput!$A$3:$BL$215,23,FALSE)</f>
        <v>TEX</v>
      </c>
      <c r="E129">
        <f>VLOOKUP($A129,ScionOutput!$A$3:$BL$215,6,FALSE)</f>
        <v>15</v>
      </c>
      <c r="F129" t="str">
        <f>VLOOKUP($A129,ScionOutput!$A$3:$BL$215,7,FALSE)</f>
        <v>MIN</v>
      </c>
      <c r="G129">
        <f>VLOOKUP($A129,ScionOutput!$A$3:$BL$215,26,FALSE)</f>
        <v>-150</v>
      </c>
      <c r="H129">
        <f>VLOOKUP($A129,ScionOutput!$A$3:$BL$215,10,FALSE)</f>
        <v>138</v>
      </c>
      <c r="I129" t="str">
        <f>VLOOKUP($A129,ScionOutput!$A$3:$BL$215,58,FALSE)</f>
        <v>No Play</v>
      </c>
      <c r="J129">
        <f>VLOOKUP($A129,ScionOutput!$A$3:$BL$215,59,FALSE)</f>
        <v>0</v>
      </c>
      <c r="K129">
        <f>VLOOKUP($A129,ScionOutput!$A$3:$BL$215,62,FALSE)</f>
        <v>0</v>
      </c>
      <c r="L129">
        <f>VLOOKUP($A129,ScionOutput!$A$3:$BL$215,63,FALSE)</f>
        <v>0</v>
      </c>
      <c r="M129" t="b">
        <f t="shared" si="16"/>
        <v>0</v>
      </c>
      <c r="N129">
        <f>VLOOKUP($A129,Outcomes!$B$3:$I$209,8,FALSE)</f>
        <v>6</v>
      </c>
      <c r="O129">
        <f t="shared" si="17"/>
        <v>-1</v>
      </c>
      <c r="P129">
        <f>VLOOKUP($A129,Outcomes!$B$3:$I$209,5,FALSE)</f>
        <v>2</v>
      </c>
      <c r="Q129">
        <f>VLOOKUP($A129,Outcomes!$B$3:$I$209,6,FALSE)</f>
        <v>4</v>
      </c>
      <c r="R129">
        <f>VLOOKUP($A129,Outcomes!$B$3:$I$209,7,FALSE)</f>
        <v>2</v>
      </c>
      <c r="S129" t="str">
        <f t="shared" si="18"/>
        <v>VisDog</v>
      </c>
      <c r="T129" t="str">
        <f t="shared" si="19"/>
        <v/>
      </c>
      <c r="U129" t="str">
        <f t="shared" si="20"/>
        <v/>
      </c>
      <c r="V129" t="str">
        <f t="shared" si="21"/>
        <v/>
      </c>
      <c r="W129" t="str">
        <f t="shared" si="22"/>
        <v/>
      </c>
      <c r="X129" s="2" t="str">
        <f t="shared" si="23"/>
        <v/>
      </c>
      <c r="Y129" t="str">
        <f>VLOOKUP($A129,ScionOutput!$A$3:$BL$215,64,FALSE)</f>
        <v xml:space="preserve">822887. LineStatEns probability points gap does not exceed threshold (no edge found)! StatOnlyEns probability points gap does not exceed threshold (no edge found)! No play due to strategy constraints. </v>
      </c>
    </row>
    <row r="130" spans="1:25" x14ac:dyDescent="0.2">
      <c r="A130">
        <v>824912</v>
      </c>
      <c r="B130" s="3">
        <f>VLOOKUP($A130,ScionOutput!$A$3:$BL$215,3,FALSE)</f>
        <v>46189</v>
      </c>
      <c r="C130">
        <f>VLOOKUP($A130,ScionOutput!$A$3:$BL$215,22,FALSE)</f>
        <v>0</v>
      </c>
      <c r="D130" t="str">
        <f>VLOOKUP($A130,ScionOutput!$A$3:$BL$215,23,FALSE)</f>
        <v>ATL</v>
      </c>
      <c r="E130">
        <f>VLOOKUP($A130,ScionOutput!$A$3:$BL$215,6,FALSE)</f>
        <v>25</v>
      </c>
      <c r="F130" t="str">
        <f>VLOOKUP($A130,ScionOutput!$A$3:$BL$215,7,FALSE)</f>
        <v>SF</v>
      </c>
      <c r="G130">
        <f>VLOOKUP($A130,ScionOutput!$A$3:$BL$215,26,FALSE)</f>
        <v>-169</v>
      </c>
      <c r="H130">
        <f>VLOOKUP($A130,ScionOutput!$A$3:$BL$215,10,FALSE)</f>
        <v>154</v>
      </c>
      <c r="I130" t="str">
        <f>VLOOKUP($A130,ScionOutput!$A$3:$BL$215,58,FALSE)</f>
        <v>No Play</v>
      </c>
      <c r="J130">
        <f>VLOOKUP($A130,ScionOutput!$A$3:$BL$215,59,FALSE)</f>
        <v>0</v>
      </c>
      <c r="K130">
        <f>VLOOKUP($A130,ScionOutput!$A$3:$BL$215,62,FALSE)</f>
        <v>0</v>
      </c>
      <c r="L130">
        <f>VLOOKUP($A130,ScionOutput!$A$3:$BL$215,63,FALSE)</f>
        <v>0</v>
      </c>
      <c r="M130" t="b">
        <f t="shared" si="16"/>
        <v>0</v>
      </c>
      <c r="N130">
        <f>VLOOKUP($A130,Outcomes!$B$3:$I$209,8,FALSE)</f>
        <v>9</v>
      </c>
      <c r="O130">
        <f t="shared" si="17"/>
        <v>-1</v>
      </c>
      <c r="P130">
        <f>VLOOKUP($A130,Outcomes!$B$3:$I$209,5,FALSE)</f>
        <v>2</v>
      </c>
      <c r="Q130">
        <f>VLOOKUP($A130,Outcomes!$B$3:$I$209,6,FALSE)</f>
        <v>7</v>
      </c>
      <c r="R130">
        <f>VLOOKUP($A130,Outcomes!$B$3:$I$209,7,FALSE)</f>
        <v>5</v>
      </c>
      <c r="S130" t="str">
        <f t="shared" si="18"/>
        <v>VisDog</v>
      </c>
      <c r="T130" t="str">
        <f t="shared" si="19"/>
        <v/>
      </c>
      <c r="U130" t="str">
        <f t="shared" si="20"/>
        <v/>
      </c>
      <c r="V130" t="str">
        <f t="shared" si="21"/>
        <v/>
      </c>
      <c r="W130" t="str">
        <f t="shared" si="22"/>
        <v/>
      </c>
      <c r="X130" s="2" t="str">
        <f t="shared" si="23"/>
        <v/>
      </c>
      <c r="Y130" t="str">
        <f>VLOOKUP($A130,ScionOutput!$A$3:$BL$215,64,FALSE)</f>
        <v xml:space="preserve">824912. LineStatEns is NoPlay as bookie-line outside range. StatOnlyEns is NoPlay as bookie-line outside range. No play due to strategy constraints. </v>
      </c>
    </row>
    <row r="131" spans="1:25" x14ac:dyDescent="0.2">
      <c r="A131">
        <v>825070</v>
      </c>
      <c r="B131" s="3">
        <f>VLOOKUP($A131,ScionOutput!$A$3:$BL$215,3,FALSE)</f>
        <v>46189</v>
      </c>
      <c r="C131">
        <f>VLOOKUP($A131,ScionOutput!$A$3:$BL$215,22,FALSE)</f>
        <v>1</v>
      </c>
      <c r="D131" t="str">
        <f>VLOOKUP($A131,ScionOutput!$A$3:$BL$215,23,FALSE)</f>
        <v>ARZ</v>
      </c>
      <c r="E131">
        <f>VLOOKUP($A131,ScionOutput!$A$3:$BL$215,6,FALSE)</f>
        <v>4</v>
      </c>
      <c r="F131" t="str">
        <f>VLOOKUP($A131,ScionOutput!$A$3:$BL$215,7,FALSE)</f>
        <v>LAA</v>
      </c>
      <c r="G131">
        <f>VLOOKUP($A131,ScionOutput!$A$3:$BL$215,26,FALSE)</f>
        <v>-101</v>
      </c>
      <c r="H131">
        <f>VLOOKUP($A131,ScionOutput!$A$3:$BL$215,10,FALSE)</f>
        <v>-107</v>
      </c>
      <c r="I131" t="str">
        <f>VLOOKUP($A131,ScionOutput!$A$3:$BL$215,58,FALSE)</f>
        <v>No Play</v>
      </c>
      <c r="J131">
        <f>VLOOKUP($A131,ScionOutput!$A$3:$BL$215,59,FALSE)</f>
        <v>0</v>
      </c>
      <c r="K131">
        <f>VLOOKUP($A131,ScionOutput!$A$3:$BL$215,62,FALSE)</f>
        <v>0</v>
      </c>
      <c r="L131">
        <f>VLOOKUP($A131,ScionOutput!$A$3:$BL$215,63,FALSE)</f>
        <v>0</v>
      </c>
      <c r="M131" t="b">
        <f t="shared" ref="M131:M194" si="24">ISNUMBER(SEARCH("Play determined by LineStatEns and StatOnlyEns agreement", Y131))</f>
        <v>0</v>
      </c>
      <c r="N131">
        <f>VLOOKUP($A131,Outcomes!$B$3:$I$209,8,FALSE)</f>
        <v>7</v>
      </c>
      <c r="O131">
        <f t="shared" si="17"/>
        <v>-1</v>
      </c>
      <c r="P131">
        <f>VLOOKUP($A131,Outcomes!$B$3:$I$209,5,FALSE)</f>
        <v>0</v>
      </c>
      <c r="Q131">
        <f>VLOOKUP($A131,Outcomes!$B$3:$I$209,6,FALSE)</f>
        <v>7</v>
      </c>
      <c r="R131">
        <f>VLOOKUP($A131,Outcomes!$B$3:$I$209,7,FALSE)</f>
        <v>7</v>
      </c>
      <c r="S131" t="str">
        <f t="shared" si="18"/>
        <v>VisFave</v>
      </c>
      <c r="T131" t="str">
        <f t="shared" si="19"/>
        <v/>
      </c>
      <c r="U131" t="str">
        <f t="shared" si="20"/>
        <v/>
      </c>
      <c r="V131" t="str">
        <f t="shared" si="21"/>
        <v/>
      </c>
      <c r="W131" t="str">
        <f t="shared" si="22"/>
        <v/>
      </c>
      <c r="X131" s="2" t="str">
        <f t="shared" si="23"/>
        <v/>
      </c>
      <c r="Y131" t="str">
        <f>VLOOKUP($A131,ScionOutput!$A$3:$BL$215,64,FALSE)</f>
        <v xml:space="preserve">825070. VF plays are disallowed. No play due to strategy constraints. </v>
      </c>
    </row>
    <row r="132" spans="1:25" x14ac:dyDescent="0.2">
      <c r="A132">
        <v>824750</v>
      </c>
      <c r="B132" s="3">
        <f>VLOOKUP($A132,ScionOutput!$A$3:$BL$215,3,FALSE)</f>
        <v>46189</v>
      </c>
      <c r="C132">
        <f>VLOOKUP($A132,ScionOutput!$A$3:$BL$215,22,FALSE)</f>
        <v>3</v>
      </c>
      <c r="D132" t="str">
        <f>VLOOKUP($A132,ScionOutput!$A$3:$BL$215,23,FALSE)</f>
        <v>BOS</v>
      </c>
      <c r="E132">
        <f>VLOOKUP($A132,ScionOutput!$A$3:$BL$215,6,FALSE)</f>
        <v>29</v>
      </c>
      <c r="F132" t="str">
        <f>VLOOKUP($A132,ScionOutput!$A$3:$BL$215,7,FALSE)</f>
        <v>TOR</v>
      </c>
      <c r="G132">
        <f>VLOOKUP($A132,ScionOutput!$A$3:$BL$215,26,FALSE)</f>
        <v>105</v>
      </c>
      <c r="H132">
        <f>VLOOKUP($A132,ScionOutput!$A$3:$BL$215,10,FALSE)</f>
        <v>-114</v>
      </c>
      <c r="I132" t="str">
        <f>VLOOKUP($A132,ScionOutput!$A$3:$BL$215,58,FALSE)</f>
        <v>No Play</v>
      </c>
      <c r="J132">
        <f>VLOOKUP($A132,ScionOutput!$A$3:$BL$215,59,FALSE)</f>
        <v>0</v>
      </c>
      <c r="K132">
        <f>VLOOKUP($A132,ScionOutput!$A$3:$BL$215,62,FALSE)</f>
        <v>0</v>
      </c>
      <c r="L132">
        <f>VLOOKUP($A132,ScionOutput!$A$3:$BL$215,63,FALSE)</f>
        <v>0</v>
      </c>
      <c r="M132" t="b">
        <f t="shared" si="24"/>
        <v>0</v>
      </c>
      <c r="N132">
        <f>VLOOKUP($A132,Outcomes!$B$3:$I$209,8,FALSE)</f>
        <v>7</v>
      </c>
      <c r="O132">
        <f t="shared" si="17"/>
        <v>-1</v>
      </c>
      <c r="P132">
        <f>VLOOKUP($A132,Outcomes!$B$3:$I$209,5,FALSE)</f>
        <v>1</v>
      </c>
      <c r="Q132">
        <f>VLOOKUP($A132,Outcomes!$B$3:$I$209,6,FALSE)</f>
        <v>6</v>
      </c>
      <c r="R132">
        <f>VLOOKUP($A132,Outcomes!$B$3:$I$209,7,FALSE)</f>
        <v>5</v>
      </c>
      <c r="S132" t="str">
        <f t="shared" si="18"/>
        <v>VisFave</v>
      </c>
      <c r="T132" t="str">
        <f t="shared" si="19"/>
        <v/>
      </c>
      <c r="U132" t="str">
        <f t="shared" si="20"/>
        <v/>
      </c>
      <c r="V132" t="str">
        <f t="shared" si="21"/>
        <v/>
      </c>
      <c r="W132" t="str">
        <f t="shared" si="22"/>
        <v/>
      </c>
      <c r="X132" s="2" t="str">
        <f t="shared" si="23"/>
        <v/>
      </c>
      <c r="Y132" t="str">
        <f>VLOOKUP($A132,ScionOutput!$A$3:$BL$215,64,FALSE)</f>
        <v xml:space="preserve">824750. VF plays are disallowed. No play due to strategy constraints. </v>
      </c>
    </row>
    <row r="133" spans="1:25" x14ac:dyDescent="0.2">
      <c r="A133">
        <v>824667</v>
      </c>
      <c r="B133" s="3">
        <f>VLOOKUP($A133,ScionOutput!$A$3:$BL$215,3,FALSE)</f>
        <v>46189</v>
      </c>
      <c r="C133">
        <f>VLOOKUP($A133,ScionOutput!$A$3:$BL$215,22,FALSE)</f>
        <v>5</v>
      </c>
      <c r="D133" t="str">
        <f>VLOOKUP($A133,ScionOutput!$A$3:$BL$215,23,FALSE)</f>
        <v>CHC</v>
      </c>
      <c r="E133">
        <f>VLOOKUP($A133,ScionOutput!$A$3:$BL$215,6,FALSE)</f>
        <v>8</v>
      </c>
      <c r="F133" t="str">
        <f>VLOOKUP($A133,ScionOutput!$A$3:$BL$215,7,FALSE)</f>
        <v>COL</v>
      </c>
      <c r="G133">
        <f>VLOOKUP($A133,ScionOutput!$A$3:$BL$215,26,FALSE)</f>
        <v>-194</v>
      </c>
      <c r="H133">
        <f>VLOOKUP($A133,ScionOutput!$A$3:$BL$215,10,FALSE)</f>
        <v>176</v>
      </c>
      <c r="I133" t="str">
        <f>VLOOKUP($A133,ScionOutput!$A$3:$BL$215,58,FALSE)</f>
        <v>No Play</v>
      </c>
      <c r="J133">
        <f>VLOOKUP($A133,ScionOutput!$A$3:$BL$215,59,FALSE)</f>
        <v>0</v>
      </c>
      <c r="K133">
        <f>VLOOKUP($A133,ScionOutput!$A$3:$BL$215,62,FALSE)</f>
        <v>0</v>
      </c>
      <c r="L133">
        <f>VLOOKUP($A133,ScionOutput!$A$3:$BL$215,63,FALSE)</f>
        <v>0</v>
      </c>
      <c r="M133" t="b">
        <f t="shared" si="24"/>
        <v>0</v>
      </c>
      <c r="N133">
        <f>VLOOKUP($A133,Outcomes!$B$3:$I$209,8,FALSE)</f>
        <v>7</v>
      </c>
      <c r="O133">
        <f t="shared" si="17"/>
        <v>-1</v>
      </c>
      <c r="P133">
        <f>VLOOKUP($A133,Outcomes!$B$3:$I$209,5,FALSE)</f>
        <v>2</v>
      </c>
      <c r="Q133">
        <f>VLOOKUP($A133,Outcomes!$B$3:$I$209,6,FALSE)</f>
        <v>5</v>
      </c>
      <c r="R133">
        <f>VLOOKUP($A133,Outcomes!$B$3:$I$209,7,FALSE)</f>
        <v>3</v>
      </c>
      <c r="S133" t="str">
        <f t="shared" si="18"/>
        <v>VisDog</v>
      </c>
      <c r="T133" t="str">
        <f t="shared" si="19"/>
        <v/>
      </c>
      <c r="U133" t="str">
        <f t="shared" si="20"/>
        <v/>
      </c>
      <c r="V133" t="str">
        <f t="shared" si="21"/>
        <v/>
      </c>
      <c r="W133" t="str">
        <f t="shared" si="22"/>
        <v/>
      </c>
      <c r="X133" s="2" t="str">
        <f t="shared" si="23"/>
        <v/>
      </c>
      <c r="Y133" t="str">
        <f>VLOOKUP($A133,ScionOutput!$A$3:$BL$215,64,FALSE)</f>
        <v xml:space="preserve">824667. LineStatEns is NoPlay as bookie-line outside range. StatOnlyEns is NoPlay as bookie-line outside range. No play due to strategy constraints. </v>
      </c>
    </row>
    <row r="134" spans="1:25" x14ac:dyDescent="0.2">
      <c r="A134">
        <v>824504</v>
      </c>
      <c r="B134" s="3">
        <f>VLOOKUP($A134,ScionOutput!$A$3:$BL$215,3,FALSE)</f>
        <v>46189</v>
      </c>
      <c r="C134">
        <f>VLOOKUP($A134,ScionOutput!$A$3:$BL$215,22,FALSE)</f>
        <v>6</v>
      </c>
      <c r="D134" t="str">
        <f>VLOOKUP($A134,ScionOutput!$A$3:$BL$215,23,FALSE)</f>
        <v>CIN</v>
      </c>
      <c r="E134">
        <f>VLOOKUP($A134,ScionOutput!$A$3:$BL$215,6,FALSE)</f>
        <v>18</v>
      </c>
      <c r="F134" t="str">
        <f>VLOOKUP($A134,ScionOutput!$A$3:$BL$215,7,FALSE)</f>
        <v>NYM</v>
      </c>
      <c r="G134">
        <f>VLOOKUP($A134,ScionOutput!$A$3:$BL$215,26,FALSE)</f>
        <v>107</v>
      </c>
      <c r="H134">
        <f>VLOOKUP($A134,ScionOutput!$A$3:$BL$215,10,FALSE)</f>
        <v>-115</v>
      </c>
      <c r="I134" t="str">
        <f>VLOOKUP($A134,ScionOutput!$A$3:$BL$215,58,FALSE)</f>
        <v>No Play</v>
      </c>
      <c r="J134">
        <f>VLOOKUP($A134,ScionOutput!$A$3:$BL$215,59,FALSE)</f>
        <v>0</v>
      </c>
      <c r="K134">
        <f>VLOOKUP($A134,ScionOutput!$A$3:$BL$215,62,FALSE)</f>
        <v>0</v>
      </c>
      <c r="L134">
        <f>VLOOKUP($A134,ScionOutput!$A$3:$BL$215,63,FALSE)</f>
        <v>0</v>
      </c>
      <c r="M134" t="b">
        <f t="shared" si="24"/>
        <v>0</v>
      </c>
      <c r="N134">
        <f>VLOOKUP($A134,Outcomes!$B$3:$I$209,8,FALSE)</f>
        <v>8</v>
      </c>
      <c r="O134">
        <f t="shared" si="17"/>
        <v>1</v>
      </c>
      <c r="P134">
        <f>VLOOKUP($A134,Outcomes!$B$3:$I$209,5,FALSE)</f>
        <v>5</v>
      </c>
      <c r="Q134">
        <f>VLOOKUP($A134,Outcomes!$B$3:$I$209,6,FALSE)</f>
        <v>3</v>
      </c>
      <c r="R134">
        <f>VLOOKUP($A134,Outcomes!$B$3:$I$209,7,FALSE)</f>
        <v>-2</v>
      </c>
      <c r="S134" t="str">
        <f t="shared" si="18"/>
        <v>HomDog</v>
      </c>
      <c r="T134" t="str">
        <f t="shared" si="19"/>
        <v/>
      </c>
      <c r="U134" t="str">
        <f t="shared" si="20"/>
        <v/>
      </c>
      <c r="V134" t="str">
        <f t="shared" si="21"/>
        <v/>
      </c>
      <c r="W134" t="str">
        <f t="shared" si="22"/>
        <v/>
      </c>
      <c r="X134" s="2" t="str">
        <f t="shared" si="23"/>
        <v/>
      </c>
      <c r="Y134" t="str">
        <f>VLOOKUP($A134,ScionOutput!$A$3:$BL$215,64,FALSE)</f>
        <v xml:space="preserve">824504. VF plays are disallowed. No play due to strategy constraints. </v>
      </c>
    </row>
    <row r="135" spans="1:25" x14ac:dyDescent="0.2">
      <c r="A135">
        <v>824182</v>
      </c>
      <c r="B135" s="3">
        <f>VLOOKUP($A135,ScionOutput!$A$3:$BL$215,3,FALSE)</f>
        <v>46189</v>
      </c>
      <c r="C135">
        <f>VLOOKUP($A135,ScionOutput!$A$3:$BL$215,22,FALSE)</f>
        <v>12</v>
      </c>
      <c r="D135" t="str">
        <f>VLOOKUP($A135,ScionOutput!$A$3:$BL$215,23,FALSE)</f>
        <v>HOU</v>
      </c>
      <c r="E135">
        <f>VLOOKUP($A135,ScionOutput!$A$3:$BL$215,6,FALSE)</f>
        <v>10</v>
      </c>
      <c r="F135" t="str">
        <f>VLOOKUP($A135,ScionOutput!$A$3:$BL$215,7,FALSE)</f>
        <v>DET</v>
      </c>
      <c r="G135">
        <f>VLOOKUP($A135,ScionOutput!$A$3:$BL$215,26,FALSE)</f>
        <v>-167</v>
      </c>
      <c r="H135">
        <f>VLOOKUP($A135,ScionOutput!$A$3:$BL$215,10,FALSE)</f>
        <v>153</v>
      </c>
      <c r="I135" t="str">
        <f>VLOOKUP($A135,ScionOutput!$A$3:$BL$215,58,FALSE)</f>
        <v>No Play</v>
      </c>
      <c r="J135">
        <f>VLOOKUP($A135,ScionOutput!$A$3:$BL$215,59,FALSE)</f>
        <v>0</v>
      </c>
      <c r="K135">
        <f>VLOOKUP($A135,ScionOutput!$A$3:$BL$215,62,FALSE)</f>
        <v>0</v>
      </c>
      <c r="L135">
        <f>VLOOKUP($A135,ScionOutput!$A$3:$BL$215,63,FALSE)</f>
        <v>0</v>
      </c>
      <c r="M135" t="b">
        <f t="shared" si="24"/>
        <v>0</v>
      </c>
      <c r="N135">
        <f>VLOOKUP($A135,Outcomes!$B$3:$I$209,8,FALSE)</f>
        <v>6</v>
      </c>
      <c r="O135">
        <f t="shared" si="17"/>
        <v>1</v>
      </c>
      <c r="P135">
        <f>VLOOKUP($A135,Outcomes!$B$3:$I$209,5,FALSE)</f>
        <v>4</v>
      </c>
      <c r="Q135">
        <f>VLOOKUP($A135,Outcomes!$B$3:$I$209,6,FALSE)</f>
        <v>2</v>
      </c>
      <c r="R135">
        <f>VLOOKUP($A135,Outcomes!$B$3:$I$209,7,FALSE)</f>
        <v>-2</v>
      </c>
      <c r="S135" t="str">
        <f t="shared" si="18"/>
        <v>HomFave</v>
      </c>
      <c r="T135" t="str">
        <f t="shared" si="19"/>
        <v/>
      </c>
      <c r="U135" t="str">
        <f t="shared" si="20"/>
        <v/>
      </c>
      <c r="V135" t="str">
        <f t="shared" si="21"/>
        <v/>
      </c>
      <c r="W135" t="str">
        <f t="shared" si="22"/>
        <v/>
      </c>
      <c r="X135" s="2" t="str">
        <f t="shared" si="23"/>
        <v/>
      </c>
      <c r="Y135" t="str">
        <f>VLOOKUP($A135,ScionOutput!$A$3:$BL$215,64,FALSE)</f>
        <v xml:space="preserve">824182. LineStatEns is NoPlay as bookie-line outside range. StatOnlyEns is NoPlay as bookie-line outside range. No play due to strategy constraints. </v>
      </c>
    </row>
    <row r="136" spans="1:25" x14ac:dyDescent="0.2">
      <c r="A136">
        <v>823939</v>
      </c>
      <c r="B136" s="3">
        <f>VLOOKUP($A136,ScionOutput!$A$3:$BL$215,3,FALSE)</f>
        <v>46189</v>
      </c>
      <c r="C136">
        <f>VLOOKUP($A136,ScionOutput!$A$3:$BL$215,22,FALSE)</f>
        <v>14</v>
      </c>
      <c r="D136" t="str">
        <f>VLOOKUP($A136,ScionOutput!$A$3:$BL$215,23,FALSE)</f>
        <v>LA</v>
      </c>
      <c r="E136">
        <f>VLOOKUP($A136,ScionOutput!$A$3:$BL$215,6,FALSE)</f>
        <v>27</v>
      </c>
      <c r="F136" t="str">
        <f>VLOOKUP($A136,ScionOutput!$A$3:$BL$215,7,FALSE)</f>
        <v>TB</v>
      </c>
      <c r="G136">
        <f>VLOOKUP($A136,ScionOutput!$A$3:$BL$215,26,FALSE)</f>
        <v>-144</v>
      </c>
      <c r="H136">
        <f>VLOOKUP($A136,ScionOutput!$A$3:$BL$215,10,FALSE)</f>
        <v>133</v>
      </c>
      <c r="I136" t="str">
        <f>VLOOKUP($A136,ScionOutput!$A$3:$BL$215,58,FALSE)</f>
        <v>No Play</v>
      </c>
      <c r="J136">
        <f>VLOOKUP($A136,ScionOutput!$A$3:$BL$215,59,FALSE)</f>
        <v>0</v>
      </c>
      <c r="K136">
        <f>VLOOKUP($A136,ScionOutput!$A$3:$BL$215,62,FALSE)</f>
        <v>0</v>
      </c>
      <c r="L136">
        <f>VLOOKUP($A136,ScionOutput!$A$3:$BL$215,63,FALSE)</f>
        <v>0</v>
      </c>
      <c r="M136" t="b">
        <f t="shared" si="24"/>
        <v>0</v>
      </c>
      <c r="N136">
        <f>VLOOKUP($A136,Outcomes!$B$3:$I$209,8,FALSE)</f>
        <v>1</v>
      </c>
      <c r="O136">
        <f t="shared" si="17"/>
        <v>1</v>
      </c>
      <c r="P136">
        <f>VLOOKUP($A136,Outcomes!$B$3:$I$209,5,FALSE)</f>
        <v>1</v>
      </c>
      <c r="Q136">
        <f>VLOOKUP($A136,Outcomes!$B$3:$I$209,6,FALSE)</f>
        <v>0</v>
      </c>
      <c r="R136">
        <f>VLOOKUP($A136,Outcomes!$B$3:$I$209,7,FALSE)</f>
        <v>-1</v>
      </c>
      <c r="S136" t="str">
        <f t="shared" si="18"/>
        <v>HomFave</v>
      </c>
      <c r="T136" t="str">
        <f t="shared" si="19"/>
        <v/>
      </c>
      <c r="U136" t="str">
        <f t="shared" si="20"/>
        <v/>
      </c>
      <c r="V136" t="str">
        <f t="shared" si="21"/>
        <v/>
      </c>
      <c r="W136" t="str">
        <f t="shared" si="22"/>
        <v/>
      </c>
      <c r="X136" s="2" t="str">
        <f t="shared" si="23"/>
        <v/>
      </c>
      <c r="Y136" t="str">
        <f>VLOOKUP($A136,ScionOutput!$A$3:$BL$215,64,FALSE)</f>
        <v xml:space="preserve">823939. LineStatEns probability points gap does not exceed threshold (no edge found)! StatOnlyEns probability points gap does not exceed threshold (no edge found)! No play due to strategy constraints. </v>
      </c>
    </row>
    <row r="137" spans="1:25" x14ac:dyDescent="0.2">
      <c r="A137">
        <v>822723</v>
      </c>
      <c r="B137" s="3">
        <f>VLOOKUP($A137,ScionOutput!$A$3:$BL$215,3,FALSE)</f>
        <v>46189</v>
      </c>
      <c r="C137">
        <f>VLOOKUP($A137,ScionOutput!$A$3:$BL$215,22,FALSE)</f>
        <v>16</v>
      </c>
      <c r="D137" t="str">
        <f>VLOOKUP($A137,ScionOutput!$A$3:$BL$215,23,FALSE)</f>
        <v>WAS</v>
      </c>
      <c r="E137">
        <f>VLOOKUP($A137,ScionOutput!$A$3:$BL$215,6,FALSE)</f>
        <v>13</v>
      </c>
      <c r="F137" t="str">
        <f>VLOOKUP($A137,ScionOutput!$A$3:$BL$215,7,FALSE)</f>
        <v>KC</v>
      </c>
      <c r="G137">
        <f>VLOOKUP($A137,ScionOutput!$A$3:$BL$215,26,FALSE)</f>
        <v>-131</v>
      </c>
      <c r="H137">
        <f>VLOOKUP($A137,ScionOutput!$A$3:$BL$215,10,FALSE)</f>
        <v>121</v>
      </c>
      <c r="I137" t="str">
        <f>VLOOKUP($A137,ScionOutput!$A$3:$BL$215,58,FALSE)</f>
        <v>No Play</v>
      </c>
      <c r="J137">
        <f>VLOOKUP($A137,ScionOutput!$A$3:$BL$215,59,FALSE)</f>
        <v>0</v>
      </c>
      <c r="K137">
        <f>VLOOKUP($A137,ScionOutput!$A$3:$BL$215,62,FALSE)</f>
        <v>0</v>
      </c>
      <c r="L137">
        <f>VLOOKUP($A137,ScionOutput!$A$3:$BL$215,63,FALSE)</f>
        <v>0</v>
      </c>
      <c r="M137" t="b">
        <f t="shared" si="24"/>
        <v>0</v>
      </c>
      <c r="N137">
        <f>VLOOKUP($A137,Outcomes!$B$3:$I$209,8,FALSE)</f>
        <v>10</v>
      </c>
      <c r="O137">
        <f t="shared" si="17"/>
        <v>1</v>
      </c>
      <c r="P137">
        <f>VLOOKUP($A137,Outcomes!$B$3:$I$209,5,FALSE)</f>
        <v>6</v>
      </c>
      <c r="Q137">
        <f>VLOOKUP($A137,Outcomes!$B$3:$I$209,6,FALSE)</f>
        <v>4</v>
      </c>
      <c r="R137">
        <f>VLOOKUP($A137,Outcomes!$B$3:$I$209,7,FALSE)</f>
        <v>-2</v>
      </c>
      <c r="S137" t="str">
        <f t="shared" si="18"/>
        <v>HomFave</v>
      </c>
      <c r="T137" t="str">
        <f t="shared" si="19"/>
        <v/>
      </c>
      <c r="U137" t="str">
        <f t="shared" si="20"/>
        <v/>
      </c>
      <c r="V137" t="str">
        <f t="shared" si="21"/>
        <v/>
      </c>
      <c r="W137" t="str">
        <f t="shared" si="22"/>
        <v/>
      </c>
      <c r="X137" s="2" t="str">
        <f t="shared" si="23"/>
        <v/>
      </c>
      <c r="Y137" t="str">
        <f>VLOOKUP($A137,ScionOutput!$A$3:$BL$215,64,FALSE)</f>
        <v xml:space="preserve">822723. LineStatEns probability points gap does not exceed threshold (no edge found)! StatOnlyEns probability points gap does not exceed threshold (no edge found)! No play due to strategy constraints. </v>
      </c>
    </row>
    <row r="138" spans="1:25" x14ac:dyDescent="0.2">
      <c r="A138">
        <v>823775</v>
      </c>
      <c r="B138" s="3">
        <f>VLOOKUP($A138,ScionOutput!$A$3:$BL$215,3,FALSE)</f>
        <v>46189</v>
      </c>
      <c r="C138">
        <f>VLOOKUP($A138,ScionOutput!$A$3:$BL$215,22,FALSE)</f>
        <v>17</v>
      </c>
      <c r="D138" t="str">
        <f>VLOOKUP($A138,ScionOutput!$A$3:$BL$215,23,FALSE)</f>
        <v>MLW</v>
      </c>
      <c r="E138">
        <f>VLOOKUP($A138,ScionOutput!$A$3:$BL$215,6,FALSE)</f>
        <v>7</v>
      </c>
      <c r="F138" t="str">
        <f>VLOOKUP($A138,ScionOutput!$A$3:$BL$215,7,FALSE)</f>
        <v>CLE</v>
      </c>
      <c r="G138">
        <f>VLOOKUP($A138,ScionOutput!$A$3:$BL$215,26,FALSE)</f>
        <v>-151</v>
      </c>
      <c r="H138">
        <f>VLOOKUP($A138,ScionOutput!$A$3:$BL$215,10,FALSE)</f>
        <v>139</v>
      </c>
      <c r="I138" t="str">
        <f>VLOOKUP($A138,ScionOutput!$A$3:$BL$215,58,FALSE)</f>
        <v>No Play</v>
      </c>
      <c r="J138">
        <f>VLOOKUP($A138,ScionOutput!$A$3:$BL$215,59,FALSE)</f>
        <v>0</v>
      </c>
      <c r="K138">
        <f>VLOOKUP($A138,ScionOutput!$A$3:$BL$215,62,FALSE)</f>
        <v>0</v>
      </c>
      <c r="L138">
        <f>VLOOKUP($A138,ScionOutput!$A$3:$BL$215,63,FALSE)</f>
        <v>0</v>
      </c>
      <c r="M138" t="b">
        <f t="shared" si="24"/>
        <v>0</v>
      </c>
      <c r="N138">
        <f>VLOOKUP($A138,Outcomes!$B$3:$I$209,8,FALSE)</f>
        <v>3</v>
      </c>
      <c r="O138">
        <f t="shared" si="17"/>
        <v>1</v>
      </c>
      <c r="P138">
        <f>VLOOKUP($A138,Outcomes!$B$3:$I$209,5,FALSE)</f>
        <v>2</v>
      </c>
      <c r="Q138">
        <f>VLOOKUP($A138,Outcomes!$B$3:$I$209,6,FALSE)</f>
        <v>1</v>
      </c>
      <c r="R138">
        <f>VLOOKUP($A138,Outcomes!$B$3:$I$209,7,FALSE)</f>
        <v>-1</v>
      </c>
      <c r="S138" t="str">
        <f t="shared" si="18"/>
        <v>HomFave</v>
      </c>
      <c r="T138" t="str">
        <f t="shared" si="19"/>
        <v/>
      </c>
      <c r="U138" t="str">
        <f t="shared" si="20"/>
        <v/>
      </c>
      <c r="V138" t="str">
        <f t="shared" si="21"/>
        <v/>
      </c>
      <c r="W138" t="str">
        <f t="shared" si="22"/>
        <v/>
      </c>
      <c r="X138" s="2" t="str">
        <f t="shared" si="23"/>
        <v/>
      </c>
      <c r="Y138" t="str">
        <f>VLOOKUP($A138,ScionOutput!$A$3:$BL$215,64,FALSE)</f>
        <v xml:space="preserve">823775. LineStatEns is NoPlay as bookie-line outside range. StatOnlyEns is NoPlay as bookie-line outside range. No play due to strategy constraints. </v>
      </c>
    </row>
    <row r="139" spans="1:25" x14ac:dyDescent="0.2">
      <c r="A139">
        <v>823535</v>
      </c>
      <c r="B139" s="3">
        <f>VLOOKUP($A139,ScionOutput!$A$3:$BL$215,3,FALSE)</f>
        <v>46189</v>
      </c>
      <c r="C139">
        <f>VLOOKUP($A139,ScionOutput!$A$3:$BL$215,22,FALSE)</f>
        <v>19</v>
      </c>
      <c r="D139" t="str">
        <f>VLOOKUP($A139,ScionOutput!$A$3:$BL$215,23,FALSE)</f>
        <v>NYY</v>
      </c>
      <c r="E139">
        <f>VLOOKUP($A139,ScionOutput!$A$3:$BL$215,6,FALSE)</f>
        <v>9</v>
      </c>
      <c r="F139" t="str">
        <f>VLOOKUP($A139,ScionOutput!$A$3:$BL$215,7,FALSE)</f>
        <v>CWS</v>
      </c>
      <c r="G139">
        <f>VLOOKUP($A139,ScionOutput!$A$3:$BL$215,26,FALSE)</f>
        <v>-138</v>
      </c>
      <c r="H139">
        <f>VLOOKUP($A139,ScionOutput!$A$3:$BL$215,10,FALSE)</f>
        <v>127</v>
      </c>
      <c r="I139" t="str">
        <f>VLOOKUP($A139,ScionOutput!$A$3:$BL$215,58,FALSE)</f>
        <v>No Play</v>
      </c>
      <c r="J139">
        <f>VLOOKUP($A139,ScionOutput!$A$3:$BL$215,59,FALSE)</f>
        <v>0</v>
      </c>
      <c r="K139">
        <f>VLOOKUP($A139,ScionOutput!$A$3:$BL$215,62,FALSE)</f>
        <v>0</v>
      </c>
      <c r="L139">
        <f>VLOOKUP($A139,ScionOutput!$A$3:$BL$215,63,FALSE)</f>
        <v>0</v>
      </c>
      <c r="M139" t="b">
        <f t="shared" si="24"/>
        <v>0</v>
      </c>
      <c r="N139">
        <f>VLOOKUP($A139,Outcomes!$B$3:$I$209,8,FALSE)</f>
        <v>14</v>
      </c>
      <c r="O139">
        <f t="shared" si="17"/>
        <v>1</v>
      </c>
      <c r="P139">
        <f>VLOOKUP($A139,Outcomes!$B$3:$I$209,5,FALSE)</f>
        <v>12</v>
      </c>
      <c r="Q139">
        <f>VLOOKUP($A139,Outcomes!$B$3:$I$209,6,FALSE)</f>
        <v>2</v>
      </c>
      <c r="R139">
        <f>VLOOKUP($A139,Outcomes!$B$3:$I$209,7,FALSE)</f>
        <v>-10</v>
      </c>
      <c r="S139" t="str">
        <f t="shared" si="18"/>
        <v>HomFave</v>
      </c>
      <c r="T139" t="str">
        <f t="shared" si="19"/>
        <v/>
      </c>
      <c r="U139" t="str">
        <f t="shared" si="20"/>
        <v/>
      </c>
      <c r="V139" t="str">
        <f t="shared" si="21"/>
        <v/>
      </c>
      <c r="W139" t="str">
        <f t="shared" si="22"/>
        <v/>
      </c>
      <c r="X139" s="2" t="str">
        <f t="shared" si="23"/>
        <v/>
      </c>
      <c r="Y139" t="str">
        <f>VLOOKUP($A139,ScionOutput!$A$3:$BL$215,64,FALSE)</f>
        <v xml:space="preserve">823535. LineStatEns probability points gap does not exceed threshold (no edge found)! StatOnlyEns probability points gap does not exceed threshold (no edge found)! No play due to strategy constraints. </v>
      </c>
    </row>
    <row r="140" spans="1:25" x14ac:dyDescent="0.2">
      <c r="A140">
        <v>824991</v>
      </c>
      <c r="B140" s="3">
        <f>VLOOKUP($A140,ScionOutput!$A$3:$BL$215,3,FALSE)</f>
        <v>46189</v>
      </c>
      <c r="C140">
        <f>VLOOKUP($A140,ScionOutput!$A$3:$BL$215,22,FALSE)</f>
        <v>20</v>
      </c>
      <c r="D140" t="str">
        <f>VLOOKUP($A140,ScionOutput!$A$3:$BL$215,23,FALSE)</f>
        <v>OAK</v>
      </c>
      <c r="E140">
        <f>VLOOKUP($A140,ScionOutput!$A$3:$BL$215,6,FALSE)</f>
        <v>22</v>
      </c>
      <c r="F140" t="str">
        <f>VLOOKUP($A140,ScionOutput!$A$3:$BL$215,7,FALSE)</f>
        <v>PIT</v>
      </c>
      <c r="G140">
        <f>VLOOKUP($A140,ScionOutput!$A$3:$BL$215,26,FALSE)</f>
        <v>-137</v>
      </c>
      <c r="H140">
        <f>VLOOKUP($A140,ScionOutput!$A$3:$BL$215,10,FALSE)</f>
        <v>126</v>
      </c>
      <c r="I140" t="str">
        <f>VLOOKUP($A140,ScionOutput!$A$3:$BL$215,58,FALSE)</f>
        <v>No Play</v>
      </c>
      <c r="J140">
        <f>VLOOKUP($A140,ScionOutput!$A$3:$BL$215,59,FALSE)</f>
        <v>0</v>
      </c>
      <c r="K140">
        <f>VLOOKUP($A140,ScionOutput!$A$3:$BL$215,62,FALSE)</f>
        <v>0</v>
      </c>
      <c r="L140">
        <f>VLOOKUP($A140,ScionOutput!$A$3:$BL$215,63,FALSE)</f>
        <v>0</v>
      </c>
      <c r="M140" t="b">
        <f t="shared" si="24"/>
        <v>0</v>
      </c>
      <c r="N140">
        <f>VLOOKUP($A140,Outcomes!$B$3:$I$209,8,FALSE)</f>
        <v>11</v>
      </c>
      <c r="O140">
        <f t="shared" si="17"/>
        <v>-1</v>
      </c>
      <c r="P140">
        <f>VLOOKUP($A140,Outcomes!$B$3:$I$209,5,FALSE)</f>
        <v>5</v>
      </c>
      <c r="Q140">
        <f>VLOOKUP($A140,Outcomes!$B$3:$I$209,6,FALSE)</f>
        <v>6</v>
      </c>
      <c r="R140">
        <f>VLOOKUP($A140,Outcomes!$B$3:$I$209,7,FALSE)</f>
        <v>1</v>
      </c>
      <c r="S140" t="str">
        <f t="shared" si="18"/>
        <v>VisDog</v>
      </c>
      <c r="T140" t="str">
        <f t="shared" si="19"/>
        <v/>
      </c>
      <c r="U140" t="str">
        <f t="shared" si="20"/>
        <v/>
      </c>
      <c r="V140" t="str">
        <f t="shared" si="21"/>
        <v/>
      </c>
      <c r="W140" t="str">
        <f t="shared" si="22"/>
        <v/>
      </c>
      <c r="X140" s="2" t="str">
        <f t="shared" si="23"/>
        <v/>
      </c>
      <c r="Y140" t="str">
        <f>VLOOKUP($A140,ScionOutput!$A$3:$BL$215,64,FALSE)</f>
        <v xml:space="preserve">824991. LineStatEns probability points gap does not exceed threshold (no edge found)! StatOnlyEns probability points gap does not exceed threshold (no edge found)! No play due to strategy constraints. </v>
      </c>
    </row>
    <row r="141" spans="1:25" x14ac:dyDescent="0.2">
      <c r="A141">
        <v>823451</v>
      </c>
      <c r="B141" s="3">
        <f>VLOOKUP($A141,ScionOutput!$A$3:$BL$215,3,FALSE)</f>
        <v>46189</v>
      </c>
      <c r="C141">
        <f>VLOOKUP($A141,ScionOutput!$A$3:$BL$215,22,FALSE)</f>
        <v>21</v>
      </c>
      <c r="D141" t="str">
        <f>VLOOKUP($A141,ScionOutput!$A$3:$BL$215,23,FALSE)</f>
        <v>PHI</v>
      </c>
      <c r="E141">
        <f>VLOOKUP($A141,ScionOutput!$A$3:$BL$215,6,FALSE)</f>
        <v>11</v>
      </c>
      <c r="F141" t="str">
        <f>VLOOKUP($A141,ScionOutput!$A$3:$BL$215,7,FALSE)</f>
        <v>FLO</v>
      </c>
      <c r="G141">
        <f>VLOOKUP($A141,ScionOutput!$A$3:$BL$215,26,FALSE)</f>
        <v>-165</v>
      </c>
      <c r="H141">
        <f>VLOOKUP($A141,ScionOutput!$A$3:$BL$215,10,FALSE)</f>
        <v>152</v>
      </c>
      <c r="I141" t="str">
        <f>VLOOKUP($A141,ScionOutput!$A$3:$BL$215,58,FALSE)</f>
        <v>No Play</v>
      </c>
      <c r="J141">
        <f>VLOOKUP($A141,ScionOutput!$A$3:$BL$215,59,FALSE)</f>
        <v>0</v>
      </c>
      <c r="K141">
        <f>VLOOKUP($A141,ScionOutput!$A$3:$BL$215,62,FALSE)</f>
        <v>0</v>
      </c>
      <c r="L141">
        <f>VLOOKUP($A141,ScionOutput!$A$3:$BL$215,63,FALSE)</f>
        <v>0</v>
      </c>
      <c r="M141" t="b">
        <f t="shared" si="24"/>
        <v>0</v>
      </c>
      <c r="N141">
        <f>VLOOKUP($A141,Outcomes!$B$3:$I$209,8,FALSE)</f>
        <v>10</v>
      </c>
      <c r="O141">
        <f t="shared" si="17"/>
        <v>1</v>
      </c>
      <c r="P141">
        <f>VLOOKUP($A141,Outcomes!$B$3:$I$209,5,FALSE)</f>
        <v>8</v>
      </c>
      <c r="Q141">
        <f>VLOOKUP($A141,Outcomes!$B$3:$I$209,6,FALSE)</f>
        <v>2</v>
      </c>
      <c r="R141">
        <f>VLOOKUP($A141,Outcomes!$B$3:$I$209,7,FALSE)</f>
        <v>-6</v>
      </c>
      <c r="S141" t="str">
        <f t="shared" si="18"/>
        <v>HomFave</v>
      </c>
      <c r="T141" t="str">
        <f t="shared" si="19"/>
        <v/>
      </c>
      <c r="U141" t="str">
        <f t="shared" si="20"/>
        <v/>
      </c>
      <c r="V141" t="str">
        <f t="shared" si="21"/>
        <v/>
      </c>
      <c r="W141" t="str">
        <f t="shared" si="22"/>
        <v/>
      </c>
      <c r="X141" s="2" t="str">
        <f t="shared" si="23"/>
        <v/>
      </c>
      <c r="Y141" t="str">
        <f>VLOOKUP($A141,ScionOutput!$A$3:$BL$215,64,FALSE)</f>
        <v xml:space="preserve">823451. LineStatEns is NoPlay as bookie-line outside range. StatOnlyEns is NoPlay as bookie-line outside range. No play due to strategy constraints. </v>
      </c>
    </row>
    <row r="142" spans="1:25" x14ac:dyDescent="0.2">
      <c r="A142">
        <v>823128</v>
      </c>
      <c r="B142" s="3">
        <f>VLOOKUP($A142,ScionOutput!$A$3:$BL$215,3,FALSE)</f>
        <v>46189</v>
      </c>
      <c r="C142">
        <f>VLOOKUP($A142,ScionOutput!$A$3:$BL$215,22,FALSE)</f>
        <v>24</v>
      </c>
      <c r="D142" t="str">
        <f>VLOOKUP($A142,ScionOutput!$A$3:$BL$215,23,FALSE)</f>
        <v>SEA</v>
      </c>
      <c r="E142">
        <f>VLOOKUP($A142,ScionOutput!$A$3:$BL$215,6,FALSE)</f>
        <v>2</v>
      </c>
      <c r="F142" t="str">
        <f>VLOOKUP($A142,ScionOutput!$A$3:$BL$215,7,FALSE)</f>
        <v>BAL</v>
      </c>
      <c r="G142">
        <f>VLOOKUP($A142,ScionOutput!$A$3:$BL$215,26,FALSE)</f>
        <v>-151</v>
      </c>
      <c r="H142">
        <f>VLOOKUP($A142,ScionOutput!$A$3:$BL$215,10,FALSE)</f>
        <v>139</v>
      </c>
      <c r="I142" t="str">
        <f>VLOOKUP($A142,ScionOutput!$A$3:$BL$215,58,FALSE)</f>
        <v>No Play</v>
      </c>
      <c r="J142">
        <f>VLOOKUP($A142,ScionOutput!$A$3:$BL$215,59,FALSE)</f>
        <v>0</v>
      </c>
      <c r="K142">
        <f>VLOOKUP($A142,ScionOutput!$A$3:$BL$215,62,FALSE)</f>
        <v>0</v>
      </c>
      <c r="L142">
        <f>VLOOKUP($A142,ScionOutput!$A$3:$BL$215,63,FALSE)</f>
        <v>0</v>
      </c>
      <c r="M142" t="b">
        <f t="shared" si="24"/>
        <v>0</v>
      </c>
      <c r="N142">
        <f>VLOOKUP($A142,Outcomes!$B$3:$I$209,8,FALSE)</f>
        <v>4</v>
      </c>
      <c r="O142">
        <f t="shared" si="17"/>
        <v>1</v>
      </c>
      <c r="P142">
        <f>VLOOKUP($A142,Outcomes!$B$3:$I$209,5,FALSE)</f>
        <v>3</v>
      </c>
      <c r="Q142">
        <f>VLOOKUP($A142,Outcomes!$B$3:$I$209,6,FALSE)</f>
        <v>1</v>
      </c>
      <c r="R142">
        <f>VLOOKUP($A142,Outcomes!$B$3:$I$209,7,FALSE)</f>
        <v>-2</v>
      </c>
      <c r="S142" t="str">
        <f t="shared" si="18"/>
        <v>HomFave</v>
      </c>
      <c r="T142" t="str">
        <f t="shared" si="19"/>
        <v/>
      </c>
      <c r="U142" t="str">
        <f t="shared" si="20"/>
        <v/>
      </c>
      <c r="V142" t="str">
        <f t="shared" si="21"/>
        <v/>
      </c>
      <c r="W142" t="str">
        <f t="shared" si="22"/>
        <v/>
      </c>
      <c r="X142" s="2" t="str">
        <f t="shared" si="23"/>
        <v/>
      </c>
      <c r="Y142" t="str">
        <f>VLOOKUP($A142,ScionOutput!$A$3:$BL$215,64,FALSE)</f>
        <v xml:space="preserve">823128. LineStatEns is NoPlay as bookie-line outside range. StatOnlyEns is NoPlay as bookie-line outside range. No play due to strategy constraints. </v>
      </c>
    </row>
    <row r="143" spans="1:25" x14ac:dyDescent="0.2">
      <c r="A143">
        <v>823045</v>
      </c>
      <c r="B143" s="3">
        <f>VLOOKUP($A143,ScionOutput!$A$3:$BL$215,3,FALSE)</f>
        <v>46189</v>
      </c>
      <c r="C143">
        <f>VLOOKUP($A143,ScionOutput!$A$3:$BL$215,22,FALSE)</f>
        <v>26</v>
      </c>
      <c r="D143" t="str">
        <f>VLOOKUP($A143,ScionOutput!$A$3:$BL$215,23,FALSE)</f>
        <v>STL</v>
      </c>
      <c r="E143">
        <f>VLOOKUP($A143,ScionOutput!$A$3:$BL$215,6,FALSE)</f>
        <v>23</v>
      </c>
      <c r="F143" t="str">
        <f>VLOOKUP($A143,ScionOutput!$A$3:$BL$215,7,FALSE)</f>
        <v>SD</v>
      </c>
      <c r="G143">
        <f>VLOOKUP($A143,ScionOutput!$A$3:$BL$215,26,FALSE)</f>
        <v>-113</v>
      </c>
      <c r="H143">
        <f>VLOOKUP($A143,ScionOutput!$A$3:$BL$215,10,FALSE)</f>
        <v>105</v>
      </c>
      <c r="I143" t="str">
        <f>VLOOKUP($A143,ScionOutput!$A$3:$BL$215,58,FALSE)</f>
        <v>HomFave</v>
      </c>
      <c r="J143">
        <f>VLOOKUP($A143,ScionOutput!$A$3:$BL$215,59,FALSE)</f>
        <v>1.9029999999999998E-2</v>
      </c>
      <c r="K143">
        <f>VLOOKUP($A143,ScionOutput!$A$3:$BL$215,62,FALSE)</f>
        <v>3</v>
      </c>
      <c r="L143">
        <f>VLOOKUP($A143,ScionOutput!$A$3:$BL$215,63,FALSE)</f>
        <v>0.93</v>
      </c>
      <c r="M143" t="b">
        <f t="shared" si="24"/>
        <v>0</v>
      </c>
      <c r="N143">
        <f>VLOOKUP($A143,Outcomes!$B$3:$I$209,8,FALSE)</f>
        <v>5</v>
      </c>
      <c r="O143">
        <f t="shared" si="17"/>
        <v>1</v>
      </c>
      <c r="P143">
        <f>VLOOKUP($A143,Outcomes!$B$3:$I$209,5,FALSE)</f>
        <v>3</v>
      </c>
      <c r="Q143">
        <f>VLOOKUP($A143,Outcomes!$B$3:$I$209,6,FALSE)</f>
        <v>2</v>
      </c>
      <c r="R143">
        <f>VLOOKUP($A143,Outcomes!$B$3:$I$209,7,FALSE)</f>
        <v>-1</v>
      </c>
      <c r="S143" t="str">
        <f t="shared" si="18"/>
        <v>HomFave</v>
      </c>
      <c r="T143">
        <f t="shared" si="19"/>
        <v>1</v>
      </c>
      <c r="U143">
        <f t="shared" si="20"/>
        <v>113</v>
      </c>
      <c r="V143">
        <f t="shared" si="21"/>
        <v>213</v>
      </c>
      <c r="W143">
        <f t="shared" si="22"/>
        <v>100</v>
      </c>
      <c r="X143" s="2">
        <f t="shared" si="23"/>
        <v>0.88495575221238942</v>
      </c>
      <c r="Y143" t="str">
        <f>VLOOKUP($A143,ScionOutput!$A$3:$BL$215,64,FALSE)</f>
        <v xml:space="preserve">823045. StatOnlyEns probability points gap does not exceed threshold (no edge found)! Play determined by LineStatEns only. </v>
      </c>
    </row>
    <row r="144" spans="1:25" x14ac:dyDescent="0.2">
      <c r="A144">
        <v>822888</v>
      </c>
      <c r="B144" s="3">
        <f>VLOOKUP($A144,ScionOutput!$A$3:$BL$215,3,FALSE)</f>
        <v>46189</v>
      </c>
      <c r="C144">
        <f>VLOOKUP($A144,ScionOutput!$A$3:$BL$215,22,FALSE)</f>
        <v>28</v>
      </c>
      <c r="D144" t="str">
        <f>VLOOKUP($A144,ScionOutput!$A$3:$BL$215,23,FALSE)</f>
        <v>TEX</v>
      </c>
      <c r="E144">
        <f>VLOOKUP($A144,ScionOutput!$A$3:$BL$215,6,FALSE)</f>
        <v>15</v>
      </c>
      <c r="F144" t="str">
        <f>VLOOKUP($A144,ScionOutput!$A$3:$BL$215,7,FALSE)</f>
        <v>MIN</v>
      </c>
      <c r="G144">
        <f>VLOOKUP($A144,ScionOutput!$A$3:$BL$215,26,FALSE)</f>
        <v>-120</v>
      </c>
      <c r="H144">
        <f>VLOOKUP($A144,ScionOutput!$A$3:$BL$215,10,FALSE)</f>
        <v>111</v>
      </c>
      <c r="I144" t="str">
        <f>VLOOKUP($A144,ScionOutput!$A$3:$BL$215,58,FALSE)</f>
        <v>No Play</v>
      </c>
      <c r="J144">
        <f>VLOOKUP($A144,ScionOutput!$A$3:$BL$215,59,FALSE)</f>
        <v>0</v>
      </c>
      <c r="K144">
        <f>VLOOKUP($A144,ScionOutput!$A$3:$BL$215,62,FALSE)</f>
        <v>0</v>
      </c>
      <c r="L144">
        <f>VLOOKUP($A144,ScionOutput!$A$3:$BL$215,63,FALSE)</f>
        <v>0</v>
      </c>
      <c r="M144" t="b">
        <f t="shared" si="24"/>
        <v>0</v>
      </c>
      <c r="N144">
        <f>VLOOKUP($A144,Outcomes!$B$3:$I$209,8,FALSE)</f>
        <v>14</v>
      </c>
      <c r="O144">
        <f t="shared" si="17"/>
        <v>-1</v>
      </c>
      <c r="P144">
        <f>VLOOKUP($A144,Outcomes!$B$3:$I$209,5,FALSE)</f>
        <v>2</v>
      </c>
      <c r="Q144">
        <f>VLOOKUP($A144,Outcomes!$B$3:$I$209,6,FALSE)</f>
        <v>12</v>
      </c>
      <c r="R144">
        <f>VLOOKUP($A144,Outcomes!$B$3:$I$209,7,FALSE)</f>
        <v>10</v>
      </c>
      <c r="S144" t="str">
        <f t="shared" si="18"/>
        <v>VisDog</v>
      </c>
      <c r="T144" t="str">
        <f t="shared" si="19"/>
        <v/>
      </c>
      <c r="U144" t="str">
        <f t="shared" si="20"/>
        <v/>
      </c>
      <c r="V144" t="str">
        <f t="shared" si="21"/>
        <v/>
      </c>
      <c r="W144" t="str">
        <f t="shared" si="22"/>
        <v/>
      </c>
      <c r="X144" s="2" t="str">
        <f t="shared" si="23"/>
        <v/>
      </c>
      <c r="Y144" t="str">
        <f>VLOOKUP($A144,ScionOutput!$A$3:$BL$215,64,FALSE)</f>
        <v xml:space="preserve">822888. LineStatEns probability points gap does not exceed threshold (no edge found)! StatOnlyEns probability points gap does not exceed threshold (no edge found)! No play due to strategy constraints. </v>
      </c>
    </row>
    <row r="145" spans="1:25" x14ac:dyDescent="0.2">
      <c r="A145">
        <v>824912</v>
      </c>
      <c r="B145" s="3">
        <f>VLOOKUP($A145,ScionOutput!$A$3:$BL$215,3,FALSE)</f>
        <v>46189</v>
      </c>
      <c r="C145">
        <f>VLOOKUP($A145,ScionOutput!$A$3:$BL$215,22,FALSE)</f>
        <v>0</v>
      </c>
      <c r="D145" t="str">
        <f>VLOOKUP($A145,ScionOutput!$A$3:$BL$215,23,FALSE)</f>
        <v>ATL</v>
      </c>
      <c r="E145">
        <f>VLOOKUP($A145,ScionOutput!$A$3:$BL$215,6,FALSE)</f>
        <v>25</v>
      </c>
      <c r="F145" t="str">
        <f>VLOOKUP($A145,ScionOutput!$A$3:$BL$215,7,FALSE)</f>
        <v>SF</v>
      </c>
      <c r="G145">
        <f>VLOOKUP($A145,ScionOutput!$A$3:$BL$215,26,FALSE)</f>
        <v>-169</v>
      </c>
      <c r="H145">
        <f>VLOOKUP($A145,ScionOutput!$A$3:$BL$215,10,FALSE)</f>
        <v>154</v>
      </c>
      <c r="I145" t="str">
        <f>VLOOKUP($A145,ScionOutput!$A$3:$BL$215,58,FALSE)</f>
        <v>No Play</v>
      </c>
      <c r="J145">
        <f>VLOOKUP($A145,ScionOutput!$A$3:$BL$215,59,FALSE)</f>
        <v>0</v>
      </c>
      <c r="K145">
        <f>VLOOKUP($A145,ScionOutput!$A$3:$BL$215,62,FALSE)</f>
        <v>0</v>
      </c>
      <c r="L145">
        <f>VLOOKUP($A145,ScionOutput!$A$3:$BL$215,63,FALSE)</f>
        <v>0</v>
      </c>
      <c r="M145" t="b">
        <f t="shared" si="24"/>
        <v>0</v>
      </c>
      <c r="N145">
        <f>VLOOKUP($A145,Outcomes!$B$3:$I$209,8,FALSE)</f>
        <v>9</v>
      </c>
      <c r="O145">
        <f t="shared" si="17"/>
        <v>-1</v>
      </c>
      <c r="P145">
        <f>VLOOKUP($A145,Outcomes!$B$3:$I$209,5,FALSE)</f>
        <v>2</v>
      </c>
      <c r="Q145">
        <f>VLOOKUP($A145,Outcomes!$B$3:$I$209,6,FALSE)</f>
        <v>7</v>
      </c>
      <c r="R145">
        <f>VLOOKUP($A145,Outcomes!$B$3:$I$209,7,FALSE)</f>
        <v>5</v>
      </c>
      <c r="S145" t="str">
        <f t="shared" si="18"/>
        <v>VisDog</v>
      </c>
      <c r="T145" t="str">
        <f t="shared" si="19"/>
        <v/>
      </c>
      <c r="U145" t="str">
        <f t="shared" si="20"/>
        <v/>
      </c>
      <c r="V145" t="str">
        <f t="shared" si="21"/>
        <v/>
      </c>
      <c r="W145" t="str">
        <f t="shared" si="22"/>
        <v/>
      </c>
      <c r="X145" s="2" t="str">
        <f t="shared" si="23"/>
        <v/>
      </c>
      <c r="Y145" t="str">
        <f>VLOOKUP($A145,ScionOutput!$A$3:$BL$215,64,FALSE)</f>
        <v xml:space="preserve">824912. LineStatEns is NoPlay as bookie-line outside range. StatOnlyEns is NoPlay as bookie-line outside range. No play due to strategy constraints. </v>
      </c>
    </row>
    <row r="146" spans="1:25" x14ac:dyDescent="0.2">
      <c r="A146">
        <v>824913</v>
      </c>
      <c r="B146" s="3">
        <f>VLOOKUP($A146,ScionOutput!$A$3:$BL$215,3,FALSE)</f>
        <v>46190</v>
      </c>
      <c r="C146">
        <f>VLOOKUP($A146,ScionOutput!$A$3:$BL$215,22,FALSE)</f>
        <v>0</v>
      </c>
      <c r="D146" t="str">
        <f>VLOOKUP($A146,ScionOutput!$A$3:$BL$215,23,FALSE)</f>
        <v>ATL</v>
      </c>
      <c r="E146">
        <f>VLOOKUP($A146,ScionOutput!$A$3:$BL$215,6,FALSE)</f>
        <v>25</v>
      </c>
      <c r="F146" t="str">
        <f>VLOOKUP($A146,ScionOutput!$A$3:$BL$215,7,FALSE)</f>
        <v>SF</v>
      </c>
      <c r="G146">
        <f>VLOOKUP($A146,ScionOutput!$A$3:$BL$215,26,FALSE)</f>
        <v>-137</v>
      </c>
      <c r="H146">
        <f>VLOOKUP($A146,ScionOutput!$A$3:$BL$215,10,FALSE)</f>
        <v>124</v>
      </c>
      <c r="I146" t="str">
        <f>VLOOKUP($A146,ScionOutput!$A$3:$BL$215,58,FALSE)</f>
        <v>HomFave</v>
      </c>
      <c r="J146">
        <f>VLOOKUP($A146,ScionOutput!$A$3:$BL$215,59,FALSE)</f>
        <v>1.576E-2</v>
      </c>
      <c r="K146">
        <f>VLOOKUP($A146,ScionOutput!$A$3:$BL$215,62,FALSE)</f>
        <v>3</v>
      </c>
      <c r="L146">
        <f>VLOOKUP($A146,ScionOutput!$A$3:$BL$215,63,FALSE)</f>
        <v>1</v>
      </c>
      <c r="M146" t="b">
        <f t="shared" si="24"/>
        <v>0</v>
      </c>
      <c r="N146">
        <f>VLOOKUP($A146,Outcomes!$B$3:$I$209,8,FALSE)</f>
        <v>12</v>
      </c>
      <c r="O146">
        <f t="shared" si="17"/>
        <v>-1</v>
      </c>
      <c r="P146">
        <f>VLOOKUP($A146,Outcomes!$B$3:$I$209,5,FALSE)</f>
        <v>5</v>
      </c>
      <c r="Q146">
        <f>VLOOKUP($A146,Outcomes!$B$3:$I$209,6,FALSE)</f>
        <v>7</v>
      </c>
      <c r="R146">
        <f>VLOOKUP($A146,Outcomes!$B$3:$I$209,7,FALSE)</f>
        <v>2</v>
      </c>
      <c r="S146" t="str">
        <f t="shared" si="18"/>
        <v>VisDog</v>
      </c>
      <c r="T146">
        <f t="shared" si="19"/>
        <v>0</v>
      </c>
      <c r="U146">
        <f t="shared" si="20"/>
        <v>137</v>
      </c>
      <c r="V146">
        <f t="shared" si="21"/>
        <v>0</v>
      </c>
      <c r="W146">
        <f t="shared" si="22"/>
        <v>-137</v>
      </c>
      <c r="X146" s="2">
        <f t="shared" si="23"/>
        <v>-1</v>
      </c>
      <c r="Y146" t="str">
        <f>VLOOKUP($A146,ScionOutput!$A$3:$BL$215,64,FALSE)</f>
        <v xml:space="preserve">824913. StatOnlyEns probability points gap does not exceed threshold (no edge found)! Play determined by LineStatEns only. </v>
      </c>
    </row>
    <row r="147" spans="1:25" x14ac:dyDescent="0.2">
      <c r="A147">
        <v>825072</v>
      </c>
      <c r="B147" s="3">
        <f>VLOOKUP($A147,ScionOutput!$A$3:$BL$215,3,FALSE)</f>
        <v>46190</v>
      </c>
      <c r="C147">
        <f>VLOOKUP($A147,ScionOutput!$A$3:$BL$215,22,FALSE)</f>
        <v>1</v>
      </c>
      <c r="D147" t="str">
        <f>VLOOKUP($A147,ScionOutput!$A$3:$BL$215,23,FALSE)</f>
        <v>ARZ</v>
      </c>
      <c r="E147">
        <f>VLOOKUP($A147,ScionOutput!$A$3:$BL$215,6,FALSE)</f>
        <v>4</v>
      </c>
      <c r="F147" t="str">
        <f>VLOOKUP($A147,ScionOutput!$A$3:$BL$215,7,FALSE)</f>
        <v>LAA</v>
      </c>
      <c r="G147">
        <f>VLOOKUP($A147,ScionOutput!$A$3:$BL$215,26,FALSE)</f>
        <v>-163</v>
      </c>
      <c r="H147">
        <f>VLOOKUP($A147,ScionOutput!$A$3:$BL$215,10,FALSE)</f>
        <v>146</v>
      </c>
      <c r="I147" t="str">
        <f>VLOOKUP($A147,ScionOutput!$A$3:$BL$215,58,FALSE)</f>
        <v>No Play</v>
      </c>
      <c r="J147">
        <f>VLOOKUP($A147,ScionOutput!$A$3:$BL$215,59,FALSE)</f>
        <v>0</v>
      </c>
      <c r="K147">
        <f>VLOOKUP($A147,ScionOutput!$A$3:$BL$215,62,FALSE)</f>
        <v>0</v>
      </c>
      <c r="L147">
        <f>VLOOKUP($A147,ScionOutput!$A$3:$BL$215,63,FALSE)</f>
        <v>0</v>
      </c>
      <c r="M147" t="b">
        <f t="shared" si="24"/>
        <v>0</v>
      </c>
      <c r="N147">
        <f>VLOOKUP($A147,Outcomes!$B$3:$I$209,8,FALSE)</f>
        <v>9</v>
      </c>
      <c r="O147">
        <f t="shared" si="17"/>
        <v>1</v>
      </c>
      <c r="P147">
        <f>VLOOKUP($A147,Outcomes!$B$3:$I$209,5,FALSE)</f>
        <v>8</v>
      </c>
      <c r="Q147">
        <f>VLOOKUP($A147,Outcomes!$B$3:$I$209,6,FALSE)</f>
        <v>1</v>
      </c>
      <c r="R147">
        <f>VLOOKUP($A147,Outcomes!$B$3:$I$209,7,FALSE)</f>
        <v>-7</v>
      </c>
      <c r="S147" t="str">
        <f t="shared" si="18"/>
        <v>HomFave</v>
      </c>
      <c r="T147" t="str">
        <f t="shared" si="19"/>
        <v/>
      </c>
      <c r="U147" t="str">
        <f t="shared" si="20"/>
        <v/>
      </c>
      <c r="V147" t="str">
        <f t="shared" si="21"/>
        <v/>
      </c>
      <c r="W147" t="str">
        <f t="shared" si="22"/>
        <v/>
      </c>
      <c r="X147" s="2" t="str">
        <f t="shared" si="23"/>
        <v/>
      </c>
      <c r="Y147" t="str">
        <f>VLOOKUP($A147,ScionOutput!$A$3:$BL$215,64,FALSE)</f>
        <v xml:space="preserve">825072. LineStatEns is NoPlay as bookie-line outside range. StatOnlyEns is NoPlay as bookie-line outside range. No play due to strategy constraints. </v>
      </c>
    </row>
    <row r="148" spans="1:25" x14ac:dyDescent="0.2">
      <c r="A148">
        <v>824746</v>
      </c>
      <c r="B148" s="3">
        <f>VLOOKUP($A148,ScionOutput!$A$3:$BL$215,3,FALSE)</f>
        <v>46190</v>
      </c>
      <c r="C148">
        <f>VLOOKUP($A148,ScionOutput!$A$3:$BL$215,22,FALSE)</f>
        <v>3</v>
      </c>
      <c r="D148" t="str">
        <f>VLOOKUP($A148,ScionOutput!$A$3:$BL$215,23,FALSE)</f>
        <v>BOS</v>
      </c>
      <c r="E148">
        <f>VLOOKUP($A148,ScionOutput!$A$3:$BL$215,6,FALSE)</f>
        <v>29</v>
      </c>
      <c r="F148" t="str">
        <f>VLOOKUP($A148,ScionOutput!$A$3:$BL$215,7,FALSE)</f>
        <v>TOR</v>
      </c>
      <c r="G148">
        <f>VLOOKUP($A148,ScionOutput!$A$3:$BL$215,26,FALSE)</f>
        <v>-124</v>
      </c>
      <c r="H148">
        <f>VLOOKUP($A148,ScionOutput!$A$3:$BL$215,10,FALSE)</f>
        <v>112</v>
      </c>
      <c r="I148" t="str">
        <f>VLOOKUP($A148,ScionOutput!$A$3:$BL$215,58,FALSE)</f>
        <v>No Play</v>
      </c>
      <c r="J148">
        <f>VLOOKUP($A148,ScionOutput!$A$3:$BL$215,59,FALSE)</f>
        <v>0</v>
      </c>
      <c r="K148">
        <f>VLOOKUP($A148,ScionOutput!$A$3:$BL$215,62,FALSE)</f>
        <v>0</v>
      </c>
      <c r="L148">
        <f>VLOOKUP($A148,ScionOutput!$A$3:$BL$215,63,FALSE)</f>
        <v>0</v>
      </c>
      <c r="M148" t="b">
        <f t="shared" si="24"/>
        <v>0</v>
      </c>
      <c r="N148">
        <f>VLOOKUP($A148,Outcomes!$B$3:$I$209,8,FALSE)</f>
        <v>3</v>
      </c>
      <c r="O148">
        <f t="shared" si="17"/>
        <v>-1</v>
      </c>
      <c r="P148">
        <f>VLOOKUP($A148,Outcomes!$B$3:$I$209,5,FALSE)</f>
        <v>0</v>
      </c>
      <c r="Q148">
        <f>VLOOKUP($A148,Outcomes!$B$3:$I$209,6,FALSE)</f>
        <v>3</v>
      </c>
      <c r="R148">
        <f>VLOOKUP($A148,Outcomes!$B$3:$I$209,7,FALSE)</f>
        <v>3</v>
      </c>
      <c r="S148" t="str">
        <f t="shared" si="18"/>
        <v>VisDog</v>
      </c>
      <c r="T148" t="str">
        <f t="shared" si="19"/>
        <v/>
      </c>
      <c r="U148" t="str">
        <f t="shared" si="20"/>
        <v/>
      </c>
      <c r="V148" t="str">
        <f t="shared" si="21"/>
        <v/>
      </c>
      <c r="W148" t="str">
        <f t="shared" si="22"/>
        <v/>
      </c>
      <c r="X148" s="2" t="str">
        <f t="shared" si="23"/>
        <v/>
      </c>
      <c r="Y148" t="str">
        <f>VLOOKUP($A148,ScionOutput!$A$3:$BL$215,64,FALSE)</f>
        <v xml:space="preserve">824746. LineStatEns probability points gap does not exceed threshold (no edge found)! No play due to strategy constraints. </v>
      </c>
    </row>
    <row r="149" spans="1:25" x14ac:dyDescent="0.2">
      <c r="A149">
        <v>824668</v>
      </c>
      <c r="B149" s="3">
        <f>VLOOKUP($A149,ScionOutput!$A$3:$BL$215,3,FALSE)</f>
        <v>46190</v>
      </c>
      <c r="C149">
        <f>VLOOKUP($A149,ScionOutput!$A$3:$BL$215,22,FALSE)</f>
        <v>5</v>
      </c>
      <c r="D149" t="str">
        <f>VLOOKUP($A149,ScionOutput!$A$3:$BL$215,23,FALSE)</f>
        <v>CHC</v>
      </c>
      <c r="E149">
        <f>VLOOKUP($A149,ScionOutput!$A$3:$BL$215,6,FALSE)</f>
        <v>8</v>
      </c>
      <c r="F149" t="str">
        <f>VLOOKUP($A149,ScionOutput!$A$3:$BL$215,7,FALSE)</f>
        <v>COL</v>
      </c>
      <c r="G149">
        <f>VLOOKUP($A149,ScionOutput!$A$3:$BL$215,26,FALSE)</f>
        <v>-180</v>
      </c>
      <c r="H149">
        <f>VLOOKUP($A149,ScionOutput!$A$3:$BL$215,10,FALSE)</f>
        <v>161</v>
      </c>
      <c r="I149" t="str">
        <f>VLOOKUP($A149,ScionOutput!$A$3:$BL$215,58,FALSE)</f>
        <v>No Play</v>
      </c>
      <c r="J149">
        <f>VLOOKUP($A149,ScionOutput!$A$3:$BL$215,59,FALSE)</f>
        <v>0</v>
      </c>
      <c r="K149">
        <f>VLOOKUP($A149,ScionOutput!$A$3:$BL$215,62,FALSE)</f>
        <v>0</v>
      </c>
      <c r="L149">
        <f>VLOOKUP($A149,ScionOutput!$A$3:$BL$215,63,FALSE)</f>
        <v>0</v>
      </c>
      <c r="M149" t="b">
        <f t="shared" si="24"/>
        <v>0</v>
      </c>
      <c r="N149">
        <f>VLOOKUP($A149,Outcomes!$B$3:$I$209,8,FALSE)</f>
        <v>14</v>
      </c>
      <c r="O149">
        <f t="shared" si="17"/>
        <v>1</v>
      </c>
      <c r="P149">
        <f>VLOOKUP($A149,Outcomes!$B$3:$I$209,5,FALSE)</f>
        <v>8</v>
      </c>
      <c r="Q149">
        <f>VLOOKUP($A149,Outcomes!$B$3:$I$209,6,FALSE)</f>
        <v>6</v>
      </c>
      <c r="R149">
        <f>VLOOKUP($A149,Outcomes!$B$3:$I$209,7,FALSE)</f>
        <v>-2</v>
      </c>
      <c r="S149" t="str">
        <f t="shared" si="18"/>
        <v>HomFave</v>
      </c>
      <c r="T149" t="str">
        <f t="shared" si="19"/>
        <v/>
      </c>
      <c r="U149" t="str">
        <f t="shared" si="20"/>
        <v/>
      </c>
      <c r="V149" t="str">
        <f t="shared" si="21"/>
        <v/>
      </c>
      <c r="W149" t="str">
        <f t="shared" si="22"/>
        <v/>
      </c>
      <c r="X149" s="2" t="str">
        <f t="shared" si="23"/>
        <v/>
      </c>
      <c r="Y149" t="str">
        <f>VLOOKUP($A149,ScionOutput!$A$3:$BL$215,64,FALSE)</f>
        <v xml:space="preserve">824668. LineStatEns is NoPlay as bookie-line outside range. StatOnlyEns is NoPlay as bookie-line outside range. No play due to strategy constraints. </v>
      </c>
    </row>
    <row r="150" spans="1:25" x14ac:dyDescent="0.2">
      <c r="A150">
        <v>824503</v>
      </c>
      <c r="B150" s="3">
        <f>VLOOKUP($A150,ScionOutput!$A$3:$BL$215,3,FALSE)</f>
        <v>46190</v>
      </c>
      <c r="C150">
        <f>VLOOKUP($A150,ScionOutput!$A$3:$BL$215,22,FALSE)</f>
        <v>6</v>
      </c>
      <c r="D150" t="str">
        <f>VLOOKUP($A150,ScionOutput!$A$3:$BL$215,23,FALSE)</f>
        <v>CIN</v>
      </c>
      <c r="E150">
        <f>VLOOKUP($A150,ScionOutput!$A$3:$BL$215,6,FALSE)</f>
        <v>18</v>
      </c>
      <c r="F150" t="str">
        <f>VLOOKUP($A150,ScionOutput!$A$3:$BL$215,7,FALSE)</f>
        <v>NYM</v>
      </c>
      <c r="G150">
        <f>VLOOKUP($A150,ScionOutput!$A$3:$BL$215,26,FALSE)</f>
        <v>113</v>
      </c>
      <c r="H150">
        <f>VLOOKUP($A150,ScionOutput!$A$3:$BL$215,10,FALSE)</f>
        <v>-125</v>
      </c>
      <c r="I150" t="str">
        <f>VLOOKUP($A150,ScionOutput!$A$3:$BL$215,58,FALSE)</f>
        <v>No Play</v>
      </c>
      <c r="J150">
        <f>VLOOKUP($A150,ScionOutput!$A$3:$BL$215,59,FALSE)</f>
        <v>0</v>
      </c>
      <c r="K150">
        <f>VLOOKUP($A150,ScionOutput!$A$3:$BL$215,62,FALSE)</f>
        <v>0</v>
      </c>
      <c r="L150">
        <f>VLOOKUP($A150,ScionOutput!$A$3:$BL$215,63,FALSE)</f>
        <v>0</v>
      </c>
      <c r="M150" t="b">
        <f t="shared" si="24"/>
        <v>0</v>
      </c>
      <c r="N150">
        <f>VLOOKUP($A150,Outcomes!$B$3:$I$209,8,FALSE)</f>
        <v>10</v>
      </c>
      <c r="O150">
        <f t="shared" si="17"/>
        <v>-1</v>
      </c>
      <c r="P150">
        <f>VLOOKUP($A150,Outcomes!$B$3:$I$209,5,FALSE)</f>
        <v>1</v>
      </c>
      <c r="Q150">
        <f>VLOOKUP($A150,Outcomes!$B$3:$I$209,6,FALSE)</f>
        <v>9</v>
      </c>
      <c r="R150">
        <f>VLOOKUP($A150,Outcomes!$B$3:$I$209,7,FALSE)</f>
        <v>8</v>
      </c>
      <c r="S150" t="str">
        <f t="shared" si="18"/>
        <v>VisFave</v>
      </c>
      <c r="T150" t="str">
        <f t="shared" si="19"/>
        <v/>
      </c>
      <c r="U150" t="str">
        <f t="shared" si="20"/>
        <v/>
      </c>
      <c r="V150" t="str">
        <f t="shared" si="21"/>
        <v/>
      </c>
      <c r="W150" t="str">
        <f t="shared" si="22"/>
        <v/>
      </c>
      <c r="X150" s="2" t="str">
        <f t="shared" si="23"/>
        <v/>
      </c>
      <c r="Y150" t="str">
        <f>VLOOKUP($A150,ScionOutput!$A$3:$BL$215,64,FALSE)</f>
        <v xml:space="preserve">824503. VF plays are disallowed. No play due to strategy constraints. </v>
      </c>
    </row>
    <row r="151" spans="1:25" x14ac:dyDescent="0.2">
      <c r="A151">
        <v>824178</v>
      </c>
      <c r="B151" s="3">
        <f>VLOOKUP($A151,ScionOutput!$A$3:$BL$215,3,FALSE)</f>
        <v>46190</v>
      </c>
      <c r="C151">
        <f>VLOOKUP($A151,ScionOutput!$A$3:$BL$215,22,FALSE)</f>
        <v>12</v>
      </c>
      <c r="D151" t="str">
        <f>VLOOKUP($A151,ScionOutput!$A$3:$BL$215,23,FALSE)</f>
        <v>HOU</v>
      </c>
      <c r="E151">
        <f>VLOOKUP($A151,ScionOutput!$A$3:$BL$215,6,FALSE)</f>
        <v>10</v>
      </c>
      <c r="F151" t="str">
        <f>VLOOKUP($A151,ScionOutput!$A$3:$BL$215,7,FALSE)</f>
        <v>DET</v>
      </c>
      <c r="G151">
        <f>VLOOKUP($A151,ScionOutput!$A$3:$BL$215,26,FALSE)</f>
        <v>-103</v>
      </c>
      <c r="H151">
        <f>VLOOKUP($A151,ScionOutput!$A$3:$BL$215,10,FALSE)</f>
        <v>-107</v>
      </c>
      <c r="I151" t="str">
        <f>VLOOKUP($A151,ScionOutput!$A$3:$BL$215,58,FALSE)</f>
        <v>No Play</v>
      </c>
      <c r="J151">
        <f>VLOOKUP($A151,ScionOutput!$A$3:$BL$215,59,FALSE)</f>
        <v>0</v>
      </c>
      <c r="K151">
        <f>VLOOKUP($A151,ScionOutput!$A$3:$BL$215,62,FALSE)</f>
        <v>0</v>
      </c>
      <c r="L151">
        <f>VLOOKUP($A151,ScionOutput!$A$3:$BL$215,63,FALSE)</f>
        <v>0</v>
      </c>
      <c r="M151" t="b">
        <f t="shared" si="24"/>
        <v>0</v>
      </c>
      <c r="N151">
        <f>VLOOKUP($A151,Outcomes!$B$3:$I$209,8,FALSE)</f>
        <v>6</v>
      </c>
      <c r="O151">
        <f t="shared" si="17"/>
        <v>1</v>
      </c>
      <c r="P151">
        <f>VLOOKUP($A151,Outcomes!$B$3:$I$209,5,FALSE)</f>
        <v>4</v>
      </c>
      <c r="Q151">
        <f>VLOOKUP($A151,Outcomes!$B$3:$I$209,6,FALSE)</f>
        <v>2</v>
      </c>
      <c r="R151">
        <f>VLOOKUP($A151,Outcomes!$B$3:$I$209,7,FALSE)</f>
        <v>-2</v>
      </c>
      <c r="S151" t="str">
        <f t="shared" si="18"/>
        <v>HomDog</v>
      </c>
      <c r="T151" t="str">
        <f t="shared" si="19"/>
        <v/>
      </c>
      <c r="U151" t="str">
        <f t="shared" si="20"/>
        <v/>
      </c>
      <c r="V151" t="str">
        <f t="shared" si="21"/>
        <v/>
      </c>
      <c r="W151" t="str">
        <f t="shared" si="22"/>
        <v/>
      </c>
      <c r="X151" s="2" t="str">
        <f t="shared" si="23"/>
        <v/>
      </c>
      <c r="Y151" t="str">
        <f>VLOOKUP($A151,ScionOutput!$A$3:$BL$215,64,FALSE)</f>
        <v xml:space="preserve">824178. VF plays are disallowed. No play due to strategy constraints. </v>
      </c>
    </row>
    <row r="152" spans="1:25" x14ac:dyDescent="0.2">
      <c r="A152">
        <v>823940</v>
      </c>
      <c r="B152" s="3">
        <f>VLOOKUP($A152,ScionOutput!$A$3:$BL$215,3,FALSE)</f>
        <v>46190</v>
      </c>
      <c r="C152">
        <f>VLOOKUP($A152,ScionOutput!$A$3:$BL$215,22,FALSE)</f>
        <v>14</v>
      </c>
      <c r="D152" t="str">
        <f>VLOOKUP($A152,ScionOutput!$A$3:$BL$215,23,FALSE)</f>
        <v>LA</v>
      </c>
      <c r="E152">
        <f>VLOOKUP($A152,ScionOutput!$A$3:$BL$215,6,FALSE)</f>
        <v>27</v>
      </c>
      <c r="F152" t="str">
        <f>VLOOKUP($A152,ScionOutput!$A$3:$BL$215,7,FALSE)</f>
        <v>TB</v>
      </c>
      <c r="G152">
        <f>VLOOKUP($A152,ScionOutput!$A$3:$BL$215,26,FALSE)</f>
        <v>-181</v>
      </c>
      <c r="H152">
        <f>VLOOKUP($A152,ScionOutput!$A$3:$BL$215,10,FALSE)</f>
        <v>162</v>
      </c>
      <c r="I152" t="str">
        <f>VLOOKUP($A152,ScionOutput!$A$3:$BL$215,58,FALSE)</f>
        <v>No Play</v>
      </c>
      <c r="J152">
        <f>VLOOKUP($A152,ScionOutput!$A$3:$BL$215,59,FALSE)</f>
        <v>0</v>
      </c>
      <c r="K152">
        <f>VLOOKUP($A152,ScionOutput!$A$3:$BL$215,62,FALSE)</f>
        <v>0</v>
      </c>
      <c r="L152">
        <f>VLOOKUP($A152,ScionOutput!$A$3:$BL$215,63,FALSE)</f>
        <v>0</v>
      </c>
      <c r="M152" t="b">
        <f t="shared" si="24"/>
        <v>0</v>
      </c>
      <c r="N152">
        <f>VLOOKUP($A152,Outcomes!$B$3:$I$209,8,FALSE)</f>
        <v>9</v>
      </c>
      <c r="O152">
        <f t="shared" si="17"/>
        <v>1</v>
      </c>
      <c r="P152">
        <f>VLOOKUP($A152,Outcomes!$B$3:$I$209,5,FALSE)</f>
        <v>5</v>
      </c>
      <c r="Q152">
        <f>VLOOKUP($A152,Outcomes!$B$3:$I$209,6,FALSE)</f>
        <v>4</v>
      </c>
      <c r="R152">
        <f>VLOOKUP($A152,Outcomes!$B$3:$I$209,7,FALSE)</f>
        <v>-1</v>
      </c>
      <c r="S152" t="str">
        <f t="shared" si="18"/>
        <v>HomFave</v>
      </c>
      <c r="T152" t="str">
        <f t="shared" si="19"/>
        <v/>
      </c>
      <c r="U152" t="str">
        <f t="shared" si="20"/>
        <v/>
      </c>
      <c r="V152" t="str">
        <f t="shared" si="21"/>
        <v/>
      </c>
      <c r="W152" t="str">
        <f t="shared" si="22"/>
        <v/>
      </c>
      <c r="X152" s="2" t="str">
        <f t="shared" si="23"/>
        <v/>
      </c>
      <c r="Y152" t="str">
        <f>VLOOKUP($A152,ScionOutput!$A$3:$BL$215,64,FALSE)</f>
        <v xml:space="preserve">823940. LineStatEns is NoPlay as bookie-line outside range. StatOnlyEns is NoPlay as bookie-line outside range. No play due to strategy constraints. </v>
      </c>
    </row>
    <row r="153" spans="1:25" x14ac:dyDescent="0.2">
      <c r="A153">
        <v>822721</v>
      </c>
      <c r="B153" s="3">
        <f>VLOOKUP($A153,ScionOutput!$A$3:$BL$215,3,FALSE)</f>
        <v>46190</v>
      </c>
      <c r="C153">
        <f>VLOOKUP($A153,ScionOutput!$A$3:$BL$215,22,FALSE)</f>
        <v>16</v>
      </c>
      <c r="D153" t="str">
        <f>VLOOKUP($A153,ScionOutput!$A$3:$BL$215,23,FALSE)</f>
        <v>WAS</v>
      </c>
      <c r="E153">
        <f>VLOOKUP($A153,ScionOutput!$A$3:$BL$215,6,FALSE)</f>
        <v>13</v>
      </c>
      <c r="F153" t="str">
        <f>VLOOKUP($A153,ScionOutput!$A$3:$BL$215,7,FALSE)</f>
        <v>KC</v>
      </c>
      <c r="G153">
        <f>VLOOKUP($A153,ScionOutput!$A$3:$BL$215,26,FALSE)</f>
        <v>-125</v>
      </c>
      <c r="H153">
        <f>VLOOKUP($A153,ScionOutput!$A$3:$BL$215,10,FALSE)</f>
        <v>113</v>
      </c>
      <c r="I153" t="str">
        <f>VLOOKUP($A153,ScionOutput!$A$3:$BL$215,58,FALSE)</f>
        <v>No Play</v>
      </c>
      <c r="J153">
        <f>VLOOKUP($A153,ScionOutput!$A$3:$BL$215,59,FALSE)</f>
        <v>0</v>
      </c>
      <c r="K153">
        <f>VLOOKUP($A153,ScionOutput!$A$3:$BL$215,62,FALSE)</f>
        <v>0</v>
      </c>
      <c r="L153">
        <f>VLOOKUP($A153,ScionOutput!$A$3:$BL$215,63,FALSE)</f>
        <v>0</v>
      </c>
      <c r="M153" t="b">
        <f t="shared" si="24"/>
        <v>0</v>
      </c>
      <c r="N153">
        <f>VLOOKUP($A153,Outcomes!$B$3:$I$209,8,FALSE)</f>
        <v>8</v>
      </c>
      <c r="O153">
        <f t="shared" si="17"/>
        <v>-1</v>
      </c>
      <c r="P153">
        <f>VLOOKUP($A153,Outcomes!$B$3:$I$209,5,FALSE)</f>
        <v>2</v>
      </c>
      <c r="Q153">
        <f>VLOOKUP($A153,Outcomes!$B$3:$I$209,6,FALSE)</f>
        <v>6</v>
      </c>
      <c r="R153">
        <f>VLOOKUP($A153,Outcomes!$B$3:$I$209,7,FALSE)</f>
        <v>4</v>
      </c>
      <c r="S153" t="str">
        <f t="shared" si="18"/>
        <v>VisDog</v>
      </c>
      <c r="T153" t="str">
        <f t="shared" si="19"/>
        <v/>
      </c>
      <c r="U153" t="str">
        <f t="shared" si="20"/>
        <v/>
      </c>
      <c r="V153" t="str">
        <f t="shared" si="21"/>
        <v/>
      </c>
      <c r="W153" t="str">
        <f t="shared" si="22"/>
        <v/>
      </c>
      <c r="X153" s="2" t="str">
        <f t="shared" si="23"/>
        <v/>
      </c>
      <c r="Y153" t="str">
        <f>VLOOKUP($A153,ScionOutput!$A$3:$BL$215,64,FALSE)</f>
        <v xml:space="preserve">822721. LineStatEns probability points gap does not exceed threshold (no edge found)! StatOnlyEns probability points gap does not exceed threshold (no edge found)! No play due to strategy constraints. </v>
      </c>
    </row>
    <row r="154" spans="1:25" x14ac:dyDescent="0.2">
      <c r="A154">
        <v>823774</v>
      </c>
      <c r="B154" s="3">
        <f>VLOOKUP($A154,ScionOutput!$A$3:$BL$215,3,FALSE)</f>
        <v>46190</v>
      </c>
      <c r="C154">
        <f>VLOOKUP($A154,ScionOutput!$A$3:$BL$215,22,FALSE)</f>
        <v>17</v>
      </c>
      <c r="D154" t="str">
        <f>VLOOKUP($A154,ScionOutput!$A$3:$BL$215,23,FALSE)</f>
        <v>MLW</v>
      </c>
      <c r="E154">
        <f>VLOOKUP($A154,ScionOutput!$A$3:$BL$215,6,FALSE)</f>
        <v>7</v>
      </c>
      <c r="F154" t="str">
        <f>VLOOKUP($A154,ScionOutput!$A$3:$BL$215,7,FALSE)</f>
        <v>CLE</v>
      </c>
      <c r="G154">
        <f>VLOOKUP($A154,ScionOutput!$A$3:$BL$215,26,FALSE)</f>
        <v>-118</v>
      </c>
      <c r="H154">
        <f>VLOOKUP($A154,ScionOutput!$A$3:$BL$215,10,FALSE)</f>
        <v>107</v>
      </c>
      <c r="I154" t="str">
        <f>VLOOKUP($A154,ScionOutput!$A$3:$BL$215,58,FALSE)</f>
        <v>No Play</v>
      </c>
      <c r="J154">
        <f>VLOOKUP($A154,ScionOutput!$A$3:$BL$215,59,FALSE)</f>
        <v>0</v>
      </c>
      <c r="K154">
        <f>VLOOKUP($A154,ScionOutput!$A$3:$BL$215,62,FALSE)</f>
        <v>0</v>
      </c>
      <c r="L154">
        <f>VLOOKUP($A154,ScionOutput!$A$3:$BL$215,63,FALSE)</f>
        <v>0</v>
      </c>
      <c r="M154" t="b">
        <f t="shared" si="24"/>
        <v>0</v>
      </c>
      <c r="N154">
        <f>VLOOKUP($A154,Outcomes!$B$3:$I$209,8,FALSE)</f>
        <v>13</v>
      </c>
      <c r="O154">
        <f t="shared" si="17"/>
        <v>1</v>
      </c>
      <c r="P154">
        <f>VLOOKUP($A154,Outcomes!$B$3:$I$209,5,FALSE)</f>
        <v>9</v>
      </c>
      <c r="Q154">
        <f>VLOOKUP($A154,Outcomes!$B$3:$I$209,6,FALSE)</f>
        <v>4</v>
      </c>
      <c r="R154">
        <f>VLOOKUP($A154,Outcomes!$B$3:$I$209,7,FALSE)</f>
        <v>-5</v>
      </c>
      <c r="S154" t="str">
        <f t="shared" si="18"/>
        <v>HomFave</v>
      </c>
      <c r="T154" t="str">
        <f t="shared" si="19"/>
        <v/>
      </c>
      <c r="U154" t="str">
        <f t="shared" si="20"/>
        <v/>
      </c>
      <c r="V154" t="str">
        <f t="shared" si="21"/>
        <v/>
      </c>
      <c r="W154" t="str">
        <f t="shared" si="22"/>
        <v/>
      </c>
      <c r="X154" s="2" t="str">
        <f t="shared" si="23"/>
        <v/>
      </c>
      <c r="Y154" t="str">
        <f>VLOOKUP($A154,ScionOutput!$A$3:$BL$215,64,FALSE)</f>
        <v xml:space="preserve">823774. LineStatEns probability points gap does not exceed threshold (no edge found)! No play due to strategy constraints. </v>
      </c>
    </row>
    <row r="155" spans="1:25" x14ac:dyDescent="0.2">
      <c r="A155">
        <v>823536</v>
      </c>
      <c r="B155" s="3">
        <f>VLOOKUP($A155,ScionOutput!$A$3:$BL$215,3,FALSE)</f>
        <v>46190</v>
      </c>
      <c r="C155">
        <f>VLOOKUP($A155,ScionOutput!$A$3:$BL$215,22,FALSE)</f>
        <v>19</v>
      </c>
      <c r="D155" t="str">
        <f>VLOOKUP($A155,ScionOutput!$A$3:$BL$215,23,FALSE)</f>
        <v>NYY</v>
      </c>
      <c r="E155">
        <f>VLOOKUP($A155,ScionOutput!$A$3:$BL$215,6,FALSE)</f>
        <v>9</v>
      </c>
      <c r="F155" t="str">
        <f>VLOOKUP($A155,ScionOutput!$A$3:$BL$215,7,FALSE)</f>
        <v>CWS</v>
      </c>
      <c r="G155">
        <f>VLOOKUP($A155,ScionOutput!$A$3:$BL$215,26,FALSE)</f>
        <v>-170</v>
      </c>
      <c r="H155">
        <f>VLOOKUP($A155,ScionOutput!$A$3:$BL$215,10,FALSE)</f>
        <v>153</v>
      </c>
      <c r="I155" t="str">
        <f>VLOOKUP($A155,ScionOutput!$A$3:$BL$215,58,FALSE)</f>
        <v>No Play</v>
      </c>
      <c r="J155">
        <f>VLOOKUP($A155,ScionOutput!$A$3:$BL$215,59,FALSE)</f>
        <v>0</v>
      </c>
      <c r="K155">
        <f>VLOOKUP($A155,ScionOutput!$A$3:$BL$215,62,FALSE)</f>
        <v>0</v>
      </c>
      <c r="L155">
        <f>VLOOKUP($A155,ScionOutput!$A$3:$BL$215,63,FALSE)</f>
        <v>0</v>
      </c>
      <c r="M155" t="b">
        <f t="shared" si="24"/>
        <v>0</v>
      </c>
      <c r="N155">
        <f>VLOOKUP($A155,Outcomes!$B$3:$I$209,8,FALSE)</f>
        <v>15</v>
      </c>
      <c r="O155">
        <f t="shared" si="17"/>
        <v>1</v>
      </c>
      <c r="P155">
        <f>VLOOKUP($A155,Outcomes!$B$3:$I$209,5,FALSE)</f>
        <v>10</v>
      </c>
      <c r="Q155">
        <f>VLOOKUP($A155,Outcomes!$B$3:$I$209,6,FALSE)</f>
        <v>5</v>
      </c>
      <c r="R155">
        <f>VLOOKUP($A155,Outcomes!$B$3:$I$209,7,FALSE)</f>
        <v>-5</v>
      </c>
      <c r="S155" t="str">
        <f t="shared" si="18"/>
        <v>HomFave</v>
      </c>
      <c r="T155" t="str">
        <f t="shared" si="19"/>
        <v/>
      </c>
      <c r="U155" t="str">
        <f t="shared" si="20"/>
        <v/>
      </c>
      <c r="V155" t="str">
        <f t="shared" si="21"/>
        <v/>
      </c>
      <c r="W155" t="str">
        <f t="shared" si="22"/>
        <v/>
      </c>
      <c r="X155" s="2" t="str">
        <f t="shared" si="23"/>
        <v/>
      </c>
      <c r="Y155" t="str">
        <f>VLOOKUP($A155,ScionOutput!$A$3:$BL$215,64,FALSE)</f>
        <v xml:space="preserve">823536. LineStatEns is NoPlay as bookie-line outside range. StatOnlyEns is NoPlay as bookie-line outside range. No play due to strategy constraints. </v>
      </c>
    </row>
    <row r="156" spans="1:25" x14ac:dyDescent="0.2">
      <c r="A156">
        <v>824992</v>
      </c>
      <c r="B156" s="3">
        <f>VLOOKUP($A156,ScionOutput!$A$3:$BL$215,3,FALSE)</f>
        <v>46190</v>
      </c>
      <c r="C156">
        <f>VLOOKUP($A156,ScionOutput!$A$3:$BL$215,22,FALSE)</f>
        <v>20</v>
      </c>
      <c r="D156" t="str">
        <f>VLOOKUP($A156,ScionOutput!$A$3:$BL$215,23,FALSE)</f>
        <v>OAK</v>
      </c>
      <c r="E156">
        <f>VLOOKUP($A156,ScionOutput!$A$3:$BL$215,6,FALSE)</f>
        <v>22</v>
      </c>
      <c r="F156" t="str">
        <f>VLOOKUP($A156,ScionOutput!$A$3:$BL$215,7,FALSE)</f>
        <v>PIT</v>
      </c>
      <c r="G156">
        <f>VLOOKUP($A156,ScionOutput!$A$3:$BL$215,26,FALSE)</f>
        <v>104</v>
      </c>
      <c r="H156">
        <f>VLOOKUP($A156,ScionOutput!$A$3:$BL$215,10,FALSE)</f>
        <v>-114</v>
      </c>
      <c r="I156" t="str">
        <f>VLOOKUP($A156,ScionOutput!$A$3:$BL$215,58,FALSE)</f>
        <v>HomDog</v>
      </c>
      <c r="J156">
        <f>VLOOKUP($A156,ScionOutput!$A$3:$BL$215,59,FALSE)</f>
        <v>2.078E-2</v>
      </c>
      <c r="K156">
        <f>VLOOKUP($A156,ScionOutput!$A$3:$BL$215,62,FALSE)</f>
        <v>5</v>
      </c>
      <c r="L156">
        <f>VLOOKUP($A156,ScionOutput!$A$3:$BL$215,63,FALSE)</f>
        <v>0.53</v>
      </c>
      <c r="M156" t="b">
        <f t="shared" si="24"/>
        <v>1</v>
      </c>
      <c r="N156">
        <f>VLOOKUP($A156,Outcomes!$B$3:$I$209,8,FALSE)</f>
        <v>16</v>
      </c>
      <c r="O156">
        <f t="shared" si="17"/>
        <v>-1</v>
      </c>
      <c r="P156">
        <f>VLOOKUP($A156,Outcomes!$B$3:$I$209,5,FALSE)</f>
        <v>4</v>
      </c>
      <c r="Q156">
        <f>VLOOKUP($A156,Outcomes!$B$3:$I$209,6,FALSE)</f>
        <v>12</v>
      </c>
      <c r="R156">
        <f>VLOOKUP($A156,Outcomes!$B$3:$I$209,7,FALSE)</f>
        <v>8</v>
      </c>
      <c r="S156" t="str">
        <f t="shared" si="18"/>
        <v>VisFave</v>
      </c>
      <c r="T156">
        <f t="shared" si="19"/>
        <v>0</v>
      </c>
      <c r="U156">
        <f t="shared" si="20"/>
        <v>100</v>
      </c>
      <c r="V156">
        <f t="shared" si="21"/>
        <v>0</v>
      </c>
      <c r="W156">
        <f t="shared" si="22"/>
        <v>-100</v>
      </c>
      <c r="X156" s="2">
        <f t="shared" si="23"/>
        <v>-1</v>
      </c>
      <c r="Y156" t="str">
        <f>VLOOKUP($A156,ScionOutput!$A$3:$BL$215,64,FALSE)</f>
        <v xml:space="preserve">824992. Play determined by LineStatEns and StatOnlyEns agreement. </v>
      </c>
    </row>
    <row r="157" spans="1:25" x14ac:dyDescent="0.2">
      <c r="A157">
        <v>823450</v>
      </c>
      <c r="B157" s="3">
        <f>VLOOKUP($A157,ScionOutput!$A$3:$BL$215,3,FALSE)</f>
        <v>46190</v>
      </c>
      <c r="C157">
        <f>VLOOKUP($A157,ScionOutput!$A$3:$BL$215,22,FALSE)</f>
        <v>21</v>
      </c>
      <c r="D157" t="str">
        <f>VLOOKUP($A157,ScionOutput!$A$3:$BL$215,23,FALSE)</f>
        <v>PHI</v>
      </c>
      <c r="E157">
        <f>VLOOKUP($A157,ScionOutput!$A$3:$BL$215,6,FALSE)</f>
        <v>11</v>
      </c>
      <c r="F157" t="str">
        <f>VLOOKUP($A157,ScionOutput!$A$3:$BL$215,7,FALSE)</f>
        <v>FLO</v>
      </c>
      <c r="G157">
        <f>VLOOKUP($A157,ScionOutput!$A$3:$BL$215,26,FALSE)</f>
        <v>-111</v>
      </c>
      <c r="H157">
        <f>VLOOKUP($A157,ScionOutput!$A$3:$BL$215,10,FALSE)</f>
        <v>100</v>
      </c>
      <c r="I157" t="str">
        <f>VLOOKUP($A157,ScionOutput!$A$3:$BL$215,58,FALSE)</f>
        <v>HomFave</v>
      </c>
      <c r="J157">
        <f>VLOOKUP($A157,ScionOutput!$A$3:$BL$215,59,FALSE)</f>
        <v>7.3000000000000001E-3</v>
      </c>
      <c r="K157">
        <f>VLOOKUP($A157,ScionOutput!$A$3:$BL$215,62,FALSE)</f>
        <v>3</v>
      </c>
      <c r="L157">
        <f>VLOOKUP($A157,ScionOutput!$A$3:$BL$215,63,FALSE)</f>
        <v>0.93</v>
      </c>
      <c r="M157" t="b">
        <f t="shared" si="24"/>
        <v>0</v>
      </c>
      <c r="N157">
        <f>VLOOKUP($A157,Outcomes!$B$3:$I$209,8,FALSE)</f>
        <v>16</v>
      </c>
      <c r="O157">
        <f t="shared" si="17"/>
        <v>-1</v>
      </c>
      <c r="P157">
        <f>VLOOKUP($A157,Outcomes!$B$3:$I$209,5,FALSE)</f>
        <v>4</v>
      </c>
      <c r="Q157">
        <f>VLOOKUP($A157,Outcomes!$B$3:$I$209,6,FALSE)</f>
        <v>12</v>
      </c>
      <c r="R157">
        <f>VLOOKUP($A157,Outcomes!$B$3:$I$209,7,FALSE)</f>
        <v>8</v>
      </c>
      <c r="S157" t="str">
        <f t="shared" si="18"/>
        <v>VisDog</v>
      </c>
      <c r="T157">
        <f t="shared" si="19"/>
        <v>0</v>
      </c>
      <c r="U157">
        <f t="shared" si="20"/>
        <v>111</v>
      </c>
      <c r="V157">
        <f t="shared" si="21"/>
        <v>0</v>
      </c>
      <c r="W157">
        <f t="shared" si="22"/>
        <v>-111</v>
      </c>
      <c r="X157" s="2">
        <f t="shared" si="23"/>
        <v>-1</v>
      </c>
      <c r="Y157" t="str">
        <f>VLOOKUP($A157,ScionOutput!$A$3:$BL$215,64,FALSE)</f>
        <v xml:space="preserve">823450. StatOnlyEns probability points gap does not exceed threshold (no edge found)! Play determined by LineStatEns only. </v>
      </c>
    </row>
    <row r="158" spans="1:25" x14ac:dyDescent="0.2">
      <c r="A158">
        <v>823127</v>
      </c>
      <c r="B158" s="3">
        <f>VLOOKUP($A158,ScionOutput!$A$3:$BL$215,3,FALSE)</f>
        <v>46190</v>
      </c>
      <c r="C158">
        <f>VLOOKUP($A158,ScionOutput!$A$3:$BL$215,22,FALSE)</f>
        <v>24</v>
      </c>
      <c r="D158" t="str">
        <f>VLOOKUP($A158,ScionOutput!$A$3:$BL$215,23,FALSE)</f>
        <v>SEA</v>
      </c>
      <c r="E158">
        <f>VLOOKUP($A158,ScionOutput!$A$3:$BL$215,6,FALSE)</f>
        <v>2</v>
      </c>
      <c r="F158" t="str">
        <f>VLOOKUP($A158,ScionOutput!$A$3:$BL$215,7,FALSE)</f>
        <v>BAL</v>
      </c>
      <c r="G158">
        <f>VLOOKUP($A158,ScionOutput!$A$3:$BL$215,26,FALSE)</f>
        <v>-139</v>
      </c>
      <c r="H158">
        <f>VLOOKUP($A158,ScionOutput!$A$3:$BL$215,10,FALSE)</f>
        <v>126</v>
      </c>
      <c r="I158" t="str">
        <f>VLOOKUP($A158,ScionOutput!$A$3:$BL$215,58,FALSE)</f>
        <v>No Play</v>
      </c>
      <c r="J158">
        <f>VLOOKUP($A158,ScionOutput!$A$3:$BL$215,59,FALSE)</f>
        <v>0</v>
      </c>
      <c r="K158">
        <f>VLOOKUP($A158,ScionOutput!$A$3:$BL$215,62,FALSE)</f>
        <v>0</v>
      </c>
      <c r="L158">
        <f>VLOOKUP($A158,ScionOutput!$A$3:$BL$215,63,FALSE)</f>
        <v>0</v>
      </c>
      <c r="M158" t="b">
        <f t="shared" si="24"/>
        <v>0</v>
      </c>
      <c r="N158">
        <f>VLOOKUP($A158,Outcomes!$B$3:$I$209,8,FALSE)</f>
        <v>8</v>
      </c>
      <c r="O158">
        <f t="shared" si="17"/>
        <v>-1</v>
      </c>
      <c r="P158">
        <f>VLOOKUP($A158,Outcomes!$B$3:$I$209,5,FALSE)</f>
        <v>3</v>
      </c>
      <c r="Q158">
        <f>VLOOKUP($A158,Outcomes!$B$3:$I$209,6,FALSE)</f>
        <v>5</v>
      </c>
      <c r="R158">
        <f>VLOOKUP($A158,Outcomes!$B$3:$I$209,7,FALSE)</f>
        <v>2</v>
      </c>
      <c r="S158" t="str">
        <f t="shared" si="18"/>
        <v>VisDog</v>
      </c>
      <c r="T158" t="str">
        <f t="shared" si="19"/>
        <v/>
      </c>
      <c r="U158" t="str">
        <f t="shared" si="20"/>
        <v/>
      </c>
      <c r="V158" t="str">
        <f t="shared" si="21"/>
        <v/>
      </c>
      <c r="W158" t="str">
        <f t="shared" si="22"/>
        <v/>
      </c>
      <c r="X158" s="2" t="str">
        <f t="shared" si="23"/>
        <v/>
      </c>
      <c r="Y158" t="str">
        <f>VLOOKUP($A158,ScionOutput!$A$3:$BL$215,64,FALSE)</f>
        <v xml:space="preserve">823127. LineStatEns probability points gap does not exceed threshold (no edge found)! StatOnlyEns probability points gap does not exceed threshold (no edge found)! No play due to strategy constraints. </v>
      </c>
    </row>
    <row r="159" spans="1:25" x14ac:dyDescent="0.2">
      <c r="A159">
        <v>823044</v>
      </c>
      <c r="B159" s="3">
        <f>VLOOKUP($A159,ScionOutput!$A$3:$BL$215,3,FALSE)</f>
        <v>46190</v>
      </c>
      <c r="C159">
        <f>VLOOKUP($A159,ScionOutput!$A$3:$BL$215,22,FALSE)</f>
        <v>26</v>
      </c>
      <c r="D159" t="str">
        <f>VLOOKUP($A159,ScionOutput!$A$3:$BL$215,23,FALSE)</f>
        <v>STL</v>
      </c>
      <c r="E159">
        <f>VLOOKUP($A159,ScionOutput!$A$3:$BL$215,6,FALSE)</f>
        <v>23</v>
      </c>
      <c r="F159" t="str">
        <f>VLOOKUP($A159,ScionOutput!$A$3:$BL$215,7,FALSE)</f>
        <v>SD</v>
      </c>
      <c r="G159">
        <f>VLOOKUP($A159,ScionOutput!$A$3:$BL$215,26,FALSE)</f>
        <v>-124</v>
      </c>
      <c r="H159">
        <f>VLOOKUP($A159,ScionOutput!$A$3:$BL$215,10,FALSE)</f>
        <v>112</v>
      </c>
      <c r="I159" t="str">
        <f>VLOOKUP($A159,ScionOutput!$A$3:$BL$215,58,FALSE)</f>
        <v>No Play</v>
      </c>
      <c r="J159">
        <f>VLOOKUP($A159,ScionOutput!$A$3:$BL$215,59,FALSE)</f>
        <v>0</v>
      </c>
      <c r="K159">
        <f>VLOOKUP($A159,ScionOutput!$A$3:$BL$215,62,FALSE)</f>
        <v>0</v>
      </c>
      <c r="L159">
        <f>VLOOKUP($A159,ScionOutput!$A$3:$BL$215,63,FALSE)</f>
        <v>0</v>
      </c>
      <c r="M159" t="b">
        <f t="shared" si="24"/>
        <v>0</v>
      </c>
      <c r="N159">
        <f>VLOOKUP($A159,Outcomes!$B$3:$I$209,8,FALSE)</f>
        <v>7</v>
      </c>
      <c r="O159">
        <f t="shared" si="17"/>
        <v>-1</v>
      </c>
      <c r="P159">
        <f>VLOOKUP($A159,Outcomes!$B$3:$I$209,5,FALSE)</f>
        <v>1</v>
      </c>
      <c r="Q159">
        <f>VLOOKUP($A159,Outcomes!$B$3:$I$209,6,FALSE)</f>
        <v>6</v>
      </c>
      <c r="R159">
        <f>VLOOKUP($A159,Outcomes!$B$3:$I$209,7,FALSE)</f>
        <v>5</v>
      </c>
      <c r="S159" t="str">
        <f t="shared" si="18"/>
        <v>VisDog</v>
      </c>
      <c r="T159" t="str">
        <f t="shared" si="19"/>
        <v/>
      </c>
      <c r="U159" t="str">
        <f t="shared" si="20"/>
        <v/>
      </c>
      <c r="V159" t="str">
        <f t="shared" si="21"/>
        <v/>
      </c>
      <c r="W159" t="str">
        <f t="shared" si="22"/>
        <v/>
      </c>
      <c r="X159" s="2" t="str">
        <f t="shared" si="23"/>
        <v/>
      </c>
      <c r="Y159" t="str">
        <f>VLOOKUP($A159,ScionOutput!$A$3:$BL$215,64,FALSE)</f>
        <v xml:space="preserve">823044. LineStatEns probability points gap does not exceed threshold (no edge found)! StatOnlyEns probability points gap does not exceed threshold (no edge found)! No play due to strategy constraints. </v>
      </c>
    </row>
    <row r="160" spans="1:25" x14ac:dyDescent="0.2">
      <c r="A160">
        <v>824748</v>
      </c>
      <c r="B160" s="3">
        <f>VLOOKUP($A160,ScionOutput!$A$3:$BL$215,3,FALSE)</f>
        <v>46191</v>
      </c>
      <c r="C160">
        <f>VLOOKUP($A160,ScionOutput!$A$3:$BL$215,22,FALSE)</f>
        <v>3</v>
      </c>
      <c r="D160" t="str">
        <f>VLOOKUP($A160,ScionOutput!$A$3:$BL$215,23,FALSE)</f>
        <v>BOS</v>
      </c>
      <c r="E160">
        <f>VLOOKUP($A160,ScionOutput!$A$3:$BL$215,6,FALSE)</f>
        <v>29</v>
      </c>
      <c r="F160" t="str">
        <f>VLOOKUP($A160,ScionOutput!$A$3:$BL$215,7,FALSE)</f>
        <v>TOR</v>
      </c>
      <c r="G160">
        <f>VLOOKUP($A160,ScionOutput!$A$3:$BL$215,26,FALSE)</f>
        <v>-131</v>
      </c>
      <c r="H160">
        <f>VLOOKUP($A160,ScionOutput!$A$3:$BL$215,10,FALSE)</f>
        <v>120</v>
      </c>
      <c r="I160" t="str">
        <f>VLOOKUP($A160,ScionOutput!$A$3:$BL$215,58,FALSE)</f>
        <v>No Play</v>
      </c>
      <c r="J160">
        <f>VLOOKUP($A160,ScionOutput!$A$3:$BL$215,59,FALSE)</f>
        <v>0</v>
      </c>
      <c r="K160">
        <f>VLOOKUP($A160,ScionOutput!$A$3:$BL$215,62,FALSE)</f>
        <v>0</v>
      </c>
      <c r="L160">
        <f>VLOOKUP($A160,ScionOutput!$A$3:$BL$215,63,FALSE)</f>
        <v>0</v>
      </c>
      <c r="M160" t="b">
        <f t="shared" si="24"/>
        <v>0</v>
      </c>
      <c r="N160">
        <f>VLOOKUP($A160,Outcomes!$B$3:$I$209,8,FALSE)</f>
        <v>7</v>
      </c>
      <c r="O160">
        <f t="shared" si="17"/>
        <v>-1</v>
      </c>
      <c r="P160">
        <f>VLOOKUP($A160,Outcomes!$B$3:$I$209,5,FALSE)</f>
        <v>3</v>
      </c>
      <c r="Q160">
        <f>VLOOKUP($A160,Outcomes!$B$3:$I$209,6,FALSE)</f>
        <v>4</v>
      </c>
      <c r="R160">
        <f>VLOOKUP($A160,Outcomes!$B$3:$I$209,7,FALSE)</f>
        <v>1</v>
      </c>
      <c r="S160" t="str">
        <f t="shared" si="18"/>
        <v>VisDog</v>
      </c>
      <c r="T160" t="str">
        <f t="shared" si="19"/>
        <v/>
      </c>
      <c r="U160" t="str">
        <f t="shared" si="20"/>
        <v/>
      </c>
      <c r="V160" t="str">
        <f t="shared" si="21"/>
        <v/>
      </c>
      <c r="W160" t="str">
        <f t="shared" si="22"/>
        <v/>
      </c>
      <c r="X160" s="2" t="str">
        <f t="shared" si="23"/>
        <v/>
      </c>
      <c r="Y160" t="str">
        <f>VLOOKUP($A160,ScionOutput!$A$3:$BL$215,64,FALSE)</f>
        <v xml:space="preserve">824748. LineStatEns probability points gap does not exceed threshold (no edge found)! No play due to strategy constraints. </v>
      </c>
    </row>
    <row r="161" spans="1:25" x14ac:dyDescent="0.2">
      <c r="A161">
        <v>824098</v>
      </c>
      <c r="B161" s="3">
        <f>VLOOKUP($A161,ScionOutput!$A$3:$BL$215,3,FALSE)</f>
        <v>46191</v>
      </c>
      <c r="C161">
        <f>VLOOKUP($A161,ScionOutput!$A$3:$BL$215,22,FALSE)</f>
        <v>13</v>
      </c>
      <c r="D161" t="str">
        <f>VLOOKUP($A161,ScionOutput!$A$3:$BL$215,23,FALSE)</f>
        <v>KC</v>
      </c>
      <c r="E161">
        <f>VLOOKUP($A161,ScionOutput!$A$3:$BL$215,6,FALSE)</f>
        <v>26</v>
      </c>
      <c r="F161" t="str">
        <f>VLOOKUP($A161,ScionOutput!$A$3:$BL$215,7,FALSE)</f>
        <v>STL</v>
      </c>
      <c r="G161">
        <f>VLOOKUP($A161,ScionOutput!$A$3:$BL$215,26,FALSE)</f>
        <v>-111</v>
      </c>
      <c r="H161">
        <f>VLOOKUP($A161,ScionOutput!$A$3:$BL$215,10,FALSE)</f>
        <v>103</v>
      </c>
      <c r="I161" t="str">
        <f>VLOOKUP($A161,ScionOutput!$A$3:$BL$215,58,FALSE)</f>
        <v>No Play</v>
      </c>
      <c r="J161">
        <f>VLOOKUP($A161,ScionOutput!$A$3:$BL$215,59,FALSE)</f>
        <v>0</v>
      </c>
      <c r="K161">
        <f>VLOOKUP($A161,ScionOutput!$A$3:$BL$215,62,FALSE)</f>
        <v>0</v>
      </c>
      <c r="L161">
        <f>VLOOKUP($A161,ScionOutput!$A$3:$BL$215,63,FALSE)</f>
        <v>0</v>
      </c>
      <c r="M161" t="b">
        <f t="shared" si="24"/>
        <v>0</v>
      </c>
      <c r="N161">
        <f>VLOOKUP($A161,Outcomes!$B$3:$I$209,8,FALSE)</f>
        <v>20</v>
      </c>
      <c r="O161">
        <f t="shared" si="17"/>
        <v>1</v>
      </c>
      <c r="P161">
        <f>VLOOKUP($A161,Outcomes!$B$3:$I$209,5,FALSE)</f>
        <v>14</v>
      </c>
      <c r="Q161">
        <f>VLOOKUP($A161,Outcomes!$B$3:$I$209,6,FALSE)</f>
        <v>6</v>
      </c>
      <c r="R161">
        <f>VLOOKUP($A161,Outcomes!$B$3:$I$209,7,FALSE)</f>
        <v>-8</v>
      </c>
      <c r="S161" t="str">
        <f t="shared" si="18"/>
        <v>HomFave</v>
      </c>
      <c r="T161" t="str">
        <f t="shared" si="19"/>
        <v/>
      </c>
      <c r="U161" t="str">
        <f t="shared" si="20"/>
        <v/>
      </c>
      <c r="V161" t="str">
        <f t="shared" si="21"/>
        <v/>
      </c>
      <c r="W161" t="str">
        <f t="shared" si="22"/>
        <v/>
      </c>
      <c r="X161" s="2" t="str">
        <f t="shared" si="23"/>
        <v/>
      </c>
      <c r="Y161" t="str">
        <f>VLOOKUP($A161,ScionOutput!$A$3:$BL$215,64,FALSE)</f>
        <v xml:space="preserve">824098. LineStatEns probability points gap does not exceed threshold (no edge found)! No play due to strategy constraints. </v>
      </c>
    </row>
    <row r="162" spans="1:25" x14ac:dyDescent="0.2">
      <c r="A162">
        <v>823772</v>
      </c>
      <c r="B162" s="3">
        <f>VLOOKUP($A162,ScionOutput!$A$3:$BL$215,3,FALSE)</f>
        <v>46191</v>
      </c>
      <c r="C162">
        <f>VLOOKUP($A162,ScionOutput!$A$3:$BL$215,22,FALSE)</f>
        <v>17</v>
      </c>
      <c r="D162" t="str">
        <f>VLOOKUP($A162,ScionOutput!$A$3:$BL$215,23,FALSE)</f>
        <v>MLW</v>
      </c>
      <c r="E162">
        <f>VLOOKUP($A162,ScionOutput!$A$3:$BL$215,6,FALSE)</f>
        <v>7</v>
      </c>
      <c r="F162" t="str">
        <f>VLOOKUP($A162,ScionOutput!$A$3:$BL$215,7,FALSE)</f>
        <v>CLE</v>
      </c>
      <c r="G162">
        <f>VLOOKUP($A162,ScionOutput!$A$3:$BL$215,26,FALSE)</f>
        <v>-138</v>
      </c>
      <c r="H162">
        <f>VLOOKUP($A162,ScionOutput!$A$3:$BL$215,10,FALSE)</f>
        <v>127</v>
      </c>
      <c r="I162" t="str">
        <f>VLOOKUP($A162,ScionOutput!$A$3:$BL$215,58,FALSE)</f>
        <v>No Play</v>
      </c>
      <c r="J162">
        <f>VLOOKUP($A162,ScionOutput!$A$3:$BL$215,59,FALSE)</f>
        <v>0</v>
      </c>
      <c r="K162">
        <f>VLOOKUP($A162,ScionOutput!$A$3:$BL$215,62,FALSE)</f>
        <v>0</v>
      </c>
      <c r="L162">
        <f>VLOOKUP($A162,ScionOutput!$A$3:$BL$215,63,FALSE)</f>
        <v>0</v>
      </c>
      <c r="M162" t="b">
        <f t="shared" si="24"/>
        <v>0</v>
      </c>
      <c r="N162">
        <f>VLOOKUP($A162,Outcomes!$B$3:$I$209,8,FALSE)</f>
        <v>6</v>
      </c>
      <c r="O162">
        <f t="shared" si="17"/>
        <v>-1</v>
      </c>
      <c r="P162">
        <f>VLOOKUP($A162,Outcomes!$B$3:$I$209,5,FALSE)</f>
        <v>2</v>
      </c>
      <c r="Q162">
        <f>VLOOKUP($A162,Outcomes!$B$3:$I$209,6,FALSE)</f>
        <v>4</v>
      </c>
      <c r="R162">
        <f>VLOOKUP($A162,Outcomes!$B$3:$I$209,7,FALSE)</f>
        <v>2</v>
      </c>
      <c r="S162" t="str">
        <f t="shared" si="18"/>
        <v>VisDog</v>
      </c>
      <c r="T162" t="str">
        <f t="shared" si="19"/>
        <v/>
      </c>
      <c r="U162" t="str">
        <f t="shared" si="20"/>
        <v/>
      </c>
      <c r="V162" t="str">
        <f t="shared" si="21"/>
        <v/>
      </c>
      <c r="W162" t="str">
        <f t="shared" si="22"/>
        <v/>
      </c>
      <c r="X162" s="2" t="str">
        <f t="shared" si="23"/>
        <v/>
      </c>
      <c r="Y162" t="str">
        <f>VLOOKUP($A162,ScionOutput!$A$3:$BL$215,64,FALSE)</f>
        <v xml:space="preserve">823772. LineStatEns probability points gap does not exceed threshold (no edge found)! StatOnlyEns probability points gap does not exceed threshold (no edge found)! No play due to strategy constraints. </v>
      </c>
    </row>
    <row r="163" spans="1:25" x14ac:dyDescent="0.2">
      <c r="A163">
        <v>823533</v>
      </c>
      <c r="B163" s="3">
        <f>VLOOKUP($A163,ScionOutput!$A$3:$BL$215,3,FALSE)</f>
        <v>46191</v>
      </c>
      <c r="C163">
        <f>VLOOKUP($A163,ScionOutput!$A$3:$BL$215,22,FALSE)</f>
        <v>19</v>
      </c>
      <c r="D163" t="str">
        <f>VLOOKUP($A163,ScionOutput!$A$3:$BL$215,23,FALSE)</f>
        <v>NYY</v>
      </c>
      <c r="E163">
        <f>VLOOKUP($A163,ScionOutput!$A$3:$BL$215,6,FALSE)</f>
        <v>9</v>
      </c>
      <c r="F163" t="str">
        <f>VLOOKUP($A163,ScionOutput!$A$3:$BL$215,7,FALSE)</f>
        <v>CWS</v>
      </c>
      <c r="G163">
        <f>VLOOKUP($A163,ScionOutput!$A$3:$BL$215,26,FALSE)</f>
        <v>-157</v>
      </c>
      <c r="H163">
        <f>VLOOKUP($A163,ScionOutput!$A$3:$BL$215,10,FALSE)</f>
        <v>144</v>
      </c>
      <c r="I163" t="str">
        <f>VLOOKUP($A163,ScionOutput!$A$3:$BL$215,58,FALSE)</f>
        <v>No Play</v>
      </c>
      <c r="J163">
        <f>VLOOKUP($A163,ScionOutput!$A$3:$BL$215,59,FALSE)</f>
        <v>0</v>
      </c>
      <c r="K163">
        <f>VLOOKUP($A163,ScionOutput!$A$3:$BL$215,62,FALSE)</f>
        <v>0</v>
      </c>
      <c r="L163">
        <f>VLOOKUP($A163,ScionOutput!$A$3:$BL$215,63,FALSE)</f>
        <v>0</v>
      </c>
      <c r="M163" t="b">
        <f t="shared" si="24"/>
        <v>0</v>
      </c>
      <c r="N163">
        <f>VLOOKUP($A163,Outcomes!$B$3:$I$209,8,FALSE)</f>
        <v>6</v>
      </c>
      <c r="O163">
        <f t="shared" si="17"/>
        <v>-1</v>
      </c>
      <c r="P163">
        <f>VLOOKUP($A163,Outcomes!$B$3:$I$209,5,FALSE)</f>
        <v>1</v>
      </c>
      <c r="Q163">
        <f>VLOOKUP($A163,Outcomes!$B$3:$I$209,6,FALSE)</f>
        <v>5</v>
      </c>
      <c r="R163">
        <f>VLOOKUP($A163,Outcomes!$B$3:$I$209,7,FALSE)</f>
        <v>4</v>
      </c>
      <c r="S163" t="str">
        <f t="shared" si="18"/>
        <v>VisDog</v>
      </c>
      <c r="T163" t="str">
        <f t="shared" si="19"/>
        <v/>
      </c>
      <c r="U163" t="str">
        <f t="shared" si="20"/>
        <v/>
      </c>
      <c r="V163" t="str">
        <f t="shared" si="21"/>
        <v/>
      </c>
      <c r="W163" t="str">
        <f t="shared" si="22"/>
        <v/>
      </c>
      <c r="X163" s="2" t="str">
        <f t="shared" si="23"/>
        <v/>
      </c>
      <c r="Y163" t="str">
        <f>VLOOKUP($A163,ScionOutput!$A$3:$BL$215,64,FALSE)</f>
        <v xml:space="preserve">823533. LineStatEns is NoPlay as bookie-line outside range. StatOnlyEns is NoPlay as bookie-line outside range. No play due to strategy constraints. </v>
      </c>
    </row>
    <row r="164" spans="1:25" x14ac:dyDescent="0.2">
      <c r="A164">
        <v>824989</v>
      </c>
      <c r="B164" s="3">
        <f>VLOOKUP($A164,ScionOutput!$A$3:$BL$215,3,FALSE)</f>
        <v>46191</v>
      </c>
      <c r="C164">
        <f>VLOOKUP($A164,ScionOutput!$A$3:$BL$215,22,FALSE)</f>
        <v>20</v>
      </c>
      <c r="D164" t="str">
        <f>VLOOKUP($A164,ScionOutput!$A$3:$BL$215,23,FALSE)</f>
        <v>OAK</v>
      </c>
      <c r="E164">
        <f>VLOOKUP($A164,ScionOutput!$A$3:$BL$215,6,FALSE)</f>
        <v>4</v>
      </c>
      <c r="F164" t="str">
        <f>VLOOKUP($A164,ScionOutput!$A$3:$BL$215,7,FALSE)</f>
        <v>LAA</v>
      </c>
      <c r="G164">
        <f>VLOOKUP($A164,ScionOutput!$A$3:$BL$215,26,FALSE)</f>
        <v>-133</v>
      </c>
      <c r="H164">
        <f>VLOOKUP($A164,ScionOutput!$A$3:$BL$215,10,FALSE)</f>
        <v>123</v>
      </c>
      <c r="I164" t="str">
        <f>VLOOKUP($A164,ScionOutput!$A$3:$BL$215,58,FALSE)</f>
        <v>No Play</v>
      </c>
      <c r="J164">
        <f>VLOOKUP($A164,ScionOutput!$A$3:$BL$215,59,FALSE)</f>
        <v>0</v>
      </c>
      <c r="K164">
        <f>VLOOKUP($A164,ScionOutput!$A$3:$BL$215,62,FALSE)</f>
        <v>0</v>
      </c>
      <c r="L164">
        <f>VLOOKUP($A164,ScionOutput!$A$3:$BL$215,63,FALSE)</f>
        <v>0</v>
      </c>
      <c r="M164" t="b">
        <f t="shared" si="24"/>
        <v>0</v>
      </c>
      <c r="N164">
        <f>VLOOKUP($A164,Outcomes!$B$3:$I$209,8,FALSE)</f>
        <v>5</v>
      </c>
      <c r="O164">
        <f t="shared" si="17"/>
        <v>1</v>
      </c>
      <c r="P164">
        <f>VLOOKUP($A164,Outcomes!$B$3:$I$209,5,FALSE)</f>
        <v>5</v>
      </c>
      <c r="Q164">
        <f>VLOOKUP($A164,Outcomes!$B$3:$I$209,6,FALSE)</f>
        <v>0</v>
      </c>
      <c r="R164">
        <f>VLOOKUP($A164,Outcomes!$B$3:$I$209,7,FALSE)</f>
        <v>-5</v>
      </c>
      <c r="S164" t="str">
        <f t="shared" si="18"/>
        <v>HomFave</v>
      </c>
      <c r="T164" t="str">
        <f t="shared" si="19"/>
        <v/>
      </c>
      <c r="U164" t="str">
        <f t="shared" si="20"/>
        <v/>
      </c>
      <c r="V164" t="str">
        <f t="shared" si="21"/>
        <v/>
      </c>
      <c r="W164" t="str">
        <f t="shared" si="22"/>
        <v/>
      </c>
      <c r="X164" s="2" t="str">
        <f t="shared" si="23"/>
        <v/>
      </c>
      <c r="Y164" t="str">
        <f>VLOOKUP($A164,ScionOutput!$A$3:$BL$215,64,FALSE)</f>
        <v xml:space="preserve">824989. LineStatEns probability points gap does not exceed threshold (no edge found)! No play due to strategy constraints. </v>
      </c>
    </row>
    <row r="165" spans="1:25" x14ac:dyDescent="0.2">
      <c r="A165">
        <v>823448</v>
      </c>
      <c r="B165" s="3">
        <f>VLOOKUP($A165,ScionOutput!$A$3:$BL$215,3,FALSE)</f>
        <v>46191</v>
      </c>
      <c r="C165">
        <f>VLOOKUP($A165,ScionOutput!$A$3:$BL$215,22,FALSE)</f>
        <v>21</v>
      </c>
      <c r="D165" t="str">
        <f>VLOOKUP($A165,ScionOutput!$A$3:$BL$215,23,FALSE)</f>
        <v>PHI</v>
      </c>
      <c r="E165">
        <f>VLOOKUP($A165,ScionOutput!$A$3:$BL$215,6,FALSE)</f>
        <v>18</v>
      </c>
      <c r="F165" t="str">
        <f>VLOOKUP($A165,ScionOutput!$A$3:$BL$215,7,FALSE)</f>
        <v>NYM</v>
      </c>
      <c r="G165">
        <f>VLOOKUP($A165,ScionOutput!$A$3:$BL$215,26,FALSE)</f>
        <v>-114</v>
      </c>
      <c r="H165">
        <f>VLOOKUP($A165,ScionOutput!$A$3:$BL$215,10,FALSE)</f>
        <v>105</v>
      </c>
      <c r="I165" t="str">
        <f>VLOOKUP($A165,ScionOutput!$A$3:$BL$215,58,FALSE)</f>
        <v>VisDog</v>
      </c>
      <c r="J165">
        <f>VLOOKUP($A165,ScionOutput!$A$3:$BL$215,59,FALSE)</f>
        <v>-4.2000000000000003E-2</v>
      </c>
      <c r="K165">
        <f>VLOOKUP($A165,ScionOutput!$A$3:$BL$215,62,FALSE)</f>
        <v>3</v>
      </c>
      <c r="L165">
        <f>VLOOKUP($A165,ScionOutput!$A$3:$BL$215,63,FALSE)</f>
        <v>0.67</v>
      </c>
      <c r="M165" t="b">
        <f t="shared" si="24"/>
        <v>0</v>
      </c>
      <c r="N165">
        <f>VLOOKUP($A165,Outcomes!$B$3:$I$209,8,FALSE)</f>
        <v>10</v>
      </c>
      <c r="O165">
        <f t="shared" si="17"/>
        <v>-1</v>
      </c>
      <c r="P165">
        <f>VLOOKUP($A165,Outcomes!$B$3:$I$209,5,FALSE)</f>
        <v>4</v>
      </c>
      <c r="Q165">
        <f>VLOOKUP($A165,Outcomes!$B$3:$I$209,6,FALSE)</f>
        <v>6</v>
      </c>
      <c r="R165">
        <f>VLOOKUP($A165,Outcomes!$B$3:$I$209,7,FALSE)</f>
        <v>2</v>
      </c>
      <c r="S165" t="str">
        <f t="shared" si="18"/>
        <v>VisDog</v>
      </c>
      <c r="T165">
        <f t="shared" si="19"/>
        <v>1</v>
      </c>
      <c r="U165">
        <f t="shared" si="20"/>
        <v>100</v>
      </c>
      <c r="V165">
        <f t="shared" si="21"/>
        <v>205</v>
      </c>
      <c r="W165">
        <f t="shared" si="22"/>
        <v>105</v>
      </c>
      <c r="X165" s="2">
        <f t="shared" si="23"/>
        <v>1.05</v>
      </c>
      <c r="Y165" t="str">
        <f>VLOOKUP($A165,ScionOutput!$A$3:$BL$215,64,FALSE)</f>
        <v xml:space="preserve">823448. StatOnlyEns probability points gap does not exceed threshold (no edge found)! Play determined by LineStatEns only. </v>
      </c>
    </row>
    <row r="166" spans="1:25" x14ac:dyDescent="0.2">
      <c r="A166">
        <v>823125</v>
      </c>
      <c r="B166" s="3">
        <f>VLOOKUP($A166,ScionOutput!$A$3:$BL$215,3,FALSE)</f>
        <v>46191</v>
      </c>
      <c r="C166">
        <f>VLOOKUP($A166,ScionOutput!$A$3:$BL$215,22,FALSE)</f>
        <v>24</v>
      </c>
      <c r="D166" t="str">
        <f>VLOOKUP($A166,ScionOutput!$A$3:$BL$215,23,FALSE)</f>
        <v>SEA</v>
      </c>
      <c r="E166">
        <f>VLOOKUP($A166,ScionOutput!$A$3:$BL$215,6,FALSE)</f>
        <v>2</v>
      </c>
      <c r="F166" t="str">
        <f>VLOOKUP($A166,ScionOutput!$A$3:$BL$215,7,FALSE)</f>
        <v>BAL</v>
      </c>
      <c r="G166">
        <f>VLOOKUP($A166,ScionOutput!$A$3:$BL$215,26,FALSE)</f>
        <v>-133</v>
      </c>
      <c r="H166">
        <f>VLOOKUP($A166,ScionOutput!$A$3:$BL$215,10,FALSE)</f>
        <v>122</v>
      </c>
      <c r="I166" t="str">
        <f>VLOOKUP($A166,ScionOutput!$A$3:$BL$215,58,FALSE)</f>
        <v>No Play</v>
      </c>
      <c r="J166">
        <f>VLOOKUP($A166,ScionOutput!$A$3:$BL$215,59,FALSE)</f>
        <v>0</v>
      </c>
      <c r="K166">
        <f>VLOOKUP($A166,ScionOutput!$A$3:$BL$215,62,FALSE)</f>
        <v>0</v>
      </c>
      <c r="L166">
        <f>VLOOKUP($A166,ScionOutput!$A$3:$BL$215,63,FALSE)</f>
        <v>0</v>
      </c>
      <c r="M166" t="b">
        <f t="shared" si="24"/>
        <v>0</v>
      </c>
      <c r="N166">
        <f>VLOOKUP($A166,Outcomes!$B$3:$I$209,8,FALSE)</f>
        <v>3</v>
      </c>
      <c r="O166">
        <f t="shared" si="17"/>
        <v>1</v>
      </c>
      <c r="P166">
        <f>VLOOKUP($A166,Outcomes!$B$3:$I$209,5,FALSE)</f>
        <v>3</v>
      </c>
      <c r="Q166">
        <f>VLOOKUP($A166,Outcomes!$B$3:$I$209,6,FALSE)</f>
        <v>0</v>
      </c>
      <c r="R166">
        <f>VLOOKUP($A166,Outcomes!$B$3:$I$209,7,FALSE)</f>
        <v>-3</v>
      </c>
      <c r="S166" t="str">
        <f t="shared" si="18"/>
        <v>HomFave</v>
      </c>
      <c r="T166" t="str">
        <f t="shared" si="19"/>
        <v/>
      </c>
      <c r="U166" t="str">
        <f t="shared" si="20"/>
        <v/>
      </c>
      <c r="V166" t="str">
        <f t="shared" si="21"/>
        <v/>
      </c>
      <c r="W166" t="str">
        <f t="shared" si="22"/>
        <v/>
      </c>
      <c r="X166" s="2" t="str">
        <f t="shared" si="23"/>
        <v/>
      </c>
      <c r="Y166" t="str">
        <f>VLOOKUP($A166,ScionOutput!$A$3:$BL$215,64,FALSE)</f>
        <v xml:space="preserve">823125. LineStatEns probability points gap does not exceed threshold (no edge found)! StatOnlyEns probability points gap does not exceed threshold (no edge found)! No play due to strategy constraints. </v>
      </c>
    </row>
    <row r="167" spans="1:25" x14ac:dyDescent="0.2">
      <c r="A167">
        <v>822889</v>
      </c>
      <c r="B167" s="3">
        <f>VLOOKUP($A167,ScionOutput!$A$3:$BL$215,3,FALSE)</f>
        <v>46191</v>
      </c>
      <c r="C167">
        <f>VLOOKUP($A167,ScionOutput!$A$3:$BL$215,22,FALSE)</f>
        <v>28</v>
      </c>
      <c r="D167" t="str">
        <f>VLOOKUP($A167,ScionOutput!$A$3:$BL$215,23,FALSE)</f>
        <v>TEX</v>
      </c>
      <c r="E167">
        <f>VLOOKUP($A167,ScionOutput!$A$3:$BL$215,6,FALSE)</f>
        <v>15</v>
      </c>
      <c r="F167" t="str">
        <f>VLOOKUP($A167,ScionOutput!$A$3:$BL$215,7,FALSE)</f>
        <v>MIN</v>
      </c>
      <c r="G167">
        <f>VLOOKUP($A167,ScionOutput!$A$3:$BL$215,26,FALSE)</f>
        <v>108</v>
      </c>
      <c r="H167">
        <f>VLOOKUP($A167,ScionOutput!$A$3:$BL$215,10,FALSE)</f>
        <v>-117</v>
      </c>
      <c r="I167" t="str">
        <f>VLOOKUP($A167,ScionOutput!$A$3:$BL$215,58,FALSE)</f>
        <v>No Play</v>
      </c>
      <c r="J167">
        <f>VLOOKUP($A167,ScionOutput!$A$3:$BL$215,59,FALSE)</f>
        <v>0</v>
      </c>
      <c r="K167">
        <f>VLOOKUP($A167,ScionOutput!$A$3:$BL$215,62,FALSE)</f>
        <v>0</v>
      </c>
      <c r="L167">
        <f>VLOOKUP($A167,ScionOutput!$A$3:$BL$215,63,FALSE)</f>
        <v>0</v>
      </c>
      <c r="M167" t="b">
        <f t="shared" si="24"/>
        <v>0</v>
      </c>
      <c r="N167">
        <f>VLOOKUP($A167,Outcomes!$B$3:$I$209,8,FALSE)</f>
        <v>12</v>
      </c>
      <c r="O167">
        <f t="shared" si="17"/>
        <v>-1</v>
      </c>
      <c r="P167">
        <f>VLOOKUP($A167,Outcomes!$B$3:$I$209,5,FALSE)</f>
        <v>3</v>
      </c>
      <c r="Q167">
        <f>VLOOKUP($A167,Outcomes!$B$3:$I$209,6,FALSE)</f>
        <v>9</v>
      </c>
      <c r="R167">
        <f>VLOOKUP($A167,Outcomes!$B$3:$I$209,7,FALSE)</f>
        <v>6</v>
      </c>
      <c r="S167" t="str">
        <f t="shared" si="18"/>
        <v>VisFave</v>
      </c>
      <c r="T167" t="str">
        <f t="shared" si="19"/>
        <v/>
      </c>
      <c r="U167" t="str">
        <f t="shared" si="20"/>
        <v/>
      </c>
      <c r="V167" t="str">
        <f t="shared" si="21"/>
        <v/>
      </c>
      <c r="W167" t="str">
        <f t="shared" si="22"/>
        <v/>
      </c>
      <c r="X167" s="2" t="str">
        <f t="shared" si="23"/>
        <v/>
      </c>
      <c r="Y167" t="str">
        <f>VLOOKUP($A167,ScionOutput!$A$3:$BL$215,64,FALSE)</f>
        <v xml:space="preserve">822889. VF plays are disallowed. No play due to strategy constraints. </v>
      </c>
    </row>
    <row r="168" spans="1:25" x14ac:dyDescent="0.2">
      <c r="A168">
        <v>824910</v>
      </c>
      <c r="B168" s="3">
        <f>VLOOKUP($A168,ScionOutput!$A$3:$BL$215,3,FALSE)</f>
        <v>46192</v>
      </c>
      <c r="C168">
        <f>VLOOKUP($A168,ScionOutput!$A$3:$BL$215,22,FALSE)</f>
        <v>0</v>
      </c>
      <c r="D168" t="str">
        <f>VLOOKUP($A168,ScionOutput!$A$3:$BL$215,23,FALSE)</f>
        <v>ATL</v>
      </c>
      <c r="E168">
        <f>VLOOKUP($A168,ScionOutput!$A$3:$BL$215,6,FALSE)</f>
        <v>17</v>
      </c>
      <c r="F168" t="str">
        <f>VLOOKUP($A168,ScionOutput!$A$3:$BL$215,7,FALSE)</f>
        <v>MLW</v>
      </c>
      <c r="G168">
        <f>VLOOKUP($A168,ScionOutput!$A$3:$BL$215,26,FALSE)</f>
        <v>143</v>
      </c>
      <c r="H168">
        <f>VLOOKUP($A168,ScionOutput!$A$3:$BL$215,10,FALSE)</f>
        <v>-156</v>
      </c>
      <c r="I168" t="str">
        <f>VLOOKUP($A168,ScionOutput!$A$3:$BL$215,58,FALSE)</f>
        <v>No Play</v>
      </c>
      <c r="J168">
        <f>VLOOKUP($A168,ScionOutput!$A$3:$BL$215,59,FALSE)</f>
        <v>0</v>
      </c>
      <c r="K168">
        <f>VLOOKUP($A168,ScionOutput!$A$3:$BL$215,62,FALSE)</f>
        <v>0</v>
      </c>
      <c r="L168">
        <f>VLOOKUP($A168,ScionOutput!$A$3:$BL$215,63,FALSE)</f>
        <v>0</v>
      </c>
      <c r="M168" t="b">
        <f t="shared" si="24"/>
        <v>0</v>
      </c>
      <c r="N168">
        <f>VLOOKUP($A168,Outcomes!$B$3:$I$209,8,FALSE)</f>
        <v>5</v>
      </c>
      <c r="O168">
        <f t="shared" si="17"/>
        <v>1</v>
      </c>
      <c r="P168">
        <f>VLOOKUP($A168,Outcomes!$B$3:$I$209,5,FALSE)</f>
        <v>3</v>
      </c>
      <c r="Q168">
        <f>VLOOKUP($A168,Outcomes!$B$3:$I$209,6,FALSE)</f>
        <v>2</v>
      </c>
      <c r="R168">
        <f>VLOOKUP($A168,Outcomes!$B$3:$I$209,7,FALSE)</f>
        <v>-1</v>
      </c>
      <c r="S168" t="str">
        <f t="shared" si="18"/>
        <v>HomDog</v>
      </c>
      <c r="T168" t="str">
        <f t="shared" si="19"/>
        <v/>
      </c>
      <c r="U168" t="str">
        <f t="shared" si="20"/>
        <v/>
      </c>
      <c r="V168" t="str">
        <f t="shared" si="21"/>
        <v/>
      </c>
      <c r="W168" t="str">
        <f t="shared" si="22"/>
        <v/>
      </c>
      <c r="X168" s="2" t="str">
        <f t="shared" si="23"/>
        <v/>
      </c>
      <c r="Y168" t="str">
        <f>VLOOKUP($A168,ScionOutput!$A$3:$BL$215,64,FALSE)</f>
        <v xml:space="preserve">824910. VF plays are disallowed. No play due to strategy constraints. </v>
      </c>
    </row>
    <row r="169" spans="1:25" x14ac:dyDescent="0.2">
      <c r="A169">
        <v>825069</v>
      </c>
      <c r="B169" s="3">
        <f>VLOOKUP($A169,ScionOutput!$A$3:$BL$215,3,FALSE)</f>
        <v>46192</v>
      </c>
      <c r="C169">
        <f>VLOOKUP($A169,ScionOutput!$A$3:$BL$215,22,FALSE)</f>
        <v>1</v>
      </c>
      <c r="D169" t="str">
        <f>VLOOKUP($A169,ScionOutput!$A$3:$BL$215,23,FALSE)</f>
        <v>ARZ</v>
      </c>
      <c r="E169">
        <f>VLOOKUP($A169,ScionOutput!$A$3:$BL$215,6,FALSE)</f>
        <v>15</v>
      </c>
      <c r="F169" t="str">
        <f>VLOOKUP($A169,ScionOutput!$A$3:$BL$215,7,FALSE)</f>
        <v>MIN</v>
      </c>
      <c r="G169">
        <f>VLOOKUP($A169,ScionOutput!$A$3:$BL$215,26,FALSE)</f>
        <v>-165</v>
      </c>
      <c r="H169">
        <f>VLOOKUP($A169,ScionOutput!$A$3:$BL$215,10,FALSE)</f>
        <v>152</v>
      </c>
      <c r="I169" t="str">
        <f>VLOOKUP($A169,ScionOutput!$A$3:$BL$215,58,FALSE)</f>
        <v>No Play</v>
      </c>
      <c r="J169">
        <f>VLOOKUP($A169,ScionOutput!$A$3:$BL$215,59,FALSE)</f>
        <v>0</v>
      </c>
      <c r="K169">
        <f>VLOOKUP($A169,ScionOutput!$A$3:$BL$215,62,FALSE)</f>
        <v>0</v>
      </c>
      <c r="L169">
        <f>VLOOKUP($A169,ScionOutput!$A$3:$BL$215,63,FALSE)</f>
        <v>0</v>
      </c>
      <c r="M169" t="b">
        <f t="shared" si="24"/>
        <v>0</v>
      </c>
      <c r="N169">
        <f>VLOOKUP($A169,Outcomes!$B$3:$I$209,8,FALSE)</f>
        <v>14</v>
      </c>
      <c r="O169">
        <f t="shared" si="17"/>
        <v>1</v>
      </c>
      <c r="P169">
        <f>VLOOKUP($A169,Outcomes!$B$3:$I$209,5,FALSE)</f>
        <v>9</v>
      </c>
      <c r="Q169">
        <f>VLOOKUP($A169,Outcomes!$B$3:$I$209,6,FALSE)</f>
        <v>5</v>
      </c>
      <c r="R169">
        <f>VLOOKUP($A169,Outcomes!$B$3:$I$209,7,FALSE)</f>
        <v>-4</v>
      </c>
      <c r="S169" t="str">
        <f t="shared" si="18"/>
        <v>HomFave</v>
      </c>
      <c r="T169" t="str">
        <f t="shared" si="19"/>
        <v/>
      </c>
      <c r="U169" t="str">
        <f t="shared" si="20"/>
        <v/>
      </c>
      <c r="V169" t="str">
        <f t="shared" si="21"/>
        <v/>
      </c>
      <c r="W169" t="str">
        <f t="shared" si="22"/>
        <v/>
      </c>
      <c r="X169" s="2" t="str">
        <f t="shared" si="23"/>
        <v/>
      </c>
      <c r="Y169" t="str">
        <f>VLOOKUP($A169,ScionOutput!$A$3:$BL$215,64,FALSE)</f>
        <v xml:space="preserve">825069. LineStatEns is NoPlay as bookie-line outside range. StatOnlyEns is NoPlay as bookie-line outside range. No play due to strategy constraints. </v>
      </c>
    </row>
    <row r="170" spans="1:25" x14ac:dyDescent="0.2">
      <c r="A170">
        <v>824663</v>
      </c>
      <c r="B170" s="3">
        <f>VLOOKUP($A170,ScionOutput!$A$3:$BL$215,3,FALSE)</f>
        <v>46192</v>
      </c>
      <c r="C170">
        <f>VLOOKUP($A170,ScionOutput!$A$3:$BL$215,22,FALSE)</f>
        <v>5</v>
      </c>
      <c r="D170" t="str">
        <f>VLOOKUP($A170,ScionOutput!$A$3:$BL$215,23,FALSE)</f>
        <v>CHC</v>
      </c>
      <c r="E170">
        <f>VLOOKUP($A170,ScionOutput!$A$3:$BL$215,6,FALSE)</f>
        <v>29</v>
      </c>
      <c r="F170" t="str">
        <f>VLOOKUP($A170,ScionOutput!$A$3:$BL$215,7,FALSE)</f>
        <v>TOR</v>
      </c>
      <c r="G170">
        <f>VLOOKUP($A170,ScionOutput!$A$3:$BL$215,26,FALSE)</f>
        <v>-120</v>
      </c>
      <c r="H170">
        <f>VLOOKUP($A170,ScionOutput!$A$3:$BL$215,10,FALSE)</f>
        <v>111</v>
      </c>
      <c r="I170" t="str">
        <f>VLOOKUP($A170,ScionOutput!$A$3:$BL$215,58,FALSE)</f>
        <v>No Play</v>
      </c>
      <c r="J170">
        <f>VLOOKUP($A170,ScionOutput!$A$3:$BL$215,59,FALSE)</f>
        <v>0</v>
      </c>
      <c r="K170">
        <f>VLOOKUP($A170,ScionOutput!$A$3:$BL$215,62,FALSE)</f>
        <v>0</v>
      </c>
      <c r="L170">
        <f>VLOOKUP($A170,ScionOutput!$A$3:$BL$215,63,FALSE)</f>
        <v>0</v>
      </c>
      <c r="M170" t="b">
        <f t="shared" si="24"/>
        <v>0</v>
      </c>
      <c r="N170">
        <f>VLOOKUP($A170,Outcomes!$B$3:$I$209,8,FALSE)</f>
        <v>18</v>
      </c>
      <c r="O170">
        <f t="shared" si="17"/>
        <v>1</v>
      </c>
      <c r="P170">
        <f>VLOOKUP($A170,Outcomes!$B$3:$I$209,5,FALSE)</f>
        <v>16</v>
      </c>
      <c r="Q170">
        <f>VLOOKUP($A170,Outcomes!$B$3:$I$209,6,FALSE)</f>
        <v>2</v>
      </c>
      <c r="R170">
        <f>VLOOKUP($A170,Outcomes!$B$3:$I$209,7,FALSE)</f>
        <v>-14</v>
      </c>
      <c r="S170" t="str">
        <f t="shared" si="18"/>
        <v>HomFave</v>
      </c>
      <c r="T170" t="str">
        <f t="shared" si="19"/>
        <v/>
      </c>
      <c r="U170" t="str">
        <f t="shared" si="20"/>
        <v/>
      </c>
      <c r="V170" t="str">
        <f t="shared" si="21"/>
        <v/>
      </c>
      <c r="W170" t="str">
        <f t="shared" si="22"/>
        <v/>
      </c>
      <c r="X170" s="2" t="str">
        <f t="shared" si="23"/>
        <v/>
      </c>
      <c r="Y170" t="str">
        <f>VLOOKUP($A170,ScionOutput!$A$3:$BL$215,64,FALSE)</f>
        <v xml:space="preserve">824663. LineStatEns probability points gap does not exceed threshold (no edge found)! StatOnlyEns probability points gap does not exceed threshold (no edge found)! No play due to strategy constraints. </v>
      </c>
    </row>
    <row r="171" spans="1:25" x14ac:dyDescent="0.2">
      <c r="A171">
        <v>824345</v>
      </c>
      <c r="B171" s="3">
        <f>VLOOKUP($A171,ScionOutput!$A$3:$BL$215,3,FALSE)</f>
        <v>46192</v>
      </c>
      <c r="C171">
        <f>VLOOKUP($A171,ScionOutput!$A$3:$BL$215,22,FALSE)</f>
        <v>8</v>
      </c>
      <c r="D171" t="str">
        <f>VLOOKUP($A171,ScionOutput!$A$3:$BL$215,23,FALSE)</f>
        <v>COL</v>
      </c>
      <c r="E171">
        <f>VLOOKUP($A171,ScionOutput!$A$3:$BL$215,6,FALSE)</f>
        <v>22</v>
      </c>
      <c r="F171" t="str">
        <f>VLOOKUP($A171,ScionOutput!$A$3:$BL$215,7,FALSE)</f>
        <v>PIT</v>
      </c>
      <c r="G171">
        <f>VLOOKUP($A171,ScionOutput!$A$3:$BL$215,26,FALSE)</f>
        <v>122</v>
      </c>
      <c r="H171">
        <f>VLOOKUP($A171,ScionOutput!$A$3:$BL$215,10,FALSE)</f>
        <v>-132</v>
      </c>
      <c r="I171" t="str">
        <f>VLOOKUP($A171,ScionOutput!$A$3:$BL$215,58,FALSE)</f>
        <v>No Play</v>
      </c>
      <c r="J171">
        <f>VLOOKUP($A171,ScionOutput!$A$3:$BL$215,59,FALSE)</f>
        <v>0</v>
      </c>
      <c r="K171">
        <f>VLOOKUP($A171,ScionOutput!$A$3:$BL$215,62,FALSE)</f>
        <v>0</v>
      </c>
      <c r="L171">
        <f>VLOOKUP($A171,ScionOutput!$A$3:$BL$215,63,FALSE)</f>
        <v>0</v>
      </c>
      <c r="M171" t="b">
        <f t="shared" si="24"/>
        <v>0</v>
      </c>
      <c r="N171">
        <f>VLOOKUP($A171,Outcomes!$B$3:$I$209,8,FALSE)</f>
        <v>7</v>
      </c>
      <c r="O171">
        <f t="shared" si="17"/>
        <v>1</v>
      </c>
      <c r="P171">
        <f>VLOOKUP($A171,Outcomes!$B$3:$I$209,5,FALSE)</f>
        <v>4</v>
      </c>
      <c r="Q171">
        <f>VLOOKUP($A171,Outcomes!$B$3:$I$209,6,FALSE)</f>
        <v>3</v>
      </c>
      <c r="R171">
        <f>VLOOKUP($A171,Outcomes!$B$3:$I$209,7,FALSE)</f>
        <v>-1</v>
      </c>
      <c r="S171" t="str">
        <f t="shared" si="18"/>
        <v>HomDog</v>
      </c>
      <c r="T171" t="str">
        <f t="shared" si="19"/>
        <v/>
      </c>
      <c r="U171" t="str">
        <f t="shared" si="20"/>
        <v/>
      </c>
      <c r="V171" t="str">
        <f t="shared" si="21"/>
        <v/>
      </c>
      <c r="W171" t="str">
        <f t="shared" si="22"/>
        <v/>
      </c>
      <c r="X171" s="2" t="str">
        <f t="shared" si="23"/>
        <v/>
      </c>
      <c r="Y171" t="str">
        <f>VLOOKUP($A171,ScionOutput!$A$3:$BL$215,64,FALSE)</f>
        <v xml:space="preserve">824345. VF plays are disallowed. No play due to strategy constraints. </v>
      </c>
    </row>
    <row r="172" spans="1:25" x14ac:dyDescent="0.2">
      <c r="A172">
        <v>824264</v>
      </c>
      <c r="B172" s="3">
        <f>VLOOKUP($A172,ScionOutput!$A$3:$BL$215,3,FALSE)</f>
        <v>46192</v>
      </c>
      <c r="C172">
        <f>VLOOKUP($A172,ScionOutput!$A$3:$BL$215,22,FALSE)</f>
        <v>10</v>
      </c>
      <c r="D172" t="str">
        <f>VLOOKUP($A172,ScionOutput!$A$3:$BL$215,23,FALSE)</f>
        <v>DET</v>
      </c>
      <c r="E172">
        <f>VLOOKUP($A172,ScionOutput!$A$3:$BL$215,6,FALSE)</f>
        <v>9</v>
      </c>
      <c r="F172" t="str">
        <f>VLOOKUP($A172,ScionOutput!$A$3:$BL$215,7,FALSE)</f>
        <v>CWS</v>
      </c>
      <c r="G172">
        <f>VLOOKUP($A172,ScionOutput!$A$3:$BL$215,26,FALSE)</f>
        <v>-182</v>
      </c>
      <c r="H172">
        <f>VLOOKUP($A172,ScionOutput!$A$3:$BL$215,10,FALSE)</f>
        <v>166</v>
      </c>
      <c r="I172" t="str">
        <f>VLOOKUP($A172,ScionOutput!$A$3:$BL$215,58,FALSE)</f>
        <v>No Play</v>
      </c>
      <c r="J172">
        <f>VLOOKUP($A172,ScionOutput!$A$3:$BL$215,59,FALSE)</f>
        <v>0</v>
      </c>
      <c r="K172">
        <f>VLOOKUP($A172,ScionOutput!$A$3:$BL$215,62,FALSE)</f>
        <v>0</v>
      </c>
      <c r="L172">
        <f>VLOOKUP($A172,ScionOutput!$A$3:$BL$215,63,FALSE)</f>
        <v>0</v>
      </c>
      <c r="M172" t="b">
        <f t="shared" si="24"/>
        <v>0</v>
      </c>
      <c r="N172">
        <f>VLOOKUP($A172,Outcomes!$B$3:$I$209,8,FALSE)</f>
        <v>7</v>
      </c>
      <c r="O172">
        <f t="shared" si="17"/>
        <v>1</v>
      </c>
      <c r="P172">
        <f>VLOOKUP($A172,Outcomes!$B$3:$I$209,5,FALSE)</f>
        <v>4</v>
      </c>
      <c r="Q172">
        <f>VLOOKUP($A172,Outcomes!$B$3:$I$209,6,FALSE)</f>
        <v>3</v>
      </c>
      <c r="R172">
        <f>VLOOKUP($A172,Outcomes!$B$3:$I$209,7,FALSE)</f>
        <v>-1</v>
      </c>
      <c r="S172" t="str">
        <f t="shared" si="18"/>
        <v>HomFave</v>
      </c>
      <c r="T172" t="str">
        <f t="shared" si="19"/>
        <v/>
      </c>
      <c r="U172" t="str">
        <f t="shared" si="20"/>
        <v/>
      </c>
      <c r="V172" t="str">
        <f t="shared" si="21"/>
        <v/>
      </c>
      <c r="W172" t="str">
        <f t="shared" si="22"/>
        <v/>
      </c>
      <c r="X172" s="2" t="str">
        <f t="shared" si="23"/>
        <v/>
      </c>
      <c r="Y172" t="str">
        <f>VLOOKUP($A172,ScionOutput!$A$3:$BL$215,64,FALSE)</f>
        <v xml:space="preserve">824264. LineStatEns is NoPlay as bookie-line outside range. StatOnlyEns is NoPlay as bookie-line outside range. No play due to strategy constraints. </v>
      </c>
    </row>
    <row r="173" spans="1:25" x14ac:dyDescent="0.2">
      <c r="A173">
        <v>823853</v>
      </c>
      <c r="B173" s="3">
        <f>VLOOKUP($A173,ScionOutput!$A$3:$BL$215,3,FALSE)</f>
        <v>46192</v>
      </c>
      <c r="C173">
        <f>VLOOKUP($A173,ScionOutput!$A$3:$BL$215,22,FALSE)</f>
        <v>11</v>
      </c>
      <c r="D173" t="str">
        <f>VLOOKUP($A173,ScionOutput!$A$3:$BL$215,23,FALSE)</f>
        <v>FLO</v>
      </c>
      <c r="E173">
        <f>VLOOKUP($A173,ScionOutput!$A$3:$BL$215,6,FALSE)</f>
        <v>25</v>
      </c>
      <c r="F173" t="str">
        <f>VLOOKUP($A173,ScionOutput!$A$3:$BL$215,7,FALSE)</f>
        <v>SF</v>
      </c>
      <c r="G173">
        <f>VLOOKUP($A173,ScionOutput!$A$3:$BL$215,26,FALSE)</f>
        <v>-111</v>
      </c>
      <c r="H173">
        <f>VLOOKUP($A173,ScionOutput!$A$3:$BL$215,10,FALSE)</f>
        <v>103</v>
      </c>
      <c r="I173" t="str">
        <f>VLOOKUP($A173,ScionOutput!$A$3:$BL$215,58,FALSE)</f>
        <v>No Play</v>
      </c>
      <c r="J173">
        <f>VLOOKUP($A173,ScionOutput!$A$3:$BL$215,59,FALSE)</f>
        <v>0</v>
      </c>
      <c r="K173">
        <f>VLOOKUP($A173,ScionOutput!$A$3:$BL$215,62,FALSE)</f>
        <v>0</v>
      </c>
      <c r="L173">
        <f>VLOOKUP($A173,ScionOutput!$A$3:$BL$215,63,FALSE)</f>
        <v>0</v>
      </c>
      <c r="M173" t="b">
        <f t="shared" si="24"/>
        <v>0</v>
      </c>
      <c r="N173">
        <f>VLOOKUP($A173,Outcomes!$B$3:$I$209,8,FALSE)</f>
        <v>7</v>
      </c>
      <c r="O173">
        <f t="shared" si="17"/>
        <v>1</v>
      </c>
      <c r="P173">
        <f>VLOOKUP($A173,Outcomes!$B$3:$I$209,5,FALSE)</f>
        <v>4</v>
      </c>
      <c r="Q173">
        <f>VLOOKUP($A173,Outcomes!$B$3:$I$209,6,FALSE)</f>
        <v>3</v>
      </c>
      <c r="R173">
        <f>VLOOKUP($A173,Outcomes!$B$3:$I$209,7,FALSE)</f>
        <v>-1</v>
      </c>
      <c r="S173" t="str">
        <f t="shared" si="18"/>
        <v>HomFave</v>
      </c>
      <c r="T173" t="str">
        <f t="shared" si="19"/>
        <v/>
      </c>
      <c r="U173" t="str">
        <f t="shared" si="20"/>
        <v/>
      </c>
      <c r="V173" t="str">
        <f t="shared" si="21"/>
        <v/>
      </c>
      <c r="W173" t="str">
        <f t="shared" si="22"/>
        <v/>
      </c>
      <c r="X173" s="2" t="str">
        <f t="shared" si="23"/>
        <v/>
      </c>
      <c r="Y173" t="str">
        <f>VLOOKUP($A173,ScionOutput!$A$3:$BL$215,64,FALSE)</f>
        <v xml:space="preserve">823853. LineStatEns probability points gap does not exceed threshold (no edge found)! StatOnlyEns probability points gap does not exceed threshold (no edge found)! No play due to strategy constraints. </v>
      </c>
    </row>
    <row r="174" spans="1:25" x14ac:dyDescent="0.2">
      <c r="A174">
        <v>824179</v>
      </c>
      <c r="B174" s="3">
        <f>VLOOKUP($A174,ScionOutput!$A$3:$BL$215,3,FALSE)</f>
        <v>46192</v>
      </c>
      <c r="C174">
        <f>VLOOKUP($A174,ScionOutput!$A$3:$BL$215,22,FALSE)</f>
        <v>12</v>
      </c>
      <c r="D174" t="str">
        <f>VLOOKUP($A174,ScionOutput!$A$3:$BL$215,23,FALSE)</f>
        <v>HOU</v>
      </c>
      <c r="E174">
        <f>VLOOKUP($A174,ScionOutput!$A$3:$BL$215,6,FALSE)</f>
        <v>7</v>
      </c>
      <c r="F174" t="str">
        <f>VLOOKUP($A174,ScionOutput!$A$3:$BL$215,7,FALSE)</f>
        <v>CLE</v>
      </c>
      <c r="G174">
        <f>VLOOKUP($A174,ScionOutput!$A$3:$BL$215,26,FALSE)</f>
        <v>-121</v>
      </c>
      <c r="H174">
        <f>VLOOKUP($A174,ScionOutput!$A$3:$BL$215,10,FALSE)</f>
        <v>111</v>
      </c>
      <c r="I174" t="str">
        <f>VLOOKUP($A174,ScionOutput!$A$3:$BL$215,58,FALSE)</f>
        <v>VisDog</v>
      </c>
      <c r="J174">
        <f>VLOOKUP($A174,ScionOutput!$A$3:$BL$215,59,FALSE)</f>
        <v>-5.602E-2</v>
      </c>
      <c r="K174">
        <f>VLOOKUP($A174,ScionOutput!$A$3:$BL$215,62,FALSE)</f>
        <v>5</v>
      </c>
      <c r="L174">
        <f>VLOOKUP($A174,ScionOutput!$A$3:$BL$215,63,FALSE)</f>
        <v>0.67</v>
      </c>
      <c r="M174" t="b">
        <f t="shared" si="24"/>
        <v>1</v>
      </c>
      <c r="N174">
        <f>VLOOKUP($A174,Outcomes!$B$3:$I$209,8,FALSE)</f>
        <v>12</v>
      </c>
      <c r="O174">
        <f t="shared" si="17"/>
        <v>1</v>
      </c>
      <c r="P174">
        <f>VLOOKUP($A174,Outcomes!$B$3:$I$209,5,FALSE)</f>
        <v>9</v>
      </c>
      <c r="Q174">
        <f>VLOOKUP($A174,Outcomes!$B$3:$I$209,6,FALSE)</f>
        <v>3</v>
      </c>
      <c r="R174">
        <f>VLOOKUP($A174,Outcomes!$B$3:$I$209,7,FALSE)</f>
        <v>-6</v>
      </c>
      <c r="S174" t="str">
        <f t="shared" si="18"/>
        <v>HomFave</v>
      </c>
      <c r="T174">
        <f t="shared" si="19"/>
        <v>0</v>
      </c>
      <c r="U174">
        <f t="shared" si="20"/>
        <v>100</v>
      </c>
      <c r="V174">
        <f t="shared" si="21"/>
        <v>0</v>
      </c>
      <c r="W174">
        <f t="shared" si="22"/>
        <v>-100</v>
      </c>
      <c r="X174" s="2">
        <f t="shared" si="23"/>
        <v>-1</v>
      </c>
      <c r="Y174" t="str">
        <f>VLOOKUP($A174,ScionOutput!$A$3:$BL$215,64,FALSE)</f>
        <v xml:space="preserve">824179. Play determined by LineStatEns and StatOnlyEns agreement. </v>
      </c>
    </row>
    <row r="175" spans="1:25" x14ac:dyDescent="0.2">
      <c r="A175">
        <v>824097</v>
      </c>
      <c r="B175" s="3">
        <f>VLOOKUP($A175,ScionOutput!$A$3:$BL$215,3,FALSE)</f>
        <v>46192</v>
      </c>
      <c r="C175">
        <f>VLOOKUP($A175,ScionOutput!$A$3:$BL$215,22,FALSE)</f>
        <v>13</v>
      </c>
      <c r="D175" t="str">
        <f>VLOOKUP($A175,ScionOutput!$A$3:$BL$215,23,FALSE)</f>
        <v>KC</v>
      </c>
      <c r="E175">
        <f>VLOOKUP($A175,ScionOutput!$A$3:$BL$215,6,FALSE)</f>
        <v>26</v>
      </c>
      <c r="F175" t="str">
        <f>VLOOKUP($A175,ScionOutput!$A$3:$BL$215,7,FALSE)</f>
        <v>STL</v>
      </c>
      <c r="G175">
        <f>VLOOKUP($A175,ScionOutput!$A$3:$BL$215,26,FALSE)</f>
        <v>105</v>
      </c>
      <c r="H175">
        <f>VLOOKUP($A175,ScionOutput!$A$3:$BL$215,10,FALSE)</f>
        <v>-114</v>
      </c>
      <c r="I175" t="str">
        <f>VLOOKUP($A175,ScionOutput!$A$3:$BL$215,58,FALSE)</f>
        <v>No Play</v>
      </c>
      <c r="J175">
        <f>VLOOKUP($A175,ScionOutput!$A$3:$BL$215,59,FALSE)</f>
        <v>0</v>
      </c>
      <c r="K175">
        <f>VLOOKUP($A175,ScionOutput!$A$3:$BL$215,62,FALSE)</f>
        <v>0</v>
      </c>
      <c r="L175">
        <f>VLOOKUP($A175,ScionOutput!$A$3:$BL$215,63,FALSE)</f>
        <v>0</v>
      </c>
      <c r="M175" t="b">
        <f t="shared" si="24"/>
        <v>0</v>
      </c>
      <c r="N175">
        <f>VLOOKUP($A175,Outcomes!$B$3:$I$209,8,FALSE)</f>
        <v>11</v>
      </c>
      <c r="O175">
        <f t="shared" si="17"/>
        <v>1</v>
      </c>
      <c r="P175">
        <f>VLOOKUP($A175,Outcomes!$B$3:$I$209,5,FALSE)</f>
        <v>6</v>
      </c>
      <c r="Q175">
        <f>VLOOKUP($A175,Outcomes!$B$3:$I$209,6,FALSE)</f>
        <v>5</v>
      </c>
      <c r="R175">
        <f>VLOOKUP($A175,Outcomes!$B$3:$I$209,7,FALSE)</f>
        <v>-1</v>
      </c>
      <c r="S175" t="str">
        <f t="shared" si="18"/>
        <v>HomDog</v>
      </c>
      <c r="T175" t="str">
        <f t="shared" si="19"/>
        <v/>
      </c>
      <c r="U175" t="str">
        <f t="shared" si="20"/>
        <v/>
      </c>
      <c r="V175" t="str">
        <f t="shared" si="21"/>
        <v/>
      </c>
      <c r="W175" t="str">
        <f t="shared" si="22"/>
        <v/>
      </c>
      <c r="X175" s="2" t="str">
        <f t="shared" si="23"/>
        <v/>
      </c>
      <c r="Y175" t="str">
        <f>VLOOKUP($A175,ScionOutput!$A$3:$BL$215,64,FALSE)</f>
        <v xml:space="preserve">824097. VF plays are disallowed. No play due to strategy constraints. </v>
      </c>
    </row>
    <row r="176" spans="1:25" x14ac:dyDescent="0.2">
      <c r="A176">
        <v>823936</v>
      </c>
      <c r="B176" s="3">
        <f>VLOOKUP($A176,ScionOutput!$A$3:$BL$215,3,FALSE)</f>
        <v>46192</v>
      </c>
      <c r="C176">
        <f>VLOOKUP($A176,ScionOutput!$A$3:$BL$215,22,FALSE)</f>
        <v>14</v>
      </c>
      <c r="D176" t="str">
        <f>VLOOKUP($A176,ScionOutput!$A$3:$BL$215,23,FALSE)</f>
        <v>LA</v>
      </c>
      <c r="E176">
        <f>VLOOKUP($A176,ScionOutput!$A$3:$BL$215,6,FALSE)</f>
        <v>2</v>
      </c>
      <c r="F176" t="str">
        <f>VLOOKUP($A176,ScionOutput!$A$3:$BL$215,7,FALSE)</f>
        <v>BAL</v>
      </c>
      <c r="G176">
        <f>VLOOKUP($A176,ScionOutput!$A$3:$BL$215,26,FALSE)</f>
        <v>-206</v>
      </c>
      <c r="H176">
        <f>VLOOKUP($A176,ScionOutput!$A$3:$BL$215,10,FALSE)</f>
        <v>187</v>
      </c>
      <c r="I176" t="str">
        <f>VLOOKUP($A176,ScionOutput!$A$3:$BL$215,58,FALSE)</f>
        <v>No Play</v>
      </c>
      <c r="J176">
        <f>VLOOKUP($A176,ScionOutput!$A$3:$BL$215,59,FALSE)</f>
        <v>0</v>
      </c>
      <c r="K176">
        <f>VLOOKUP($A176,ScionOutput!$A$3:$BL$215,62,FALSE)</f>
        <v>0</v>
      </c>
      <c r="L176">
        <f>VLOOKUP($A176,ScionOutput!$A$3:$BL$215,63,FALSE)</f>
        <v>0</v>
      </c>
      <c r="M176" t="b">
        <f t="shared" si="24"/>
        <v>0</v>
      </c>
      <c r="N176">
        <f>VLOOKUP($A176,Outcomes!$B$3:$I$209,8,FALSE)</f>
        <v>11</v>
      </c>
      <c r="O176">
        <f t="shared" si="17"/>
        <v>1</v>
      </c>
      <c r="P176">
        <f>VLOOKUP($A176,Outcomes!$B$3:$I$209,5,FALSE)</f>
        <v>6</v>
      </c>
      <c r="Q176">
        <f>VLOOKUP($A176,Outcomes!$B$3:$I$209,6,FALSE)</f>
        <v>5</v>
      </c>
      <c r="R176">
        <f>VLOOKUP($A176,Outcomes!$B$3:$I$209,7,FALSE)</f>
        <v>-1</v>
      </c>
      <c r="S176" t="str">
        <f t="shared" si="18"/>
        <v>HomFave</v>
      </c>
      <c r="T176" t="str">
        <f t="shared" si="19"/>
        <v/>
      </c>
      <c r="U176" t="str">
        <f t="shared" si="20"/>
        <v/>
      </c>
      <c r="V176" t="str">
        <f t="shared" si="21"/>
        <v/>
      </c>
      <c r="W176" t="str">
        <f t="shared" si="22"/>
        <v/>
      </c>
      <c r="X176" s="2" t="str">
        <f t="shared" si="23"/>
        <v/>
      </c>
      <c r="Y176" t="str">
        <f>VLOOKUP($A176,ScionOutput!$A$3:$BL$215,64,FALSE)</f>
        <v xml:space="preserve">823936. LineStatEns is NoPlay as bookie-line outside range. StatOnlyEns is NoPlay as bookie-line outside range. No play due to strategy constraints. </v>
      </c>
    </row>
    <row r="177" spans="1:25" x14ac:dyDescent="0.2">
      <c r="A177">
        <v>823534</v>
      </c>
      <c r="B177" s="3">
        <f>VLOOKUP($A177,ScionOutput!$A$3:$BL$215,3,FALSE)</f>
        <v>46192</v>
      </c>
      <c r="C177">
        <f>VLOOKUP($A177,ScionOutput!$A$3:$BL$215,22,FALSE)</f>
        <v>19</v>
      </c>
      <c r="D177" t="str">
        <f>VLOOKUP($A177,ScionOutput!$A$3:$BL$215,23,FALSE)</f>
        <v>NYY</v>
      </c>
      <c r="E177">
        <f>VLOOKUP($A177,ScionOutput!$A$3:$BL$215,6,FALSE)</f>
        <v>6</v>
      </c>
      <c r="F177" t="str">
        <f>VLOOKUP($A177,ScionOutput!$A$3:$BL$215,7,FALSE)</f>
        <v>CIN</v>
      </c>
      <c r="G177">
        <f>VLOOKUP($A177,ScionOutput!$A$3:$BL$215,26,FALSE)</f>
        <v>-269</v>
      </c>
      <c r="H177">
        <f>VLOOKUP($A177,ScionOutput!$A$3:$BL$215,10,FALSE)</f>
        <v>240</v>
      </c>
      <c r="I177" t="str">
        <f>VLOOKUP($A177,ScionOutput!$A$3:$BL$215,58,FALSE)</f>
        <v>No Play</v>
      </c>
      <c r="J177">
        <f>VLOOKUP($A177,ScionOutput!$A$3:$BL$215,59,FALSE)</f>
        <v>0</v>
      </c>
      <c r="K177">
        <f>VLOOKUP($A177,ScionOutput!$A$3:$BL$215,62,FALSE)</f>
        <v>0</v>
      </c>
      <c r="L177">
        <f>VLOOKUP($A177,ScionOutput!$A$3:$BL$215,63,FALSE)</f>
        <v>0</v>
      </c>
      <c r="M177" t="b">
        <f t="shared" si="24"/>
        <v>0</v>
      </c>
      <c r="N177">
        <f>VLOOKUP($A177,Outcomes!$B$3:$I$209,8,FALSE)</f>
        <v>5</v>
      </c>
      <c r="O177">
        <f t="shared" si="17"/>
        <v>1</v>
      </c>
      <c r="P177">
        <f>VLOOKUP($A177,Outcomes!$B$3:$I$209,5,FALSE)</f>
        <v>5</v>
      </c>
      <c r="Q177">
        <f>VLOOKUP($A177,Outcomes!$B$3:$I$209,6,FALSE)</f>
        <v>0</v>
      </c>
      <c r="R177">
        <f>VLOOKUP($A177,Outcomes!$B$3:$I$209,7,FALSE)</f>
        <v>-5</v>
      </c>
      <c r="S177" t="str">
        <f t="shared" si="18"/>
        <v>HomFave</v>
      </c>
      <c r="T177" t="str">
        <f t="shared" si="19"/>
        <v/>
      </c>
      <c r="U177" t="str">
        <f t="shared" si="20"/>
        <v/>
      </c>
      <c r="V177" t="str">
        <f t="shared" si="21"/>
        <v/>
      </c>
      <c r="W177" t="str">
        <f t="shared" si="22"/>
        <v/>
      </c>
      <c r="X177" s="2" t="str">
        <f t="shared" si="23"/>
        <v/>
      </c>
      <c r="Y177" t="str">
        <f>VLOOKUP($A177,ScionOutput!$A$3:$BL$215,64,FALSE)</f>
        <v xml:space="preserve">823534. LineStatEns is NoPlay as bookie-line outside range. StatOnlyEns is NoPlay as bookie-line outside range. No play due to strategy constraints. </v>
      </c>
    </row>
    <row r="178" spans="1:25" x14ac:dyDescent="0.2">
      <c r="A178">
        <v>824990</v>
      </c>
      <c r="B178" s="3">
        <f>VLOOKUP($A178,ScionOutput!$A$3:$BL$215,3,FALSE)</f>
        <v>46192</v>
      </c>
      <c r="C178">
        <f>VLOOKUP($A178,ScionOutput!$A$3:$BL$215,22,FALSE)</f>
        <v>20</v>
      </c>
      <c r="D178" t="str">
        <f>VLOOKUP($A178,ScionOutput!$A$3:$BL$215,23,FALSE)</f>
        <v>OAK</v>
      </c>
      <c r="E178">
        <f>VLOOKUP($A178,ScionOutput!$A$3:$BL$215,6,FALSE)</f>
        <v>4</v>
      </c>
      <c r="F178" t="str">
        <f>VLOOKUP($A178,ScionOutput!$A$3:$BL$215,7,FALSE)</f>
        <v>LAA</v>
      </c>
      <c r="G178">
        <f>VLOOKUP($A178,ScionOutput!$A$3:$BL$215,26,FALSE)</f>
        <v>-153</v>
      </c>
      <c r="H178">
        <f>VLOOKUP($A178,ScionOutput!$A$3:$BL$215,10,FALSE)</f>
        <v>141</v>
      </c>
      <c r="I178" t="str">
        <f>VLOOKUP($A178,ScionOutput!$A$3:$BL$215,58,FALSE)</f>
        <v>No Play</v>
      </c>
      <c r="J178">
        <f>VLOOKUP($A178,ScionOutput!$A$3:$BL$215,59,FALSE)</f>
        <v>0</v>
      </c>
      <c r="K178">
        <f>VLOOKUP($A178,ScionOutput!$A$3:$BL$215,62,FALSE)</f>
        <v>0</v>
      </c>
      <c r="L178">
        <f>VLOOKUP($A178,ScionOutput!$A$3:$BL$215,63,FALSE)</f>
        <v>0</v>
      </c>
      <c r="M178" t="b">
        <f t="shared" si="24"/>
        <v>0</v>
      </c>
      <c r="N178">
        <f>VLOOKUP($A178,Outcomes!$B$3:$I$209,8,FALSE)</f>
        <v>23</v>
      </c>
      <c r="O178">
        <f t="shared" si="17"/>
        <v>1</v>
      </c>
      <c r="P178">
        <f>VLOOKUP($A178,Outcomes!$B$3:$I$209,5,FALSE)</f>
        <v>12</v>
      </c>
      <c r="Q178">
        <f>VLOOKUP($A178,Outcomes!$B$3:$I$209,6,FALSE)</f>
        <v>11</v>
      </c>
      <c r="R178">
        <f>VLOOKUP($A178,Outcomes!$B$3:$I$209,7,FALSE)</f>
        <v>-1</v>
      </c>
      <c r="S178" t="str">
        <f t="shared" si="18"/>
        <v>HomFave</v>
      </c>
      <c r="T178" t="str">
        <f t="shared" si="19"/>
        <v/>
      </c>
      <c r="U178" t="str">
        <f t="shared" si="20"/>
        <v/>
      </c>
      <c r="V178" t="str">
        <f t="shared" si="21"/>
        <v/>
      </c>
      <c r="W178" t="str">
        <f t="shared" si="22"/>
        <v/>
      </c>
      <c r="X178" s="2" t="str">
        <f t="shared" si="23"/>
        <v/>
      </c>
      <c r="Y178" t="str">
        <f>VLOOKUP($A178,ScionOutput!$A$3:$BL$215,64,FALSE)</f>
        <v xml:space="preserve">824990. LineStatEns is NoPlay as bookie-line outside range. StatOnlyEns is NoPlay as bookie-line outside range. No play due to strategy constraints. </v>
      </c>
    </row>
    <row r="179" spans="1:25" x14ac:dyDescent="0.2">
      <c r="A179">
        <v>823124</v>
      </c>
      <c r="B179" s="3">
        <f>VLOOKUP($A179,ScionOutput!$A$3:$BL$215,3,FALSE)</f>
        <v>46192</v>
      </c>
      <c r="C179">
        <f>VLOOKUP($A179,ScionOutput!$A$3:$BL$215,22,FALSE)</f>
        <v>24</v>
      </c>
      <c r="D179" t="str">
        <f>VLOOKUP($A179,ScionOutput!$A$3:$BL$215,23,FALSE)</f>
        <v>SEA</v>
      </c>
      <c r="E179">
        <f>VLOOKUP($A179,ScionOutput!$A$3:$BL$215,6,FALSE)</f>
        <v>3</v>
      </c>
      <c r="F179" t="str">
        <f>VLOOKUP($A179,ScionOutput!$A$3:$BL$215,7,FALSE)</f>
        <v>BOS</v>
      </c>
      <c r="G179">
        <f>VLOOKUP($A179,ScionOutput!$A$3:$BL$215,26,FALSE)</f>
        <v>-108</v>
      </c>
      <c r="H179">
        <f>VLOOKUP($A179,ScionOutput!$A$3:$BL$215,10,FALSE)</f>
        <v>100</v>
      </c>
      <c r="I179" t="str">
        <f>VLOOKUP($A179,ScionOutput!$A$3:$BL$215,58,FALSE)</f>
        <v>HomFave</v>
      </c>
      <c r="J179">
        <f>VLOOKUP($A179,ScionOutput!$A$3:$BL$215,59,FALSE)</f>
        <v>3.057E-2</v>
      </c>
      <c r="K179">
        <f>VLOOKUP($A179,ScionOutput!$A$3:$BL$215,62,FALSE)</f>
        <v>5</v>
      </c>
      <c r="L179">
        <f>VLOOKUP($A179,ScionOutput!$A$3:$BL$215,63,FALSE)</f>
        <v>0.98</v>
      </c>
      <c r="M179" t="b">
        <f t="shared" si="24"/>
        <v>0</v>
      </c>
      <c r="N179">
        <f>VLOOKUP($A179,Outcomes!$B$3:$I$209,8,FALSE)</f>
        <v>8</v>
      </c>
      <c r="O179">
        <f t="shared" si="17"/>
        <v>-1</v>
      </c>
      <c r="P179">
        <f>VLOOKUP($A179,Outcomes!$B$3:$I$209,5,FALSE)</f>
        <v>2</v>
      </c>
      <c r="Q179">
        <f>VLOOKUP($A179,Outcomes!$B$3:$I$209,6,FALSE)</f>
        <v>6</v>
      </c>
      <c r="R179">
        <f>VLOOKUP($A179,Outcomes!$B$3:$I$209,7,FALSE)</f>
        <v>4</v>
      </c>
      <c r="S179" t="str">
        <f t="shared" si="18"/>
        <v>VisDog</v>
      </c>
      <c r="T179">
        <f t="shared" si="19"/>
        <v>0</v>
      </c>
      <c r="U179">
        <f t="shared" si="20"/>
        <v>108</v>
      </c>
      <c r="V179">
        <f t="shared" si="21"/>
        <v>0</v>
      </c>
      <c r="W179">
        <f t="shared" si="22"/>
        <v>-108</v>
      </c>
      <c r="X179" s="2">
        <f t="shared" si="23"/>
        <v>-1</v>
      </c>
      <c r="Y179" t="str">
        <f>VLOOKUP($A179,ScionOutput!$A$3:$BL$215,64,FALSE)</f>
        <v xml:space="preserve">823124. Play determined by StatOnlyEns when it disagrees with LineStatEns. </v>
      </c>
    </row>
    <row r="180" spans="1:25" x14ac:dyDescent="0.2">
      <c r="A180">
        <v>822966</v>
      </c>
      <c r="B180" s="3">
        <f>VLOOKUP($A180,ScionOutput!$A$3:$BL$215,3,FALSE)</f>
        <v>46192</v>
      </c>
      <c r="C180">
        <f>VLOOKUP($A180,ScionOutput!$A$3:$BL$215,22,FALSE)</f>
        <v>27</v>
      </c>
      <c r="D180" t="str">
        <f>VLOOKUP($A180,ScionOutput!$A$3:$BL$215,23,FALSE)</f>
        <v>TB</v>
      </c>
      <c r="E180">
        <f>VLOOKUP($A180,ScionOutput!$A$3:$BL$215,6,FALSE)</f>
        <v>16</v>
      </c>
      <c r="F180" t="str">
        <f>VLOOKUP($A180,ScionOutput!$A$3:$BL$215,7,FALSE)</f>
        <v>WAS</v>
      </c>
      <c r="G180">
        <f>VLOOKUP($A180,ScionOutput!$A$3:$BL$215,26,FALSE)</f>
        <v>-119</v>
      </c>
      <c r="H180">
        <f>VLOOKUP($A180,ScionOutput!$A$3:$BL$215,10,FALSE)</f>
        <v>110</v>
      </c>
      <c r="I180" t="str">
        <f>VLOOKUP($A180,ScionOutput!$A$3:$BL$215,58,FALSE)</f>
        <v>No Play</v>
      </c>
      <c r="J180">
        <f>VLOOKUP($A180,ScionOutput!$A$3:$BL$215,59,FALSE)</f>
        <v>0</v>
      </c>
      <c r="K180">
        <f>VLOOKUP($A180,ScionOutput!$A$3:$BL$215,62,FALSE)</f>
        <v>0</v>
      </c>
      <c r="L180">
        <f>VLOOKUP($A180,ScionOutput!$A$3:$BL$215,63,FALSE)</f>
        <v>0</v>
      </c>
      <c r="M180" t="b">
        <f t="shared" si="24"/>
        <v>0</v>
      </c>
      <c r="N180">
        <f>VLOOKUP($A180,Outcomes!$B$3:$I$209,8,FALSE)</f>
        <v>7</v>
      </c>
      <c r="O180">
        <f t="shared" si="17"/>
        <v>1</v>
      </c>
      <c r="P180">
        <f>VLOOKUP($A180,Outcomes!$B$3:$I$209,5,FALSE)</f>
        <v>5</v>
      </c>
      <c r="Q180">
        <f>VLOOKUP($A180,Outcomes!$B$3:$I$209,6,FALSE)</f>
        <v>2</v>
      </c>
      <c r="R180">
        <f>VLOOKUP($A180,Outcomes!$B$3:$I$209,7,FALSE)</f>
        <v>-3</v>
      </c>
      <c r="S180" t="str">
        <f t="shared" si="18"/>
        <v>HomFave</v>
      </c>
      <c r="T180" t="str">
        <f t="shared" si="19"/>
        <v/>
      </c>
      <c r="U180" t="str">
        <f t="shared" si="20"/>
        <v/>
      </c>
      <c r="V180" t="str">
        <f t="shared" si="21"/>
        <v/>
      </c>
      <c r="W180" t="str">
        <f t="shared" si="22"/>
        <v/>
      </c>
      <c r="X180" s="2" t="str">
        <f t="shared" si="23"/>
        <v/>
      </c>
      <c r="Y180" t="str">
        <f>VLOOKUP($A180,ScionOutput!$A$3:$BL$215,64,FALSE)</f>
        <v xml:space="preserve">822966. LineStatEns probability points gap does not exceed threshold (no edge found)! StatOnlyEns probability points gap does not exceed threshold (no edge found)! No play due to strategy constraints. </v>
      </c>
    </row>
    <row r="181" spans="1:25" x14ac:dyDescent="0.2">
      <c r="A181">
        <v>822886</v>
      </c>
      <c r="B181" s="3">
        <f>VLOOKUP($A181,ScionOutput!$A$3:$BL$215,3,FALSE)</f>
        <v>46192</v>
      </c>
      <c r="C181">
        <f>VLOOKUP($A181,ScionOutput!$A$3:$BL$215,22,FALSE)</f>
        <v>28</v>
      </c>
      <c r="D181" t="str">
        <f>VLOOKUP($A181,ScionOutput!$A$3:$BL$215,23,FALSE)</f>
        <v>TEX</v>
      </c>
      <c r="E181">
        <f>VLOOKUP($A181,ScionOutput!$A$3:$BL$215,6,FALSE)</f>
        <v>23</v>
      </c>
      <c r="F181" t="str">
        <f>VLOOKUP($A181,ScionOutput!$A$3:$BL$215,7,FALSE)</f>
        <v>SD</v>
      </c>
      <c r="G181">
        <f>VLOOKUP($A181,ScionOutput!$A$3:$BL$215,26,FALSE)</f>
        <v>-154</v>
      </c>
      <c r="H181">
        <f>VLOOKUP($A181,ScionOutput!$A$3:$BL$215,10,FALSE)</f>
        <v>142</v>
      </c>
      <c r="I181" t="str">
        <f>VLOOKUP($A181,ScionOutput!$A$3:$BL$215,58,FALSE)</f>
        <v>No Play</v>
      </c>
      <c r="J181">
        <f>VLOOKUP($A181,ScionOutput!$A$3:$BL$215,59,FALSE)</f>
        <v>0</v>
      </c>
      <c r="K181">
        <f>VLOOKUP($A181,ScionOutput!$A$3:$BL$215,62,FALSE)</f>
        <v>0</v>
      </c>
      <c r="L181">
        <f>VLOOKUP($A181,ScionOutput!$A$3:$BL$215,63,FALSE)</f>
        <v>0</v>
      </c>
      <c r="M181" t="b">
        <f t="shared" si="24"/>
        <v>0</v>
      </c>
      <c r="N181">
        <f>VLOOKUP($A181,Outcomes!$B$3:$I$209,8,FALSE)</f>
        <v>16</v>
      </c>
      <c r="O181">
        <f t="shared" si="17"/>
        <v>1</v>
      </c>
      <c r="P181">
        <f>VLOOKUP($A181,Outcomes!$B$3:$I$209,5,FALSE)</f>
        <v>9</v>
      </c>
      <c r="Q181">
        <f>VLOOKUP($A181,Outcomes!$B$3:$I$209,6,FALSE)</f>
        <v>7</v>
      </c>
      <c r="R181">
        <f>VLOOKUP($A181,Outcomes!$B$3:$I$209,7,FALSE)</f>
        <v>-2</v>
      </c>
      <c r="S181" t="str">
        <f t="shared" si="18"/>
        <v>HomFave</v>
      </c>
      <c r="T181" t="str">
        <f t="shared" si="19"/>
        <v/>
      </c>
      <c r="U181" t="str">
        <f t="shared" si="20"/>
        <v/>
      </c>
      <c r="V181" t="str">
        <f t="shared" si="21"/>
        <v/>
      </c>
      <c r="W181" t="str">
        <f t="shared" si="22"/>
        <v/>
      </c>
      <c r="X181" s="2" t="str">
        <f t="shared" si="23"/>
        <v/>
      </c>
      <c r="Y181" t="str">
        <f>VLOOKUP($A181,ScionOutput!$A$3:$BL$215,64,FALSE)</f>
        <v xml:space="preserve">822886. LineStatEns is NoPlay as bookie-line outside range. StatOnlyEns is NoPlay as bookie-line outside range. No play due to strategy constraints. </v>
      </c>
    </row>
    <row r="182" spans="1:25" x14ac:dyDescent="0.2">
      <c r="A182">
        <v>824909</v>
      </c>
      <c r="B182" s="3">
        <f>VLOOKUP($A182,ScionOutput!$A$3:$BL$215,3,FALSE)</f>
        <v>46193</v>
      </c>
      <c r="C182">
        <f>VLOOKUP($A182,ScionOutput!$A$3:$BL$215,22,FALSE)</f>
        <v>0</v>
      </c>
      <c r="D182" t="str">
        <f>VLOOKUP($A182,ScionOutput!$A$3:$BL$215,23,FALSE)</f>
        <v>ATL</v>
      </c>
      <c r="E182">
        <f>VLOOKUP($A182,ScionOutput!$A$3:$BL$215,6,FALSE)</f>
        <v>17</v>
      </c>
      <c r="F182" t="str">
        <f>VLOOKUP($A182,ScionOutput!$A$3:$BL$215,7,FALSE)</f>
        <v>MLW</v>
      </c>
      <c r="G182">
        <f>VLOOKUP($A182,ScionOutput!$A$3:$BL$215,26,FALSE)</f>
        <v>-128</v>
      </c>
      <c r="H182">
        <f>VLOOKUP($A182,ScionOutput!$A$3:$BL$215,10,FALSE)</f>
        <v>118</v>
      </c>
      <c r="I182" t="str">
        <f>VLOOKUP($A182,ScionOutput!$A$3:$BL$215,58,FALSE)</f>
        <v>No Play</v>
      </c>
      <c r="J182">
        <f>VLOOKUP($A182,ScionOutput!$A$3:$BL$215,59,FALSE)</f>
        <v>0</v>
      </c>
      <c r="K182">
        <f>VLOOKUP($A182,ScionOutput!$A$3:$BL$215,62,FALSE)</f>
        <v>0</v>
      </c>
      <c r="L182">
        <f>VLOOKUP($A182,ScionOutput!$A$3:$BL$215,63,FALSE)</f>
        <v>0</v>
      </c>
      <c r="M182" t="b">
        <f t="shared" si="24"/>
        <v>0</v>
      </c>
      <c r="N182">
        <f>VLOOKUP($A182,Outcomes!$B$3:$I$209,8,FALSE)</f>
        <v>7</v>
      </c>
      <c r="O182">
        <f t="shared" si="17"/>
        <v>1</v>
      </c>
      <c r="P182">
        <f>VLOOKUP($A182,Outcomes!$B$3:$I$209,5,FALSE)</f>
        <v>4</v>
      </c>
      <c r="Q182">
        <f>VLOOKUP($A182,Outcomes!$B$3:$I$209,6,FALSE)</f>
        <v>3</v>
      </c>
      <c r="R182">
        <f>VLOOKUP($A182,Outcomes!$B$3:$I$209,7,FALSE)</f>
        <v>-1</v>
      </c>
      <c r="S182" t="str">
        <f t="shared" si="18"/>
        <v>HomFave</v>
      </c>
      <c r="T182" t="str">
        <f t="shared" si="19"/>
        <v/>
      </c>
      <c r="U182" t="str">
        <f t="shared" si="20"/>
        <v/>
      </c>
      <c r="V182" t="str">
        <f t="shared" si="21"/>
        <v/>
      </c>
      <c r="W182" t="str">
        <f t="shared" si="22"/>
        <v/>
      </c>
      <c r="X182" s="2" t="str">
        <f t="shared" si="23"/>
        <v/>
      </c>
      <c r="Y182" t="str">
        <f>VLOOKUP($A182,ScionOutput!$A$3:$BL$215,64,FALSE)</f>
        <v xml:space="preserve">824909. LineStatEns probability points gap does not exceed threshold (no edge found)! StatOnlyEns probability points gap does not exceed threshold (no edge found)! No play due to strategy constraints. </v>
      </c>
    </row>
    <row r="183" spans="1:25" x14ac:dyDescent="0.2">
      <c r="A183">
        <v>825068</v>
      </c>
      <c r="B183" s="3">
        <f>VLOOKUP($A183,ScionOutput!$A$3:$BL$215,3,FALSE)</f>
        <v>46193</v>
      </c>
      <c r="C183">
        <f>VLOOKUP($A183,ScionOutput!$A$3:$BL$215,22,FALSE)</f>
        <v>1</v>
      </c>
      <c r="D183" t="str">
        <f>VLOOKUP($A183,ScionOutput!$A$3:$BL$215,23,FALSE)</f>
        <v>ARZ</v>
      </c>
      <c r="E183">
        <f>VLOOKUP($A183,ScionOutput!$A$3:$BL$215,6,FALSE)</f>
        <v>15</v>
      </c>
      <c r="F183" t="str">
        <f>VLOOKUP($A183,ScionOutput!$A$3:$BL$215,7,FALSE)</f>
        <v>MIN</v>
      </c>
      <c r="G183">
        <f>VLOOKUP($A183,ScionOutput!$A$3:$BL$215,26,FALSE)</f>
        <v>-125</v>
      </c>
      <c r="H183">
        <f>VLOOKUP($A183,ScionOutput!$A$3:$BL$215,10,FALSE)</f>
        <v>115</v>
      </c>
      <c r="I183" t="str">
        <f>VLOOKUP($A183,ScionOutput!$A$3:$BL$215,58,FALSE)</f>
        <v>No Play</v>
      </c>
      <c r="J183">
        <f>VLOOKUP($A183,ScionOutput!$A$3:$BL$215,59,FALSE)</f>
        <v>0</v>
      </c>
      <c r="K183">
        <f>VLOOKUP($A183,ScionOutput!$A$3:$BL$215,62,FALSE)</f>
        <v>0</v>
      </c>
      <c r="L183">
        <f>VLOOKUP($A183,ScionOutput!$A$3:$BL$215,63,FALSE)</f>
        <v>0</v>
      </c>
      <c r="M183" t="b">
        <f t="shared" si="24"/>
        <v>0</v>
      </c>
      <c r="N183">
        <f>VLOOKUP($A183,Outcomes!$B$3:$I$209,8,FALSE)</f>
        <v>24</v>
      </c>
      <c r="O183">
        <f t="shared" si="17"/>
        <v>-1</v>
      </c>
      <c r="P183">
        <f>VLOOKUP($A183,Outcomes!$B$3:$I$209,5,FALSE)</f>
        <v>8</v>
      </c>
      <c r="Q183">
        <f>VLOOKUP($A183,Outcomes!$B$3:$I$209,6,FALSE)</f>
        <v>16</v>
      </c>
      <c r="R183">
        <f>VLOOKUP($A183,Outcomes!$B$3:$I$209,7,FALSE)</f>
        <v>8</v>
      </c>
      <c r="S183" t="str">
        <f t="shared" si="18"/>
        <v>VisDog</v>
      </c>
      <c r="T183" t="str">
        <f t="shared" si="19"/>
        <v/>
      </c>
      <c r="U183" t="str">
        <f t="shared" si="20"/>
        <v/>
      </c>
      <c r="V183" t="str">
        <f t="shared" si="21"/>
        <v/>
      </c>
      <c r="W183" t="str">
        <f t="shared" si="22"/>
        <v/>
      </c>
      <c r="X183" s="2" t="str">
        <f t="shared" si="23"/>
        <v/>
      </c>
      <c r="Y183" t="str">
        <f>VLOOKUP($A183,ScionOutput!$A$3:$BL$215,64,FALSE)</f>
        <v xml:space="preserve">825068. LineStatEns probability points gap does not exceed threshold (no edge found)! StatOnlyEns probability points gap does not exceed threshold (no edge found)! No play due to strategy constraints. </v>
      </c>
    </row>
    <row r="184" spans="1:25" x14ac:dyDescent="0.2">
      <c r="A184">
        <v>824665</v>
      </c>
      <c r="B184" s="3">
        <f>VLOOKUP($A184,ScionOutput!$A$3:$BL$215,3,FALSE)</f>
        <v>46193</v>
      </c>
      <c r="C184">
        <f>VLOOKUP($A184,ScionOutput!$A$3:$BL$215,22,FALSE)</f>
        <v>5</v>
      </c>
      <c r="D184" t="str">
        <f>VLOOKUP($A184,ScionOutput!$A$3:$BL$215,23,FALSE)</f>
        <v>CHC</v>
      </c>
      <c r="E184">
        <f>VLOOKUP($A184,ScionOutput!$A$3:$BL$215,6,FALSE)</f>
        <v>29</v>
      </c>
      <c r="F184" t="str">
        <f>VLOOKUP($A184,ScionOutput!$A$3:$BL$215,7,FALSE)</f>
        <v>TOR</v>
      </c>
      <c r="G184">
        <f>VLOOKUP($A184,ScionOutput!$A$3:$BL$215,26,FALSE)</f>
        <v>-126</v>
      </c>
      <c r="H184">
        <f>VLOOKUP($A184,ScionOutput!$A$3:$BL$215,10,FALSE)</f>
        <v>116</v>
      </c>
      <c r="I184" t="str">
        <f>VLOOKUP($A184,ScionOutput!$A$3:$BL$215,58,FALSE)</f>
        <v>HomFave</v>
      </c>
      <c r="J184">
        <f>VLOOKUP($A184,ScionOutput!$A$3:$BL$215,59,FALSE)</f>
        <v>1.367E-2</v>
      </c>
      <c r="K184">
        <f>VLOOKUP($A184,ScionOutput!$A$3:$BL$215,62,FALSE)</f>
        <v>1</v>
      </c>
      <c r="L184">
        <f>VLOOKUP($A184,ScionOutput!$A$3:$BL$215,63,FALSE)</f>
        <v>0.87</v>
      </c>
      <c r="M184" t="b">
        <f t="shared" si="24"/>
        <v>1</v>
      </c>
      <c r="N184">
        <f>VLOOKUP($A184,Outcomes!$B$3:$I$209,8,FALSE)</f>
        <v>14</v>
      </c>
      <c r="O184">
        <f t="shared" si="17"/>
        <v>-1</v>
      </c>
      <c r="P184">
        <f>VLOOKUP($A184,Outcomes!$B$3:$I$209,5,FALSE)</f>
        <v>6</v>
      </c>
      <c r="Q184">
        <f>VLOOKUP($A184,Outcomes!$B$3:$I$209,6,FALSE)</f>
        <v>8</v>
      </c>
      <c r="R184">
        <f>VLOOKUP($A184,Outcomes!$B$3:$I$209,7,FALSE)</f>
        <v>2</v>
      </c>
      <c r="S184" t="str">
        <f t="shared" si="18"/>
        <v>VisDog</v>
      </c>
      <c r="T184">
        <f t="shared" si="19"/>
        <v>0</v>
      </c>
      <c r="U184">
        <f t="shared" si="20"/>
        <v>126</v>
      </c>
      <c r="V184">
        <f t="shared" si="21"/>
        <v>0</v>
      </c>
      <c r="W184">
        <f t="shared" si="22"/>
        <v>-126</v>
      </c>
      <c r="X184" s="2">
        <f t="shared" si="23"/>
        <v>-1</v>
      </c>
      <c r="Y184" t="str">
        <f>VLOOKUP($A184,ScionOutput!$A$3:$BL$215,64,FALSE)</f>
        <v xml:space="preserve">824665. Play determined by LineStatEns and StatOnlyEns agreement. </v>
      </c>
    </row>
    <row r="185" spans="1:25" x14ac:dyDescent="0.2">
      <c r="A185">
        <v>824342</v>
      </c>
      <c r="B185" s="3">
        <f>VLOOKUP($A185,ScionOutput!$A$3:$BL$215,3,FALSE)</f>
        <v>46193</v>
      </c>
      <c r="C185">
        <f>VLOOKUP($A185,ScionOutput!$A$3:$BL$215,22,FALSE)</f>
        <v>8</v>
      </c>
      <c r="D185" t="str">
        <f>VLOOKUP($A185,ScionOutput!$A$3:$BL$215,23,FALSE)</f>
        <v>COL</v>
      </c>
      <c r="E185">
        <f>VLOOKUP($A185,ScionOutput!$A$3:$BL$215,6,FALSE)</f>
        <v>22</v>
      </c>
      <c r="F185" t="str">
        <f>VLOOKUP($A185,ScionOutput!$A$3:$BL$215,7,FALSE)</f>
        <v>PIT</v>
      </c>
      <c r="G185">
        <f>VLOOKUP($A185,ScionOutput!$A$3:$BL$215,26,FALSE)</f>
        <v>183</v>
      </c>
      <c r="H185">
        <f>VLOOKUP($A185,ScionOutput!$A$3:$BL$215,10,FALSE)</f>
        <v>-201</v>
      </c>
      <c r="I185" t="str">
        <f>VLOOKUP($A185,ScionOutput!$A$3:$BL$215,58,FALSE)</f>
        <v>No Play</v>
      </c>
      <c r="J185">
        <f>VLOOKUP($A185,ScionOutput!$A$3:$BL$215,59,FALSE)</f>
        <v>0</v>
      </c>
      <c r="K185">
        <f>VLOOKUP($A185,ScionOutput!$A$3:$BL$215,62,FALSE)</f>
        <v>0</v>
      </c>
      <c r="L185">
        <f>VLOOKUP($A185,ScionOutput!$A$3:$BL$215,63,FALSE)</f>
        <v>0</v>
      </c>
      <c r="M185" t="b">
        <f t="shared" si="24"/>
        <v>0</v>
      </c>
      <c r="N185">
        <f>VLOOKUP($A185,Outcomes!$B$3:$I$209,8,FALSE)</f>
        <v>3</v>
      </c>
      <c r="O185">
        <f t="shared" si="17"/>
        <v>1</v>
      </c>
      <c r="P185">
        <f>VLOOKUP($A185,Outcomes!$B$3:$I$209,5,FALSE)</f>
        <v>2</v>
      </c>
      <c r="Q185">
        <f>VLOOKUP($A185,Outcomes!$B$3:$I$209,6,FALSE)</f>
        <v>1</v>
      </c>
      <c r="R185">
        <f>VLOOKUP($A185,Outcomes!$B$3:$I$209,7,FALSE)</f>
        <v>-1</v>
      </c>
      <c r="S185" t="str">
        <f t="shared" si="18"/>
        <v>HomDog</v>
      </c>
      <c r="T185" t="str">
        <f t="shared" si="19"/>
        <v/>
      </c>
      <c r="U185" t="str">
        <f t="shared" si="20"/>
        <v/>
      </c>
      <c r="V185" t="str">
        <f t="shared" si="21"/>
        <v/>
      </c>
      <c r="W185" t="str">
        <f t="shared" si="22"/>
        <v/>
      </c>
      <c r="X185" s="2" t="str">
        <f t="shared" si="23"/>
        <v/>
      </c>
      <c r="Y185" t="str">
        <f>VLOOKUP($A185,ScionOutput!$A$3:$BL$215,64,FALSE)</f>
        <v xml:space="preserve">824342. LineStatEns is NoPlay as bookie-line outside range. StatOnlyEns is NoPlay as bookie-line outside range. No play due to strategy constraints. </v>
      </c>
    </row>
    <row r="186" spans="1:25" x14ac:dyDescent="0.2">
      <c r="A186">
        <v>824263</v>
      </c>
      <c r="B186" s="3">
        <f>VLOOKUP($A186,ScionOutput!$A$3:$BL$215,3,FALSE)</f>
        <v>46193</v>
      </c>
      <c r="C186">
        <f>VLOOKUP($A186,ScionOutput!$A$3:$BL$215,22,FALSE)</f>
        <v>10</v>
      </c>
      <c r="D186" t="str">
        <f>VLOOKUP($A186,ScionOutput!$A$3:$BL$215,23,FALSE)</f>
        <v>DET</v>
      </c>
      <c r="E186">
        <f>VLOOKUP($A186,ScionOutput!$A$3:$BL$215,6,FALSE)</f>
        <v>9</v>
      </c>
      <c r="F186" t="str">
        <f>VLOOKUP($A186,ScionOutput!$A$3:$BL$215,7,FALSE)</f>
        <v>CWS</v>
      </c>
      <c r="G186">
        <f>VLOOKUP($A186,ScionOutput!$A$3:$BL$215,26,FALSE)</f>
        <v>-115</v>
      </c>
      <c r="H186">
        <f>VLOOKUP($A186,ScionOutput!$A$3:$BL$215,10,FALSE)</f>
        <v>106</v>
      </c>
      <c r="I186" t="str">
        <f>VLOOKUP($A186,ScionOutput!$A$3:$BL$215,58,FALSE)</f>
        <v>No Play</v>
      </c>
      <c r="J186">
        <f>VLOOKUP($A186,ScionOutput!$A$3:$BL$215,59,FALSE)</f>
        <v>0</v>
      </c>
      <c r="K186">
        <f>VLOOKUP($A186,ScionOutput!$A$3:$BL$215,62,FALSE)</f>
        <v>0</v>
      </c>
      <c r="L186">
        <f>VLOOKUP($A186,ScionOutput!$A$3:$BL$215,63,FALSE)</f>
        <v>0</v>
      </c>
      <c r="M186" t="b">
        <f t="shared" si="24"/>
        <v>0</v>
      </c>
      <c r="N186">
        <f>VLOOKUP($A186,Outcomes!$B$3:$I$209,8,FALSE)</f>
        <v>5</v>
      </c>
      <c r="O186">
        <f t="shared" si="17"/>
        <v>1</v>
      </c>
      <c r="P186">
        <f>VLOOKUP($A186,Outcomes!$B$3:$I$209,5,FALSE)</f>
        <v>4</v>
      </c>
      <c r="Q186">
        <f>VLOOKUP($A186,Outcomes!$B$3:$I$209,6,FALSE)</f>
        <v>1</v>
      </c>
      <c r="R186">
        <f>VLOOKUP($A186,Outcomes!$B$3:$I$209,7,FALSE)</f>
        <v>-3</v>
      </c>
      <c r="S186" t="str">
        <f t="shared" si="18"/>
        <v>HomFave</v>
      </c>
      <c r="T186" t="str">
        <f t="shared" si="19"/>
        <v/>
      </c>
      <c r="U186" t="str">
        <f t="shared" si="20"/>
        <v/>
      </c>
      <c r="V186" t="str">
        <f t="shared" si="21"/>
        <v/>
      </c>
      <c r="W186" t="str">
        <f t="shared" si="22"/>
        <v/>
      </c>
      <c r="X186" s="2" t="str">
        <f t="shared" si="23"/>
        <v/>
      </c>
      <c r="Y186" t="str">
        <f>VLOOKUP($A186,ScionOutput!$A$3:$BL$215,64,FALSE)</f>
        <v xml:space="preserve">824263. V_SP is Null, team-based avg used. NoPlay as V_SP is Null. </v>
      </c>
    </row>
    <row r="187" spans="1:25" x14ac:dyDescent="0.2">
      <c r="A187">
        <v>823854</v>
      </c>
      <c r="B187" s="3">
        <f>VLOOKUP($A187,ScionOutput!$A$3:$BL$215,3,FALSE)</f>
        <v>46193</v>
      </c>
      <c r="C187">
        <f>VLOOKUP($A187,ScionOutput!$A$3:$BL$215,22,FALSE)</f>
        <v>11</v>
      </c>
      <c r="D187" t="str">
        <f>VLOOKUP($A187,ScionOutput!$A$3:$BL$215,23,FALSE)</f>
        <v>FLO</v>
      </c>
      <c r="E187">
        <f>VLOOKUP($A187,ScionOutput!$A$3:$BL$215,6,FALSE)</f>
        <v>25</v>
      </c>
      <c r="F187" t="str">
        <f>VLOOKUP($A187,ScionOutput!$A$3:$BL$215,7,FALSE)</f>
        <v>SF</v>
      </c>
      <c r="G187">
        <f>VLOOKUP($A187,ScionOutput!$A$3:$BL$215,26,FALSE)</f>
        <v>-137</v>
      </c>
      <c r="H187">
        <f>VLOOKUP($A187,ScionOutput!$A$3:$BL$215,10,FALSE)</f>
        <v>126</v>
      </c>
      <c r="I187" t="str">
        <f>VLOOKUP($A187,ScionOutput!$A$3:$BL$215,58,FALSE)</f>
        <v>No Play</v>
      </c>
      <c r="J187">
        <f>VLOOKUP($A187,ScionOutput!$A$3:$BL$215,59,FALSE)</f>
        <v>0</v>
      </c>
      <c r="K187">
        <f>VLOOKUP($A187,ScionOutput!$A$3:$BL$215,62,FALSE)</f>
        <v>0</v>
      </c>
      <c r="L187">
        <f>VLOOKUP($A187,ScionOutput!$A$3:$BL$215,63,FALSE)</f>
        <v>0</v>
      </c>
      <c r="M187" t="b">
        <f t="shared" si="24"/>
        <v>0</v>
      </c>
      <c r="N187">
        <f>VLOOKUP($A187,Outcomes!$B$3:$I$209,8,FALSE)</f>
        <v>9</v>
      </c>
      <c r="O187">
        <f t="shared" si="17"/>
        <v>1</v>
      </c>
      <c r="P187">
        <f>VLOOKUP($A187,Outcomes!$B$3:$I$209,5,FALSE)</f>
        <v>6</v>
      </c>
      <c r="Q187">
        <f>VLOOKUP($A187,Outcomes!$B$3:$I$209,6,FALSE)</f>
        <v>3</v>
      </c>
      <c r="R187">
        <f>VLOOKUP($A187,Outcomes!$B$3:$I$209,7,FALSE)</f>
        <v>-3</v>
      </c>
      <c r="S187" t="str">
        <f t="shared" si="18"/>
        <v>HomFave</v>
      </c>
      <c r="T187" t="str">
        <f t="shared" si="19"/>
        <v/>
      </c>
      <c r="U187" t="str">
        <f t="shared" si="20"/>
        <v/>
      </c>
      <c r="V187" t="str">
        <f t="shared" si="21"/>
        <v/>
      </c>
      <c r="W187" t="str">
        <f t="shared" si="22"/>
        <v/>
      </c>
      <c r="X187" s="2" t="str">
        <f t="shared" si="23"/>
        <v/>
      </c>
      <c r="Y187" t="str">
        <f>VLOOKUP($A187,ScionOutput!$A$3:$BL$215,64,FALSE)</f>
        <v xml:space="preserve">823854. LineStatEns probability points gap does not exceed threshold (no edge found)! StatOnlyEns probability points gap does not exceed threshold (no edge found)! No play due to strategy constraints. </v>
      </c>
    </row>
    <row r="188" spans="1:25" x14ac:dyDescent="0.2">
      <c r="A188">
        <v>824180</v>
      </c>
      <c r="B188" s="3">
        <f>VLOOKUP($A188,ScionOutput!$A$3:$BL$215,3,FALSE)</f>
        <v>46193</v>
      </c>
      <c r="C188">
        <f>VLOOKUP($A188,ScionOutput!$A$3:$BL$215,22,FALSE)</f>
        <v>12</v>
      </c>
      <c r="D188" t="str">
        <f>VLOOKUP($A188,ScionOutput!$A$3:$BL$215,23,FALSE)</f>
        <v>HOU</v>
      </c>
      <c r="E188">
        <f>VLOOKUP($A188,ScionOutput!$A$3:$BL$215,6,FALSE)</f>
        <v>7</v>
      </c>
      <c r="F188" t="str">
        <f>VLOOKUP($A188,ScionOutput!$A$3:$BL$215,7,FALSE)</f>
        <v>CLE</v>
      </c>
      <c r="G188">
        <f>VLOOKUP($A188,ScionOutput!$A$3:$BL$215,26,FALSE)</f>
        <v>-139</v>
      </c>
      <c r="H188">
        <f>VLOOKUP($A188,ScionOutput!$A$3:$BL$215,10,FALSE)</f>
        <v>128</v>
      </c>
      <c r="I188" t="str">
        <f>VLOOKUP($A188,ScionOutput!$A$3:$BL$215,58,FALSE)</f>
        <v>No Play</v>
      </c>
      <c r="J188">
        <f>VLOOKUP($A188,ScionOutput!$A$3:$BL$215,59,FALSE)</f>
        <v>0</v>
      </c>
      <c r="K188">
        <f>VLOOKUP($A188,ScionOutput!$A$3:$BL$215,62,FALSE)</f>
        <v>0</v>
      </c>
      <c r="L188">
        <f>VLOOKUP($A188,ScionOutput!$A$3:$BL$215,63,FALSE)</f>
        <v>0</v>
      </c>
      <c r="M188" t="b">
        <f t="shared" si="24"/>
        <v>0</v>
      </c>
      <c r="N188">
        <f>VLOOKUP($A188,Outcomes!$B$3:$I$209,8,FALSE)</f>
        <v>9</v>
      </c>
      <c r="O188">
        <f t="shared" si="17"/>
        <v>-1</v>
      </c>
      <c r="P188">
        <f>VLOOKUP($A188,Outcomes!$B$3:$I$209,5,FALSE)</f>
        <v>1</v>
      </c>
      <c r="Q188">
        <f>VLOOKUP($A188,Outcomes!$B$3:$I$209,6,FALSE)</f>
        <v>8</v>
      </c>
      <c r="R188">
        <f>VLOOKUP($A188,Outcomes!$B$3:$I$209,7,FALSE)</f>
        <v>7</v>
      </c>
      <c r="S188" t="str">
        <f t="shared" si="18"/>
        <v>VisDog</v>
      </c>
      <c r="T188" t="str">
        <f t="shared" si="19"/>
        <v/>
      </c>
      <c r="U188" t="str">
        <f t="shared" si="20"/>
        <v/>
      </c>
      <c r="V188" t="str">
        <f t="shared" si="21"/>
        <v/>
      </c>
      <c r="W188" t="str">
        <f t="shared" si="22"/>
        <v/>
      </c>
      <c r="X188" s="2" t="str">
        <f t="shared" si="23"/>
        <v/>
      </c>
      <c r="Y188" t="str">
        <f>VLOOKUP($A188,ScionOutput!$A$3:$BL$215,64,FALSE)</f>
        <v xml:space="preserve">824180. LineStatEns probability points gap does not exceed threshold (no edge found)! StatOnlyEns probability points gap does not exceed threshold (no edge found)! No play due to strategy constraints. </v>
      </c>
    </row>
    <row r="189" spans="1:25" x14ac:dyDescent="0.2">
      <c r="A189">
        <v>823937</v>
      </c>
      <c r="B189" s="3">
        <f>VLOOKUP($A189,ScionOutput!$A$3:$BL$215,3,FALSE)</f>
        <v>46193</v>
      </c>
      <c r="C189">
        <f>VLOOKUP($A189,ScionOutput!$A$3:$BL$215,22,FALSE)</f>
        <v>14</v>
      </c>
      <c r="D189" t="str">
        <f>VLOOKUP($A189,ScionOutput!$A$3:$BL$215,23,FALSE)</f>
        <v>LA</v>
      </c>
      <c r="E189">
        <f>VLOOKUP($A189,ScionOutput!$A$3:$BL$215,6,FALSE)</f>
        <v>2</v>
      </c>
      <c r="F189" t="str">
        <f>VLOOKUP($A189,ScionOutput!$A$3:$BL$215,7,FALSE)</f>
        <v>BAL</v>
      </c>
      <c r="G189">
        <f>VLOOKUP($A189,ScionOutput!$A$3:$BL$215,26,FALSE)</f>
        <v>-217</v>
      </c>
      <c r="H189">
        <f>VLOOKUP($A189,ScionOutput!$A$3:$BL$215,10,FALSE)</f>
        <v>196</v>
      </c>
      <c r="I189" t="str">
        <f>VLOOKUP($A189,ScionOutput!$A$3:$BL$215,58,FALSE)</f>
        <v>No Play</v>
      </c>
      <c r="J189">
        <f>VLOOKUP($A189,ScionOutput!$A$3:$BL$215,59,FALSE)</f>
        <v>0</v>
      </c>
      <c r="K189">
        <f>VLOOKUP($A189,ScionOutput!$A$3:$BL$215,62,FALSE)</f>
        <v>0</v>
      </c>
      <c r="L189">
        <f>VLOOKUP($A189,ScionOutput!$A$3:$BL$215,63,FALSE)</f>
        <v>0</v>
      </c>
      <c r="M189" t="b">
        <f t="shared" si="24"/>
        <v>0</v>
      </c>
      <c r="N189">
        <f>VLOOKUP($A189,Outcomes!$B$3:$I$209,8,FALSE)</f>
        <v>5</v>
      </c>
      <c r="O189">
        <f t="shared" si="17"/>
        <v>-1</v>
      </c>
      <c r="P189">
        <f>VLOOKUP($A189,Outcomes!$B$3:$I$209,5,FALSE)</f>
        <v>2</v>
      </c>
      <c r="Q189">
        <f>VLOOKUP($A189,Outcomes!$B$3:$I$209,6,FALSE)</f>
        <v>3</v>
      </c>
      <c r="R189">
        <f>VLOOKUP($A189,Outcomes!$B$3:$I$209,7,FALSE)</f>
        <v>1</v>
      </c>
      <c r="S189" t="str">
        <f t="shared" si="18"/>
        <v>VisDog</v>
      </c>
      <c r="T189" t="str">
        <f t="shared" si="19"/>
        <v/>
      </c>
      <c r="U189" t="str">
        <f t="shared" si="20"/>
        <v/>
      </c>
      <c r="V189" t="str">
        <f t="shared" si="21"/>
        <v/>
      </c>
      <c r="W189" t="str">
        <f t="shared" si="22"/>
        <v/>
      </c>
      <c r="X189" s="2" t="str">
        <f t="shared" si="23"/>
        <v/>
      </c>
      <c r="Y189" t="str">
        <f>VLOOKUP($A189,ScionOutput!$A$3:$BL$215,64,FALSE)</f>
        <v xml:space="preserve">823937. LineStatEns is NoPlay as bookie-line outside range. StatOnlyEns is NoPlay as bookie-line outside range. No play due to strategy constraints. </v>
      </c>
    </row>
    <row r="190" spans="1:25" x14ac:dyDescent="0.2">
      <c r="A190">
        <v>823532</v>
      </c>
      <c r="B190" s="3">
        <f>VLOOKUP($A190,ScionOutput!$A$3:$BL$215,3,FALSE)</f>
        <v>46193</v>
      </c>
      <c r="C190">
        <f>VLOOKUP($A190,ScionOutput!$A$3:$BL$215,22,FALSE)</f>
        <v>19</v>
      </c>
      <c r="D190" t="str">
        <f>VLOOKUP($A190,ScionOutput!$A$3:$BL$215,23,FALSE)</f>
        <v>NYY</v>
      </c>
      <c r="E190">
        <f>VLOOKUP($A190,ScionOutput!$A$3:$BL$215,6,FALSE)</f>
        <v>6</v>
      </c>
      <c r="F190" t="str">
        <f>VLOOKUP($A190,ScionOutput!$A$3:$BL$215,7,FALSE)</f>
        <v>CIN</v>
      </c>
      <c r="G190">
        <f>VLOOKUP($A190,ScionOutput!$A$3:$BL$215,26,FALSE)</f>
        <v>-199</v>
      </c>
      <c r="H190">
        <f>VLOOKUP($A190,ScionOutput!$A$3:$BL$215,10,FALSE)</f>
        <v>181</v>
      </c>
      <c r="I190" t="str">
        <f>VLOOKUP($A190,ScionOutput!$A$3:$BL$215,58,FALSE)</f>
        <v>No Play</v>
      </c>
      <c r="J190">
        <f>VLOOKUP($A190,ScionOutput!$A$3:$BL$215,59,FALSE)</f>
        <v>0</v>
      </c>
      <c r="K190">
        <f>VLOOKUP($A190,ScionOutput!$A$3:$BL$215,62,FALSE)</f>
        <v>0</v>
      </c>
      <c r="L190">
        <f>VLOOKUP($A190,ScionOutput!$A$3:$BL$215,63,FALSE)</f>
        <v>0</v>
      </c>
      <c r="M190" t="b">
        <f t="shared" si="24"/>
        <v>0</v>
      </c>
      <c r="N190">
        <f>VLOOKUP($A190,Outcomes!$B$3:$I$209,8,FALSE)</f>
        <v>12</v>
      </c>
      <c r="O190">
        <f t="shared" si="17"/>
        <v>-1</v>
      </c>
      <c r="P190">
        <f>VLOOKUP($A190,Outcomes!$B$3:$I$209,5,FALSE)</f>
        <v>2</v>
      </c>
      <c r="Q190">
        <f>VLOOKUP($A190,Outcomes!$B$3:$I$209,6,FALSE)</f>
        <v>10</v>
      </c>
      <c r="R190">
        <f>VLOOKUP($A190,Outcomes!$B$3:$I$209,7,FALSE)</f>
        <v>8</v>
      </c>
      <c r="S190" t="str">
        <f t="shared" si="18"/>
        <v>VisDog</v>
      </c>
      <c r="T190" t="str">
        <f t="shared" si="19"/>
        <v/>
      </c>
      <c r="U190" t="str">
        <f t="shared" si="20"/>
        <v/>
      </c>
      <c r="V190" t="str">
        <f t="shared" si="21"/>
        <v/>
      </c>
      <c r="W190" t="str">
        <f t="shared" si="22"/>
        <v/>
      </c>
      <c r="X190" s="2" t="str">
        <f t="shared" si="23"/>
        <v/>
      </c>
      <c r="Y190" t="str">
        <f>VLOOKUP($A190,ScionOutput!$A$3:$BL$215,64,FALSE)</f>
        <v xml:space="preserve">823532. LineStatEns is NoPlay as bookie-line outside range. StatOnlyEns is NoPlay as bookie-line outside range. No play due to strategy constraints. </v>
      </c>
    </row>
    <row r="191" spans="1:25" x14ac:dyDescent="0.2">
      <c r="A191">
        <v>824988</v>
      </c>
      <c r="B191" s="3">
        <f>VLOOKUP($A191,ScionOutput!$A$3:$BL$215,3,FALSE)</f>
        <v>46193</v>
      </c>
      <c r="C191">
        <f>VLOOKUP($A191,ScionOutput!$A$3:$BL$215,22,FALSE)</f>
        <v>20</v>
      </c>
      <c r="D191" t="str">
        <f>VLOOKUP($A191,ScionOutput!$A$3:$BL$215,23,FALSE)</f>
        <v>OAK</v>
      </c>
      <c r="E191">
        <f>VLOOKUP($A191,ScionOutput!$A$3:$BL$215,6,FALSE)</f>
        <v>4</v>
      </c>
      <c r="F191" t="str">
        <f>VLOOKUP($A191,ScionOutput!$A$3:$BL$215,7,FALSE)</f>
        <v>LAA</v>
      </c>
      <c r="G191">
        <f>VLOOKUP($A191,ScionOutput!$A$3:$BL$215,26,FALSE)</f>
        <v>-163</v>
      </c>
      <c r="H191">
        <f>VLOOKUP($A191,ScionOutput!$A$3:$BL$215,10,FALSE)</f>
        <v>149</v>
      </c>
      <c r="I191" t="str">
        <f>VLOOKUP($A191,ScionOutput!$A$3:$BL$215,58,FALSE)</f>
        <v>No Play</v>
      </c>
      <c r="J191">
        <f>VLOOKUP($A191,ScionOutput!$A$3:$BL$215,59,FALSE)</f>
        <v>0</v>
      </c>
      <c r="K191">
        <f>VLOOKUP($A191,ScionOutput!$A$3:$BL$215,62,FALSE)</f>
        <v>0</v>
      </c>
      <c r="L191">
        <f>VLOOKUP($A191,ScionOutput!$A$3:$BL$215,63,FALSE)</f>
        <v>0</v>
      </c>
      <c r="M191" t="b">
        <f t="shared" si="24"/>
        <v>0</v>
      </c>
      <c r="N191">
        <f>VLOOKUP($A191,Outcomes!$B$3:$I$209,8,FALSE)</f>
        <v>7</v>
      </c>
      <c r="O191">
        <f t="shared" ref="O191:O209" si="25">IF(P191&gt;Q191,1,IF(P191&lt;Q191,-1,0))</f>
        <v>-1</v>
      </c>
      <c r="P191">
        <f>VLOOKUP($A191,Outcomes!$B$3:$I$209,5,FALSE)</f>
        <v>0</v>
      </c>
      <c r="Q191">
        <f>VLOOKUP($A191,Outcomes!$B$3:$I$209,6,FALSE)</f>
        <v>7</v>
      </c>
      <c r="R191">
        <f>VLOOKUP($A191,Outcomes!$B$3:$I$209,7,FALSE)</f>
        <v>7</v>
      </c>
      <c r="S191" t="str">
        <f t="shared" ref="S191:S209" si="26">IF(R191=0,"Push",IF(G191&lt;H191,IF(R191&lt;0,"HomFave","VisDog"),IF(R191&gt;0,"VisFave","HomDog")))</f>
        <v>VisDog</v>
      </c>
      <c r="T191" t="str">
        <f t="shared" ref="T191:T209" si="27">IF(OR(R191=0,I191="No Play"),"",IF(S191=I191,1,0))</f>
        <v/>
      </c>
      <c r="U191" t="str">
        <f t="shared" ref="U191:U209" si="28">IF(T191="","",IF(G191&lt;H191,IF(I191="HomFave",ABS(G191),IF(H191&lt;0,ABS(H191),100)),IF(I191="VisFave",ABS(H191),IF(G191&lt;0,ABS(G191),100))))</f>
        <v/>
      </c>
      <c r="V191" t="str">
        <f t="shared" ref="V191:V209" si="29">IF(T191="","",IF(T191=0,0,IF(G191&lt;H191,IF(I191="HomFave",U191+100,IF(H191&lt;0,100+U191,U191+ABS(H191))),IF(I191="VisFave",U191+100,IF(G191&lt;0,100+U191,U191+ABS(G191))))))</f>
        <v/>
      </c>
      <c r="W191" t="str">
        <f t="shared" ref="W191:W209" si="30">IF(T191="","",V191-U191)</f>
        <v/>
      </c>
      <c r="X191" s="2" t="str">
        <f t="shared" ref="X191:X209" si="31">IF(T191="","",W191/U191)</f>
        <v/>
      </c>
      <c r="Y191" t="str">
        <f>VLOOKUP($A191,ScionOutput!$A$3:$BL$215,64,FALSE)</f>
        <v xml:space="preserve">824988. LineStatEns is NoPlay as bookie-line outside range. StatOnlyEns is NoPlay as bookie-line outside range. No play due to strategy constraints. </v>
      </c>
    </row>
    <row r="192" spans="1:25" x14ac:dyDescent="0.2">
      <c r="A192">
        <v>823447</v>
      </c>
      <c r="B192" s="3">
        <f>VLOOKUP($A192,ScionOutput!$A$3:$BL$215,3,FALSE)</f>
        <v>46193</v>
      </c>
      <c r="C192">
        <f>VLOOKUP($A192,ScionOutput!$A$3:$BL$215,22,FALSE)</f>
        <v>21</v>
      </c>
      <c r="D192" t="str">
        <f>VLOOKUP($A192,ScionOutput!$A$3:$BL$215,23,FALSE)</f>
        <v>PHI</v>
      </c>
      <c r="E192">
        <f>VLOOKUP($A192,ScionOutput!$A$3:$BL$215,6,FALSE)</f>
        <v>18</v>
      </c>
      <c r="F192" t="str">
        <f>VLOOKUP($A192,ScionOutput!$A$3:$BL$215,7,FALSE)</f>
        <v>NYM</v>
      </c>
      <c r="G192">
        <f>VLOOKUP($A192,ScionOutput!$A$3:$BL$215,26,FALSE)</f>
        <v>-183</v>
      </c>
      <c r="H192">
        <f>VLOOKUP($A192,ScionOutput!$A$3:$BL$215,10,FALSE)</f>
        <v>167</v>
      </c>
      <c r="I192" t="str">
        <f>VLOOKUP($A192,ScionOutput!$A$3:$BL$215,58,FALSE)</f>
        <v>No Play</v>
      </c>
      <c r="J192">
        <f>VLOOKUP($A192,ScionOutput!$A$3:$BL$215,59,FALSE)</f>
        <v>0</v>
      </c>
      <c r="K192">
        <f>VLOOKUP($A192,ScionOutput!$A$3:$BL$215,62,FALSE)</f>
        <v>0</v>
      </c>
      <c r="L192">
        <f>VLOOKUP($A192,ScionOutput!$A$3:$BL$215,63,FALSE)</f>
        <v>0</v>
      </c>
      <c r="M192" t="b">
        <f t="shared" si="24"/>
        <v>0</v>
      </c>
      <c r="N192">
        <f>VLOOKUP($A192,Outcomes!$B$3:$I$209,8,FALSE)</f>
        <v>18</v>
      </c>
      <c r="O192">
        <f t="shared" si="25"/>
        <v>1</v>
      </c>
      <c r="P192">
        <f>VLOOKUP($A192,Outcomes!$B$3:$I$209,5,FALSE)</f>
        <v>15</v>
      </c>
      <c r="Q192">
        <f>VLOOKUP($A192,Outcomes!$B$3:$I$209,6,FALSE)</f>
        <v>3</v>
      </c>
      <c r="R192">
        <f>VLOOKUP($A192,Outcomes!$B$3:$I$209,7,FALSE)</f>
        <v>-12</v>
      </c>
      <c r="S192" t="str">
        <f t="shared" si="26"/>
        <v>HomFave</v>
      </c>
      <c r="T192" t="str">
        <f t="shared" si="27"/>
        <v/>
      </c>
      <c r="U192" t="str">
        <f t="shared" si="28"/>
        <v/>
      </c>
      <c r="V192" t="str">
        <f t="shared" si="29"/>
        <v/>
      </c>
      <c r="W192" t="str">
        <f t="shared" si="30"/>
        <v/>
      </c>
      <c r="X192" s="2" t="str">
        <f t="shared" si="31"/>
        <v/>
      </c>
      <c r="Y192" t="str">
        <f>VLOOKUP($A192,ScionOutput!$A$3:$BL$215,64,FALSE)</f>
        <v xml:space="preserve">823447. LineStatEns is NoPlay as bookie-line outside range. StatOnlyEns is NoPlay as bookie-line outside range. No play due to strategy constraints. </v>
      </c>
    </row>
    <row r="193" spans="1:25" x14ac:dyDescent="0.2">
      <c r="A193">
        <v>823126</v>
      </c>
      <c r="B193" s="3">
        <f>VLOOKUP($A193,ScionOutput!$A$3:$BL$215,3,FALSE)</f>
        <v>46193</v>
      </c>
      <c r="C193">
        <f>VLOOKUP($A193,ScionOutput!$A$3:$BL$215,22,FALSE)</f>
        <v>24</v>
      </c>
      <c r="D193" t="str">
        <f>VLOOKUP($A193,ScionOutput!$A$3:$BL$215,23,FALSE)</f>
        <v>SEA</v>
      </c>
      <c r="E193">
        <f>VLOOKUP($A193,ScionOutput!$A$3:$BL$215,6,FALSE)</f>
        <v>3</v>
      </c>
      <c r="F193" t="str">
        <f>VLOOKUP($A193,ScionOutput!$A$3:$BL$215,7,FALSE)</f>
        <v>BOS</v>
      </c>
      <c r="G193">
        <f>VLOOKUP($A193,ScionOutput!$A$3:$BL$215,26,FALSE)</f>
        <v>-116</v>
      </c>
      <c r="H193">
        <f>VLOOKUP($A193,ScionOutput!$A$3:$BL$215,10,FALSE)</f>
        <v>107</v>
      </c>
      <c r="I193" t="str">
        <f>VLOOKUP($A193,ScionOutput!$A$3:$BL$215,58,FALSE)</f>
        <v>No Play</v>
      </c>
      <c r="J193">
        <f>VLOOKUP($A193,ScionOutput!$A$3:$BL$215,59,FALSE)</f>
        <v>0</v>
      </c>
      <c r="K193">
        <f>VLOOKUP($A193,ScionOutput!$A$3:$BL$215,62,FALSE)</f>
        <v>0</v>
      </c>
      <c r="L193">
        <f>VLOOKUP($A193,ScionOutput!$A$3:$BL$215,63,FALSE)</f>
        <v>0</v>
      </c>
      <c r="M193" t="b">
        <f t="shared" si="24"/>
        <v>0</v>
      </c>
      <c r="N193">
        <f>VLOOKUP($A193,Outcomes!$B$3:$I$209,8,FALSE)</f>
        <v>6</v>
      </c>
      <c r="O193">
        <f t="shared" si="25"/>
        <v>-1</v>
      </c>
      <c r="P193">
        <f>VLOOKUP($A193,Outcomes!$B$3:$I$209,5,FALSE)</f>
        <v>1</v>
      </c>
      <c r="Q193">
        <f>VLOOKUP($A193,Outcomes!$B$3:$I$209,6,FALSE)</f>
        <v>5</v>
      </c>
      <c r="R193">
        <f>VLOOKUP($A193,Outcomes!$B$3:$I$209,7,FALSE)</f>
        <v>4</v>
      </c>
      <c r="S193" t="str">
        <f t="shared" si="26"/>
        <v>VisDog</v>
      </c>
      <c r="T193" t="str">
        <f t="shared" si="27"/>
        <v/>
      </c>
      <c r="U193" t="str">
        <f t="shared" si="28"/>
        <v/>
      </c>
      <c r="V193" t="str">
        <f t="shared" si="29"/>
        <v/>
      </c>
      <c r="W193" t="str">
        <f t="shared" si="30"/>
        <v/>
      </c>
      <c r="X193" s="2" t="str">
        <f t="shared" si="31"/>
        <v/>
      </c>
      <c r="Y193" t="str">
        <f>VLOOKUP($A193,ScionOutput!$A$3:$BL$215,64,FALSE)</f>
        <v xml:space="preserve">823126. LineStatEns probability points gap does not exceed threshold (no edge found)! StatOnlyEns probability points gap does not exceed threshold (no edge found)! No play due to strategy constraints. </v>
      </c>
    </row>
    <row r="194" spans="1:25" x14ac:dyDescent="0.2">
      <c r="A194">
        <v>822967</v>
      </c>
      <c r="B194" s="3">
        <f>VLOOKUP($A194,ScionOutput!$A$3:$BL$215,3,FALSE)</f>
        <v>46193</v>
      </c>
      <c r="C194">
        <f>VLOOKUP($A194,ScionOutput!$A$3:$BL$215,22,FALSE)</f>
        <v>27</v>
      </c>
      <c r="D194" t="str">
        <f>VLOOKUP($A194,ScionOutput!$A$3:$BL$215,23,FALSE)</f>
        <v>TB</v>
      </c>
      <c r="E194">
        <f>VLOOKUP($A194,ScionOutput!$A$3:$BL$215,6,FALSE)</f>
        <v>16</v>
      </c>
      <c r="F194" t="str">
        <f>VLOOKUP($A194,ScionOutput!$A$3:$BL$215,7,FALSE)</f>
        <v>WAS</v>
      </c>
      <c r="G194">
        <f>VLOOKUP($A194,ScionOutput!$A$3:$BL$215,26,FALSE)</f>
        <v>-117</v>
      </c>
      <c r="H194">
        <f>VLOOKUP($A194,ScionOutput!$A$3:$BL$215,10,FALSE)</f>
        <v>108</v>
      </c>
      <c r="I194" t="str">
        <f>VLOOKUP($A194,ScionOutput!$A$3:$BL$215,58,FALSE)</f>
        <v>No Play</v>
      </c>
      <c r="J194">
        <f>VLOOKUP($A194,ScionOutput!$A$3:$BL$215,59,FALSE)</f>
        <v>0</v>
      </c>
      <c r="K194">
        <f>VLOOKUP($A194,ScionOutput!$A$3:$BL$215,62,FALSE)</f>
        <v>0</v>
      </c>
      <c r="L194">
        <f>VLOOKUP($A194,ScionOutput!$A$3:$BL$215,63,FALSE)</f>
        <v>0</v>
      </c>
      <c r="M194" t="b">
        <f t="shared" si="24"/>
        <v>0</v>
      </c>
      <c r="N194">
        <f>VLOOKUP($A194,Outcomes!$B$3:$I$209,8,FALSE)</f>
        <v>7</v>
      </c>
      <c r="O194">
        <f t="shared" si="25"/>
        <v>-1</v>
      </c>
      <c r="P194">
        <f>VLOOKUP($A194,Outcomes!$B$3:$I$209,5,FALSE)</f>
        <v>3</v>
      </c>
      <c r="Q194">
        <f>VLOOKUP($A194,Outcomes!$B$3:$I$209,6,FALSE)</f>
        <v>4</v>
      </c>
      <c r="R194">
        <f>VLOOKUP($A194,Outcomes!$B$3:$I$209,7,FALSE)</f>
        <v>1</v>
      </c>
      <c r="S194" t="str">
        <f t="shared" si="26"/>
        <v>VisDog</v>
      </c>
      <c r="T194" t="str">
        <f t="shared" si="27"/>
        <v/>
      </c>
      <c r="U194" t="str">
        <f t="shared" si="28"/>
        <v/>
      </c>
      <c r="V194" t="str">
        <f t="shared" si="29"/>
        <v/>
      </c>
      <c r="W194" t="str">
        <f t="shared" si="30"/>
        <v/>
      </c>
      <c r="X194" s="2" t="str">
        <f t="shared" si="31"/>
        <v/>
      </c>
      <c r="Y194" t="str">
        <f>VLOOKUP($A194,ScionOutput!$A$3:$BL$215,64,FALSE)</f>
        <v xml:space="preserve">822967. LineStatEns probability points gap does not exceed threshold (no edge found)! No play due to strategy constraints. </v>
      </c>
    </row>
    <row r="195" spans="1:25" x14ac:dyDescent="0.2">
      <c r="A195">
        <v>822885</v>
      </c>
      <c r="B195" s="3">
        <f>VLOOKUP($A195,ScionOutput!$A$3:$BL$215,3,FALSE)</f>
        <v>46193</v>
      </c>
      <c r="C195">
        <f>VLOOKUP($A195,ScionOutput!$A$3:$BL$215,22,FALSE)</f>
        <v>28</v>
      </c>
      <c r="D195" t="str">
        <f>VLOOKUP($A195,ScionOutput!$A$3:$BL$215,23,FALSE)</f>
        <v>TEX</v>
      </c>
      <c r="E195">
        <f>VLOOKUP($A195,ScionOutput!$A$3:$BL$215,6,FALSE)</f>
        <v>23</v>
      </c>
      <c r="F195" t="str">
        <f>VLOOKUP($A195,ScionOutput!$A$3:$BL$215,7,FALSE)</f>
        <v>SD</v>
      </c>
      <c r="G195">
        <f>VLOOKUP($A195,ScionOutput!$A$3:$BL$215,26,FALSE)</f>
        <v>-123</v>
      </c>
      <c r="H195">
        <f>VLOOKUP($A195,ScionOutput!$A$3:$BL$215,10,FALSE)</f>
        <v>114</v>
      </c>
      <c r="I195" t="str">
        <f>VLOOKUP($A195,ScionOutput!$A$3:$BL$215,58,FALSE)</f>
        <v>No Play</v>
      </c>
      <c r="J195">
        <f>VLOOKUP($A195,ScionOutput!$A$3:$BL$215,59,FALSE)</f>
        <v>0</v>
      </c>
      <c r="K195">
        <f>VLOOKUP($A195,ScionOutput!$A$3:$BL$215,62,FALSE)</f>
        <v>0</v>
      </c>
      <c r="L195">
        <f>VLOOKUP($A195,ScionOutput!$A$3:$BL$215,63,FALSE)</f>
        <v>0</v>
      </c>
      <c r="M195" t="b">
        <f t="shared" ref="M195:M209" si="32">ISNUMBER(SEARCH("Play determined by LineStatEns and StatOnlyEns agreement", Y195))</f>
        <v>0</v>
      </c>
      <c r="N195">
        <f>VLOOKUP($A195,Outcomes!$B$3:$I$209,8,FALSE)</f>
        <v>10</v>
      </c>
      <c r="O195">
        <f t="shared" si="25"/>
        <v>-1</v>
      </c>
      <c r="P195">
        <f>VLOOKUP($A195,Outcomes!$B$3:$I$209,5,FALSE)</f>
        <v>4</v>
      </c>
      <c r="Q195">
        <f>VLOOKUP($A195,Outcomes!$B$3:$I$209,6,FALSE)</f>
        <v>6</v>
      </c>
      <c r="R195">
        <f>VLOOKUP($A195,Outcomes!$B$3:$I$209,7,FALSE)</f>
        <v>2</v>
      </c>
      <c r="S195" t="str">
        <f t="shared" si="26"/>
        <v>VisDog</v>
      </c>
      <c r="T195" t="str">
        <f t="shared" si="27"/>
        <v/>
      </c>
      <c r="U195" t="str">
        <f t="shared" si="28"/>
        <v/>
      </c>
      <c r="V195" t="str">
        <f t="shared" si="29"/>
        <v/>
      </c>
      <c r="W195" t="str">
        <f t="shared" si="30"/>
        <v/>
      </c>
      <c r="X195" s="2" t="str">
        <f t="shared" si="31"/>
        <v/>
      </c>
      <c r="Y195" t="str">
        <f>VLOOKUP($A195,ScionOutput!$A$3:$BL$215,64,FALSE)</f>
        <v xml:space="preserve">822885. LineStatEns probability points gap does not exceed threshold (no edge found)! StatOnlyEns probability points gap does not exceed threshold (no edge found)! No play due to strategy constraints. </v>
      </c>
    </row>
    <row r="196" spans="1:25" x14ac:dyDescent="0.2">
      <c r="A196">
        <v>824908</v>
      </c>
      <c r="B196" s="3">
        <f>VLOOKUP($A196,ScionOutput!$A$3:$BL$215,3,FALSE)</f>
        <v>46194</v>
      </c>
      <c r="C196">
        <f>VLOOKUP($A196,ScionOutput!$A$3:$BL$215,22,FALSE)</f>
        <v>0</v>
      </c>
      <c r="D196" t="str">
        <f>VLOOKUP($A196,ScionOutput!$A$3:$BL$215,23,FALSE)</f>
        <v>ATL</v>
      </c>
      <c r="E196">
        <f>VLOOKUP($A196,ScionOutput!$A$3:$BL$215,6,FALSE)</f>
        <v>17</v>
      </c>
      <c r="F196" t="str">
        <f>VLOOKUP($A196,ScionOutput!$A$3:$BL$215,7,FALSE)</f>
        <v>MLW</v>
      </c>
      <c r="G196">
        <f>VLOOKUP($A196,ScionOutput!$A$3:$BL$215,26,FALSE)</f>
        <v>-113</v>
      </c>
      <c r="H196">
        <f>VLOOKUP($A196,ScionOutput!$A$3:$BL$215,10,FALSE)</f>
        <v>105</v>
      </c>
      <c r="I196" t="str">
        <f>VLOOKUP($A196,ScionOutput!$A$3:$BL$215,58,FALSE)</f>
        <v>HomFave</v>
      </c>
      <c r="J196">
        <f>VLOOKUP($A196,ScionOutput!$A$3:$BL$215,59,FALSE)</f>
        <v>4.9029999999999997E-2</v>
      </c>
      <c r="K196">
        <f>VLOOKUP($A196,ScionOutput!$A$3:$BL$215,62,FALSE)</f>
        <v>3</v>
      </c>
      <c r="L196">
        <f>VLOOKUP($A196,ScionOutput!$A$3:$BL$215,63,FALSE)</f>
        <v>1</v>
      </c>
      <c r="M196" t="b">
        <f t="shared" si="32"/>
        <v>0</v>
      </c>
      <c r="N196">
        <f>VLOOKUP($A196,Outcomes!$B$3:$I$209,8,FALSE)</f>
        <v>13</v>
      </c>
      <c r="O196">
        <f t="shared" si="25"/>
        <v>-1</v>
      </c>
      <c r="P196">
        <f>VLOOKUP($A196,Outcomes!$B$3:$I$209,5,FALSE)</f>
        <v>4</v>
      </c>
      <c r="Q196">
        <f>VLOOKUP($A196,Outcomes!$B$3:$I$209,6,FALSE)</f>
        <v>9</v>
      </c>
      <c r="R196">
        <f>VLOOKUP($A196,Outcomes!$B$3:$I$209,7,FALSE)</f>
        <v>5</v>
      </c>
      <c r="S196" t="str">
        <f t="shared" si="26"/>
        <v>VisDog</v>
      </c>
      <c r="T196">
        <f t="shared" si="27"/>
        <v>0</v>
      </c>
      <c r="U196">
        <f t="shared" si="28"/>
        <v>113</v>
      </c>
      <c r="V196">
        <f t="shared" si="29"/>
        <v>0</v>
      </c>
      <c r="W196">
        <f t="shared" si="30"/>
        <v>-113</v>
      </c>
      <c r="X196" s="2">
        <f t="shared" si="31"/>
        <v>-1</v>
      </c>
      <c r="Y196" t="str">
        <f>VLOOKUP($A196,ScionOutput!$A$3:$BL$215,64,FALSE)</f>
        <v xml:space="preserve">824908. StatOnlyEns probability points gap does not exceed threshold (no edge found)! Play determined by LineStatEns only. </v>
      </c>
    </row>
    <row r="197" spans="1:25" x14ac:dyDescent="0.2">
      <c r="A197">
        <v>825067</v>
      </c>
      <c r="B197" s="3">
        <f>VLOOKUP($A197,ScionOutput!$A$3:$BL$215,3,FALSE)</f>
        <v>46194</v>
      </c>
      <c r="C197">
        <f>VLOOKUP($A197,ScionOutput!$A$3:$BL$215,22,FALSE)</f>
        <v>1</v>
      </c>
      <c r="D197" t="str">
        <f>VLOOKUP($A197,ScionOutput!$A$3:$BL$215,23,FALSE)</f>
        <v>ARZ</v>
      </c>
      <c r="E197">
        <f>VLOOKUP($A197,ScionOutput!$A$3:$BL$215,6,FALSE)</f>
        <v>15</v>
      </c>
      <c r="F197" t="str">
        <f>VLOOKUP($A197,ScionOutput!$A$3:$BL$215,7,FALSE)</f>
        <v>MIN</v>
      </c>
      <c r="G197">
        <f>VLOOKUP($A197,ScionOutput!$A$3:$BL$215,26,FALSE)</f>
        <v>-126</v>
      </c>
      <c r="H197">
        <f>VLOOKUP($A197,ScionOutput!$A$3:$BL$215,10,FALSE)</f>
        <v>117</v>
      </c>
      <c r="I197" t="str">
        <f>VLOOKUP($A197,ScionOutput!$A$3:$BL$215,58,FALSE)</f>
        <v>No Play</v>
      </c>
      <c r="J197">
        <f>VLOOKUP($A197,ScionOutput!$A$3:$BL$215,59,FALSE)</f>
        <v>0</v>
      </c>
      <c r="K197">
        <f>VLOOKUP($A197,ScionOutput!$A$3:$BL$215,62,FALSE)</f>
        <v>0</v>
      </c>
      <c r="L197">
        <f>VLOOKUP($A197,ScionOutput!$A$3:$BL$215,63,FALSE)</f>
        <v>0</v>
      </c>
      <c r="M197" t="b">
        <f t="shared" si="32"/>
        <v>0</v>
      </c>
      <c r="N197">
        <f>VLOOKUP($A197,Outcomes!$B$3:$I$209,8,FALSE)</f>
        <v>6</v>
      </c>
      <c r="O197">
        <f t="shared" si="25"/>
        <v>-1</v>
      </c>
      <c r="P197">
        <f>VLOOKUP($A197,Outcomes!$B$3:$I$209,5,FALSE)</f>
        <v>2</v>
      </c>
      <c r="Q197">
        <f>VLOOKUP($A197,Outcomes!$B$3:$I$209,6,FALSE)</f>
        <v>4</v>
      </c>
      <c r="R197">
        <f>VLOOKUP($A197,Outcomes!$B$3:$I$209,7,FALSE)</f>
        <v>2</v>
      </c>
      <c r="S197" t="str">
        <f t="shared" si="26"/>
        <v>VisDog</v>
      </c>
      <c r="T197" t="str">
        <f t="shared" si="27"/>
        <v/>
      </c>
      <c r="U197" t="str">
        <f t="shared" si="28"/>
        <v/>
      </c>
      <c r="V197" t="str">
        <f t="shared" si="29"/>
        <v/>
      </c>
      <c r="W197" t="str">
        <f t="shared" si="30"/>
        <v/>
      </c>
      <c r="X197" s="2" t="str">
        <f t="shared" si="31"/>
        <v/>
      </c>
      <c r="Y197" t="str">
        <f>VLOOKUP($A197,ScionOutput!$A$3:$BL$215,64,FALSE)</f>
        <v xml:space="preserve">825067. H_SP is Null, team-based avg used. NoPlay as H_SP is Null. </v>
      </c>
    </row>
    <row r="198" spans="1:25" x14ac:dyDescent="0.2">
      <c r="A198">
        <v>824343</v>
      </c>
      <c r="B198" s="3">
        <f>VLOOKUP($A198,ScionOutput!$A$3:$BL$215,3,FALSE)</f>
        <v>46194</v>
      </c>
      <c r="C198">
        <f>VLOOKUP($A198,ScionOutput!$A$3:$BL$215,22,FALSE)</f>
        <v>8</v>
      </c>
      <c r="D198" t="str">
        <f>VLOOKUP($A198,ScionOutput!$A$3:$BL$215,23,FALSE)</f>
        <v>COL</v>
      </c>
      <c r="E198">
        <f>VLOOKUP($A198,ScionOutput!$A$3:$BL$215,6,FALSE)</f>
        <v>22</v>
      </c>
      <c r="F198" t="str">
        <f>VLOOKUP($A198,ScionOutput!$A$3:$BL$215,7,FALSE)</f>
        <v>PIT</v>
      </c>
      <c r="G198">
        <f>VLOOKUP($A198,ScionOutput!$A$3:$BL$215,26,FALSE)</f>
        <v>130</v>
      </c>
      <c r="H198">
        <f>VLOOKUP($A198,ScionOutput!$A$3:$BL$215,10,FALSE)</f>
        <v>-141</v>
      </c>
      <c r="I198" t="str">
        <f>VLOOKUP($A198,ScionOutput!$A$3:$BL$215,58,FALSE)</f>
        <v>No Play</v>
      </c>
      <c r="J198">
        <f>VLOOKUP($A198,ScionOutput!$A$3:$BL$215,59,FALSE)</f>
        <v>0</v>
      </c>
      <c r="K198">
        <f>VLOOKUP($A198,ScionOutput!$A$3:$BL$215,62,FALSE)</f>
        <v>0</v>
      </c>
      <c r="L198">
        <f>VLOOKUP($A198,ScionOutput!$A$3:$BL$215,63,FALSE)</f>
        <v>0</v>
      </c>
      <c r="M198" t="b">
        <f t="shared" si="32"/>
        <v>0</v>
      </c>
      <c r="N198">
        <f>VLOOKUP($A198,Outcomes!$B$3:$I$209,8,FALSE)</f>
        <v>14</v>
      </c>
      <c r="O198">
        <f t="shared" si="25"/>
        <v>-1</v>
      </c>
      <c r="P198">
        <f>VLOOKUP($A198,Outcomes!$B$3:$I$209,5,FALSE)</f>
        <v>6</v>
      </c>
      <c r="Q198">
        <f>VLOOKUP($A198,Outcomes!$B$3:$I$209,6,FALSE)</f>
        <v>8</v>
      </c>
      <c r="R198">
        <f>VLOOKUP($A198,Outcomes!$B$3:$I$209,7,FALSE)</f>
        <v>2</v>
      </c>
      <c r="S198" t="str">
        <f t="shared" si="26"/>
        <v>VisFave</v>
      </c>
      <c r="T198" t="str">
        <f t="shared" si="27"/>
        <v/>
      </c>
      <c r="U198" t="str">
        <f t="shared" si="28"/>
        <v/>
      </c>
      <c r="V198" t="str">
        <f t="shared" si="29"/>
        <v/>
      </c>
      <c r="W198" t="str">
        <f t="shared" si="30"/>
        <v/>
      </c>
      <c r="X198" s="2" t="str">
        <f t="shared" si="31"/>
        <v/>
      </c>
      <c r="Y198" t="str">
        <f>VLOOKUP($A198,ScionOutput!$A$3:$BL$215,64,FALSE)</f>
        <v xml:space="preserve">824343. VF plays are disallowed. No play due to strategy constraints. </v>
      </c>
    </row>
    <row r="199" spans="1:25" x14ac:dyDescent="0.2">
      <c r="A199">
        <v>824260</v>
      </c>
      <c r="B199" s="3">
        <f>VLOOKUP($A199,ScionOutput!$A$3:$BL$215,3,FALSE)</f>
        <v>46194</v>
      </c>
      <c r="C199">
        <f>VLOOKUP($A199,ScionOutput!$A$3:$BL$215,22,FALSE)</f>
        <v>10</v>
      </c>
      <c r="D199" t="str">
        <f>VLOOKUP($A199,ScionOutput!$A$3:$BL$215,23,FALSE)</f>
        <v>DET</v>
      </c>
      <c r="E199">
        <f>VLOOKUP($A199,ScionOutput!$A$3:$BL$215,6,FALSE)</f>
        <v>9</v>
      </c>
      <c r="F199" t="str">
        <f>VLOOKUP($A199,ScionOutput!$A$3:$BL$215,7,FALSE)</f>
        <v>CWS</v>
      </c>
      <c r="G199">
        <f>VLOOKUP($A199,ScionOutput!$A$3:$BL$215,26,FALSE)</f>
        <v>-114</v>
      </c>
      <c r="H199">
        <f>VLOOKUP($A199,ScionOutput!$A$3:$BL$215,10,FALSE)</f>
        <v>105</v>
      </c>
      <c r="I199" t="str">
        <f>VLOOKUP($A199,ScionOutput!$A$3:$BL$215,58,FALSE)</f>
        <v>HomFave</v>
      </c>
      <c r="J199">
        <f>VLOOKUP($A199,ScionOutput!$A$3:$BL$215,59,FALSE)</f>
        <v>1.7999999999999999E-2</v>
      </c>
      <c r="K199">
        <f>VLOOKUP($A199,ScionOutput!$A$3:$BL$215,62,FALSE)</f>
        <v>5</v>
      </c>
      <c r="L199">
        <f>VLOOKUP($A199,ScionOutput!$A$3:$BL$215,63,FALSE)</f>
        <v>0.98</v>
      </c>
      <c r="M199" t="b">
        <f t="shared" si="32"/>
        <v>0</v>
      </c>
      <c r="N199">
        <f>VLOOKUP($A199,Outcomes!$B$3:$I$209,8,FALSE)</f>
        <v>9</v>
      </c>
      <c r="O199">
        <f t="shared" si="25"/>
        <v>1</v>
      </c>
      <c r="P199">
        <f>VLOOKUP($A199,Outcomes!$B$3:$I$209,5,FALSE)</f>
        <v>5</v>
      </c>
      <c r="Q199">
        <f>VLOOKUP($A199,Outcomes!$B$3:$I$209,6,FALSE)</f>
        <v>4</v>
      </c>
      <c r="R199">
        <f>VLOOKUP($A199,Outcomes!$B$3:$I$209,7,FALSE)</f>
        <v>-1</v>
      </c>
      <c r="S199" t="str">
        <f t="shared" si="26"/>
        <v>HomFave</v>
      </c>
      <c r="T199">
        <f t="shared" si="27"/>
        <v>1</v>
      </c>
      <c r="U199">
        <f t="shared" si="28"/>
        <v>114</v>
      </c>
      <c r="V199">
        <f t="shared" si="29"/>
        <v>214</v>
      </c>
      <c r="W199">
        <f t="shared" si="30"/>
        <v>100</v>
      </c>
      <c r="X199" s="2">
        <f t="shared" si="31"/>
        <v>0.8771929824561403</v>
      </c>
      <c r="Y199" t="str">
        <f>VLOOKUP($A199,ScionOutput!$A$3:$BL$215,64,FALSE)</f>
        <v xml:space="preserve">824260. Play determined by StatOnlyEns when it disagrees with LineStatEns. </v>
      </c>
    </row>
    <row r="200" spans="1:25" x14ac:dyDescent="0.2">
      <c r="A200">
        <v>823852</v>
      </c>
      <c r="B200" s="3">
        <f>VLOOKUP($A200,ScionOutput!$A$3:$BL$215,3,FALSE)</f>
        <v>46194</v>
      </c>
      <c r="C200">
        <f>VLOOKUP($A200,ScionOutput!$A$3:$BL$215,22,FALSE)</f>
        <v>11</v>
      </c>
      <c r="D200" t="str">
        <f>VLOOKUP($A200,ScionOutput!$A$3:$BL$215,23,FALSE)</f>
        <v>FLO</v>
      </c>
      <c r="E200">
        <f>VLOOKUP($A200,ScionOutput!$A$3:$BL$215,6,FALSE)</f>
        <v>25</v>
      </c>
      <c r="F200" t="str">
        <f>VLOOKUP($A200,ScionOutput!$A$3:$BL$215,7,FALSE)</f>
        <v>SF</v>
      </c>
      <c r="G200">
        <f>VLOOKUP($A200,ScionOutput!$A$3:$BL$215,26,FALSE)</f>
        <v>124</v>
      </c>
      <c r="H200">
        <f>VLOOKUP($A200,ScionOutput!$A$3:$BL$215,10,FALSE)</f>
        <v>-134</v>
      </c>
      <c r="I200" t="str">
        <f>VLOOKUP($A200,ScionOutput!$A$3:$BL$215,58,FALSE)</f>
        <v>No Play</v>
      </c>
      <c r="J200">
        <f>VLOOKUP($A200,ScionOutput!$A$3:$BL$215,59,FALSE)</f>
        <v>0</v>
      </c>
      <c r="K200">
        <f>VLOOKUP($A200,ScionOutput!$A$3:$BL$215,62,FALSE)</f>
        <v>0</v>
      </c>
      <c r="L200">
        <f>VLOOKUP($A200,ScionOutput!$A$3:$BL$215,63,FALSE)</f>
        <v>0</v>
      </c>
      <c r="M200" t="b">
        <f t="shared" si="32"/>
        <v>0</v>
      </c>
      <c r="N200">
        <f>VLOOKUP($A200,Outcomes!$B$3:$I$209,8,FALSE)</f>
        <v>3</v>
      </c>
      <c r="O200">
        <f t="shared" si="25"/>
        <v>1</v>
      </c>
      <c r="P200">
        <f>VLOOKUP($A200,Outcomes!$B$3:$I$209,5,FALSE)</f>
        <v>2</v>
      </c>
      <c r="Q200">
        <f>VLOOKUP($A200,Outcomes!$B$3:$I$209,6,FALSE)</f>
        <v>1</v>
      </c>
      <c r="R200">
        <f>VLOOKUP($A200,Outcomes!$B$3:$I$209,7,FALSE)</f>
        <v>-1</v>
      </c>
      <c r="S200" t="str">
        <f t="shared" si="26"/>
        <v>HomDog</v>
      </c>
      <c r="T200" t="str">
        <f t="shared" si="27"/>
        <v/>
      </c>
      <c r="U200" t="str">
        <f t="shared" si="28"/>
        <v/>
      </c>
      <c r="V200" t="str">
        <f t="shared" si="29"/>
        <v/>
      </c>
      <c r="W200" t="str">
        <f t="shared" si="30"/>
        <v/>
      </c>
      <c r="X200" s="2" t="str">
        <f t="shared" si="31"/>
        <v/>
      </c>
      <c r="Y200" t="str">
        <f>VLOOKUP($A200,ScionOutput!$A$3:$BL$215,64,FALSE)</f>
        <v xml:space="preserve">823852. VF plays are disallowed. No play due to strategy constraints. </v>
      </c>
    </row>
    <row r="201" spans="1:25" x14ac:dyDescent="0.2">
      <c r="A201">
        <v>824177</v>
      </c>
      <c r="B201" s="3">
        <f>VLOOKUP($A201,ScionOutput!$A$3:$BL$215,3,FALSE)</f>
        <v>46194</v>
      </c>
      <c r="C201">
        <f>VLOOKUP($A201,ScionOutput!$A$3:$BL$215,22,FALSE)</f>
        <v>12</v>
      </c>
      <c r="D201" t="str">
        <f>VLOOKUP($A201,ScionOutput!$A$3:$BL$215,23,FALSE)</f>
        <v>HOU</v>
      </c>
      <c r="E201">
        <f>VLOOKUP($A201,ScionOutput!$A$3:$BL$215,6,FALSE)</f>
        <v>7</v>
      </c>
      <c r="F201" t="str">
        <f>VLOOKUP($A201,ScionOutput!$A$3:$BL$215,7,FALSE)</f>
        <v>CLE</v>
      </c>
      <c r="G201">
        <f>VLOOKUP($A201,ScionOutput!$A$3:$BL$215,26,FALSE)</f>
        <v>-129</v>
      </c>
      <c r="H201">
        <f>VLOOKUP($A201,ScionOutput!$A$3:$BL$215,10,FALSE)</f>
        <v>119</v>
      </c>
      <c r="I201" t="str">
        <f>VLOOKUP($A201,ScionOutput!$A$3:$BL$215,58,FALSE)</f>
        <v>No Play</v>
      </c>
      <c r="J201">
        <f>VLOOKUP($A201,ScionOutput!$A$3:$BL$215,59,FALSE)</f>
        <v>0</v>
      </c>
      <c r="K201">
        <f>VLOOKUP($A201,ScionOutput!$A$3:$BL$215,62,FALSE)</f>
        <v>0</v>
      </c>
      <c r="L201">
        <f>VLOOKUP($A201,ScionOutput!$A$3:$BL$215,63,FALSE)</f>
        <v>0</v>
      </c>
      <c r="M201" t="b">
        <f t="shared" si="32"/>
        <v>0</v>
      </c>
      <c r="N201">
        <f>VLOOKUP($A201,Outcomes!$B$3:$I$209,8,FALSE)</f>
        <v>3</v>
      </c>
      <c r="O201">
        <f t="shared" si="25"/>
        <v>1</v>
      </c>
      <c r="P201">
        <f>VLOOKUP($A201,Outcomes!$B$3:$I$209,5,FALSE)</f>
        <v>2</v>
      </c>
      <c r="Q201">
        <f>VLOOKUP($A201,Outcomes!$B$3:$I$209,6,FALSE)</f>
        <v>1</v>
      </c>
      <c r="R201">
        <f>VLOOKUP($A201,Outcomes!$B$3:$I$209,7,FALSE)</f>
        <v>-1</v>
      </c>
      <c r="S201" t="str">
        <f t="shared" si="26"/>
        <v>HomFave</v>
      </c>
      <c r="T201" t="str">
        <f t="shared" si="27"/>
        <v/>
      </c>
      <c r="U201" t="str">
        <f t="shared" si="28"/>
        <v/>
      </c>
      <c r="V201" t="str">
        <f t="shared" si="29"/>
        <v/>
      </c>
      <c r="W201" t="str">
        <f t="shared" si="30"/>
        <v/>
      </c>
      <c r="X201" s="2" t="str">
        <f t="shared" si="31"/>
        <v/>
      </c>
      <c r="Y201" t="str">
        <f>VLOOKUP($A201,ScionOutput!$A$3:$BL$215,64,FALSE)</f>
        <v xml:space="preserve">824177. LineStatEns probability points gap does not exceed threshold (no edge found)! StatOnlyEns probability points gap does not exceed threshold (no edge found)! No play due to strategy constraints. </v>
      </c>
    </row>
    <row r="202" spans="1:25" x14ac:dyDescent="0.2">
      <c r="A202">
        <v>824095</v>
      </c>
      <c r="B202" s="3">
        <f>VLOOKUP($A202,ScionOutput!$A$3:$BL$215,3,FALSE)</f>
        <v>46194</v>
      </c>
      <c r="C202">
        <f>VLOOKUP($A202,ScionOutput!$A$3:$BL$215,22,FALSE)</f>
        <v>13</v>
      </c>
      <c r="D202" t="str">
        <f>VLOOKUP($A202,ScionOutput!$A$3:$BL$215,23,FALSE)</f>
        <v>KC</v>
      </c>
      <c r="E202">
        <f>VLOOKUP($A202,ScionOutput!$A$3:$BL$215,6,FALSE)</f>
        <v>26</v>
      </c>
      <c r="F202" t="str">
        <f>VLOOKUP($A202,ScionOutput!$A$3:$BL$215,7,FALSE)</f>
        <v>STL</v>
      </c>
      <c r="G202">
        <f>VLOOKUP($A202,ScionOutput!$A$3:$BL$215,26,FALSE)</f>
        <v>112</v>
      </c>
      <c r="H202">
        <f>VLOOKUP($A202,ScionOutput!$A$3:$BL$215,10,FALSE)</f>
        <v>-121</v>
      </c>
      <c r="I202" t="str">
        <f>VLOOKUP($A202,ScionOutput!$A$3:$BL$215,58,FALSE)</f>
        <v>No Play</v>
      </c>
      <c r="J202">
        <f>VLOOKUP($A202,ScionOutput!$A$3:$BL$215,59,FALSE)</f>
        <v>0</v>
      </c>
      <c r="K202">
        <f>VLOOKUP($A202,ScionOutput!$A$3:$BL$215,62,FALSE)</f>
        <v>0</v>
      </c>
      <c r="L202">
        <f>VLOOKUP($A202,ScionOutput!$A$3:$BL$215,63,FALSE)</f>
        <v>0</v>
      </c>
      <c r="M202" t="b">
        <f t="shared" si="32"/>
        <v>0</v>
      </c>
      <c r="N202">
        <f>VLOOKUP($A202,Outcomes!$B$3:$I$209,8,FALSE)</f>
        <v>22</v>
      </c>
      <c r="O202">
        <f t="shared" si="25"/>
        <v>-1</v>
      </c>
      <c r="P202">
        <f>VLOOKUP($A202,Outcomes!$B$3:$I$209,5,FALSE)</f>
        <v>10</v>
      </c>
      <c r="Q202">
        <f>VLOOKUP($A202,Outcomes!$B$3:$I$209,6,FALSE)</f>
        <v>12</v>
      </c>
      <c r="R202">
        <f>VLOOKUP($A202,Outcomes!$B$3:$I$209,7,FALSE)</f>
        <v>2</v>
      </c>
      <c r="S202" t="str">
        <f t="shared" si="26"/>
        <v>VisFave</v>
      </c>
      <c r="T202" t="str">
        <f t="shared" si="27"/>
        <v/>
      </c>
      <c r="U202" t="str">
        <f t="shared" si="28"/>
        <v/>
      </c>
      <c r="V202" t="str">
        <f t="shared" si="29"/>
        <v/>
      </c>
      <c r="W202" t="str">
        <f t="shared" si="30"/>
        <v/>
      </c>
      <c r="X202" s="2" t="str">
        <f t="shared" si="31"/>
        <v/>
      </c>
      <c r="Y202" t="str">
        <f>VLOOKUP($A202,ScionOutput!$A$3:$BL$215,64,FALSE)</f>
        <v xml:space="preserve">824095. VF plays are disallowed. No play due to strategy constraints. </v>
      </c>
    </row>
    <row r="203" spans="1:25" x14ac:dyDescent="0.2">
      <c r="A203">
        <v>823934</v>
      </c>
      <c r="B203" s="3">
        <f>VLOOKUP($A203,ScionOutput!$A$3:$BL$215,3,FALSE)</f>
        <v>46194</v>
      </c>
      <c r="C203">
        <f>VLOOKUP($A203,ScionOutput!$A$3:$BL$215,22,FALSE)</f>
        <v>14</v>
      </c>
      <c r="D203" t="str">
        <f>VLOOKUP($A203,ScionOutput!$A$3:$BL$215,23,FALSE)</f>
        <v>LA</v>
      </c>
      <c r="E203">
        <f>VLOOKUP($A203,ScionOutput!$A$3:$BL$215,6,FALSE)</f>
        <v>2</v>
      </c>
      <c r="F203" t="str">
        <f>VLOOKUP($A203,ScionOutput!$A$3:$BL$215,7,FALSE)</f>
        <v>BAL</v>
      </c>
      <c r="G203">
        <f>VLOOKUP($A203,ScionOutput!$A$3:$BL$215,26,FALSE)</f>
        <v>-228</v>
      </c>
      <c r="H203">
        <f>VLOOKUP($A203,ScionOutput!$A$3:$BL$215,10,FALSE)</f>
        <v>206</v>
      </c>
      <c r="I203" t="str">
        <f>VLOOKUP($A203,ScionOutput!$A$3:$BL$215,58,FALSE)</f>
        <v>No Play</v>
      </c>
      <c r="J203">
        <f>VLOOKUP($A203,ScionOutput!$A$3:$BL$215,59,FALSE)</f>
        <v>0</v>
      </c>
      <c r="K203">
        <f>VLOOKUP($A203,ScionOutput!$A$3:$BL$215,62,FALSE)</f>
        <v>0</v>
      </c>
      <c r="L203">
        <f>VLOOKUP($A203,ScionOutput!$A$3:$BL$215,63,FALSE)</f>
        <v>0</v>
      </c>
      <c r="M203" t="b">
        <f t="shared" si="32"/>
        <v>0</v>
      </c>
      <c r="N203">
        <f>VLOOKUP($A203,Outcomes!$B$3:$I$209,8,FALSE)</f>
        <v>13</v>
      </c>
      <c r="O203">
        <f t="shared" si="25"/>
        <v>-1</v>
      </c>
      <c r="P203">
        <f>VLOOKUP($A203,Outcomes!$B$3:$I$209,5,FALSE)</f>
        <v>1</v>
      </c>
      <c r="Q203">
        <f>VLOOKUP($A203,Outcomes!$B$3:$I$209,6,FALSE)</f>
        <v>12</v>
      </c>
      <c r="R203">
        <f>VLOOKUP($A203,Outcomes!$B$3:$I$209,7,FALSE)</f>
        <v>11</v>
      </c>
      <c r="S203" t="str">
        <f t="shared" si="26"/>
        <v>VisDog</v>
      </c>
      <c r="T203" t="str">
        <f t="shared" si="27"/>
        <v/>
      </c>
      <c r="U203" t="str">
        <f t="shared" si="28"/>
        <v/>
      </c>
      <c r="V203" t="str">
        <f t="shared" si="29"/>
        <v/>
      </c>
      <c r="W203" t="str">
        <f t="shared" si="30"/>
        <v/>
      </c>
      <c r="X203" s="2" t="str">
        <f t="shared" si="31"/>
        <v/>
      </c>
      <c r="Y203" t="str">
        <f>VLOOKUP($A203,ScionOutput!$A$3:$BL$215,64,FALSE)</f>
        <v xml:space="preserve">823934. LineStatEns is NoPlay as bookie-line outside range. StatOnlyEns is NoPlay as bookie-line outside range. No play due to strategy constraints. </v>
      </c>
    </row>
    <row r="204" spans="1:25" x14ac:dyDescent="0.2">
      <c r="A204">
        <v>823531</v>
      </c>
      <c r="B204" s="3">
        <f>VLOOKUP($A204,ScionOutput!$A$3:$BL$215,3,FALSE)</f>
        <v>46194</v>
      </c>
      <c r="C204">
        <f>VLOOKUP($A204,ScionOutput!$A$3:$BL$215,22,FALSE)</f>
        <v>19</v>
      </c>
      <c r="D204" t="str">
        <f>VLOOKUP($A204,ScionOutput!$A$3:$BL$215,23,FALSE)</f>
        <v>NYY</v>
      </c>
      <c r="E204">
        <f>VLOOKUP($A204,ScionOutput!$A$3:$BL$215,6,FALSE)</f>
        <v>6</v>
      </c>
      <c r="F204" t="str">
        <f>VLOOKUP($A204,ScionOutput!$A$3:$BL$215,7,FALSE)</f>
        <v>CIN</v>
      </c>
      <c r="G204">
        <f>VLOOKUP($A204,ScionOutput!$A$3:$BL$215,26,FALSE)</f>
        <v>-110</v>
      </c>
      <c r="H204">
        <f>VLOOKUP($A204,ScionOutput!$A$3:$BL$215,10,FALSE)</f>
        <v>101</v>
      </c>
      <c r="I204" t="str">
        <f>VLOOKUP($A204,ScionOutput!$A$3:$BL$215,58,FALSE)</f>
        <v>HomFave</v>
      </c>
      <c r="J204">
        <f>VLOOKUP($A204,ScionOutput!$A$3:$BL$215,59,FALSE)</f>
        <v>7.1300000000000001E-3</v>
      </c>
      <c r="K204">
        <f>VLOOKUP($A204,ScionOutput!$A$3:$BL$215,62,FALSE)</f>
        <v>3</v>
      </c>
      <c r="L204">
        <f>VLOOKUP($A204,ScionOutput!$A$3:$BL$215,63,FALSE)</f>
        <v>0.93</v>
      </c>
      <c r="M204" t="b">
        <f t="shared" si="32"/>
        <v>0</v>
      </c>
      <c r="N204">
        <f>VLOOKUP($A204,Outcomes!$B$3:$I$209,8,FALSE)</f>
        <v>5</v>
      </c>
      <c r="O204">
        <f t="shared" si="25"/>
        <v>-1</v>
      </c>
      <c r="P204">
        <f>VLOOKUP($A204,Outcomes!$B$3:$I$209,5,FALSE)</f>
        <v>1</v>
      </c>
      <c r="Q204">
        <f>VLOOKUP($A204,Outcomes!$B$3:$I$209,6,FALSE)</f>
        <v>4</v>
      </c>
      <c r="R204">
        <f>VLOOKUP($A204,Outcomes!$B$3:$I$209,7,FALSE)</f>
        <v>3</v>
      </c>
      <c r="S204" t="str">
        <f t="shared" si="26"/>
        <v>VisDog</v>
      </c>
      <c r="T204">
        <f t="shared" si="27"/>
        <v>0</v>
      </c>
      <c r="U204">
        <f t="shared" si="28"/>
        <v>110</v>
      </c>
      <c r="V204">
        <f t="shared" si="29"/>
        <v>0</v>
      </c>
      <c r="W204">
        <f t="shared" si="30"/>
        <v>-110</v>
      </c>
      <c r="X204" s="2">
        <f t="shared" si="31"/>
        <v>-1</v>
      </c>
      <c r="Y204" t="str">
        <f>VLOOKUP($A204,ScionOutput!$A$3:$BL$215,64,FALSE)</f>
        <v xml:space="preserve">823531. StatOnlyEns probability points gap does not exceed threshold (no edge found)! Play determined by LineStatEns only. </v>
      </c>
    </row>
    <row r="205" spans="1:25" x14ac:dyDescent="0.2">
      <c r="A205">
        <v>824987</v>
      </c>
      <c r="B205" s="3">
        <f>VLOOKUP($A205,ScionOutput!$A$3:$BL$215,3,FALSE)</f>
        <v>46194</v>
      </c>
      <c r="C205">
        <f>VLOOKUP($A205,ScionOutput!$A$3:$BL$215,22,FALSE)</f>
        <v>20</v>
      </c>
      <c r="D205" t="str">
        <f>VLOOKUP($A205,ScionOutput!$A$3:$BL$215,23,FALSE)</f>
        <v>OAK</v>
      </c>
      <c r="E205">
        <f>VLOOKUP($A205,ScionOutput!$A$3:$BL$215,6,FALSE)</f>
        <v>4</v>
      </c>
      <c r="F205" t="str">
        <f>VLOOKUP($A205,ScionOutput!$A$3:$BL$215,7,FALSE)</f>
        <v>LAA</v>
      </c>
      <c r="G205">
        <f>VLOOKUP($A205,ScionOutput!$A$3:$BL$215,26,FALSE)</f>
        <v>-126</v>
      </c>
      <c r="H205">
        <f>VLOOKUP($A205,ScionOutput!$A$3:$BL$215,10,FALSE)</f>
        <v>116</v>
      </c>
      <c r="I205" t="str">
        <f>VLOOKUP($A205,ScionOutput!$A$3:$BL$215,58,FALSE)</f>
        <v>No Play</v>
      </c>
      <c r="J205">
        <f>VLOOKUP($A205,ScionOutput!$A$3:$BL$215,59,FALSE)</f>
        <v>0</v>
      </c>
      <c r="K205">
        <f>VLOOKUP($A205,ScionOutput!$A$3:$BL$215,62,FALSE)</f>
        <v>0</v>
      </c>
      <c r="L205">
        <f>VLOOKUP($A205,ScionOutput!$A$3:$BL$215,63,FALSE)</f>
        <v>0</v>
      </c>
      <c r="M205" t="b">
        <f t="shared" si="32"/>
        <v>0</v>
      </c>
      <c r="N205">
        <f>VLOOKUP($A205,Outcomes!$B$3:$I$209,8,FALSE)</f>
        <v>16</v>
      </c>
      <c r="O205">
        <f t="shared" si="25"/>
        <v>-1</v>
      </c>
      <c r="P205">
        <f>VLOOKUP($A205,Outcomes!$B$3:$I$209,5,FALSE)</f>
        <v>7</v>
      </c>
      <c r="Q205">
        <f>VLOOKUP($A205,Outcomes!$B$3:$I$209,6,FALSE)</f>
        <v>9</v>
      </c>
      <c r="R205">
        <f>VLOOKUP($A205,Outcomes!$B$3:$I$209,7,FALSE)</f>
        <v>2</v>
      </c>
      <c r="S205" t="str">
        <f t="shared" si="26"/>
        <v>VisDog</v>
      </c>
      <c r="T205" t="str">
        <f t="shared" si="27"/>
        <v/>
      </c>
      <c r="U205" t="str">
        <f t="shared" si="28"/>
        <v/>
      </c>
      <c r="V205" t="str">
        <f t="shared" si="29"/>
        <v/>
      </c>
      <c r="W205" t="str">
        <f t="shared" si="30"/>
        <v/>
      </c>
      <c r="X205" s="2" t="str">
        <f t="shared" si="31"/>
        <v/>
      </c>
      <c r="Y205" t="str">
        <f>VLOOKUP($A205,ScionOutput!$A$3:$BL$215,64,FALSE)</f>
        <v xml:space="preserve">824987. LineStatEns probability points gap does not exceed threshold (no edge found)! No play due to strategy constraints. </v>
      </c>
    </row>
    <row r="206" spans="1:25" x14ac:dyDescent="0.2">
      <c r="A206">
        <v>823449</v>
      </c>
      <c r="B206" s="3">
        <f>VLOOKUP($A206,ScionOutput!$A$3:$BL$215,3,FALSE)</f>
        <v>46194</v>
      </c>
      <c r="C206">
        <f>VLOOKUP($A206,ScionOutput!$A$3:$BL$215,22,FALSE)</f>
        <v>21</v>
      </c>
      <c r="D206" t="str">
        <f>VLOOKUP($A206,ScionOutput!$A$3:$BL$215,23,FALSE)</f>
        <v>PHI</v>
      </c>
      <c r="E206">
        <f>VLOOKUP($A206,ScionOutput!$A$3:$BL$215,6,FALSE)</f>
        <v>18</v>
      </c>
      <c r="F206" t="str">
        <f>VLOOKUP($A206,ScionOutput!$A$3:$BL$215,7,FALSE)</f>
        <v>NYM</v>
      </c>
      <c r="G206">
        <f>VLOOKUP($A206,ScionOutput!$A$3:$BL$215,26,FALSE)</f>
        <v>-172</v>
      </c>
      <c r="H206">
        <f>VLOOKUP($A206,ScionOutput!$A$3:$BL$215,10,FALSE)</f>
        <v>157</v>
      </c>
      <c r="I206" t="str">
        <f>VLOOKUP($A206,ScionOutput!$A$3:$BL$215,58,FALSE)</f>
        <v>No Play</v>
      </c>
      <c r="J206">
        <f>VLOOKUP($A206,ScionOutput!$A$3:$BL$215,59,FALSE)</f>
        <v>0</v>
      </c>
      <c r="K206">
        <f>VLOOKUP($A206,ScionOutput!$A$3:$BL$215,62,FALSE)</f>
        <v>0</v>
      </c>
      <c r="L206">
        <f>VLOOKUP($A206,ScionOutput!$A$3:$BL$215,63,FALSE)</f>
        <v>0</v>
      </c>
      <c r="M206" t="b">
        <f t="shared" si="32"/>
        <v>0</v>
      </c>
      <c r="N206">
        <f>VLOOKUP($A206,Outcomes!$B$3:$I$209,8,FALSE)</f>
        <v>8</v>
      </c>
      <c r="O206">
        <f t="shared" si="25"/>
        <v>1</v>
      </c>
      <c r="P206">
        <f>VLOOKUP($A206,Outcomes!$B$3:$I$209,5,FALSE)</f>
        <v>6</v>
      </c>
      <c r="Q206">
        <f>VLOOKUP($A206,Outcomes!$B$3:$I$209,6,FALSE)</f>
        <v>2</v>
      </c>
      <c r="R206">
        <f>VLOOKUP($A206,Outcomes!$B$3:$I$209,7,FALSE)</f>
        <v>-4</v>
      </c>
      <c r="S206" t="str">
        <f t="shared" si="26"/>
        <v>HomFave</v>
      </c>
      <c r="T206" t="str">
        <f t="shared" si="27"/>
        <v/>
      </c>
      <c r="U206" t="str">
        <f t="shared" si="28"/>
        <v/>
      </c>
      <c r="V206" t="str">
        <f t="shared" si="29"/>
        <v/>
      </c>
      <c r="W206" t="str">
        <f t="shared" si="30"/>
        <v/>
      </c>
      <c r="X206" s="2" t="str">
        <f t="shared" si="31"/>
        <v/>
      </c>
      <c r="Y206" t="str">
        <f>VLOOKUP($A206,ScionOutput!$A$3:$BL$215,64,FALSE)</f>
        <v xml:space="preserve">823449. LineStatEns is NoPlay as bookie-line outside range. StatOnlyEns is NoPlay as bookie-line outside range. No play due to strategy constraints. </v>
      </c>
    </row>
    <row r="207" spans="1:25" x14ac:dyDescent="0.2">
      <c r="A207">
        <v>823123</v>
      </c>
      <c r="B207" s="3">
        <f>VLOOKUP($A207,ScionOutput!$A$3:$BL$215,3,FALSE)</f>
        <v>46194</v>
      </c>
      <c r="C207">
        <f>VLOOKUP($A207,ScionOutput!$A$3:$BL$215,22,FALSE)</f>
        <v>24</v>
      </c>
      <c r="D207" t="str">
        <f>VLOOKUP($A207,ScionOutput!$A$3:$BL$215,23,FALSE)</f>
        <v>SEA</v>
      </c>
      <c r="E207">
        <f>VLOOKUP($A207,ScionOutput!$A$3:$BL$215,6,FALSE)</f>
        <v>3</v>
      </c>
      <c r="F207" t="str">
        <f>VLOOKUP($A207,ScionOutput!$A$3:$BL$215,7,FALSE)</f>
        <v>BOS</v>
      </c>
      <c r="G207">
        <f>VLOOKUP($A207,ScionOutput!$A$3:$BL$215,26,FALSE)</f>
        <v>-118</v>
      </c>
      <c r="H207">
        <f>VLOOKUP($A207,ScionOutput!$A$3:$BL$215,10,FALSE)</f>
        <v>109</v>
      </c>
      <c r="I207" t="str">
        <f>VLOOKUP($A207,ScionOutput!$A$3:$BL$215,58,FALSE)</f>
        <v>No Play</v>
      </c>
      <c r="J207">
        <f>VLOOKUP($A207,ScionOutput!$A$3:$BL$215,59,FALSE)</f>
        <v>0</v>
      </c>
      <c r="K207">
        <f>VLOOKUP($A207,ScionOutput!$A$3:$BL$215,62,FALSE)</f>
        <v>0</v>
      </c>
      <c r="L207">
        <f>VLOOKUP($A207,ScionOutput!$A$3:$BL$215,63,FALSE)</f>
        <v>0</v>
      </c>
      <c r="M207" t="b">
        <f t="shared" si="32"/>
        <v>0</v>
      </c>
      <c r="N207">
        <f>VLOOKUP($A207,Outcomes!$B$3:$I$209,8,FALSE)</f>
        <v>4</v>
      </c>
      <c r="O207">
        <f t="shared" si="25"/>
        <v>1</v>
      </c>
      <c r="P207">
        <f>VLOOKUP($A207,Outcomes!$B$3:$I$209,5,FALSE)</f>
        <v>3</v>
      </c>
      <c r="Q207">
        <f>VLOOKUP($A207,Outcomes!$B$3:$I$209,6,FALSE)</f>
        <v>1</v>
      </c>
      <c r="R207">
        <f>VLOOKUP($A207,Outcomes!$B$3:$I$209,7,FALSE)</f>
        <v>-2</v>
      </c>
      <c r="S207" t="str">
        <f t="shared" si="26"/>
        <v>HomFave</v>
      </c>
      <c r="T207" t="str">
        <f t="shared" si="27"/>
        <v/>
      </c>
      <c r="U207" t="str">
        <f t="shared" si="28"/>
        <v/>
      </c>
      <c r="V207" t="str">
        <f t="shared" si="29"/>
        <v/>
      </c>
      <c r="W207" t="str">
        <f t="shared" si="30"/>
        <v/>
      </c>
      <c r="X207" s="2" t="str">
        <f t="shared" si="31"/>
        <v/>
      </c>
      <c r="Y207" t="str">
        <f>VLOOKUP($A207,ScionOutput!$A$3:$BL$215,64,FALSE)</f>
        <v xml:space="preserve">823123. LineStatEns probability points gap does not exceed threshold (no edge found)! StatOnlyEns probability points gap does not exceed threshold (no edge found)! No play due to strategy constraints. </v>
      </c>
    </row>
    <row r="208" spans="1:25" x14ac:dyDescent="0.2">
      <c r="A208">
        <v>822968</v>
      </c>
      <c r="B208" s="3">
        <f>VLOOKUP($A208,ScionOutput!$A$3:$BL$215,3,FALSE)</f>
        <v>46194</v>
      </c>
      <c r="C208">
        <f>VLOOKUP($A208,ScionOutput!$A$3:$BL$215,22,FALSE)</f>
        <v>27</v>
      </c>
      <c r="D208" t="str">
        <f>VLOOKUP($A208,ScionOutput!$A$3:$BL$215,23,FALSE)</f>
        <v>TB</v>
      </c>
      <c r="E208">
        <f>VLOOKUP($A208,ScionOutput!$A$3:$BL$215,6,FALSE)</f>
        <v>16</v>
      </c>
      <c r="F208" t="str">
        <f>VLOOKUP($A208,ScionOutput!$A$3:$BL$215,7,FALSE)</f>
        <v>WAS</v>
      </c>
      <c r="G208">
        <f>VLOOKUP($A208,ScionOutput!$A$3:$BL$215,26,FALSE)</f>
        <v>-127</v>
      </c>
      <c r="H208">
        <f>VLOOKUP($A208,ScionOutput!$A$3:$BL$215,10,FALSE)</f>
        <v>117</v>
      </c>
      <c r="I208" t="str">
        <f>VLOOKUP($A208,ScionOutput!$A$3:$BL$215,58,FALSE)</f>
        <v>No Play</v>
      </c>
      <c r="J208">
        <f>VLOOKUP($A208,ScionOutput!$A$3:$BL$215,59,FALSE)</f>
        <v>0</v>
      </c>
      <c r="K208">
        <f>VLOOKUP($A208,ScionOutput!$A$3:$BL$215,62,FALSE)</f>
        <v>0</v>
      </c>
      <c r="L208">
        <f>VLOOKUP($A208,ScionOutput!$A$3:$BL$215,63,FALSE)</f>
        <v>0</v>
      </c>
      <c r="M208" t="b">
        <f t="shared" si="32"/>
        <v>0</v>
      </c>
      <c r="N208">
        <f>VLOOKUP($A208,Outcomes!$B$3:$I$209,8,FALSE)</f>
        <v>7</v>
      </c>
      <c r="O208">
        <f t="shared" si="25"/>
        <v>1</v>
      </c>
      <c r="P208">
        <f>VLOOKUP($A208,Outcomes!$B$3:$I$209,5,FALSE)</f>
        <v>4</v>
      </c>
      <c r="Q208">
        <f>VLOOKUP($A208,Outcomes!$B$3:$I$209,6,FALSE)</f>
        <v>3</v>
      </c>
      <c r="R208">
        <f>VLOOKUP($A208,Outcomes!$B$3:$I$209,7,FALSE)</f>
        <v>-1</v>
      </c>
      <c r="S208" t="str">
        <f t="shared" si="26"/>
        <v>HomFave</v>
      </c>
      <c r="T208" t="str">
        <f t="shared" si="27"/>
        <v/>
      </c>
      <c r="U208" t="str">
        <f t="shared" si="28"/>
        <v/>
      </c>
      <c r="V208" t="str">
        <f t="shared" si="29"/>
        <v/>
      </c>
      <c r="W208" t="str">
        <f t="shared" si="30"/>
        <v/>
      </c>
      <c r="X208" s="2" t="str">
        <f t="shared" si="31"/>
        <v/>
      </c>
      <c r="Y208" t="str">
        <f>VLOOKUP($A208,ScionOutput!$A$3:$BL$215,64,FALSE)</f>
        <v xml:space="preserve">822968. LineStatEns probability points gap does not exceed threshold (no edge found)! StatOnlyEns probability points gap does not exceed threshold (no edge found)! No play due to strategy constraints. </v>
      </c>
    </row>
    <row r="209" spans="1:25" x14ac:dyDescent="0.2">
      <c r="A209">
        <v>822883</v>
      </c>
      <c r="B209" s="3">
        <f>VLOOKUP($A209,ScionOutput!$A$3:$BL$215,3,FALSE)</f>
        <v>46194</v>
      </c>
      <c r="C209">
        <f>VLOOKUP($A209,ScionOutput!$A$3:$BL$215,22,FALSE)</f>
        <v>28</v>
      </c>
      <c r="D209" t="str">
        <f>VLOOKUP($A209,ScionOutput!$A$3:$BL$215,23,FALSE)</f>
        <v>TEX</v>
      </c>
      <c r="E209">
        <f>VLOOKUP($A209,ScionOutput!$A$3:$BL$215,6,FALSE)</f>
        <v>23</v>
      </c>
      <c r="F209" t="str">
        <f>VLOOKUP($A209,ScionOutput!$A$3:$BL$215,7,FALSE)</f>
        <v>SD</v>
      </c>
      <c r="G209">
        <f>VLOOKUP($A209,ScionOutput!$A$3:$BL$215,26,FALSE)</f>
        <v>-160</v>
      </c>
      <c r="H209">
        <f>VLOOKUP($A209,ScionOutput!$A$3:$BL$215,10,FALSE)</f>
        <v>147</v>
      </c>
      <c r="I209" t="str">
        <f>VLOOKUP($A209,ScionOutput!$A$3:$BL$215,58,FALSE)</f>
        <v>No Play</v>
      </c>
      <c r="J209">
        <f>VLOOKUP($A209,ScionOutput!$A$3:$BL$215,59,FALSE)</f>
        <v>0</v>
      </c>
      <c r="K209">
        <f>VLOOKUP($A209,ScionOutput!$A$3:$BL$215,62,FALSE)</f>
        <v>0</v>
      </c>
      <c r="L209">
        <f>VLOOKUP($A209,ScionOutput!$A$3:$BL$215,63,FALSE)</f>
        <v>0</v>
      </c>
      <c r="M209" t="b">
        <f t="shared" si="32"/>
        <v>0</v>
      </c>
      <c r="N209">
        <f>VLOOKUP($A209,Outcomes!$B$3:$I$209,8,FALSE)</f>
        <v>7</v>
      </c>
      <c r="O209">
        <f t="shared" si="25"/>
        <v>1</v>
      </c>
      <c r="P209">
        <f>VLOOKUP($A209,Outcomes!$B$3:$I$209,5,FALSE)</f>
        <v>4</v>
      </c>
      <c r="Q209">
        <f>VLOOKUP($A209,Outcomes!$B$3:$I$209,6,FALSE)</f>
        <v>3</v>
      </c>
      <c r="R209">
        <f>VLOOKUP($A209,Outcomes!$B$3:$I$209,7,FALSE)</f>
        <v>-1</v>
      </c>
      <c r="S209" t="str">
        <f t="shared" si="26"/>
        <v>HomFave</v>
      </c>
      <c r="T209" t="str">
        <f t="shared" si="27"/>
        <v/>
      </c>
      <c r="U209" t="str">
        <f t="shared" si="28"/>
        <v/>
      </c>
      <c r="V209" t="str">
        <f t="shared" si="29"/>
        <v/>
      </c>
      <c r="W209" t="str">
        <f t="shared" si="30"/>
        <v/>
      </c>
      <c r="X209" s="2" t="str">
        <f t="shared" si="31"/>
        <v/>
      </c>
      <c r="Y209" t="str">
        <f>VLOOKUP($A209,ScionOutput!$A$3:$BL$215,64,FALSE)</f>
        <v xml:space="preserve">822883. LineStatEns is NoPlay as bookie-line outside range. StatOnlyEns is NoPlay as bookie-line outside range. No play due to strategy constraints. </v>
      </c>
    </row>
    <row r="210" spans="1:25" x14ac:dyDescent="0.2">
      <c r="D210" t="s">
        <v>667</v>
      </c>
      <c r="F210" t="s">
        <v>667</v>
      </c>
      <c r="G210" t="s">
        <v>667</v>
      </c>
      <c r="H210" t="s">
        <v>667</v>
      </c>
      <c r="I210" t="s">
        <v>667</v>
      </c>
      <c r="J210" t="s">
        <v>667</v>
      </c>
      <c r="K210" t="s">
        <v>667</v>
      </c>
      <c r="L210" t="s">
        <v>667</v>
      </c>
      <c r="M210" t="s">
        <v>667</v>
      </c>
      <c r="T210" t="s">
        <v>667</v>
      </c>
      <c r="U210">
        <f>SUM(U2:U209)</f>
        <v>3606</v>
      </c>
      <c r="V210">
        <f>SUM(V2:V209)</f>
        <v>2903</v>
      </c>
      <c r="W210">
        <f>SUM(W2:W209)</f>
        <v>-703</v>
      </c>
      <c r="X210" s="2">
        <f t="shared" ref="X210" si="33">IF(T210="","",W210/U210)</f>
        <v>-0.19495285635052689</v>
      </c>
      <c r="Y210" t="s">
        <v>667</v>
      </c>
    </row>
    <row r="211" spans="1:25" x14ac:dyDescent="0.2">
      <c r="S211" t="s">
        <v>672</v>
      </c>
      <c r="T211">
        <f>COUNT(R2:R209)</f>
        <v>208</v>
      </c>
    </row>
    <row r="212" spans="1:25" x14ac:dyDescent="0.2">
      <c r="S212" t="s">
        <v>673</v>
      </c>
      <c r="T212">
        <f>COUNT(T2:T209)</f>
        <v>34</v>
      </c>
    </row>
    <row r="213" spans="1:25" x14ac:dyDescent="0.2">
      <c r="S213" s="1" t="s">
        <v>674</v>
      </c>
      <c r="T213" s="2">
        <f>T212/T211</f>
        <v>0.16346153846153846</v>
      </c>
    </row>
    <row r="214" spans="1:25" x14ac:dyDescent="0.2">
      <c r="S214" t="s">
        <v>675</v>
      </c>
      <c r="T214">
        <f>SUM(T2:T209)</f>
        <v>14</v>
      </c>
    </row>
    <row r="215" spans="1:25" x14ac:dyDescent="0.2">
      <c r="S215" t="s">
        <v>676</v>
      </c>
      <c r="T215" s="2">
        <f>T214/T212</f>
        <v>0.41176470588235292</v>
      </c>
    </row>
    <row r="216" spans="1:25" x14ac:dyDescent="0.2">
      <c r="S216" t="s">
        <v>684</v>
      </c>
      <c r="T216">
        <f>U210</f>
        <v>3606</v>
      </c>
    </row>
    <row r="217" spans="1:25" x14ac:dyDescent="0.2">
      <c r="S217" t="s">
        <v>685</v>
      </c>
      <c r="T217">
        <f>V210</f>
        <v>2903</v>
      </c>
    </row>
    <row r="218" spans="1:25" x14ac:dyDescent="0.2">
      <c r="S218" t="s">
        <v>687</v>
      </c>
      <c r="T218">
        <f>W210</f>
        <v>-703</v>
      </c>
    </row>
    <row r="219" spans="1:25" x14ac:dyDescent="0.2">
      <c r="S219" t="s">
        <v>686</v>
      </c>
      <c r="T219" s="2">
        <f>IF(T216=0,0,T218/T216)</f>
        <v>-0.19495285635052689</v>
      </c>
    </row>
    <row r="221" spans="1:25" x14ac:dyDescent="0.2">
      <c r="R221" t="s">
        <v>680</v>
      </c>
      <c r="S221" t="s">
        <v>681</v>
      </c>
      <c r="T221">
        <f>COUNTIFS($I$2:$I$209,"HomFave",$T$2:$T$209,"1")+COUNTIFS($I$2:$I$209,"HomFave",$T$2:$T$209,"0")</f>
        <v>14</v>
      </c>
      <c r="V221" t="s">
        <v>688</v>
      </c>
      <c r="W221" t="s">
        <v>681</v>
      </c>
      <c r="X221">
        <f>COUNTIFS($I$2:$I$209,"VisDog",$T$2:$T$209,"1")+COUNTIFS($I$2:$I$209,"VisDog",$T$2:$T$209,"0")</f>
        <v>16</v>
      </c>
    </row>
    <row r="222" spans="1:25" x14ac:dyDescent="0.2">
      <c r="S222" t="s">
        <v>682</v>
      </c>
      <c r="T222">
        <f>COUNTIFS($I$2:$I$209,"HomFave",$T$2:$T$209,"1")</f>
        <v>7</v>
      </c>
      <c r="W222" t="s">
        <v>682</v>
      </c>
      <c r="X222">
        <f>COUNTIFS($I$2:$I$209,"VisDog",$T$2:$T$209,"1")</f>
        <v>6</v>
      </c>
    </row>
    <row r="223" spans="1:25" x14ac:dyDescent="0.2">
      <c r="S223" t="s">
        <v>683</v>
      </c>
      <c r="T223" s="2">
        <f>IF(T221=0,0,T222/T221)</f>
        <v>0.5</v>
      </c>
      <c r="W223" t="s">
        <v>683</v>
      </c>
      <c r="X223" s="2">
        <f>IF(X221=0,0,X222/X221)</f>
        <v>0.375</v>
      </c>
    </row>
    <row r="224" spans="1:25" x14ac:dyDescent="0.2">
      <c r="S224" t="s">
        <v>684</v>
      </c>
      <c r="T224">
        <f>SUMIFS($U$2:$U$209,$I$2:$I$209,"HomFave")</f>
        <v>1593</v>
      </c>
      <c r="W224" t="s">
        <v>684</v>
      </c>
      <c r="X224">
        <f>SUMIFS($U$2:$U$209,$I$2:$I$209,"VisDog")</f>
        <v>1610</v>
      </c>
    </row>
    <row r="225" spans="18:24" x14ac:dyDescent="0.2">
      <c r="S225" t="s">
        <v>685</v>
      </c>
      <c r="T225">
        <f>SUMIFS($V$2:$V$209,$I$2:$I$209,"HomFave")</f>
        <v>1473</v>
      </c>
      <c r="W225" t="s">
        <v>685</v>
      </c>
      <c r="X225">
        <f>SUMIFS($V$2:$V$209,$I$2:$I$209,"VisDog")</f>
        <v>1228</v>
      </c>
    </row>
    <row r="226" spans="18:24" x14ac:dyDescent="0.2">
      <c r="S226" t="s">
        <v>687</v>
      </c>
      <c r="T226">
        <f>T225-T224</f>
        <v>-120</v>
      </c>
      <c r="W226" t="s">
        <v>687</v>
      </c>
      <c r="X226">
        <f>X225-X224</f>
        <v>-382</v>
      </c>
    </row>
    <row r="227" spans="18:24" x14ac:dyDescent="0.2">
      <c r="S227" t="s">
        <v>686</v>
      </c>
      <c r="T227" s="2">
        <f>IF(T224=0,0,T226/T224)</f>
        <v>-7.5329566854990579E-2</v>
      </c>
      <c r="W227" t="s">
        <v>686</v>
      </c>
      <c r="X227" s="2">
        <f>IF(X224=0,0,X226/X224)</f>
        <v>-0.23726708074534161</v>
      </c>
    </row>
    <row r="229" spans="18:24" x14ac:dyDescent="0.2">
      <c r="R229" t="s">
        <v>689</v>
      </c>
      <c r="S229" t="s">
        <v>681</v>
      </c>
      <c r="T229">
        <f>COUNTIFS($I$2:$I$209,"VisFave",$T$2:$T$209,"1")+COUNTIFS($I$2:$I$209,"VisFave",$T$2:$T$209,"0")</f>
        <v>0</v>
      </c>
      <c r="V229" t="s">
        <v>690</v>
      </c>
      <c r="W229" t="s">
        <v>681</v>
      </c>
      <c r="X229">
        <f>COUNTIFS($I$2:$I$209,"HomDog",$T$2:$T$209,"1")+COUNTIFS($I$2:$I$209,"HomDog",$T$2:$T$209,"0")</f>
        <v>4</v>
      </c>
    </row>
    <row r="230" spans="18:24" x14ac:dyDescent="0.2">
      <c r="S230" t="s">
        <v>682</v>
      </c>
      <c r="T230">
        <f>COUNTIFS($I$2:$I$209,"VisFave",$T$2:$T$209,"1")</f>
        <v>0</v>
      </c>
      <c r="W230" t="s">
        <v>682</v>
      </c>
      <c r="X230">
        <f>COUNTIFS($I$2:$I$209,"HomDog",$T$2:$T$209,"1")</f>
        <v>1</v>
      </c>
    </row>
    <row r="231" spans="18:24" x14ac:dyDescent="0.2">
      <c r="S231" t="s">
        <v>683</v>
      </c>
      <c r="T231" s="2">
        <f>IF(T229=0,0,T230/T229)</f>
        <v>0</v>
      </c>
      <c r="W231" t="s">
        <v>683</v>
      </c>
      <c r="X231" s="2">
        <f>IF(X229=0,0,X230/X229)</f>
        <v>0.25</v>
      </c>
    </row>
    <row r="232" spans="18:24" x14ac:dyDescent="0.2">
      <c r="S232" t="s">
        <v>684</v>
      </c>
      <c r="T232">
        <f>SUMIFS($U$2:$U$209,$I$2:$I$209,"VisFave")</f>
        <v>0</v>
      </c>
      <c r="W232" t="s">
        <v>684</v>
      </c>
      <c r="X232">
        <f>SUMIFS($U$2:$U$209,$I$2:$I$209,"HomDog")</f>
        <v>403</v>
      </c>
    </row>
    <row r="233" spans="18:24" x14ac:dyDescent="0.2">
      <c r="S233" t="s">
        <v>685</v>
      </c>
      <c r="T233">
        <f>SUMIFS($V$2:$V$209,$I$2:$I$209,"VisFave")</f>
        <v>0</v>
      </c>
      <c r="W233" t="s">
        <v>685</v>
      </c>
      <c r="X233">
        <f>SUMIFS($V$2:$V$209,$I$2:$I$209,"HomDog")</f>
        <v>202</v>
      </c>
    </row>
    <row r="234" spans="18:24" x14ac:dyDescent="0.2">
      <c r="S234" t="s">
        <v>687</v>
      </c>
      <c r="T234">
        <f>T233-T232</f>
        <v>0</v>
      </c>
      <c r="W234" t="s">
        <v>687</v>
      </c>
      <c r="X234">
        <f>X233-X232</f>
        <v>-201</v>
      </c>
    </row>
    <row r="235" spans="18:24" x14ac:dyDescent="0.2">
      <c r="S235" t="s">
        <v>686</v>
      </c>
      <c r="T235" s="2">
        <f>IF(T232=0,0,T234/T232)</f>
        <v>0</v>
      </c>
      <c r="W235" t="s">
        <v>686</v>
      </c>
      <c r="X235" s="2">
        <f>IF(X232=0,0,X234/X232)</f>
        <v>-0.4987593052109181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66B1-5E0A-DF4F-BCFB-3C3B200DAFE4}">
  <dimension ref="A1:BM215"/>
  <sheetViews>
    <sheetView topLeftCell="Y1" workbookViewId="0">
      <pane ySplit="2" topLeftCell="A3" activePane="bottomLeft" state="frozen"/>
      <selection pane="bottomLeft" activeCell="AT2" sqref="AT2"/>
    </sheetView>
  </sheetViews>
  <sheetFormatPr baseColWidth="10" defaultRowHeight="16" x14ac:dyDescent="0.2"/>
  <sheetData>
    <row r="1" spans="1:65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 t="s">
        <v>667</v>
      </c>
    </row>
    <row r="2" spans="1:65" x14ac:dyDescent="0.2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t="s">
        <v>34</v>
      </c>
      <c r="AB2" t="s">
        <v>35</v>
      </c>
      <c r="AC2" t="s">
        <v>36</v>
      </c>
      <c r="AD2" t="s">
        <v>37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43</v>
      </c>
      <c r="AK2" t="s">
        <v>44</v>
      </c>
      <c r="AL2" t="s">
        <v>45</v>
      </c>
      <c r="AM2" t="s">
        <v>46</v>
      </c>
      <c r="AN2" t="s">
        <v>47</v>
      </c>
      <c r="AO2" t="s">
        <v>48</v>
      </c>
      <c r="AP2" t="s">
        <v>49</v>
      </c>
      <c r="AQ2" t="s">
        <v>50</v>
      </c>
      <c r="AR2" t="s">
        <v>51</v>
      </c>
      <c r="AS2" t="s">
        <v>52</v>
      </c>
      <c r="AT2" t="s">
        <v>53</v>
      </c>
      <c r="AU2" t="s">
        <v>54</v>
      </c>
      <c r="AV2" t="s">
        <v>55</v>
      </c>
      <c r="AW2" t="s">
        <v>56</v>
      </c>
      <c r="AX2" t="s">
        <v>57</v>
      </c>
      <c r="AY2" t="s">
        <v>58</v>
      </c>
      <c r="AZ2" t="s">
        <v>59</v>
      </c>
      <c r="BA2" t="s">
        <v>60</v>
      </c>
      <c r="BB2" t="s">
        <v>61</v>
      </c>
      <c r="BC2" t="s">
        <v>62</v>
      </c>
      <c r="BD2" t="s">
        <v>63</v>
      </c>
      <c r="BE2" t="s">
        <v>64</v>
      </c>
      <c r="BF2" t="s">
        <v>65</v>
      </c>
      <c r="BG2" t="s">
        <v>66</v>
      </c>
      <c r="BH2" t="s">
        <v>67</v>
      </c>
      <c r="BI2" t="s">
        <v>68</v>
      </c>
      <c r="BJ2" t="s">
        <v>69</v>
      </c>
      <c r="BK2" t="s">
        <v>70</v>
      </c>
      <c r="BL2" t="s">
        <v>71</v>
      </c>
    </row>
    <row r="3" spans="1:65" x14ac:dyDescent="0.2">
      <c r="A3">
        <v>824915</v>
      </c>
      <c r="B3" t="s">
        <v>1004</v>
      </c>
      <c r="C3" s="3">
        <v>46179</v>
      </c>
      <c r="D3">
        <v>6.1</v>
      </c>
      <c r="E3">
        <v>2</v>
      </c>
      <c r="F3">
        <v>22</v>
      </c>
      <c r="G3" t="s">
        <v>72</v>
      </c>
      <c r="H3">
        <v>102</v>
      </c>
      <c r="I3">
        <v>0.5</v>
      </c>
      <c r="J3">
        <v>100</v>
      </c>
      <c r="K3">
        <v>0.5</v>
      </c>
      <c r="L3">
        <v>0.48837186587355003</v>
      </c>
      <c r="M3">
        <v>677952</v>
      </c>
      <c r="N3" t="b">
        <v>0</v>
      </c>
      <c r="O3">
        <v>-100</v>
      </c>
      <c r="P3">
        <v>-101.3</v>
      </c>
      <c r="Q3">
        <v>-101.3</v>
      </c>
      <c r="R3" t="s">
        <v>73</v>
      </c>
      <c r="S3">
        <v>104.8</v>
      </c>
      <c r="T3">
        <v>104.8</v>
      </c>
      <c r="U3" t="s">
        <v>73</v>
      </c>
      <c r="V3">
        <v>0</v>
      </c>
      <c r="W3" t="s">
        <v>74</v>
      </c>
      <c r="X3">
        <v>-112</v>
      </c>
      <c r="Y3">
        <v>0.53</v>
      </c>
      <c r="Z3">
        <v>-110</v>
      </c>
      <c r="AA3">
        <v>0.52381</v>
      </c>
      <c r="AB3">
        <v>0.51162813412644903</v>
      </c>
      <c r="AC3">
        <v>675911</v>
      </c>
      <c r="AD3" t="b">
        <v>0</v>
      </c>
      <c r="AE3">
        <v>-185.7</v>
      </c>
      <c r="AF3">
        <v>-106.8</v>
      </c>
      <c r="AG3">
        <v>-106.8</v>
      </c>
      <c r="AH3" t="s">
        <v>73</v>
      </c>
      <c r="AI3">
        <v>-104.8</v>
      </c>
      <c r="AJ3">
        <v>-104.8</v>
      </c>
      <c r="AK3" t="s">
        <v>73</v>
      </c>
      <c r="AL3" t="s">
        <v>725</v>
      </c>
      <c r="AM3" t="s">
        <v>75</v>
      </c>
      <c r="AN3">
        <v>15</v>
      </c>
      <c r="AO3">
        <v>0.93</v>
      </c>
      <c r="AP3">
        <v>0.53</v>
      </c>
      <c r="AQ3">
        <v>1.8370000000000001E-2</v>
      </c>
      <c r="AR3">
        <v>-112.8</v>
      </c>
      <c r="AS3" t="s">
        <v>75</v>
      </c>
      <c r="AT3">
        <v>1</v>
      </c>
      <c r="AU3">
        <v>0.90900000000000003</v>
      </c>
      <c r="AV3" t="s">
        <v>726</v>
      </c>
      <c r="AW3" t="s">
        <v>75</v>
      </c>
      <c r="AX3">
        <v>41</v>
      </c>
      <c r="AY3">
        <v>0.95</v>
      </c>
      <c r="AZ3">
        <v>0.56000000000000005</v>
      </c>
      <c r="BA3">
        <v>4.8370000000000003E-2</v>
      </c>
      <c r="BB3">
        <v>-127.3</v>
      </c>
      <c r="BC3" t="s">
        <v>75</v>
      </c>
      <c r="BD3">
        <v>1</v>
      </c>
      <c r="BE3">
        <v>0.90900000000000003</v>
      </c>
      <c r="BF3" t="s">
        <v>75</v>
      </c>
      <c r="BG3">
        <v>1.8370000000000001E-2</v>
      </c>
      <c r="BH3">
        <v>0</v>
      </c>
      <c r="BI3">
        <v>0</v>
      </c>
      <c r="BJ3">
        <v>1</v>
      </c>
      <c r="BK3">
        <v>0.93</v>
      </c>
      <c r="BL3" t="s">
        <v>76</v>
      </c>
    </row>
    <row r="4" spans="1:65" x14ac:dyDescent="0.2">
      <c r="A4">
        <v>825075</v>
      </c>
      <c r="B4" t="s">
        <v>1005</v>
      </c>
      <c r="C4" s="3">
        <v>46179</v>
      </c>
      <c r="D4">
        <v>6.1</v>
      </c>
      <c r="E4">
        <v>2</v>
      </c>
      <c r="F4">
        <v>16</v>
      </c>
      <c r="G4" t="s">
        <v>77</v>
      </c>
      <c r="H4">
        <v>133</v>
      </c>
      <c r="I4">
        <v>0.43</v>
      </c>
      <c r="J4">
        <v>140</v>
      </c>
      <c r="K4">
        <v>0.41666700000000001</v>
      </c>
      <c r="L4">
        <v>0.40669881211505898</v>
      </c>
      <c r="M4">
        <v>641793</v>
      </c>
      <c r="N4" t="b">
        <v>0</v>
      </c>
      <c r="O4">
        <v>-122.2</v>
      </c>
      <c r="P4">
        <v>113.1</v>
      </c>
      <c r="Q4">
        <v>113.1</v>
      </c>
      <c r="R4" t="s">
        <v>78</v>
      </c>
      <c r="S4">
        <v>137.5</v>
      </c>
      <c r="T4">
        <v>137.5</v>
      </c>
      <c r="U4" t="s">
        <v>78</v>
      </c>
      <c r="V4">
        <v>1</v>
      </c>
      <c r="W4" t="s">
        <v>79</v>
      </c>
      <c r="X4">
        <v>-147</v>
      </c>
      <c r="Y4">
        <v>0.6</v>
      </c>
      <c r="Z4">
        <v>-155</v>
      </c>
      <c r="AA4">
        <v>0.60784300000000002</v>
      </c>
      <c r="AB4">
        <v>0.59330118788494002</v>
      </c>
      <c r="AC4">
        <v>593958</v>
      </c>
      <c r="AD4" t="b">
        <v>0</v>
      </c>
      <c r="AE4">
        <v>-150</v>
      </c>
      <c r="AF4">
        <v>102.9</v>
      </c>
      <c r="AG4">
        <v>102.9</v>
      </c>
      <c r="AH4" t="s">
        <v>73</v>
      </c>
      <c r="AI4">
        <v>-137.5</v>
      </c>
      <c r="AJ4" t="s">
        <v>80</v>
      </c>
      <c r="AK4" t="s">
        <v>81</v>
      </c>
      <c r="AL4" t="s">
        <v>727</v>
      </c>
      <c r="AM4" t="s">
        <v>75</v>
      </c>
      <c r="AN4">
        <v>15</v>
      </c>
      <c r="AO4">
        <v>0.87</v>
      </c>
      <c r="AP4">
        <v>0.55000000000000004</v>
      </c>
      <c r="AQ4">
        <v>-4.3299999999999998E-2</v>
      </c>
      <c r="AR4">
        <v>-122.2</v>
      </c>
      <c r="AS4" t="s">
        <v>75</v>
      </c>
      <c r="AT4">
        <v>0</v>
      </c>
      <c r="AU4">
        <v>0</v>
      </c>
      <c r="AV4" t="s">
        <v>82</v>
      </c>
      <c r="AW4" t="s">
        <v>75</v>
      </c>
      <c r="AX4">
        <v>41</v>
      </c>
      <c r="AY4">
        <v>0.98</v>
      </c>
      <c r="AZ4">
        <v>0.55000000000000004</v>
      </c>
      <c r="BA4">
        <v>-4.3299999999999998E-2</v>
      </c>
      <c r="BB4">
        <v>-122.2</v>
      </c>
      <c r="BC4" t="s">
        <v>75</v>
      </c>
      <c r="BD4">
        <v>0</v>
      </c>
      <c r="BE4">
        <v>0</v>
      </c>
      <c r="BF4" t="s">
        <v>83</v>
      </c>
      <c r="BG4">
        <v>0</v>
      </c>
      <c r="BH4">
        <v>0</v>
      </c>
      <c r="BI4">
        <v>0</v>
      </c>
      <c r="BJ4">
        <v>0</v>
      </c>
      <c r="BK4">
        <v>0</v>
      </c>
      <c r="BL4" t="s">
        <v>691</v>
      </c>
    </row>
    <row r="5" spans="1:65" x14ac:dyDescent="0.2">
      <c r="A5">
        <v>824669</v>
      </c>
      <c r="B5" t="s">
        <v>1006</v>
      </c>
      <c r="C5" s="3">
        <v>46179</v>
      </c>
      <c r="D5">
        <v>6.1</v>
      </c>
      <c r="E5">
        <v>2</v>
      </c>
      <c r="F5">
        <v>25</v>
      </c>
      <c r="G5" t="s">
        <v>84</v>
      </c>
      <c r="H5">
        <v>136</v>
      </c>
      <c r="I5">
        <v>0.42</v>
      </c>
      <c r="J5">
        <v>127</v>
      </c>
      <c r="K5">
        <v>0.440529</v>
      </c>
      <c r="L5">
        <v>0.43026208610144701</v>
      </c>
      <c r="M5">
        <v>694738</v>
      </c>
      <c r="N5" t="b">
        <v>0</v>
      </c>
      <c r="O5">
        <v>150</v>
      </c>
      <c r="P5">
        <v>106.1</v>
      </c>
      <c r="Q5">
        <v>106.1</v>
      </c>
      <c r="R5" t="s">
        <v>73</v>
      </c>
      <c r="S5">
        <v>103.1</v>
      </c>
      <c r="T5">
        <v>103.1</v>
      </c>
      <c r="U5" t="s">
        <v>73</v>
      </c>
      <c r="V5">
        <v>5</v>
      </c>
      <c r="W5" t="s">
        <v>85</v>
      </c>
      <c r="X5">
        <v>-150</v>
      </c>
      <c r="Y5">
        <v>0.6</v>
      </c>
      <c r="Z5">
        <v>-140</v>
      </c>
      <c r="AA5">
        <v>0.58333299999999999</v>
      </c>
      <c r="AB5">
        <v>0.569737913898552</v>
      </c>
      <c r="AC5">
        <v>676962</v>
      </c>
      <c r="AD5" t="b">
        <v>0</v>
      </c>
      <c r="AE5">
        <v>300</v>
      </c>
      <c r="AF5">
        <v>-110.5</v>
      </c>
      <c r="AG5" t="s">
        <v>86</v>
      </c>
      <c r="AH5" t="s">
        <v>81</v>
      </c>
      <c r="AI5">
        <v>-103.1</v>
      </c>
      <c r="AJ5">
        <v>-103.1</v>
      </c>
      <c r="AK5" t="s">
        <v>73</v>
      </c>
      <c r="AL5" t="s">
        <v>728</v>
      </c>
      <c r="AM5" t="s">
        <v>75</v>
      </c>
      <c r="AN5">
        <v>15</v>
      </c>
      <c r="AO5">
        <v>0.93</v>
      </c>
      <c r="AP5">
        <v>0.54</v>
      </c>
      <c r="AQ5">
        <v>-2.9739999999999999E-2</v>
      </c>
      <c r="AR5">
        <v>-117.4</v>
      </c>
      <c r="AS5" t="s">
        <v>75</v>
      </c>
      <c r="AT5">
        <v>0</v>
      </c>
      <c r="AU5">
        <v>0</v>
      </c>
      <c r="AV5" t="s">
        <v>87</v>
      </c>
      <c r="AW5" t="s">
        <v>75</v>
      </c>
      <c r="AX5">
        <v>41</v>
      </c>
      <c r="AY5">
        <v>0.88</v>
      </c>
      <c r="AZ5">
        <v>0.52</v>
      </c>
      <c r="BA5">
        <v>-4.9739999999999999E-2</v>
      </c>
      <c r="BB5">
        <v>-108.3</v>
      </c>
      <c r="BC5" t="s">
        <v>75</v>
      </c>
      <c r="BD5">
        <v>0</v>
      </c>
      <c r="BE5">
        <v>0</v>
      </c>
      <c r="BF5" t="s">
        <v>83</v>
      </c>
      <c r="BG5">
        <v>0</v>
      </c>
      <c r="BH5">
        <v>0</v>
      </c>
      <c r="BI5">
        <v>0</v>
      </c>
      <c r="BJ5">
        <v>0</v>
      </c>
      <c r="BK5">
        <v>0</v>
      </c>
      <c r="BL5" t="s">
        <v>88</v>
      </c>
    </row>
    <row r="6" spans="1:65" x14ac:dyDescent="0.2">
      <c r="A6">
        <v>824351</v>
      </c>
      <c r="B6" t="s">
        <v>1007</v>
      </c>
      <c r="C6" s="3">
        <v>46179</v>
      </c>
      <c r="D6">
        <v>6.1</v>
      </c>
      <c r="E6">
        <v>2</v>
      </c>
      <c r="F6">
        <v>17</v>
      </c>
      <c r="G6" t="s">
        <v>89</v>
      </c>
      <c r="H6">
        <v>-260</v>
      </c>
      <c r="I6">
        <v>0.72</v>
      </c>
      <c r="J6">
        <v>-240</v>
      </c>
      <c r="K6">
        <v>0.70588200000000001</v>
      </c>
      <c r="L6">
        <v>0.68910033943376903</v>
      </c>
      <c r="M6">
        <v>694819</v>
      </c>
      <c r="N6" t="b">
        <v>0</v>
      </c>
      <c r="O6">
        <v>-233.3</v>
      </c>
      <c r="P6">
        <v>-117.1</v>
      </c>
      <c r="Q6" t="s">
        <v>90</v>
      </c>
      <c r="R6" t="s">
        <v>81</v>
      </c>
      <c r="S6">
        <v>-190</v>
      </c>
      <c r="T6" t="s">
        <v>91</v>
      </c>
      <c r="U6" t="s">
        <v>81</v>
      </c>
      <c r="V6">
        <v>8</v>
      </c>
      <c r="W6" t="s">
        <v>92</v>
      </c>
      <c r="X6">
        <v>231</v>
      </c>
      <c r="Y6">
        <v>0.3</v>
      </c>
      <c r="Z6">
        <v>214</v>
      </c>
      <c r="AA6">
        <v>0.318471</v>
      </c>
      <c r="AB6">
        <v>0.31089966056622997</v>
      </c>
      <c r="AC6">
        <v>688642</v>
      </c>
      <c r="AD6" t="b">
        <v>0</v>
      </c>
      <c r="AE6">
        <v>185.7</v>
      </c>
      <c r="AF6">
        <v>128.9</v>
      </c>
      <c r="AG6">
        <v>128.9</v>
      </c>
      <c r="AH6" t="s">
        <v>93</v>
      </c>
      <c r="AI6">
        <v>190</v>
      </c>
      <c r="AJ6">
        <v>190</v>
      </c>
      <c r="AK6" t="s">
        <v>78</v>
      </c>
      <c r="AL6" t="s">
        <v>729</v>
      </c>
      <c r="AM6" t="s">
        <v>94</v>
      </c>
      <c r="AN6">
        <v>15</v>
      </c>
      <c r="AO6">
        <v>0.93</v>
      </c>
      <c r="AP6">
        <v>0.41</v>
      </c>
      <c r="AQ6">
        <v>9.9099999999999994E-2</v>
      </c>
      <c r="AR6">
        <v>143.9</v>
      </c>
      <c r="AS6" t="s">
        <v>94</v>
      </c>
      <c r="AT6">
        <v>0</v>
      </c>
      <c r="AU6">
        <v>0</v>
      </c>
      <c r="AV6" t="s">
        <v>730</v>
      </c>
      <c r="AW6" t="s">
        <v>94</v>
      </c>
      <c r="AX6">
        <v>41</v>
      </c>
      <c r="AY6">
        <v>0.98</v>
      </c>
      <c r="AZ6">
        <v>0.43</v>
      </c>
      <c r="BA6">
        <v>0.1191</v>
      </c>
      <c r="BB6">
        <v>132.6</v>
      </c>
      <c r="BC6" t="s">
        <v>94</v>
      </c>
      <c r="BD6">
        <v>0</v>
      </c>
      <c r="BE6">
        <v>0</v>
      </c>
      <c r="BF6" t="s">
        <v>83</v>
      </c>
      <c r="BG6">
        <v>0</v>
      </c>
      <c r="BH6">
        <v>0</v>
      </c>
      <c r="BI6">
        <v>0</v>
      </c>
      <c r="BJ6">
        <v>0</v>
      </c>
      <c r="BK6">
        <v>0</v>
      </c>
      <c r="BL6" t="s">
        <v>95</v>
      </c>
    </row>
    <row r="7" spans="1:65" x14ac:dyDescent="0.2">
      <c r="A7">
        <v>824269</v>
      </c>
      <c r="B7" t="s">
        <v>1008</v>
      </c>
      <c r="C7" s="3">
        <v>46179</v>
      </c>
      <c r="D7">
        <v>6.1</v>
      </c>
      <c r="E7">
        <v>2</v>
      </c>
      <c r="F7">
        <v>24</v>
      </c>
      <c r="G7" t="s">
        <v>96</v>
      </c>
      <c r="H7">
        <v>-123</v>
      </c>
      <c r="I7">
        <v>0.55000000000000004</v>
      </c>
      <c r="J7">
        <v>-128</v>
      </c>
      <c r="K7">
        <v>0.56140400000000001</v>
      </c>
      <c r="L7">
        <v>0.54804967360330803</v>
      </c>
      <c r="M7">
        <v>682243</v>
      </c>
      <c r="N7" t="b">
        <v>0</v>
      </c>
      <c r="O7">
        <v>-150</v>
      </c>
      <c r="P7">
        <v>-110.4</v>
      </c>
      <c r="Q7">
        <v>-110.4</v>
      </c>
      <c r="R7" t="s">
        <v>73</v>
      </c>
      <c r="S7">
        <v>-101.7</v>
      </c>
      <c r="T7">
        <v>-101.7</v>
      </c>
      <c r="U7" t="s">
        <v>73</v>
      </c>
      <c r="V7">
        <v>10</v>
      </c>
      <c r="W7" t="s">
        <v>97</v>
      </c>
      <c r="X7">
        <v>112</v>
      </c>
      <c r="Y7">
        <v>0.47</v>
      </c>
      <c r="Z7">
        <v>116</v>
      </c>
      <c r="AA7">
        <v>0.46296300000000001</v>
      </c>
      <c r="AB7">
        <v>0.45195032639669103</v>
      </c>
      <c r="AC7">
        <v>672456</v>
      </c>
      <c r="AD7" t="b">
        <v>0</v>
      </c>
      <c r="AE7">
        <v>185.7</v>
      </c>
      <c r="AF7">
        <v>-101.2</v>
      </c>
      <c r="AG7">
        <v>-101.2</v>
      </c>
      <c r="AH7" t="s">
        <v>73</v>
      </c>
      <c r="AI7">
        <v>101.7</v>
      </c>
      <c r="AJ7">
        <v>101.7</v>
      </c>
      <c r="AK7" t="s">
        <v>73</v>
      </c>
      <c r="AL7" t="s">
        <v>731</v>
      </c>
      <c r="AM7" t="s">
        <v>94</v>
      </c>
      <c r="AN7">
        <v>15</v>
      </c>
      <c r="AO7">
        <v>0.8</v>
      </c>
      <c r="AP7">
        <v>0.42</v>
      </c>
      <c r="AQ7">
        <v>-3.1949999999999999E-2</v>
      </c>
      <c r="AR7">
        <v>138.1</v>
      </c>
      <c r="AS7" t="s">
        <v>94</v>
      </c>
      <c r="AT7">
        <v>0</v>
      </c>
      <c r="AU7">
        <v>0</v>
      </c>
      <c r="AV7" t="s">
        <v>98</v>
      </c>
      <c r="AW7" t="s">
        <v>94</v>
      </c>
      <c r="AX7">
        <v>41</v>
      </c>
      <c r="AY7">
        <v>0.98</v>
      </c>
      <c r="AZ7">
        <v>0.45</v>
      </c>
      <c r="BA7">
        <v>-1.9499999999999999E-3</v>
      </c>
      <c r="BB7">
        <v>122.2</v>
      </c>
      <c r="BC7" t="s">
        <v>94</v>
      </c>
      <c r="BD7">
        <v>0</v>
      </c>
      <c r="BE7">
        <v>0</v>
      </c>
      <c r="BF7" t="s">
        <v>83</v>
      </c>
      <c r="BG7">
        <v>0</v>
      </c>
      <c r="BH7">
        <v>0</v>
      </c>
      <c r="BI7">
        <v>0</v>
      </c>
      <c r="BJ7">
        <v>0</v>
      </c>
      <c r="BK7">
        <v>0</v>
      </c>
      <c r="BL7" t="s">
        <v>99</v>
      </c>
    </row>
    <row r="8" spans="1:65" x14ac:dyDescent="0.2">
      <c r="A8">
        <v>823859</v>
      </c>
      <c r="B8" t="s">
        <v>100</v>
      </c>
      <c r="C8" s="3">
        <v>46179</v>
      </c>
      <c r="D8">
        <v>6.1</v>
      </c>
      <c r="E8">
        <v>2</v>
      </c>
      <c r="F8">
        <v>27</v>
      </c>
      <c r="G8" t="s">
        <v>101</v>
      </c>
      <c r="H8">
        <v>-129</v>
      </c>
      <c r="I8">
        <v>0.56000000000000005</v>
      </c>
      <c r="J8">
        <v>-129</v>
      </c>
      <c r="K8">
        <v>0.56331900000000001</v>
      </c>
      <c r="L8">
        <v>0.55003671344376004</v>
      </c>
      <c r="M8">
        <v>663556</v>
      </c>
      <c r="N8" t="b">
        <v>0</v>
      </c>
      <c r="O8">
        <v>-100</v>
      </c>
      <c r="P8">
        <v>-101.9</v>
      </c>
      <c r="Q8">
        <v>-101.9</v>
      </c>
      <c r="R8" t="s">
        <v>73</v>
      </c>
      <c r="S8">
        <v>-192.8</v>
      </c>
      <c r="T8" t="s">
        <v>102</v>
      </c>
      <c r="U8" t="s">
        <v>81</v>
      </c>
      <c r="V8">
        <v>11</v>
      </c>
      <c r="W8" t="s">
        <v>103</v>
      </c>
      <c r="X8">
        <v>117</v>
      </c>
      <c r="Y8">
        <v>0.46</v>
      </c>
      <c r="Z8">
        <v>117</v>
      </c>
      <c r="AA8">
        <v>0.46082899999999999</v>
      </c>
      <c r="AB8">
        <v>0.44996328655623902</v>
      </c>
      <c r="AC8">
        <v>669199</v>
      </c>
      <c r="AD8" t="b">
        <v>0</v>
      </c>
      <c r="AE8">
        <v>122.2</v>
      </c>
      <c r="AF8">
        <v>-101</v>
      </c>
      <c r="AG8">
        <v>-101</v>
      </c>
      <c r="AH8" t="s">
        <v>73</v>
      </c>
      <c r="AI8">
        <v>192.8</v>
      </c>
      <c r="AJ8">
        <v>192.8</v>
      </c>
      <c r="AK8" t="s">
        <v>78</v>
      </c>
      <c r="AL8" t="s">
        <v>104</v>
      </c>
      <c r="AM8" t="s">
        <v>94</v>
      </c>
      <c r="AN8">
        <v>15</v>
      </c>
      <c r="AO8">
        <v>0.93</v>
      </c>
      <c r="AP8">
        <v>0.42</v>
      </c>
      <c r="AQ8">
        <v>-2.9960000000000001E-2</v>
      </c>
      <c r="AR8">
        <v>138.1</v>
      </c>
      <c r="AS8" t="s">
        <v>94</v>
      </c>
      <c r="AT8">
        <v>0</v>
      </c>
      <c r="AU8">
        <v>0</v>
      </c>
      <c r="AV8" t="s">
        <v>105</v>
      </c>
      <c r="AW8" t="s">
        <v>94</v>
      </c>
      <c r="AX8">
        <v>41</v>
      </c>
      <c r="AY8">
        <v>0.76</v>
      </c>
      <c r="AZ8">
        <v>0.48</v>
      </c>
      <c r="BA8">
        <v>3.0040000000000001E-2</v>
      </c>
      <c r="BB8">
        <v>108.3</v>
      </c>
      <c r="BC8" t="s">
        <v>94</v>
      </c>
      <c r="BD8">
        <v>0</v>
      </c>
      <c r="BE8">
        <v>0</v>
      </c>
      <c r="BF8" t="s">
        <v>83</v>
      </c>
      <c r="BG8">
        <v>0</v>
      </c>
      <c r="BH8">
        <v>0</v>
      </c>
      <c r="BI8">
        <v>0</v>
      </c>
      <c r="BJ8">
        <v>0</v>
      </c>
      <c r="BK8">
        <v>0</v>
      </c>
      <c r="BL8" t="s">
        <v>106</v>
      </c>
    </row>
    <row r="9" spans="1:65" x14ac:dyDescent="0.2">
      <c r="A9">
        <v>824184</v>
      </c>
      <c r="B9" t="s">
        <v>1009</v>
      </c>
      <c r="C9" s="3">
        <v>46179</v>
      </c>
      <c r="D9">
        <v>6.1</v>
      </c>
      <c r="E9">
        <v>2</v>
      </c>
      <c r="F9">
        <v>20</v>
      </c>
      <c r="G9" t="s">
        <v>107</v>
      </c>
      <c r="H9">
        <v>113</v>
      </c>
      <c r="I9">
        <v>0.47</v>
      </c>
      <c r="J9">
        <v>-103</v>
      </c>
      <c r="K9">
        <v>0.50738899999999998</v>
      </c>
      <c r="L9">
        <v>0.495353398477199</v>
      </c>
      <c r="M9">
        <v>695034</v>
      </c>
      <c r="N9" t="b">
        <v>1</v>
      </c>
      <c r="O9">
        <v>150</v>
      </c>
      <c r="P9">
        <v>-100.6</v>
      </c>
      <c r="Q9">
        <v>-100.6</v>
      </c>
      <c r="R9" t="s">
        <v>73</v>
      </c>
      <c r="S9">
        <v>-102.6</v>
      </c>
      <c r="T9">
        <v>-102.6</v>
      </c>
      <c r="U9" t="s">
        <v>73</v>
      </c>
      <c r="V9">
        <v>12</v>
      </c>
      <c r="W9" t="s">
        <v>108</v>
      </c>
      <c r="X9">
        <v>-125</v>
      </c>
      <c r="Y9">
        <v>0.56000000000000005</v>
      </c>
      <c r="Z9">
        <v>-107</v>
      </c>
      <c r="AA9">
        <v>0.51690800000000003</v>
      </c>
      <c r="AB9">
        <v>0.50464660152280005</v>
      </c>
      <c r="AC9">
        <v>837227</v>
      </c>
      <c r="AD9" t="b">
        <v>0</v>
      </c>
      <c r="AE9">
        <v>-150</v>
      </c>
      <c r="AF9">
        <v>103.6</v>
      </c>
      <c r="AG9">
        <v>103.6</v>
      </c>
      <c r="AH9" t="s">
        <v>73</v>
      </c>
      <c r="AI9">
        <v>102.6</v>
      </c>
      <c r="AJ9">
        <v>102.6</v>
      </c>
      <c r="AK9" t="s">
        <v>73</v>
      </c>
      <c r="AL9" t="s">
        <v>732</v>
      </c>
      <c r="AM9" t="s">
        <v>109</v>
      </c>
      <c r="AN9">
        <v>15</v>
      </c>
      <c r="AO9">
        <v>0.73</v>
      </c>
      <c r="AP9">
        <v>0.48</v>
      </c>
      <c r="AQ9">
        <v>-2.4649999999999998E-2</v>
      </c>
      <c r="AR9">
        <v>108.3</v>
      </c>
      <c r="AS9" t="s">
        <v>109</v>
      </c>
      <c r="AT9">
        <v>0</v>
      </c>
      <c r="AU9">
        <v>0</v>
      </c>
      <c r="AV9" t="s">
        <v>733</v>
      </c>
      <c r="AW9" t="s">
        <v>109</v>
      </c>
      <c r="AX9">
        <v>41</v>
      </c>
      <c r="AY9">
        <v>0.76</v>
      </c>
      <c r="AZ9">
        <v>0.48</v>
      </c>
      <c r="BA9">
        <v>-2.4649999999999998E-2</v>
      </c>
      <c r="BB9">
        <v>108.3</v>
      </c>
      <c r="BC9" t="s">
        <v>109</v>
      </c>
      <c r="BD9">
        <v>0</v>
      </c>
      <c r="BE9">
        <v>0</v>
      </c>
      <c r="BF9" t="s">
        <v>83</v>
      </c>
      <c r="BG9">
        <v>0</v>
      </c>
      <c r="BH9">
        <v>0</v>
      </c>
      <c r="BI9">
        <v>0</v>
      </c>
      <c r="BJ9">
        <v>0</v>
      </c>
      <c r="BK9">
        <v>0</v>
      </c>
      <c r="BL9" t="s">
        <v>110</v>
      </c>
    </row>
    <row r="10" spans="1:65" x14ac:dyDescent="0.2">
      <c r="A10">
        <v>823942</v>
      </c>
      <c r="B10" t="s">
        <v>1010</v>
      </c>
      <c r="C10" s="3">
        <v>46179</v>
      </c>
      <c r="D10">
        <v>6.1</v>
      </c>
      <c r="E10">
        <v>2</v>
      </c>
      <c r="F10">
        <v>4</v>
      </c>
      <c r="G10" t="s">
        <v>111</v>
      </c>
      <c r="H10">
        <v>302</v>
      </c>
      <c r="I10">
        <v>0.25</v>
      </c>
      <c r="J10">
        <v>275</v>
      </c>
      <c r="K10">
        <v>0.26666699999999999</v>
      </c>
      <c r="L10">
        <v>0.26042996282041297</v>
      </c>
      <c r="M10">
        <v>686799</v>
      </c>
      <c r="N10" t="b">
        <v>0</v>
      </c>
      <c r="O10">
        <v>150</v>
      </c>
      <c r="P10">
        <v>110.6</v>
      </c>
      <c r="Q10">
        <v>110.6</v>
      </c>
      <c r="R10" t="s">
        <v>78</v>
      </c>
      <c r="S10">
        <v>205.6</v>
      </c>
      <c r="T10">
        <v>205.6</v>
      </c>
      <c r="U10" t="s">
        <v>112</v>
      </c>
      <c r="V10">
        <v>14</v>
      </c>
      <c r="W10" t="s">
        <v>113</v>
      </c>
      <c r="X10">
        <v>-345</v>
      </c>
      <c r="Y10">
        <v>0.78</v>
      </c>
      <c r="Z10">
        <v>-312</v>
      </c>
      <c r="AA10">
        <v>0.75728200000000001</v>
      </c>
      <c r="AB10">
        <v>0.73957003717958603</v>
      </c>
      <c r="AC10">
        <v>808967</v>
      </c>
      <c r="AD10" t="b">
        <v>0</v>
      </c>
      <c r="AE10">
        <v>-300</v>
      </c>
      <c r="AF10">
        <v>-115.9</v>
      </c>
      <c r="AG10" t="s">
        <v>114</v>
      </c>
      <c r="AH10" t="s">
        <v>81</v>
      </c>
      <c r="AI10">
        <v>-205.6</v>
      </c>
      <c r="AJ10" t="s">
        <v>115</v>
      </c>
      <c r="AK10" t="s">
        <v>116</v>
      </c>
      <c r="AL10" t="s">
        <v>734</v>
      </c>
      <c r="AM10" t="s">
        <v>75</v>
      </c>
      <c r="AN10">
        <v>15</v>
      </c>
      <c r="AO10">
        <v>1</v>
      </c>
      <c r="AP10">
        <v>0.6</v>
      </c>
      <c r="AQ10">
        <v>-0.13957</v>
      </c>
      <c r="AR10">
        <v>-150</v>
      </c>
      <c r="AS10" t="s">
        <v>75</v>
      </c>
      <c r="AT10">
        <v>0</v>
      </c>
      <c r="AU10">
        <v>0</v>
      </c>
      <c r="AV10" t="s">
        <v>735</v>
      </c>
      <c r="AW10" t="s">
        <v>75</v>
      </c>
      <c r="AX10">
        <v>41</v>
      </c>
      <c r="AY10">
        <v>0.98</v>
      </c>
      <c r="AZ10">
        <v>0.56999999999999995</v>
      </c>
      <c r="BA10">
        <v>-0.16957</v>
      </c>
      <c r="BB10">
        <v>-132.6</v>
      </c>
      <c r="BC10" t="s">
        <v>75</v>
      </c>
      <c r="BD10">
        <v>0</v>
      </c>
      <c r="BE10">
        <v>0</v>
      </c>
      <c r="BF10" t="s">
        <v>83</v>
      </c>
      <c r="BG10">
        <v>0</v>
      </c>
      <c r="BH10">
        <v>0</v>
      </c>
      <c r="BI10">
        <v>0</v>
      </c>
      <c r="BJ10">
        <v>0</v>
      </c>
      <c r="BK10">
        <v>0</v>
      </c>
      <c r="BL10" t="s">
        <v>117</v>
      </c>
    </row>
    <row r="11" spans="1:65" x14ac:dyDescent="0.2">
      <c r="A11">
        <v>823697</v>
      </c>
      <c r="B11" t="s">
        <v>1011</v>
      </c>
      <c r="C11" s="3">
        <v>46179</v>
      </c>
      <c r="D11">
        <v>6.1</v>
      </c>
      <c r="E11">
        <v>2</v>
      </c>
      <c r="F11">
        <v>13</v>
      </c>
      <c r="G11" t="s">
        <v>118</v>
      </c>
      <c r="H11">
        <v>136</v>
      </c>
      <c r="I11">
        <v>0.42</v>
      </c>
      <c r="J11">
        <v>131</v>
      </c>
      <c r="K11">
        <v>0.43290000000000001</v>
      </c>
      <c r="L11">
        <v>0.422449857865969</v>
      </c>
      <c r="M11">
        <v>679883</v>
      </c>
      <c r="N11" t="b">
        <v>0</v>
      </c>
      <c r="O11">
        <v>233.3</v>
      </c>
      <c r="P11">
        <v>102.5</v>
      </c>
      <c r="Q11">
        <v>102.5</v>
      </c>
      <c r="R11" t="s">
        <v>73</v>
      </c>
      <c r="S11">
        <v>123.2</v>
      </c>
      <c r="T11">
        <v>123.2</v>
      </c>
      <c r="U11" t="s">
        <v>73</v>
      </c>
      <c r="V11">
        <v>15</v>
      </c>
      <c r="W11" t="s">
        <v>119</v>
      </c>
      <c r="X11">
        <v>-150</v>
      </c>
      <c r="Y11">
        <v>0.6</v>
      </c>
      <c r="Z11">
        <v>-145</v>
      </c>
      <c r="AA11">
        <v>0.59183699999999995</v>
      </c>
      <c r="AB11">
        <v>0.57755014213403</v>
      </c>
      <c r="AC11">
        <v>657746</v>
      </c>
      <c r="AD11" t="b">
        <v>0</v>
      </c>
      <c r="AE11">
        <v>-100</v>
      </c>
      <c r="AF11">
        <v>109.1</v>
      </c>
      <c r="AG11">
        <v>109.1</v>
      </c>
      <c r="AH11" t="s">
        <v>73</v>
      </c>
      <c r="AI11">
        <v>-123.2</v>
      </c>
      <c r="AJ11">
        <v>-123.2</v>
      </c>
      <c r="AK11" t="s">
        <v>73</v>
      </c>
      <c r="AL11" t="s">
        <v>736</v>
      </c>
      <c r="AM11" t="s">
        <v>75</v>
      </c>
      <c r="AN11">
        <v>15</v>
      </c>
      <c r="AO11">
        <v>0.93</v>
      </c>
      <c r="AP11">
        <v>0.55000000000000004</v>
      </c>
      <c r="AQ11">
        <v>-2.7550000000000002E-2</v>
      </c>
      <c r="AR11">
        <v>-122.2</v>
      </c>
      <c r="AS11" t="s">
        <v>75</v>
      </c>
      <c r="AT11">
        <v>0</v>
      </c>
      <c r="AU11">
        <v>0</v>
      </c>
      <c r="AV11" t="s">
        <v>120</v>
      </c>
      <c r="AW11" t="s">
        <v>75</v>
      </c>
      <c r="AX11">
        <v>41</v>
      </c>
      <c r="AY11">
        <v>0.83</v>
      </c>
      <c r="AZ11">
        <v>0.51</v>
      </c>
      <c r="BA11">
        <v>-6.7549999999999999E-2</v>
      </c>
      <c r="BB11">
        <v>-104.1</v>
      </c>
      <c r="BC11" t="s">
        <v>75</v>
      </c>
      <c r="BD11">
        <v>0</v>
      </c>
      <c r="BE11">
        <v>0</v>
      </c>
      <c r="BF11" t="s">
        <v>83</v>
      </c>
      <c r="BG11">
        <v>0</v>
      </c>
      <c r="BH11">
        <v>0</v>
      </c>
      <c r="BI11">
        <v>0</v>
      </c>
      <c r="BJ11">
        <v>0</v>
      </c>
      <c r="BK11">
        <v>0</v>
      </c>
      <c r="BL11" t="s">
        <v>121</v>
      </c>
    </row>
    <row r="12" spans="1:65" x14ac:dyDescent="0.2">
      <c r="A12">
        <v>823539</v>
      </c>
      <c r="B12" t="s">
        <v>1012</v>
      </c>
      <c r="C12" s="3">
        <v>46179</v>
      </c>
      <c r="D12">
        <v>6.1</v>
      </c>
      <c r="E12">
        <v>2</v>
      </c>
      <c r="F12">
        <v>3</v>
      </c>
      <c r="G12" t="s">
        <v>122</v>
      </c>
      <c r="H12">
        <v>106</v>
      </c>
      <c r="I12">
        <v>0.49</v>
      </c>
      <c r="J12">
        <v>121</v>
      </c>
      <c r="K12">
        <v>0.45248899999999997</v>
      </c>
      <c r="L12">
        <v>0.44218433622852998</v>
      </c>
      <c r="M12">
        <v>624133</v>
      </c>
      <c r="N12" t="b">
        <v>0</v>
      </c>
      <c r="O12">
        <v>122.2</v>
      </c>
      <c r="P12">
        <v>-105.9</v>
      </c>
      <c r="Q12">
        <v>-105.9</v>
      </c>
      <c r="R12" t="s">
        <v>73</v>
      </c>
      <c r="S12">
        <v>100.6</v>
      </c>
      <c r="T12">
        <v>100.6</v>
      </c>
      <c r="U12" t="s">
        <v>73</v>
      </c>
      <c r="V12">
        <v>19</v>
      </c>
      <c r="W12" t="s">
        <v>123</v>
      </c>
      <c r="X12">
        <v>-117</v>
      </c>
      <c r="Y12">
        <v>0.54</v>
      </c>
      <c r="Z12">
        <v>-133</v>
      </c>
      <c r="AA12">
        <v>0.57081499999999996</v>
      </c>
      <c r="AB12">
        <v>0.55781566377146896</v>
      </c>
      <c r="AC12">
        <v>701542</v>
      </c>
      <c r="AD12" t="b">
        <v>0</v>
      </c>
      <c r="AE12">
        <v>-100</v>
      </c>
      <c r="AF12">
        <v>-111.6</v>
      </c>
      <c r="AG12" t="s">
        <v>124</v>
      </c>
      <c r="AH12" t="s">
        <v>81</v>
      </c>
      <c r="AI12">
        <v>-100.6</v>
      </c>
      <c r="AJ12">
        <v>-100.6</v>
      </c>
      <c r="AK12" t="s">
        <v>73</v>
      </c>
      <c r="AL12" t="s">
        <v>737</v>
      </c>
      <c r="AM12" t="s">
        <v>75</v>
      </c>
      <c r="AN12">
        <v>15</v>
      </c>
      <c r="AO12">
        <v>1</v>
      </c>
      <c r="AP12">
        <v>0.56999999999999995</v>
      </c>
      <c r="AQ12">
        <v>1.218E-2</v>
      </c>
      <c r="AR12">
        <v>-132.6</v>
      </c>
      <c r="AS12" t="s">
        <v>75</v>
      </c>
      <c r="AT12">
        <v>1</v>
      </c>
      <c r="AU12">
        <v>0.752</v>
      </c>
      <c r="AV12" t="s">
        <v>738</v>
      </c>
      <c r="AW12" t="s">
        <v>75</v>
      </c>
      <c r="AX12">
        <v>41</v>
      </c>
      <c r="AY12">
        <v>1</v>
      </c>
      <c r="AZ12">
        <v>0.55000000000000004</v>
      </c>
      <c r="BA12">
        <v>-7.8200000000000006E-3</v>
      </c>
      <c r="BB12">
        <v>-122.2</v>
      </c>
      <c r="BC12" t="s">
        <v>75</v>
      </c>
      <c r="BD12">
        <v>0</v>
      </c>
      <c r="BE12">
        <v>0</v>
      </c>
      <c r="BF12" t="s">
        <v>75</v>
      </c>
      <c r="BG12">
        <v>1.218E-2</v>
      </c>
      <c r="BH12">
        <v>0</v>
      </c>
      <c r="BI12">
        <v>0</v>
      </c>
      <c r="BJ12">
        <v>3</v>
      </c>
      <c r="BK12">
        <v>1</v>
      </c>
      <c r="BL12" t="s">
        <v>692</v>
      </c>
    </row>
    <row r="13" spans="1:65" x14ac:dyDescent="0.2">
      <c r="A13">
        <v>823454</v>
      </c>
      <c r="B13" t="s">
        <v>1013</v>
      </c>
      <c r="C13" s="3">
        <v>46179</v>
      </c>
      <c r="D13">
        <v>6.1</v>
      </c>
      <c r="E13">
        <v>2</v>
      </c>
      <c r="F13">
        <v>9</v>
      </c>
      <c r="G13" t="s">
        <v>125</v>
      </c>
      <c r="H13">
        <v>120</v>
      </c>
      <c r="I13">
        <v>0.45</v>
      </c>
      <c r="J13">
        <v>112</v>
      </c>
      <c r="K13">
        <v>0.47169800000000001</v>
      </c>
      <c r="L13">
        <v>0.46097210115043102</v>
      </c>
      <c r="M13">
        <v>685126</v>
      </c>
      <c r="N13" t="b">
        <v>0</v>
      </c>
      <c r="O13">
        <v>-122.2</v>
      </c>
      <c r="P13">
        <v>104.4</v>
      </c>
      <c r="Q13">
        <v>104.4</v>
      </c>
      <c r="R13" t="s">
        <v>73</v>
      </c>
      <c r="S13">
        <v>720</v>
      </c>
      <c r="T13">
        <v>720</v>
      </c>
      <c r="U13" t="s">
        <v>126</v>
      </c>
      <c r="V13">
        <v>21</v>
      </c>
      <c r="W13" t="s">
        <v>127</v>
      </c>
      <c r="X13">
        <v>-132</v>
      </c>
      <c r="Y13">
        <v>0.56999999999999995</v>
      </c>
      <c r="Z13">
        <v>-123</v>
      </c>
      <c r="AA13">
        <v>0.55157</v>
      </c>
      <c r="AB13">
        <v>0.53902789884956803</v>
      </c>
      <c r="AC13">
        <v>691725</v>
      </c>
      <c r="AD13" t="b">
        <v>0</v>
      </c>
      <c r="AE13">
        <v>-233.3</v>
      </c>
      <c r="AF13">
        <v>-107.1</v>
      </c>
      <c r="AG13">
        <v>-107.1</v>
      </c>
      <c r="AH13" t="s">
        <v>73</v>
      </c>
      <c r="AI13">
        <v>-720</v>
      </c>
      <c r="AJ13">
        <v>-720</v>
      </c>
      <c r="AK13" t="s">
        <v>128</v>
      </c>
      <c r="AL13" t="s">
        <v>739</v>
      </c>
      <c r="AM13" t="s">
        <v>75</v>
      </c>
      <c r="AN13">
        <v>15</v>
      </c>
      <c r="AO13">
        <v>0.87</v>
      </c>
      <c r="AP13">
        <v>0.53</v>
      </c>
      <c r="AQ13">
        <v>-9.0299999999999998E-3</v>
      </c>
      <c r="AR13">
        <v>-112.8</v>
      </c>
      <c r="AS13" t="s">
        <v>75</v>
      </c>
      <c r="AT13">
        <v>0</v>
      </c>
      <c r="AU13">
        <v>0</v>
      </c>
      <c r="AV13" t="s">
        <v>740</v>
      </c>
      <c r="AW13" t="s">
        <v>75</v>
      </c>
      <c r="AX13">
        <v>41</v>
      </c>
      <c r="AY13">
        <v>0.98</v>
      </c>
      <c r="AZ13">
        <v>0.55000000000000004</v>
      </c>
      <c r="BA13">
        <v>1.0970000000000001E-2</v>
      </c>
      <c r="BB13">
        <v>-122.2</v>
      </c>
      <c r="BC13" t="s">
        <v>75</v>
      </c>
      <c r="BD13">
        <v>1</v>
      </c>
      <c r="BE13">
        <v>0.81299999999999994</v>
      </c>
      <c r="BF13" t="s">
        <v>83</v>
      </c>
      <c r="BG13">
        <v>0</v>
      </c>
      <c r="BH13">
        <v>0</v>
      </c>
      <c r="BI13">
        <v>0</v>
      </c>
      <c r="BJ13">
        <v>0</v>
      </c>
      <c r="BK13">
        <v>0</v>
      </c>
      <c r="BL13" t="s">
        <v>693</v>
      </c>
    </row>
    <row r="14" spans="1:65" x14ac:dyDescent="0.2">
      <c r="A14">
        <v>823292</v>
      </c>
      <c r="B14" t="s">
        <v>1014</v>
      </c>
      <c r="C14" s="3">
        <v>46179</v>
      </c>
      <c r="D14">
        <v>6.1</v>
      </c>
      <c r="E14">
        <v>2</v>
      </c>
      <c r="F14">
        <v>18</v>
      </c>
      <c r="G14" t="s">
        <v>129</v>
      </c>
      <c r="H14">
        <v>-118</v>
      </c>
      <c r="I14">
        <v>0.54</v>
      </c>
      <c r="J14">
        <v>-115</v>
      </c>
      <c r="K14">
        <v>0.53488400000000003</v>
      </c>
      <c r="L14">
        <v>0.521797323135755</v>
      </c>
      <c r="M14">
        <v>690997</v>
      </c>
      <c r="N14" t="b">
        <v>0</v>
      </c>
      <c r="O14">
        <v>-100</v>
      </c>
      <c r="P14">
        <v>105.6</v>
      </c>
      <c r="Q14">
        <v>105.6</v>
      </c>
      <c r="R14" t="s">
        <v>73</v>
      </c>
      <c r="S14">
        <v>-148.4</v>
      </c>
      <c r="T14">
        <v>-148.4</v>
      </c>
      <c r="U14" t="s">
        <v>73</v>
      </c>
      <c r="V14">
        <v>23</v>
      </c>
      <c r="W14" t="s">
        <v>130</v>
      </c>
      <c r="X14">
        <v>107</v>
      </c>
      <c r="Y14">
        <v>0.48</v>
      </c>
      <c r="Z14">
        <v>104</v>
      </c>
      <c r="AA14">
        <v>0.49019600000000002</v>
      </c>
      <c r="AB14">
        <v>0.478202676864244</v>
      </c>
      <c r="AC14">
        <v>656288</v>
      </c>
      <c r="AD14" t="b">
        <v>0</v>
      </c>
      <c r="AE14">
        <v>185.7</v>
      </c>
      <c r="AF14">
        <v>-102.2</v>
      </c>
      <c r="AG14">
        <v>-102.2</v>
      </c>
      <c r="AH14" t="s">
        <v>73</v>
      </c>
      <c r="AI14">
        <v>148.4</v>
      </c>
      <c r="AJ14">
        <v>148.4</v>
      </c>
      <c r="AK14" t="s">
        <v>73</v>
      </c>
      <c r="AL14" t="s">
        <v>741</v>
      </c>
      <c r="AM14" t="s">
        <v>94</v>
      </c>
      <c r="AN14">
        <v>15</v>
      </c>
      <c r="AO14">
        <v>1</v>
      </c>
      <c r="AP14">
        <v>0.47</v>
      </c>
      <c r="AQ14">
        <v>-8.2000000000000007E-3</v>
      </c>
      <c r="AR14">
        <v>112.8</v>
      </c>
      <c r="AS14" t="s">
        <v>94</v>
      </c>
      <c r="AT14">
        <v>0</v>
      </c>
      <c r="AU14">
        <v>0</v>
      </c>
      <c r="AV14" t="s">
        <v>131</v>
      </c>
      <c r="AW14" t="s">
        <v>94</v>
      </c>
      <c r="AX14">
        <v>41</v>
      </c>
      <c r="AY14">
        <v>0.9</v>
      </c>
      <c r="AZ14">
        <v>0.48</v>
      </c>
      <c r="BA14">
        <v>1.8E-3</v>
      </c>
      <c r="BB14">
        <v>108.3</v>
      </c>
      <c r="BC14" t="s">
        <v>94</v>
      </c>
      <c r="BD14">
        <v>0</v>
      </c>
      <c r="BE14">
        <v>0</v>
      </c>
      <c r="BF14" t="s">
        <v>83</v>
      </c>
      <c r="BG14">
        <v>0</v>
      </c>
      <c r="BH14">
        <v>0</v>
      </c>
      <c r="BI14">
        <v>0</v>
      </c>
      <c r="BJ14">
        <v>0</v>
      </c>
      <c r="BK14">
        <v>0</v>
      </c>
      <c r="BL14" t="s">
        <v>132</v>
      </c>
    </row>
    <row r="15" spans="1:65" x14ac:dyDescent="0.2">
      <c r="A15">
        <v>823048</v>
      </c>
      <c r="B15" t="s">
        <v>1015</v>
      </c>
      <c r="C15" s="3">
        <v>46179</v>
      </c>
      <c r="D15">
        <v>6.1</v>
      </c>
      <c r="E15">
        <v>2</v>
      </c>
      <c r="F15">
        <v>6</v>
      </c>
      <c r="G15" t="s">
        <v>133</v>
      </c>
      <c r="H15">
        <v>111</v>
      </c>
      <c r="I15">
        <v>0.47</v>
      </c>
      <c r="J15">
        <v>113</v>
      </c>
      <c r="K15">
        <v>0.46948400000000001</v>
      </c>
      <c r="L15">
        <v>0.45801529696401999</v>
      </c>
      <c r="M15">
        <v>666157</v>
      </c>
      <c r="N15" t="b">
        <v>0</v>
      </c>
      <c r="O15">
        <v>150</v>
      </c>
      <c r="P15">
        <v>107.4</v>
      </c>
      <c r="Q15">
        <v>107.4</v>
      </c>
      <c r="R15" t="s">
        <v>78</v>
      </c>
      <c r="S15">
        <v>-134.80000000000001</v>
      </c>
      <c r="T15">
        <v>-134.80000000000001</v>
      </c>
      <c r="U15" t="s">
        <v>73</v>
      </c>
      <c r="V15">
        <v>26</v>
      </c>
      <c r="W15" t="s">
        <v>134</v>
      </c>
      <c r="X15">
        <v>-122</v>
      </c>
      <c r="Y15">
        <v>0.55000000000000004</v>
      </c>
      <c r="Z15">
        <v>-125</v>
      </c>
      <c r="AA15">
        <v>0.55555600000000005</v>
      </c>
      <c r="AB15">
        <v>0.54198470303597901</v>
      </c>
      <c r="AC15">
        <v>669461</v>
      </c>
      <c r="AD15" t="b">
        <v>0</v>
      </c>
      <c r="AE15">
        <v>-100</v>
      </c>
      <c r="AF15">
        <v>109.1</v>
      </c>
      <c r="AG15">
        <v>109.1</v>
      </c>
      <c r="AH15" t="s">
        <v>73</v>
      </c>
      <c r="AI15">
        <v>134.80000000000001</v>
      </c>
      <c r="AJ15">
        <v>134.80000000000001</v>
      </c>
      <c r="AK15" t="s">
        <v>73</v>
      </c>
      <c r="AL15" t="s">
        <v>742</v>
      </c>
      <c r="AM15" t="s">
        <v>75</v>
      </c>
      <c r="AN15">
        <v>15</v>
      </c>
      <c r="AO15">
        <v>1</v>
      </c>
      <c r="AP15">
        <v>0.52</v>
      </c>
      <c r="AQ15">
        <v>-2.198E-2</v>
      </c>
      <c r="AR15">
        <v>-108.3</v>
      </c>
      <c r="AS15" t="s">
        <v>75</v>
      </c>
      <c r="AT15">
        <v>0</v>
      </c>
      <c r="AU15">
        <v>0</v>
      </c>
      <c r="AV15" t="s">
        <v>135</v>
      </c>
      <c r="AW15" t="s">
        <v>75</v>
      </c>
      <c r="AX15">
        <v>41</v>
      </c>
      <c r="AY15">
        <v>0.59</v>
      </c>
      <c r="AZ15">
        <v>0.5</v>
      </c>
      <c r="BA15">
        <v>-4.1980000000000003E-2</v>
      </c>
      <c r="BB15">
        <v>-100</v>
      </c>
      <c r="BC15" t="s">
        <v>75</v>
      </c>
      <c r="BD15">
        <v>0</v>
      </c>
      <c r="BE15">
        <v>0</v>
      </c>
      <c r="BF15" t="s">
        <v>83</v>
      </c>
      <c r="BG15">
        <v>0</v>
      </c>
      <c r="BH15">
        <v>0</v>
      </c>
      <c r="BI15">
        <v>0</v>
      </c>
      <c r="BJ15">
        <v>0</v>
      </c>
      <c r="BK15">
        <v>0</v>
      </c>
      <c r="BL15" t="s">
        <v>136</v>
      </c>
    </row>
    <row r="16" spans="1:65" x14ac:dyDescent="0.2">
      <c r="A16">
        <v>822891</v>
      </c>
      <c r="B16" t="s">
        <v>1016</v>
      </c>
      <c r="C16" s="3">
        <v>46179</v>
      </c>
      <c r="D16">
        <v>6.1</v>
      </c>
      <c r="E16">
        <v>2</v>
      </c>
      <c r="F16">
        <v>7</v>
      </c>
      <c r="G16" t="s">
        <v>137</v>
      </c>
      <c r="H16">
        <v>103</v>
      </c>
      <c r="I16">
        <v>0.49</v>
      </c>
      <c r="J16">
        <v>-103</v>
      </c>
      <c r="K16">
        <v>0.50738899999999998</v>
      </c>
      <c r="L16">
        <v>0.495353398477199</v>
      </c>
      <c r="M16">
        <v>676440</v>
      </c>
      <c r="N16" t="b">
        <v>0</v>
      </c>
      <c r="O16">
        <v>-150</v>
      </c>
      <c r="P16">
        <v>-100.1</v>
      </c>
      <c r="Q16">
        <v>-100.1</v>
      </c>
      <c r="R16" t="s">
        <v>73</v>
      </c>
      <c r="S16">
        <v>113.5</v>
      </c>
      <c r="T16">
        <v>113.5</v>
      </c>
      <c r="U16" t="s">
        <v>73</v>
      </c>
      <c r="V16">
        <v>28</v>
      </c>
      <c r="W16" t="s">
        <v>138</v>
      </c>
      <c r="X16">
        <v>-113</v>
      </c>
      <c r="Y16">
        <v>0.53</v>
      </c>
      <c r="Z16">
        <v>-107</v>
      </c>
      <c r="AA16">
        <v>0.51690800000000003</v>
      </c>
      <c r="AB16">
        <v>0.50464660152280005</v>
      </c>
      <c r="AC16">
        <v>683004</v>
      </c>
      <c r="AD16" t="b">
        <v>0</v>
      </c>
      <c r="AE16">
        <v>-100</v>
      </c>
      <c r="AF16">
        <v>-105.6</v>
      </c>
      <c r="AG16">
        <v>-105.6</v>
      </c>
      <c r="AH16" t="s">
        <v>73</v>
      </c>
      <c r="AI16">
        <v>-113.5</v>
      </c>
      <c r="AJ16">
        <v>-113.5</v>
      </c>
      <c r="AK16" t="s">
        <v>73</v>
      </c>
      <c r="AL16" t="s">
        <v>743</v>
      </c>
      <c r="AM16" t="s">
        <v>75</v>
      </c>
      <c r="AN16">
        <v>15</v>
      </c>
      <c r="AO16">
        <v>0.8</v>
      </c>
      <c r="AP16">
        <v>0.51</v>
      </c>
      <c r="AQ16">
        <v>5.3499999999999997E-3</v>
      </c>
      <c r="AR16">
        <v>-104.1</v>
      </c>
      <c r="AS16" t="s">
        <v>75</v>
      </c>
      <c r="AT16">
        <v>0</v>
      </c>
      <c r="AU16">
        <v>0</v>
      </c>
      <c r="AV16" t="s">
        <v>744</v>
      </c>
      <c r="AW16" t="s">
        <v>75</v>
      </c>
      <c r="AX16">
        <v>41</v>
      </c>
      <c r="AY16">
        <v>1</v>
      </c>
      <c r="AZ16">
        <v>0.55000000000000004</v>
      </c>
      <c r="BA16">
        <v>4.5350000000000001E-2</v>
      </c>
      <c r="BB16">
        <v>-122.2</v>
      </c>
      <c r="BC16" t="s">
        <v>75</v>
      </c>
      <c r="BD16">
        <v>1</v>
      </c>
      <c r="BE16">
        <v>0.93500000000000005</v>
      </c>
      <c r="BF16" t="s">
        <v>83</v>
      </c>
      <c r="BG16">
        <v>0</v>
      </c>
      <c r="BH16">
        <v>0</v>
      </c>
      <c r="BI16">
        <v>0</v>
      </c>
      <c r="BJ16">
        <v>0</v>
      </c>
      <c r="BK16">
        <v>0</v>
      </c>
      <c r="BL16" t="s">
        <v>139</v>
      </c>
    </row>
    <row r="17" spans="1:64" x14ac:dyDescent="0.2">
      <c r="A17">
        <v>822808</v>
      </c>
      <c r="B17" t="s">
        <v>140</v>
      </c>
      <c r="C17" s="3">
        <v>46179</v>
      </c>
      <c r="D17">
        <v>6.1</v>
      </c>
      <c r="E17">
        <v>2</v>
      </c>
      <c r="F17">
        <v>2</v>
      </c>
      <c r="G17" t="s">
        <v>141</v>
      </c>
      <c r="H17">
        <v>-107</v>
      </c>
      <c r="I17">
        <v>0.52</v>
      </c>
      <c r="J17">
        <v>-107</v>
      </c>
      <c r="K17">
        <v>0.51690800000000003</v>
      </c>
      <c r="L17">
        <v>0.50464660152280005</v>
      </c>
      <c r="M17">
        <v>680694</v>
      </c>
      <c r="N17" t="b">
        <v>0</v>
      </c>
      <c r="O17">
        <v>-122.2</v>
      </c>
      <c r="P17">
        <v>103.2</v>
      </c>
      <c r="Q17">
        <v>103.2</v>
      </c>
      <c r="R17" t="s">
        <v>73</v>
      </c>
      <c r="S17">
        <v>-372.5</v>
      </c>
      <c r="T17" t="s">
        <v>142</v>
      </c>
      <c r="U17" t="s">
        <v>143</v>
      </c>
      <c r="V17">
        <v>29</v>
      </c>
      <c r="W17" t="s">
        <v>144</v>
      </c>
      <c r="X17">
        <v>-103</v>
      </c>
      <c r="Y17">
        <v>0.51</v>
      </c>
      <c r="Z17">
        <v>-103</v>
      </c>
      <c r="AA17">
        <v>0.50738899999999998</v>
      </c>
      <c r="AB17">
        <v>0.495353398477199</v>
      </c>
      <c r="AC17">
        <v>680755</v>
      </c>
      <c r="AD17" t="b">
        <v>0</v>
      </c>
      <c r="AE17">
        <v>-122.2</v>
      </c>
      <c r="AF17">
        <v>-105.8</v>
      </c>
      <c r="AG17">
        <v>-105.8</v>
      </c>
      <c r="AH17" t="s">
        <v>73</v>
      </c>
      <c r="AI17">
        <v>372.5</v>
      </c>
      <c r="AJ17">
        <v>372.5</v>
      </c>
      <c r="AK17" t="s">
        <v>93</v>
      </c>
      <c r="AL17" t="s">
        <v>145</v>
      </c>
      <c r="AM17" t="s">
        <v>94</v>
      </c>
      <c r="AN17">
        <v>15</v>
      </c>
      <c r="AO17">
        <v>0.87</v>
      </c>
      <c r="AP17">
        <v>0.45</v>
      </c>
      <c r="AQ17">
        <v>-4.5350000000000001E-2</v>
      </c>
      <c r="AR17">
        <v>122.2</v>
      </c>
      <c r="AS17" t="s">
        <v>94</v>
      </c>
      <c r="AT17">
        <v>0</v>
      </c>
      <c r="AU17">
        <v>0</v>
      </c>
      <c r="AV17" t="s">
        <v>146</v>
      </c>
      <c r="AW17" t="s">
        <v>94</v>
      </c>
      <c r="AX17">
        <v>41</v>
      </c>
      <c r="AY17">
        <v>0.63</v>
      </c>
      <c r="AZ17">
        <v>0.49</v>
      </c>
      <c r="BA17">
        <v>-5.3499999999999997E-3</v>
      </c>
      <c r="BB17">
        <v>104.1</v>
      </c>
      <c r="BC17" t="s">
        <v>94</v>
      </c>
      <c r="BD17">
        <v>0</v>
      </c>
      <c r="BE17">
        <v>0</v>
      </c>
      <c r="BF17" t="s">
        <v>83</v>
      </c>
      <c r="BG17">
        <v>0</v>
      </c>
      <c r="BH17">
        <v>0</v>
      </c>
      <c r="BI17">
        <v>0</v>
      </c>
      <c r="BJ17">
        <v>0</v>
      </c>
      <c r="BK17">
        <v>0</v>
      </c>
      <c r="BL17" t="s">
        <v>147</v>
      </c>
    </row>
    <row r="18" spans="1:64" x14ac:dyDescent="0.2">
      <c r="A18">
        <v>824916</v>
      </c>
      <c r="B18" t="s">
        <v>148</v>
      </c>
      <c r="C18" s="3">
        <v>46180</v>
      </c>
      <c r="D18">
        <v>6.1</v>
      </c>
      <c r="E18">
        <v>2</v>
      </c>
      <c r="F18">
        <v>22</v>
      </c>
      <c r="G18" t="s">
        <v>72</v>
      </c>
      <c r="H18">
        <v>134</v>
      </c>
      <c r="I18">
        <v>0.43</v>
      </c>
      <c r="J18">
        <v>133</v>
      </c>
      <c r="K18">
        <v>0.42918499999999998</v>
      </c>
      <c r="L18">
        <v>0.420348435195323</v>
      </c>
      <c r="M18">
        <v>682254</v>
      </c>
      <c r="N18" t="b">
        <v>0</v>
      </c>
      <c r="O18">
        <v>-100</v>
      </c>
      <c r="P18">
        <v>-101.3</v>
      </c>
      <c r="Q18">
        <v>-101.3</v>
      </c>
      <c r="R18" t="s">
        <v>73</v>
      </c>
      <c r="S18">
        <v>301.2</v>
      </c>
      <c r="T18">
        <v>301.2</v>
      </c>
      <c r="U18" t="s">
        <v>93</v>
      </c>
      <c r="V18">
        <v>0</v>
      </c>
      <c r="W18" t="s">
        <v>74</v>
      </c>
      <c r="X18">
        <v>-145</v>
      </c>
      <c r="Y18">
        <v>0.59</v>
      </c>
      <c r="Z18">
        <v>-145</v>
      </c>
      <c r="AA18">
        <v>0.59183699999999995</v>
      </c>
      <c r="AB18">
        <v>0.57965156480467595</v>
      </c>
      <c r="AC18">
        <v>693821</v>
      </c>
      <c r="AD18" t="b">
        <v>0</v>
      </c>
      <c r="AE18">
        <v>-185.7</v>
      </c>
      <c r="AF18">
        <v>-106.3</v>
      </c>
      <c r="AG18">
        <v>-106.3</v>
      </c>
      <c r="AH18" t="s">
        <v>73</v>
      </c>
      <c r="AI18">
        <v>-301.2</v>
      </c>
      <c r="AJ18" t="s">
        <v>149</v>
      </c>
      <c r="AK18" t="s">
        <v>143</v>
      </c>
      <c r="AL18" t="s">
        <v>745</v>
      </c>
      <c r="AM18" t="s">
        <v>75</v>
      </c>
      <c r="AN18">
        <v>15</v>
      </c>
      <c r="AO18">
        <v>1</v>
      </c>
      <c r="AP18">
        <v>0.56000000000000005</v>
      </c>
      <c r="AQ18">
        <v>-1.9650000000000001E-2</v>
      </c>
      <c r="AR18">
        <v>-127.3</v>
      </c>
      <c r="AS18" t="s">
        <v>75</v>
      </c>
      <c r="AT18">
        <v>0</v>
      </c>
      <c r="AU18">
        <v>0</v>
      </c>
      <c r="AV18" t="s">
        <v>746</v>
      </c>
      <c r="AW18" t="s">
        <v>75</v>
      </c>
      <c r="AX18">
        <v>41</v>
      </c>
      <c r="AY18">
        <v>0.98</v>
      </c>
      <c r="AZ18">
        <v>0.54</v>
      </c>
      <c r="BA18">
        <v>-3.9649999999999998E-2</v>
      </c>
      <c r="BB18">
        <v>-117.4</v>
      </c>
      <c r="BC18" t="s">
        <v>75</v>
      </c>
      <c r="BD18">
        <v>0</v>
      </c>
      <c r="BE18">
        <v>0</v>
      </c>
      <c r="BF18" t="s">
        <v>83</v>
      </c>
      <c r="BG18">
        <v>0</v>
      </c>
      <c r="BH18">
        <v>0</v>
      </c>
      <c r="BI18">
        <v>0</v>
      </c>
      <c r="BJ18">
        <v>0</v>
      </c>
      <c r="BK18">
        <v>0</v>
      </c>
      <c r="BL18" t="s">
        <v>150</v>
      </c>
    </row>
    <row r="19" spans="1:64" x14ac:dyDescent="0.2">
      <c r="A19">
        <v>825074</v>
      </c>
      <c r="B19" t="s">
        <v>151</v>
      </c>
      <c r="C19" s="3">
        <v>46180</v>
      </c>
      <c r="D19">
        <v>6.1</v>
      </c>
      <c r="E19">
        <v>2</v>
      </c>
      <c r="F19">
        <v>16</v>
      </c>
      <c r="G19" t="s">
        <v>77</v>
      </c>
      <c r="H19">
        <v>116</v>
      </c>
      <c r="I19">
        <v>0.46</v>
      </c>
      <c r="J19">
        <v>115</v>
      </c>
      <c r="K19">
        <v>0.46511599999999997</v>
      </c>
      <c r="L19">
        <v>0.455695855279658</v>
      </c>
      <c r="M19">
        <v>676917</v>
      </c>
      <c r="N19" t="b">
        <v>0</v>
      </c>
      <c r="O19">
        <v>-122.2</v>
      </c>
      <c r="P19">
        <v>112.7</v>
      </c>
      <c r="Q19">
        <v>112.7</v>
      </c>
      <c r="R19" t="s">
        <v>78</v>
      </c>
      <c r="S19">
        <v>110.9</v>
      </c>
      <c r="T19">
        <v>110.9</v>
      </c>
      <c r="U19" t="s">
        <v>73</v>
      </c>
      <c r="V19">
        <v>1</v>
      </c>
      <c r="W19" t="s">
        <v>79</v>
      </c>
      <c r="X19">
        <v>-126</v>
      </c>
      <c r="Y19">
        <v>0.56000000000000005</v>
      </c>
      <c r="Z19">
        <v>-125</v>
      </c>
      <c r="AA19">
        <v>0.55555600000000005</v>
      </c>
      <c r="AB19">
        <v>0.54430414472034105</v>
      </c>
      <c r="AC19">
        <v>647336</v>
      </c>
      <c r="AD19" t="b">
        <v>0</v>
      </c>
      <c r="AE19">
        <v>-150</v>
      </c>
      <c r="AF19">
        <v>103.1</v>
      </c>
      <c r="AG19">
        <v>103.1</v>
      </c>
      <c r="AH19" t="s">
        <v>73</v>
      </c>
      <c r="AI19">
        <v>-110.9</v>
      </c>
      <c r="AJ19">
        <v>-110.9</v>
      </c>
      <c r="AK19" t="s">
        <v>73</v>
      </c>
      <c r="AL19" t="s">
        <v>152</v>
      </c>
      <c r="AM19" t="s">
        <v>75</v>
      </c>
      <c r="AN19">
        <v>15</v>
      </c>
      <c r="AO19">
        <v>0.8</v>
      </c>
      <c r="AP19">
        <v>0.52</v>
      </c>
      <c r="AQ19">
        <v>-2.4299999999999999E-2</v>
      </c>
      <c r="AR19">
        <v>-108.3</v>
      </c>
      <c r="AS19" t="s">
        <v>75</v>
      </c>
      <c r="AT19">
        <v>0</v>
      </c>
      <c r="AU19">
        <v>0</v>
      </c>
      <c r="AV19" t="s">
        <v>153</v>
      </c>
      <c r="AW19" t="s">
        <v>75</v>
      </c>
      <c r="AX19">
        <v>41</v>
      </c>
      <c r="AY19">
        <v>0.95</v>
      </c>
      <c r="AZ19">
        <v>0.53</v>
      </c>
      <c r="BA19">
        <v>-1.43E-2</v>
      </c>
      <c r="BB19">
        <v>-112.8</v>
      </c>
      <c r="BC19" t="s">
        <v>75</v>
      </c>
      <c r="BD19">
        <v>0</v>
      </c>
      <c r="BE19">
        <v>0</v>
      </c>
      <c r="BF19" t="s">
        <v>83</v>
      </c>
      <c r="BG19">
        <v>0</v>
      </c>
      <c r="BH19">
        <v>0</v>
      </c>
      <c r="BI19">
        <v>0</v>
      </c>
      <c r="BJ19">
        <v>0</v>
      </c>
      <c r="BK19">
        <v>0</v>
      </c>
      <c r="BL19" t="s">
        <v>154</v>
      </c>
    </row>
    <row r="20" spans="1:64" x14ac:dyDescent="0.2">
      <c r="A20">
        <v>824670</v>
      </c>
      <c r="B20" t="s">
        <v>155</v>
      </c>
      <c r="C20" s="3">
        <v>46180</v>
      </c>
      <c r="D20">
        <v>6.1</v>
      </c>
      <c r="E20">
        <v>2</v>
      </c>
      <c r="F20">
        <v>25</v>
      </c>
      <c r="G20" t="s">
        <v>84</v>
      </c>
      <c r="H20">
        <v>112</v>
      </c>
      <c r="I20">
        <v>0.47</v>
      </c>
      <c r="J20">
        <v>116</v>
      </c>
      <c r="K20">
        <v>0.46296300000000001</v>
      </c>
      <c r="L20">
        <v>0.45366957868072499</v>
      </c>
      <c r="M20">
        <v>686790</v>
      </c>
      <c r="N20" t="b">
        <v>0</v>
      </c>
      <c r="O20">
        <v>150</v>
      </c>
      <c r="P20">
        <v>105.9</v>
      </c>
      <c r="Q20">
        <v>105.9</v>
      </c>
      <c r="R20" t="s">
        <v>73</v>
      </c>
      <c r="S20">
        <v>-125.6</v>
      </c>
      <c r="T20">
        <v>-125.6</v>
      </c>
      <c r="U20" t="s">
        <v>73</v>
      </c>
      <c r="V20">
        <v>5</v>
      </c>
      <c r="W20" t="s">
        <v>85</v>
      </c>
      <c r="X20">
        <v>-122</v>
      </c>
      <c r="Y20">
        <v>0.55000000000000004</v>
      </c>
      <c r="Z20">
        <v>-126</v>
      </c>
      <c r="AA20">
        <v>0.55752199999999996</v>
      </c>
      <c r="AB20">
        <v>0.54633042131927401</v>
      </c>
      <c r="AC20">
        <v>592791</v>
      </c>
      <c r="AD20" t="b">
        <v>0</v>
      </c>
      <c r="AE20">
        <v>300</v>
      </c>
      <c r="AF20">
        <v>-110.5</v>
      </c>
      <c r="AG20" t="s">
        <v>86</v>
      </c>
      <c r="AH20" t="s">
        <v>81</v>
      </c>
      <c r="AI20">
        <v>125.6</v>
      </c>
      <c r="AJ20">
        <v>125.6</v>
      </c>
      <c r="AK20" t="s">
        <v>73</v>
      </c>
      <c r="AL20" t="s">
        <v>156</v>
      </c>
      <c r="AM20" t="s">
        <v>75</v>
      </c>
      <c r="AN20">
        <v>15</v>
      </c>
      <c r="AO20">
        <v>0.8</v>
      </c>
      <c r="AP20">
        <v>0.53</v>
      </c>
      <c r="AQ20">
        <v>-1.6330000000000001E-2</v>
      </c>
      <c r="AR20">
        <v>-112.8</v>
      </c>
      <c r="AS20" t="s">
        <v>75</v>
      </c>
      <c r="AT20">
        <v>0</v>
      </c>
      <c r="AU20">
        <v>0</v>
      </c>
      <c r="AV20" t="s">
        <v>747</v>
      </c>
      <c r="AW20" t="s">
        <v>75</v>
      </c>
      <c r="AX20">
        <v>41</v>
      </c>
      <c r="AY20">
        <v>0.68</v>
      </c>
      <c r="AZ20">
        <v>0.5</v>
      </c>
      <c r="BA20">
        <v>-4.6330000000000003E-2</v>
      </c>
      <c r="BB20">
        <v>-100</v>
      </c>
      <c r="BC20" t="s">
        <v>75</v>
      </c>
      <c r="BD20">
        <v>0</v>
      </c>
      <c r="BE20">
        <v>0</v>
      </c>
      <c r="BF20" t="s">
        <v>83</v>
      </c>
      <c r="BG20">
        <v>0</v>
      </c>
      <c r="BH20">
        <v>0</v>
      </c>
      <c r="BI20">
        <v>0</v>
      </c>
      <c r="BJ20">
        <v>0</v>
      </c>
      <c r="BK20">
        <v>0</v>
      </c>
      <c r="BL20" t="s">
        <v>157</v>
      </c>
    </row>
    <row r="21" spans="1:64" x14ac:dyDescent="0.2">
      <c r="A21">
        <v>824349</v>
      </c>
      <c r="B21" t="s">
        <v>158</v>
      </c>
      <c r="C21" s="3">
        <v>46180</v>
      </c>
      <c r="D21">
        <v>6.1</v>
      </c>
      <c r="E21">
        <v>2</v>
      </c>
      <c r="F21">
        <v>17</v>
      </c>
      <c r="G21" t="s">
        <v>89</v>
      </c>
      <c r="H21">
        <v>-172</v>
      </c>
      <c r="I21">
        <v>0.63</v>
      </c>
      <c r="J21">
        <v>-174</v>
      </c>
      <c r="K21">
        <v>0.63503600000000004</v>
      </c>
      <c r="L21">
        <v>0.62279740813278195</v>
      </c>
      <c r="M21">
        <v>675660</v>
      </c>
      <c r="N21" t="b">
        <v>0</v>
      </c>
      <c r="O21">
        <v>-233.3</v>
      </c>
      <c r="P21">
        <v>-117.7</v>
      </c>
      <c r="Q21" t="s">
        <v>159</v>
      </c>
      <c r="R21" t="s">
        <v>81</v>
      </c>
      <c r="S21">
        <v>113.4</v>
      </c>
      <c r="T21">
        <v>113.4</v>
      </c>
      <c r="U21" t="s">
        <v>73</v>
      </c>
      <c r="V21">
        <v>8</v>
      </c>
      <c r="W21" t="s">
        <v>92</v>
      </c>
      <c r="X21">
        <v>158</v>
      </c>
      <c r="Y21">
        <v>0.39</v>
      </c>
      <c r="Z21">
        <v>160</v>
      </c>
      <c r="AA21">
        <v>0.38461499999999998</v>
      </c>
      <c r="AB21">
        <v>0.377202591867217</v>
      </c>
      <c r="AC21">
        <v>607536</v>
      </c>
      <c r="AD21" t="b">
        <v>0</v>
      </c>
      <c r="AE21">
        <v>185.7</v>
      </c>
      <c r="AF21">
        <v>129.30000000000001</v>
      </c>
      <c r="AG21">
        <v>129.30000000000001</v>
      </c>
      <c r="AH21" t="s">
        <v>93</v>
      </c>
      <c r="AI21">
        <v>-113.4</v>
      </c>
      <c r="AJ21">
        <v>-113.4</v>
      </c>
      <c r="AK21" t="s">
        <v>73</v>
      </c>
      <c r="AL21" t="s">
        <v>160</v>
      </c>
      <c r="AM21" t="s">
        <v>94</v>
      </c>
      <c r="AN21">
        <v>15</v>
      </c>
      <c r="AO21">
        <v>1</v>
      </c>
      <c r="AP21">
        <v>0.43</v>
      </c>
      <c r="AQ21">
        <v>5.28E-2</v>
      </c>
      <c r="AR21">
        <v>132.6</v>
      </c>
      <c r="AS21" t="s">
        <v>94</v>
      </c>
      <c r="AT21">
        <v>0</v>
      </c>
      <c r="AU21">
        <v>0</v>
      </c>
      <c r="AV21" t="s">
        <v>748</v>
      </c>
      <c r="AW21" t="s">
        <v>94</v>
      </c>
      <c r="AX21">
        <v>41</v>
      </c>
      <c r="AY21">
        <v>0.98</v>
      </c>
      <c r="AZ21">
        <v>0.44</v>
      </c>
      <c r="BA21">
        <v>6.2799999999999995E-2</v>
      </c>
      <c r="BB21">
        <v>127.3</v>
      </c>
      <c r="BC21" t="s">
        <v>94</v>
      </c>
      <c r="BD21">
        <v>0</v>
      </c>
      <c r="BE21">
        <v>0</v>
      </c>
      <c r="BF21" t="s">
        <v>83</v>
      </c>
      <c r="BG21">
        <v>0</v>
      </c>
      <c r="BH21">
        <v>0</v>
      </c>
      <c r="BI21">
        <v>0</v>
      </c>
      <c r="BJ21">
        <v>0</v>
      </c>
      <c r="BK21">
        <v>0</v>
      </c>
      <c r="BL21" t="s">
        <v>161</v>
      </c>
    </row>
    <row r="22" spans="1:64" x14ac:dyDescent="0.2">
      <c r="A22">
        <v>824268</v>
      </c>
      <c r="B22" t="s">
        <v>162</v>
      </c>
      <c r="C22" s="3">
        <v>46180</v>
      </c>
      <c r="D22">
        <v>6.1</v>
      </c>
      <c r="E22">
        <v>2</v>
      </c>
      <c r="F22">
        <v>24</v>
      </c>
      <c r="G22" t="s">
        <v>96</v>
      </c>
      <c r="H22">
        <v>-101</v>
      </c>
      <c r="I22">
        <v>0.5</v>
      </c>
      <c r="J22">
        <v>102</v>
      </c>
      <c r="K22">
        <v>0.49504999999999999</v>
      </c>
      <c r="L22">
        <v>0.48481269512964198</v>
      </c>
      <c r="M22">
        <v>622491</v>
      </c>
      <c r="N22" t="b">
        <v>0</v>
      </c>
      <c r="O22">
        <v>-150</v>
      </c>
      <c r="P22">
        <v>-110.9</v>
      </c>
      <c r="Q22">
        <v>-110.9</v>
      </c>
      <c r="R22" t="s">
        <v>73</v>
      </c>
      <c r="S22">
        <v>111</v>
      </c>
      <c r="T22">
        <v>111</v>
      </c>
      <c r="U22" t="s">
        <v>73</v>
      </c>
      <c r="V22">
        <v>10</v>
      </c>
      <c r="W22" t="s">
        <v>97</v>
      </c>
      <c r="X22">
        <v>-107</v>
      </c>
      <c r="Y22">
        <v>0.52</v>
      </c>
      <c r="Z22">
        <v>-111</v>
      </c>
      <c r="AA22">
        <v>0.52606600000000003</v>
      </c>
      <c r="AB22">
        <v>0.51518730487035702</v>
      </c>
      <c r="AC22">
        <v>656427</v>
      </c>
      <c r="AD22" t="b">
        <v>0</v>
      </c>
      <c r="AE22">
        <v>185.7</v>
      </c>
      <c r="AF22">
        <v>-101.1</v>
      </c>
      <c r="AG22">
        <v>-101.1</v>
      </c>
      <c r="AH22" t="s">
        <v>73</v>
      </c>
      <c r="AI22">
        <v>-111</v>
      </c>
      <c r="AJ22">
        <v>-111</v>
      </c>
      <c r="AK22" t="s">
        <v>73</v>
      </c>
      <c r="AL22" t="s">
        <v>749</v>
      </c>
      <c r="AM22" t="s">
        <v>109</v>
      </c>
      <c r="AN22">
        <v>15</v>
      </c>
      <c r="AO22">
        <v>0.6</v>
      </c>
      <c r="AP22">
        <v>0.48</v>
      </c>
      <c r="AQ22">
        <v>-3.5189999999999999E-2</v>
      </c>
      <c r="AR22">
        <v>108.3</v>
      </c>
      <c r="AS22" t="s">
        <v>109</v>
      </c>
      <c r="AT22">
        <v>1</v>
      </c>
      <c r="AU22">
        <v>1.02</v>
      </c>
      <c r="AV22" t="s">
        <v>750</v>
      </c>
      <c r="AW22" t="s">
        <v>109</v>
      </c>
      <c r="AX22">
        <v>41</v>
      </c>
      <c r="AY22">
        <v>1</v>
      </c>
      <c r="AZ22">
        <v>0.44</v>
      </c>
      <c r="BA22">
        <v>-7.5190000000000007E-2</v>
      </c>
      <c r="BB22">
        <v>127.3</v>
      </c>
      <c r="BC22" t="s">
        <v>109</v>
      </c>
      <c r="BD22">
        <v>1</v>
      </c>
      <c r="BE22">
        <v>1.02</v>
      </c>
      <c r="BF22" t="s">
        <v>109</v>
      </c>
      <c r="BG22">
        <v>-3.5189999999999999E-2</v>
      </c>
      <c r="BH22">
        <v>0</v>
      </c>
      <c r="BI22">
        <v>0</v>
      </c>
      <c r="BJ22">
        <v>5</v>
      </c>
      <c r="BK22">
        <v>0.6</v>
      </c>
      <c r="BL22" t="s">
        <v>163</v>
      </c>
    </row>
    <row r="23" spans="1:64" x14ac:dyDescent="0.2">
      <c r="A23">
        <v>823857</v>
      </c>
      <c r="B23" t="s">
        <v>164</v>
      </c>
      <c r="C23" s="3">
        <v>46180</v>
      </c>
      <c r="D23">
        <v>6.1</v>
      </c>
      <c r="E23">
        <v>2</v>
      </c>
      <c r="F23">
        <v>27</v>
      </c>
      <c r="G23" t="s">
        <v>101</v>
      </c>
      <c r="H23">
        <v>-106</v>
      </c>
      <c r="I23">
        <v>0.51</v>
      </c>
      <c r="J23">
        <v>-103</v>
      </c>
      <c r="K23">
        <v>0.50738899999999998</v>
      </c>
      <c r="L23">
        <v>0.49764315642458001</v>
      </c>
      <c r="M23">
        <v>643377</v>
      </c>
      <c r="N23" t="b">
        <v>0</v>
      </c>
      <c r="O23">
        <v>122.2</v>
      </c>
      <c r="P23">
        <v>-101.8</v>
      </c>
      <c r="Q23">
        <v>-101.8</v>
      </c>
      <c r="R23" t="s">
        <v>73</v>
      </c>
      <c r="S23">
        <v>182.4</v>
      </c>
      <c r="T23">
        <v>182.4</v>
      </c>
      <c r="U23" t="s">
        <v>78</v>
      </c>
      <c r="V23">
        <v>11</v>
      </c>
      <c r="W23" t="s">
        <v>103</v>
      </c>
      <c r="X23">
        <v>-102</v>
      </c>
      <c r="Y23">
        <v>0.5</v>
      </c>
      <c r="Z23">
        <v>-105</v>
      </c>
      <c r="AA23">
        <v>0.51219499999999996</v>
      </c>
      <c r="AB23">
        <v>0.50235684357541799</v>
      </c>
      <c r="AC23">
        <v>645261</v>
      </c>
      <c r="AD23" t="b">
        <v>0</v>
      </c>
      <c r="AE23">
        <v>-100</v>
      </c>
      <c r="AF23">
        <v>-101.2</v>
      </c>
      <c r="AG23">
        <v>-101.2</v>
      </c>
      <c r="AH23" t="s">
        <v>73</v>
      </c>
      <c r="AI23">
        <v>-182.4</v>
      </c>
      <c r="AJ23" t="s">
        <v>165</v>
      </c>
      <c r="AK23" t="s">
        <v>81</v>
      </c>
      <c r="AL23" t="s">
        <v>166</v>
      </c>
      <c r="AM23" t="s">
        <v>75</v>
      </c>
      <c r="AN23">
        <v>15</v>
      </c>
      <c r="AO23">
        <v>0.73</v>
      </c>
      <c r="AP23">
        <v>0.51</v>
      </c>
      <c r="AQ23">
        <v>7.6400000000000001E-3</v>
      </c>
      <c r="AR23">
        <v>-104.1</v>
      </c>
      <c r="AS23" t="s">
        <v>75</v>
      </c>
      <c r="AT23">
        <v>1</v>
      </c>
      <c r="AU23">
        <v>0.95199999999999996</v>
      </c>
      <c r="AV23" t="s">
        <v>167</v>
      </c>
      <c r="AW23" t="s">
        <v>75</v>
      </c>
      <c r="AX23">
        <v>41</v>
      </c>
      <c r="AY23">
        <v>0.95</v>
      </c>
      <c r="AZ23">
        <v>0.53</v>
      </c>
      <c r="BA23">
        <v>2.7640000000000001E-2</v>
      </c>
      <c r="BB23">
        <v>-112.8</v>
      </c>
      <c r="BC23" t="s">
        <v>75</v>
      </c>
      <c r="BD23">
        <v>1</v>
      </c>
      <c r="BE23">
        <v>0.95199999999999996</v>
      </c>
      <c r="BF23" t="s">
        <v>75</v>
      </c>
      <c r="BG23">
        <v>7.6400000000000001E-3</v>
      </c>
      <c r="BH23">
        <v>0</v>
      </c>
      <c r="BI23">
        <v>0</v>
      </c>
      <c r="BJ23">
        <v>1</v>
      </c>
      <c r="BK23">
        <v>0.73</v>
      </c>
      <c r="BL23" t="s">
        <v>168</v>
      </c>
    </row>
    <row r="24" spans="1:64" x14ac:dyDescent="0.2">
      <c r="A24">
        <v>824183</v>
      </c>
      <c r="B24" t="s">
        <v>169</v>
      </c>
      <c r="C24" s="3">
        <v>46180</v>
      </c>
      <c r="D24">
        <v>6.1</v>
      </c>
      <c r="E24">
        <v>2</v>
      </c>
      <c r="F24">
        <v>20</v>
      </c>
      <c r="G24" t="s">
        <v>107</v>
      </c>
      <c r="H24">
        <v>-103</v>
      </c>
      <c r="I24">
        <v>0.51</v>
      </c>
      <c r="J24">
        <v>-103</v>
      </c>
      <c r="K24">
        <v>0.50738899999999998</v>
      </c>
      <c r="L24">
        <v>0.49764315642458001</v>
      </c>
      <c r="M24">
        <v>695611</v>
      </c>
      <c r="N24" t="b">
        <v>0</v>
      </c>
      <c r="O24">
        <v>185.7</v>
      </c>
      <c r="P24">
        <v>-100.2</v>
      </c>
      <c r="Q24">
        <v>-100.2</v>
      </c>
      <c r="R24" t="s">
        <v>73</v>
      </c>
      <c r="S24">
        <v>-105.3</v>
      </c>
      <c r="T24">
        <v>-105.3</v>
      </c>
      <c r="U24" t="s">
        <v>73</v>
      </c>
      <c r="V24">
        <v>12</v>
      </c>
      <c r="W24" t="s">
        <v>108</v>
      </c>
      <c r="X24">
        <v>-105</v>
      </c>
      <c r="Y24">
        <v>0.51</v>
      </c>
      <c r="Z24">
        <v>-105</v>
      </c>
      <c r="AA24">
        <v>0.51219499999999996</v>
      </c>
      <c r="AB24">
        <v>0.50235684357541799</v>
      </c>
      <c r="AC24">
        <v>681347</v>
      </c>
      <c r="AD24" t="b">
        <v>0</v>
      </c>
      <c r="AE24">
        <v>-150</v>
      </c>
      <c r="AF24">
        <v>103.2</v>
      </c>
      <c r="AG24">
        <v>103.2</v>
      </c>
      <c r="AH24" t="s">
        <v>73</v>
      </c>
      <c r="AI24">
        <v>105.3</v>
      </c>
      <c r="AJ24">
        <v>105.3</v>
      </c>
      <c r="AK24" t="s">
        <v>73</v>
      </c>
      <c r="AL24" t="s">
        <v>751</v>
      </c>
      <c r="AM24" t="s">
        <v>109</v>
      </c>
      <c r="AN24">
        <v>15</v>
      </c>
      <c r="AO24">
        <v>0.87</v>
      </c>
      <c r="AP24">
        <v>0.47</v>
      </c>
      <c r="AQ24">
        <v>-3.236E-2</v>
      </c>
      <c r="AR24">
        <v>112.8</v>
      </c>
      <c r="AS24" t="s">
        <v>109</v>
      </c>
      <c r="AT24">
        <v>1</v>
      </c>
      <c r="AU24">
        <v>0.97099999999999997</v>
      </c>
      <c r="AV24" t="s">
        <v>752</v>
      </c>
      <c r="AW24" t="s">
        <v>109</v>
      </c>
      <c r="AX24">
        <v>41</v>
      </c>
      <c r="AY24">
        <v>0.85</v>
      </c>
      <c r="AZ24">
        <v>0.47</v>
      </c>
      <c r="BA24">
        <v>-3.236E-2</v>
      </c>
      <c r="BB24">
        <v>112.8</v>
      </c>
      <c r="BC24" t="s">
        <v>109</v>
      </c>
      <c r="BD24">
        <v>1</v>
      </c>
      <c r="BE24">
        <v>0.97099999999999997</v>
      </c>
      <c r="BF24" t="s">
        <v>109</v>
      </c>
      <c r="BG24">
        <v>-3.236E-2</v>
      </c>
      <c r="BH24">
        <v>0</v>
      </c>
      <c r="BI24">
        <v>0</v>
      </c>
      <c r="BJ24">
        <v>5</v>
      </c>
      <c r="BK24">
        <v>0.87</v>
      </c>
      <c r="BL24" t="s">
        <v>694</v>
      </c>
    </row>
    <row r="25" spans="1:64" x14ac:dyDescent="0.2">
      <c r="A25">
        <v>823941</v>
      </c>
      <c r="B25" t="s">
        <v>170</v>
      </c>
      <c r="C25" s="3">
        <v>46180</v>
      </c>
      <c r="D25">
        <v>6.1</v>
      </c>
      <c r="E25">
        <v>2</v>
      </c>
      <c r="F25">
        <v>4</v>
      </c>
      <c r="G25" t="s">
        <v>111</v>
      </c>
      <c r="H25">
        <v>182</v>
      </c>
      <c r="I25">
        <v>0.35</v>
      </c>
      <c r="J25">
        <v>187</v>
      </c>
      <c r="K25">
        <v>0.34843200000000002</v>
      </c>
      <c r="L25">
        <v>0.34105331160345898</v>
      </c>
      <c r="M25">
        <v>667755</v>
      </c>
      <c r="N25" t="b">
        <v>0</v>
      </c>
      <c r="O25">
        <v>150</v>
      </c>
      <c r="P25">
        <v>111.2</v>
      </c>
      <c r="Q25">
        <v>111.2</v>
      </c>
      <c r="R25" t="s">
        <v>78</v>
      </c>
      <c r="S25">
        <v>-101</v>
      </c>
      <c r="T25">
        <v>-101</v>
      </c>
      <c r="U25" t="s">
        <v>73</v>
      </c>
      <c r="V25">
        <v>14</v>
      </c>
      <c r="W25" t="s">
        <v>113</v>
      </c>
      <c r="X25">
        <v>-200</v>
      </c>
      <c r="Y25">
        <v>0.67</v>
      </c>
      <c r="Z25">
        <v>-206</v>
      </c>
      <c r="AA25">
        <v>0.673203</v>
      </c>
      <c r="AB25">
        <v>0.65894668839654003</v>
      </c>
      <c r="AC25">
        <v>686218</v>
      </c>
      <c r="AD25" t="b">
        <v>0</v>
      </c>
      <c r="AE25">
        <v>-300</v>
      </c>
      <c r="AF25">
        <v>-116.5</v>
      </c>
      <c r="AG25" t="s">
        <v>171</v>
      </c>
      <c r="AH25" t="s">
        <v>81</v>
      </c>
      <c r="AI25">
        <v>101</v>
      </c>
      <c r="AJ25">
        <v>101</v>
      </c>
      <c r="AK25" t="s">
        <v>73</v>
      </c>
      <c r="AL25" t="s">
        <v>172</v>
      </c>
      <c r="AM25" t="s">
        <v>75</v>
      </c>
      <c r="AN25">
        <v>15</v>
      </c>
      <c r="AO25">
        <v>0.8</v>
      </c>
      <c r="AP25">
        <v>0.56000000000000005</v>
      </c>
      <c r="AQ25">
        <v>-9.8949999999999996E-2</v>
      </c>
      <c r="AR25">
        <v>-127.3</v>
      </c>
      <c r="AS25" t="s">
        <v>75</v>
      </c>
      <c r="AT25">
        <v>0</v>
      </c>
      <c r="AU25">
        <v>0</v>
      </c>
      <c r="AV25" t="s">
        <v>173</v>
      </c>
      <c r="AW25" t="s">
        <v>75</v>
      </c>
      <c r="AX25">
        <v>41</v>
      </c>
      <c r="AY25">
        <v>0.88</v>
      </c>
      <c r="AZ25">
        <v>0.53</v>
      </c>
      <c r="BA25">
        <v>-0.12895000000000001</v>
      </c>
      <c r="BB25">
        <v>-112.8</v>
      </c>
      <c r="BC25" t="s">
        <v>75</v>
      </c>
      <c r="BD25">
        <v>0</v>
      </c>
      <c r="BE25">
        <v>0</v>
      </c>
      <c r="BF25" t="s">
        <v>83</v>
      </c>
      <c r="BG25">
        <v>0</v>
      </c>
      <c r="BH25">
        <v>0</v>
      </c>
      <c r="BI25">
        <v>0</v>
      </c>
      <c r="BJ25">
        <v>0</v>
      </c>
      <c r="BK25">
        <v>0</v>
      </c>
      <c r="BL25" t="s">
        <v>174</v>
      </c>
    </row>
    <row r="26" spans="1:64" x14ac:dyDescent="0.2">
      <c r="A26">
        <v>823696</v>
      </c>
      <c r="B26" t="s">
        <v>175</v>
      </c>
      <c r="C26" s="3">
        <v>46180</v>
      </c>
      <c r="D26">
        <v>6.1</v>
      </c>
      <c r="E26">
        <v>2</v>
      </c>
      <c r="F26">
        <v>13</v>
      </c>
      <c r="G26" t="s">
        <v>118</v>
      </c>
      <c r="H26">
        <v>-106</v>
      </c>
      <c r="I26">
        <v>0.51</v>
      </c>
      <c r="J26">
        <v>-116</v>
      </c>
      <c r="K26">
        <v>0.53703699999999999</v>
      </c>
      <c r="L26">
        <v>0.52644028353276795</v>
      </c>
      <c r="M26">
        <v>702070</v>
      </c>
      <c r="N26" t="b">
        <v>0</v>
      </c>
      <c r="O26">
        <v>185.7</v>
      </c>
      <c r="P26">
        <v>102.3</v>
      </c>
      <c r="Q26">
        <v>102.3</v>
      </c>
      <c r="R26" t="s">
        <v>73</v>
      </c>
      <c r="S26">
        <v>104.4</v>
      </c>
      <c r="T26">
        <v>104.4</v>
      </c>
      <c r="U26" t="s">
        <v>73</v>
      </c>
      <c r="V26">
        <v>15</v>
      </c>
      <c r="W26" t="s">
        <v>119</v>
      </c>
      <c r="X26">
        <v>-102</v>
      </c>
      <c r="Y26">
        <v>0.5</v>
      </c>
      <c r="Z26">
        <v>107</v>
      </c>
      <c r="AA26">
        <v>0.48309200000000002</v>
      </c>
      <c r="AB26">
        <v>0.473559716467231</v>
      </c>
      <c r="AC26">
        <v>687570</v>
      </c>
      <c r="AD26" t="b">
        <v>0</v>
      </c>
      <c r="AE26">
        <v>-100</v>
      </c>
      <c r="AF26">
        <v>109.1</v>
      </c>
      <c r="AG26">
        <v>109.1</v>
      </c>
      <c r="AH26" t="s">
        <v>73</v>
      </c>
      <c r="AI26">
        <v>-104.4</v>
      </c>
      <c r="AJ26">
        <v>-104.4</v>
      </c>
      <c r="AK26" t="s">
        <v>73</v>
      </c>
      <c r="AL26" t="s">
        <v>176</v>
      </c>
      <c r="AM26" t="s">
        <v>94</v>
      </c>
      <c r="AN26">
        <v>15</v>
      </c>
      <c r="AO26">
        <v>0.8</v>
      </c>
      <c r="AP26">
        <v>0.48</v>
      </c>
      <c r="AQ26">
        <v>6.4400000000000004E-3</v>
      </c>
      <c r="AR26">
        <v>108.3</v>
      </c>
      <c r="AS26" t="s">
        <v>94</v>
      </c>
      <c r="AT26">
        <v>0</v>
      </c>
      <c r="AU26">
        <v>0</v>
      </c>
      <c r="AV26" t="s">
        <v>177</v>
      </c>
      <c r="AW26" t="s">
        <v>94</v>
      </c>
      <c r="AX26">
        <v>41</v>
      </c>
      <c r="AY26">
        <v>0.54</v>
      </c>
      <c r="AZ26">
        <v>0.49</v>
      </c>
      <c r="BA26">
        <v>1.644E-2</v>
      </c>
      <c r="BB26">
        <v>104.1</v>
      </c>
      <c r="BC26" t="s">
        <v>94</v>
      </c>
      <c r="BD26">
        <v>0</v>
      </c>
      <c r="BE26">
        <v>0</v>
      </c>
      <c r="BF26" t="s">
        <v>83</v>
      </c>
      <c r="BG26">
        <v>0</v>
      </c>
      <c r="BH26">
        <v>0</v>
      </c>
      <c r="BI26">
        <v>0</v>
      </c>
      <c r="BJ26">
        <v>0</v>
      </c>
      <c r="BK26">
        <v>0</v>
      </c>
      <c r="BL26" t="s">
        <v>178</v>
      </c>
    </row>
    <row r="27" spans="1:64" x14ac:dyDescent="0.2">
      <c r="A27">
        <v>823537</v>
      </c>
      <c r="B27" t="s">
        <v>179</v>
      </c>
      <c r="C27" s="3">
        <v>46180</v>
      </c>
      <c r="D27">
        <v>6.1</v>
      </c>
      <c r="E27">
        <v>2</v>
      </c>
      <c r="F27">
        <v>3</v>
      </c>
      <c r="G27" t="s">
        <v>122</v>
      </c>
      <c r="H27">
        <v>135</v>
      </c>
      <c r="I27">
        <v>0.43</v>
      </c>
      <c r="J27">
        <v>128</v>
      </c>
      <c r="K27">
        <v>0.43859599999999999</v>
      </c>
      <c r="L27">
        <v>0.42991768167765398</v>
      </c>
      <c r="M27">
        <v>624133</v>
      </c>
      <c r="N27" t="b">
        <v>0</v>
      </c>
      <c r="O27">
        <v>122.2</v>
      </c>
      <c r="P27">
        <v>-106.3</v>
      </c>
      <c r="Q27">
        <v>-106.3</v>
      </c>
      <c r="R27" t="s">
        <v>73</v>
      </c>
      <c r="S27">
        <v>121.2</v>
      </c>
      <c r="T27">
        <v>121.2</v>
      </c>
      <c r="U27" t="s">
        <v>73</v>
      </c>
      <c r="V27">
        <v>19</v>
      </c>
      <c r="W27" t="s">
        <v>123</v>
      </c>
      <c r="X27">
        <v>-147</v>
      </c>
      <c r="Y27">
        <v>0.6</v>
      </c>
      <c r="Z27">
        <v>-139</v>
      </c>
      <c r="AA27">
        <v>0.58159000000000005</v>
      </c>
      <c r="AB27">
        <v>0.57008231832234502</v>
      </c>
      <c r="AC27">
        <v>693645</v>
      </c>
      <c r="AD27" t="b">
        <v>0</v>
      </c>
      <c r="AE27">
        <v>-100</v>
      </c>
      <c r="AF27">
        <v>-111.3</v>
      </c>
      <c r="AG27" t="s">
        <v>180</v>
      </c>
      <c r="AH27" t="s">
        <v>81</v>
      </c>
      <c r="AI27">
        <v>-121.2</v>
      </c>
      <c r="AJ27">
        <v>-121.2</v>
      </c>
      <c r="AK27" t="s">
        <v>73</v>
      </c>
      <c r="AL27" t="s">
        <v>753</v>
      </c>
      <c r="AM27" t="s">
        <v>75</v>
      </c>
      <c r="AN27">
        <v>15</v>
      </c>
      <c r="AO27">
        <v>0.93</v>
      </c>
      <c r="AP27">
        <v>0.54</v>
      </c>
      <c r="AQ27">
        <v>-3.0079999999999999E-2</v>
      </c>
      <c r="AR27">
        <v>-117.4</v>
      </c>
      <c r="AS27" t="s">
        <v>75</v>
      </c>
      <c r="AT27">
        <v>0</v>
      </c>
      <c r="AU27">
        <v>0</v>
      </c>
      <c r="AV27" t="s">
        <v>754</v>
      </c>
      <c r="AW27" t="s">
        <v>75</v>
      </c>
      <c r="AX27">
        <v>41</v>
      </c>
      <c r="AY27">
        <v>0.93</v>
      </c>
      <c r="AZ27">
        <v>0.54</v>
      </c>
      <c r="BA27">
        <v>-3.0079999999999999E-2</v>
      </c>
      <c r="BB27">
        <v>-117.4</v>
      </c>
      <c r="BC27" t="s">
        <v>75</v>
      </c>
      <c r="BD27">
        <v>0</v>
      </c>
      <c r="BE27">
        <v>0</v>
      </c>
      <c r="BF27" t="s">
        <v>83</v>
      </c>
      <c r="BG27">
        <v>0</v>
      </c>
      <c r="BH27">
        <v>0</v>
      </c>
      <c r="BI27">
        <v>0</v>
      </c>
      <c r="BJ27">
        <v>0</v>
      </c>
      <c r="BK27">
        <v>0</v>
      </c>
      <c r="BL27" t="s">
        <v>181</v>
      </c>
    </row>
    <row r="28" spans="1:64" x14ac:dyDescent="0.2">
      <c r="A28">
        <v>823453</v>
      </c>
      <c r="B28" t="s">
        <v>182</v>
      </c>
      <c r="C28" s="3">
        <v>46180</v>
      </c>
      <c r="D28">
        <v>6.1</v>
      </c>
      <c r="E28">
        <v>2</v>
      </c>
      <c r="F28">
        <v>9</v>
      </c>
      <c r="G28" t="s">
        <v>125</v>
      </c>
      <c r="H28">
        <v>150</v>
      </c>
      <c r="I28">
        <v>0.4</v>
      </c>
      <c r="J28">
        <v>149</v>
      </c>
      <c r="K28">
        <v>0.40160600000000002</v>
      </c>
      <c r="L28">
        <v>0.39320016683343401</v>
      </c>
      <c r="M28">
        <v>656457</v>
      </c>
      <c r="N28" t="b">
        <v>0</v>
      </c>
      <c r="O28">
        <v>-150</v>
      </c>
      <c r="P28">
        <v>104.4</v>
      </c>
      <c r="Q28">
        <v>104.4</v>
      </c>
      <c r="R28" t="s">
        <v>73</v>
      </c>
      <c r="S28">
        <v>533</v>
      </c>
      <c r="T28">
        <v>533</v>
      </c>
      <c r="U28" t="s">
        <v>126</v>
      </c>
      <c r="V28">
        <v>21</v>
      </c>
      <c r="W28" t="s">
        <v>127</v>
      </c>
      <c r="X28">
        <v>-163</v>
      </c>
      <c r="Y28">
        <v>0.62</v>
      </c>
      <c r="Z28">
        <v>-163</v>
      </c>
      <c r="AA28">
        <v>0.61977199999999999</v>
      </c>
      <c r="AB28">
        <v>0.60679983316656505</v>
      </c>
      <c r="AC28">
        <v>605400</v>
      </c>
      <c r="AD28" t="b">
        <v>0</v>
      </c>
      <c r="AE28">
        <v>-185.7</v>
      </c>
      <c r="AF28">
        <v>-107</v>
      </c>
      <c r="AG28">
        <v>-107</v>
      </c>
      <c r="AH28" t="s">
        <v>73</v>
      </c>
      <c r="AI28">
        <v>-533</v>
      </c>
      <c r="AJ28">
        <v>-533</v>
      </c>
      <c r="AK28" t="s">
        <v>128</v>
      </c>
      <c r="AL28" t="s">
        <v>183</v>
      </c>
      <c r="AM28" t="s">
        <v>75</v>
      </c>
      <c r="AN28">
        <v>15</v>
      </c>
      <c r="AO28">
        <v>1</v>
      </c>
      <c r="AP28">
        <v>0.56000000000000005</v>
      </c>
      <c r="AQ28">
        <v>-4.6800000000000001E-2</v>
      </c>
      <c r="AR28">
        <v>-127.3</v>
      </c>
      <c r="AS28" t="s">
        <v>75</v>
      </c>
      <c r="AT28">
        <v>0</v>
      </c>
      <c r="AU28">
        <v>0</v>
      </c>
      <c r="AV28" t="s">
        <v>184</v>
      </c>
      <c r="AW28" t="s">
        <v>75</v>
      </c>
      <c r="AX28">
        <v>41</v>
      </c>
      <c r="AY28">
        <v>0.98</v>
      </c>
      <c r="AZ28">
        <v>0.54</v>
      </c>
      <c r="BA28">
        <v>-6.6799999999999998E-2</v>
      </c>
      <c r="BB28">
        <v>-117.4</v>
      </c>
      <c r="BC28" t="s">
        <v>75</v>
      </c>
      <c r="BD28">
        <v>0</v>
      </c>
      <c r="BE28">
        <v>0</v>
      </c>
      <c r="BF28" t="s">
        <v>83</v>
      </c>
      <c r="BG28">
        <v>0</v>
      </c>
      <c r="BH28">
        <v>0</v>
      </c>
      <c r="BI28">
        <v>0</v>
      </c>
      <c r="BJ28">
        <v>0</v>
      </c>
      <c r="BK28">
        <v>0</v>
      </c>
      <c r="BL28" t="s">
        <v>185</v>
      </c>
    </row>
    <row r="29" spans="1:64" x14ac:dyDescent="0.2">
      <c r="A29">
        <v>823291</v>
      </c>
      <c r="B29" t="s">
        <v>186</v>
      </c>
      <c r="C29" s="3">
        <v>46180</v>
      </c>
      <c r="D29">
        <v>6.1</v>
      </c>
      <c r="E29">
        <v>2</v>
      </c>
      <c r="F29">
        <v>18</v>
      </c>
      <c r="G29" t="s">
        <v>129</v>
      </c>
      <c r="H29">
        <v>-105</v>
      </c>
      <c r="I29">
        <v>0.51</v>
      </c>
      <c r="J29">
        <v>-105</v>
      </c>
      <c r="K29">
        <v>0.51219499999999996</v>
      </c>
      <c r="L29">
        <v>0.50235684357541799</v>
      </c>
      <c r="M29">
        <v>623211</v>
      </c>
      <c r="N29" t="b">
        <v>0</v>
      </c>
      <c r="O29">
        <v>-100</v>
      </c>
      <c r="P29">
        <v>105.8</v>
      </c>
      <c r="Q29">
        <v>105.8</v>
      </c>
      <c r="R29" t="s">
        <v>73</v>
      </c>
      <c r="S29">
        <v>430</v>
      </c>
      <c r="T29">
        <v>430</v>
      </c>
      <c r="U29" t="s">
        <v>126</v>
      </c>
      <c r="V29">
        <v>23</v>
      </c>
      <c r="W29" t="s">
        <v>130</v>
      </c>
      <c r="X29">
        <v>-103</v>
      </c>
      <c r="Y29">
        <v>0.51</v>
      </c>
      <c r="Z29">
        <v>-103</v>
      </c>
      <c r="AA29">
        <v>0.50738899999999998</v>
      </c>
      <c r="AB29">
        <v>0.49764315642458001</v>
      </c>
      <c r="AC29">
        <v>681190</v>
      </c>
      <c r="AD29" t="b">
        <v>0</v>
      </c>
      <c r="AE29">
        <v>150</v>
      </c>
      <c r="AF29">
        <v>-102.1</v>
      </c>
      <c r="AG29">
        <v>-102.1</v>
      </c>
      <c r="AH29" t="s">
        <v>73</v>
      </c>
      <c r="AI29">
        <v>-430</v>
      </c>
      <c r="AJ29">
        <v>-430</v>
      </c>
      <c r="AK29" t="s">
        <v>128</v>
      </c>
      <c r="AL29" t="s">
        <v>755</v>
      </c>
      <c r="AM29" t="s">
        <v>187</v>
      </c>
      <c r="AN29">
        <v>15</v>
      </c>
      <c r="AO29">
        <v>0.6</v>
      </c>
      <c r="AP29">
        <v>0.51</v>
      </c>
      <c r="AQ29">
        <v>1.2359999999999999E-2</v>
      </c>
      <c r="AR29">
        <v>-104.1</v>
      </c>
      <c r="AS29" t="s">
        <v>187</v>
      </c>
      <c r="AT29">
        <v>1</v>
      </c>
      <c r="AU29">
        <v>0.97099999999999997</v>
      </c>
      <c r="AV29" t="s">
        <v>756</v>
      </c>
      <c r="AW29" t="s">
        <v>187</v>
      </c>
      <c r="AX29">
        <v>41</v>
      </c>
      <c r="AY29">
        <v>0.98</v>
      </c>
      <c r="AZ29">
        <v>0.53</v>
      </c>
      <c r="BA29">
        <v>3.236E-2</v>
      </c>
      <c r="BB29">
        <v>-112.8</v>
      </c>
      <c r="BC29" t="s">
        <v>187</v>
      </c>
      <c r="BD29">
        <v>1</v>
      </c>
      <c r="BE29">
        <v>0.97099999999999997</v>
      </c>
      <c r="BF29" t="s">
        <v>187</v>
      </c>
      <c r="BG29">
        <v>1.2359999999999999E-2</v>
      </c>
      <c r="BH29">
        <v>0</v>
      </c>
      <c r="BI29">
        <v>0</v>
      </c>
      <c r="BJ29">
        <v>5</v>
      </c>
      <c r="BK29">
        <v>0.6</v>
      </c>
      <c r="BL29" t="s">
        <v>188</v>
      </c>
    </row>
    <row r="30" spans="1:64" x14ac:dyDescent="0.2">
      <c r="A30">
        <v>823047</v>
      </c>
      <c r="B30" t="s">
        <v>189</v>
      </c>
      <c r="C30" s="3">
        <v>46180</v>
      </c>
      <c r="D30">
        <v>6.1</v>
      </c>
      <c r="E30">
        <v>2</v>
      </c>
      <c r="F30">
        <v>6</v>
      </c>
      <c r="G30" t="s">
        <v>133</v>
      </c>
      <c r="H30">
        <v>125</v>
      </c>
      <c r="I30">
        <v>0.44</v>
      </c>
      <c r="J30">
        <v>130</v>
      </c>
      <c r="K30">
        <v>0.43478299999999998</v>
      </c>
      <c r="L30">
        <v>0.42632262745809402</v>
      </c>
      <c r="M30">
        <v>695076</v>
      </c>
      <c r="N30" t="b">
        <v>0</v>
      </c>
      <c r="O30">
        <v>150</v>
      </c>
      <c r="P30">
        <v>107.8</v>
      </c>
      <c r="Q30">
        <v>107.8</v>
      </c>
      <c r="R30" t="s">
        <v>78</v>
      </c>
      <c r="S30">
        <v>102.4</v>
      </c>
      <c r="T30">
        <v>102.4</v>
      </c>
      <c r="U30" t="s">
        <v>73</v>
      </c>
      <c r="V30">
        <v>26</v>
      </c>
      <c r="W30" t="s">
        <v>134</v>
      </c>
      <c r="X30">
        <v>-136</v>
      </c>
      <c r="Y30">
        <v>0.57999999999999996</v>
      </c>
      <c r="Z30">
        <v>-141</v>
      </c>
      <c r="AA30">
        <v>0.58506199999999997</v>
      </c>
      <c r="AB30">
        <v>0.57367737254190498</v>
      </c>
      <c r="AC30">
        <v>700241</v>
      </c>
      <c r="AD30" t="b">
        <v>0</v>
      </c>
      <c r="AE30">
        <v>-100</v>
      </c>
      <c r="AF30">
        <v>108.9</v>
      </c>
      <c r="AG30">
        <v>108.9</v>
      </c>
      <c r="AH30" t="s">
        <v>73</v>
      </c>
      <c r="AI30">
        <v>-102.4</v>
      </c>
      <c r="AJ30">
        <v>-102.4</v>
      </c>
      <c r="AK30" t="s">
        <v>73</v>
      </c>
      <c r="AL30" t="s">
        <v>190</v>
      </c>
      <c r="AM30" t="s">
        <v>75</v>
      </c>
      <c r="AN30">
        <v>15</v>
      </c>
      <c r="AO30">
        <v>1</v>
      </c>
      <c r="AP30">
        <v>0.56999999999999995</v>
      </c>
      <c r="AQ30">
        <v>-3.6800000000000001E-3</v>
      </c>
      <c r="AR30">
        <v>-132.6</v>
      </c>
      <c r="AS30" t="s">
        <v>75</v>
      </c>
      <c r="AT30">
        <v>0</v>
      </c>
      <c r="AU30">
        <v>0</v>
      </c>
      <c r="AV30" t="s">
        <v>191</v>
      </c>
      <c r="AW30" t="s">
        <v>75</v>
      </c>
      <c r="AX30">
        <v>41</v>
      </c>
      <c r="AY30">
        <v>1</v>
      </c>
      <c r="AZ30">
        <v>0.56000000000000005</v>
      </c>
      <c r="BA30">
        <v>-1.3679999999999999E-2</v>
      </c>
      <c r="BB30">
        <v>-127.3</v>
      </c>
      <c r="BC30" t="s">
        <v>75</v>
      </c>
      <c r="BD30">
        <v>0</v>
      </c>
      <c r="BE30">
        <v>0</v>
      </c>
      <c r="BF30" t="s">
        <v>83</v>
      </c>
      <c r="BG30">
        <v>0</v>
      </c>
      <c r="BH30">
        <v>0</v>
      </c>
      <c r="BI30">
        <v>0</v>
      </c>
      <c r="BJ30">
        <v>0</v>
      </c>
      <c r="BK30">
        <v>0</v>
      </c>
      <c r="BL30" t="s">
        <v>192</v>
      </c>
    </row>
    <row r="31" spans="1:64" x14ac:dyDescent="0.2">
      <c r="A31">
        <v>822890</v>
      </c>
      <c r="B31" t="s">
        <v>193</v>
      </c>
      <c r="C31" s="3">
        <v>46180</v>
      </c>
      <c r="D31">
        <v>6.1</v>
      </c>
      <c r="E31">
        <v>2</v>
      </c>
      <c r="F31">
        <v>7</v>
      </c>
      <c r="G31" t="s">
        <v>137</v>
      </c>
      <c r="H31">
        <v>127</v>
      </c>
      <c r="I31">
        <v>0.44</v>
      </c>
      <c r="J31">
        <v>126</v>
      </c>
      <c r="K31">
        <v>0.44247799999999998</v>
      </c>
      <c r="L31">
        <v>0.43357369698501802</v>
      </c>
      <c r="M31">
        <v>676282</v>
      </c>
      <c r="N31" t="b">
        <v>0</v>
      </c>
      <c r="O31">
        <v>-185.7</v>
      </c>
      <c r="P31">
        <v>-101</v>
      </c>
      <c r="Q31">
        <v>-101</v>
      </c>
      <c r="R31" t="s">
        <v>73</v>
      </c>
      <c r="S31">
        <v>133.5</v>
      </c>
      <c r="T31">
        <v>133.5</v>
      </c>
      <c r="U31" t="s">
        <v>73</v>
      </c>
      <c r="V31">
        <v>28</v>
      </c>
      <c r="W31" t="s">
        <v>138</v>
      </c>
      <c r="X31">
        <v>-137</v>
      </c>
      <c r="Y31">
        <v>0.57999999999999996</v>
      </c>
      <c r="Z31">
        <v>-137</v>
      </c>
      <c r="AA31">
        <v>0.57805899999999999</v>
      </c>
      <c r="AB31">
        <v>0.56642630301498098</v>
      </c>
      <c r="AC31">
        <v>594798</v>
      </c>
      <c r="AD31" t="b">
        <v>0</v>
      </c>
      <c r="AE31">
        <v>-100</v>
      </c>
      <c r="AF31">
        <v>-104.9</v>
      </c>
      <c r="AG31">
        <v>-104.9</v>
      </c>
      <c r="AH31" t="s">
        <v>73</v>
      </c>
      <c r="AI31">
        <v>-133.5</v>
      </c>
      <c r="AJ31">
        <v>-133.5</v>
      </c>
      <c r="AK31" t="s">
        <v>73</v>
      </c>
      <c r="AL31" t="s">
        <v>757</v>
      </c>
      <c r="AM31" t="s">
        <v>75</v>
      </c>
      <c r="AN31">
        <v>15</v>
      </c>
      <c r="AO31">
        <v>1</v>
      </c>
      <c r="AP31">
        <v>0.56000000000000005</v>
      </c>
      <c r="AQ31">
        <v>-6.43E-3</v>
      </c>
      <c r="AR31">
        <v>-127.3</v>
      </c>
      <c r="AS31" t="s">
        <v>75</v>
      </c>
      <c r="AT31">
        <v>0</v>
      </c>
      <c r="AU31">
        <v>0</v>
      </c>
      <c r="AV31" t="s">
        <v>758</v>
      </c>
      <c r="AW31" t="s">
        <v>75</v>
      </c>
      <c r="AX31">
        <v>41</v>
      </c>
      <c r="AY31">
        <v>1</v>
      </c>
      <c r="AZ31">
        <v>0.56000000000000005</v>
      </c>
      <c r="BA31">
        <v>-6.43E-3</v>
      </c>
      <c r="BB31">
        <v>-127.3</v>
      </c>
      <c r="BC31" t="s">
        <v>75</v>
      </c>
      <c r="BD31">
        <v>0</v>
      </c>
      <c r="BE31">
        <v>0</v>
      </c>
      <c r="BF31" t="s">
        <v>83</v>
      </c>
      <c r="BG31">
        <v>0</v>
      </c>
      <c r="BH31">
        <v>0</v>
      </c>
      <c r="BI31">
        <v>0</v>
      </c>
      <c r="BJ31">
        <v>0</v>
      </c>
      <c r="BK31">
        <v>0</v>
      </c>
      <c r="BL31" t="s">
        <v>194</v>
      </c>
    </row>
    <row r="32" spans="1:64" x14ac:dyDescent="0.2">
      <c r="A32">
        <v>822807</v>
      </c>
      <c r="B32" t="s">
        <v>195</v>
      </c>
      <c r="C32" s="3">
        <v>46180</v>
      </c>
      <c r="D32">
        <v>6.1</v>
      </c>
      <c r="E32">
        <v>2</v>
      </c>
      <c r="F32">
        <v>2</v>
      </c>
      <c r="G32" t="s">
        <v>141</v>
      </c>
      <c r="H32">
        <v>120</v>
      </c>
      <c r="I32">
        <v>0.45</v>
      </c>
      <c r="J32">
        <v>120</v>
      </c>
      <c r="K32">
        <v>0.45454499999999998</v>
      </c>
      <c r="L32">
        <v>0.445736358091397</v>
      </c>
      <c r="M32">
        <v>669358</v>
      </c>
      <c r="N32" t="b">
        <v>0</v>
      </c>
      <c r="O32">
        <v>-100</v>
      </c>
      <c r="P32">
        <v>103.6</v>
      </c>
      <c r="Q32">
        <v>103.6</v>
      </c>
      <c r="R32" t="s">
        <v>73</v>
      </c>
      <c r="S32">
        <v>110.9</v>
      </c>
      <c r="T32">
        <v>110.9</v>
      </c>
      <c r="U32" t="s">
        <v>73</v>
      </c>
      <c r="V32">
        <v>29</v>
      </c>
      <c r="W32" t="s">
        <v>144</v>
      </c>
      <c r="X32">
        <v>-130</v>
      </c>
      <c r="Y32">
        <v>0.56999999999999995</v>
      </c>
      <c r="Z32">
        <v>-130</v>
      </c>
      <c r="AA32">
        <v>0.56521699999999997</v>
      </c>
      <c r="AB32">
        <v>0.554263641908602</v>
      </c>
      <c r="AC32">
        <v>592332</v>
      </c>
      <c r="AD32" t="b">
        <v>0</v>
      </c>
      <c r="AE32">
        <v>-122.2</v>
      </c>
      <c r="AF32">
        <v>-106.2</v>
      </c>
      <c r="AG32">
        <v>-106.2</v>
      </c>
      <c r="AH32" t="s">
        <v>73</v>
      </c>
      <c r="AI32">
        <v>-110.9</v>
      </c>
      <c r="AJ32">
        <v>-110.9</v>
      </c>
      <c r="AK32" t="s">
        <v>73</v>
      </c>
      <c r="AL32" t="s">
        <v>196</v>
      </c>
      <c r="AM32" t="s">
        <v>75</v>
      </c>
      <c r="AN32">
        <v>15</v>
      </c>
      <c r="AO32">
        <v>0.87</v>
      </c>
      <c r="AP32">
        <v>0.54</v>
      </c>
      <c r="AQ32">
        <v>-1.426E-2</v>
      </c>
      <c r="AR32">
        <v>-117.4</v>
      </c>
      <c r="AS32" t="s">
        <v>75</v>
      </c>
      <c r="AT32">
        <v>0</v>
      </c>
      <c r="AU32">
        <v>0</v>
      </c>
      <c r="AV32" t="s">
        <v>197</v>
      </c>
      <c r="AW32" t="s">
        <v>75</v>
      </c>
      <c r="AX32">
        <v>41</v>
      </c>
      <c r="AY32">
        <v>1</v>
      </c>
      <c r="AZ32">
        <v>0.53</v>
      </c>
      <c r="BA32">
        <v>-2.426E-2</v>
      </c>
      <c r="BB32">
        <v>-112.8</v>
      </c>
      <c r="BC32" t="s">
        <v>75</v>
      </c>
      <c r="BD32">
        <v>0</v>
      </c>
      <c r="BE32">
        <v>0</v>
      </c>
      <c r="BF32" t="s">
        <v>83</v>
      </c>
      <c r="BG32">
        <v>0</v>
      </c>
      <c r="BH32">
        <v>0</v>
      </c>
      <c r="BI32">
        <v>0</v>
      </c>
      <c r="BJ32">
        <v>0</v>
      </c>
      <c r="BK32">
        <v>0</v>
      </c>
      <c r="BL32" t="s">
        <v>198</v>
      </c>
    </row>
    <row r="33" spans="1:64" x14ac:dyDescent="0.2">
      <c r="A33">
        <v>824829</v>
      </c>
      <c r="B33" t="s">
        <v>199</v>
      </c>
      <c r="C33" s="3">
        <v>46181</v>
      </c>
      <c r="D33">
        <v>6.2</v>
      </c>
      <c r="E33">
        <v>2</v>
      </c>
      <c r="F33">
        <v>24</v>
      </c>
      <c r="G33" t="s">
        <v>96</v>
      </c>
      <c r="H33">
        <v>-130</v>
      </c>
      <c r="I33">
        <v>0.56999999999999995</v>
      </c>
      <c r="J33">
        <v>-120</v>
      </c>
      <c r="K33">
        <v>0.54545500000000002</v>
      </c>
      <c r="L33">
        <v>0.53508032752952905</v>
      </c>
      <c r="M33">
        <v>676106</v>
      </c>
      <c r="N33" t="b">
        <v>0</v>
      </c>
      <c r="O33">
        <v>-150</v>
      </c>
      <c r="P33">
        <v>-111.4</v>
      </c>
      <c r="Q33" t="s">
        <v>200</v>
      </c>
      <c r="R33" t="s">
        <v>81</v>
      </c>
      <c r="S33">
        <v>-340.7</v>
      </c>
      <c r="T33" t="s">
        <v>201</v>
      </c>
      <c r="U33" t="s">
        <v>143</v>
      </c>
      <c r="V33">
        <v>2</v>
      </c>
      <c r="W33" t="s">
        <v>141</v>
      </c>
      <c r="X33">
        <v>117</v>
      </c>
      <c r="Y33">
        <v>0.46</v>
      </c>
      <c r="Z33">
        <v>111</v>
      </c>
      <c r="AA33">
        <v>0.47393400000000002</v>
      </c>
      <c r="AB33">
        <v>0.46491967247047</v>
      </c>
      <c r="AC33">
        <v>694346</v>
      </c>
      <c r="AD33" t="b">
        <v>0</v>
      </c>
      <c r="AE33">
        <v>-100</v>
      </c>
      <c r="AF33">
        <v>103.8</v>
      </c>
      <c r="AG33">
        <v>103.8</v>
      </c>
      <c r="AH33" t="s">
        <v>73</v>
      </c>
      <c r="AI33">
        <v>340.7</v>
      </c>
      <c r="AJ33">
        <v>340.7</v>
      </c>
      <c r="AK33" t="s">
        <v>93</v>
      </c>
      <c r="AL33" t="s">
        <v>202</v>
      </c>
      <c r="AM33" t="s">
        <v>94</v>
      </c>
      <c r="AN33">
        <v>15</v>
      </c>
      <c r="AO33">
        <v>1</v>
      </c>
      <c r="AP33">
        <v>0.43</v>
      </c>
      <c r="AQ33">
        <v>-3.492E-2</v>
      </c>
      <c r="AR33">
        <v>132.6</v>
      </c>
      <c r="AS33" t="s">
        <v>94</v>
      </c>
      <c r="AT33">
        <v>0</v>
      </c>
      <c r="AU33">
        <v>0</v>
      </c>
      <c r="AV33" t="s">
        <v>759</v>
      </c>
      <c r="AW33" t="s">
        <v>94</v>
      </c>
      <c r="AX33">
        <v>41</v>
      </c>
      <c r="AY33">
        <v>1</v>
      </c>
      <c r="AZ33">
        <v>0.41</v>
      </c>
      <c r="BA33">
        <v>-5.4919999999999997E-2</v>
      </c>
      <c r="BB33">
        <v>143.9</v>
      </c>
      <c r="BC33" t="s">
        <v>94</v>
      </c>
      <c r="BD33">
        <v>0</v>
      </c>
      <c r="BE33">
        <v>0</v>
      </c>
      <c r="BF33" t="s">
        <v>83</v>
      </c>
      <c r="BG33">
        <v>0</v>
      </c>
      <c r="BH33">
        <v>0</v>
      </c>
      <c r="BI33">
        <v>0</v>
      </c>
      <c r="BJ33">
        <v>0</v>
      </c>
      <c r="BK33">
        <v>0</v>
      </c>
      <c r="BL33" t="s">
        <v>203</v>
      </c>
    </row>
    <row r="34" spans="1:64" x14ac:dyDescent="0.2">
      <c r="A34">
        <v>824025</v>
      </c>
      <c r="B34" t="s">
        <v>204</v>
      </c>
      <c r="C34" s="3">
        <v>46181</v>
      </c>
      <c r="D34">
        <v>6.2</v>
      </c>
      <c r="E34">
        <v>2</v>
      </c>
      <c r="F34">
        <v>12</v>
      </c>
      <c r="G34" t="s">
        <v>108</v>
      </c>
      <c r="H34">
        <v>-127</v>
      </c>
      <c r="I34">
        <v>0.56000000000000005</v>
      </c>
      <c r="J34">
        <v>-121</v>
      </c>
      <c r="K34">
        <v>0.54751099999999997</v>
      </c>
      <c r="L34">
        <v>0.53719207738550101</v>
      </c>
      <c r="M34">
        <v>681293</v>
      </c>
      <c r="N34" t="b">
        <v>0</v>
      </c>
      <c r="O34">
        <v>-122.2</v>
      </c>
      <c r="P34">
        <v>103.2</v>
      </c>
      <c r="Q34">
        <v>103.2</v>
      </c>
      <c r="R34" t="s">
        <v>73</v>
      </c>
      <c r="S34">
        <v>-116</v>
      </c>
      <c r="T34">
        <v>-116</v>
      </c>
      <c r="U34" t="s">
        <v>73</v>
      </c>
      <c r="V34">
        <v>4</v>
      </c>
      <c r="W34" t="s">
        <v>111</v>
      </c>
      <c r="X34">
        <v>118</v>
      </c>
      <c r="Y34">
        <v>0.46</v>
      </c>
      <c r="Z34">
        <v>112</v>
      </c>
      <c r="AA34">
        <v>0.47169800000000001</v>
      </c>
      <c r="AB34">
        <v>0.46280792261449799</v>
      </c>
      <c r="AC34">
        <v>680570</v>
      </c>
      <c r="AD34" t="b">
        <v>0</v>
      </c>
      <c r="AE34">
        <v>122.2</v>
      </c>
      <c r="AF34">
        <v>110.7</v>
      </c>
      <c r="AG34">
        <v>110.7</v>
      </c>
      <c r="AH34" t="s">
        <v>73</v>
      </c>
      <c r="AI34">
        <v>116</v>
      </c>
      <c r="AJ34">
        <v>116</v>
      </c>
      <c r="AK34" t="s">
        <v>73</v>
      </c>
      <c r="AL34" t="s">
        <v>205</v>
      </c>
      <c r="AM34" t="s">
        <v>94</v>
      </c>
      <c r="AN34">
        <v>15</v>
      </c>
      <c r="AO34">
        <v>0.93</v>
      </c>
      <c r="AP34">
        <v>0.44</v>
      </c>
      <c r="AQ34">
        <v>-2.281E-2</v>
      </c>
      <c r="AR34">
        <v>127.3</v>
      </c>
      <c r="AS34" t="s">
        <v>94</v>
      </c>
      <c r="AT34">
        <v>0</v>
      </c>
      <c r="AU34">
        <v>0</v>
      </c>
      <c r="AV34" t="s">
        <v>206</v>
      </c>
      <c r="AW34" t="s">
        <v>94</v>
      </c>
      <c r="AX34">
        <v>41</v>
      </c>
      <c r="AY34">
        <v>0.95</v>
      </c>
      <c r="AZ34">
        <v>0.45</v>
      </c>
      <c r="BA34">
        <v>-1.281E-2</v>
      </c>
      <c r="BB34">
        <v>122.2</v>
      </c>
      <c r="BC34" t="s">
        <v>94</v>
      </c>
      <c r="BD34">
        <v>0</v>
      </c>
      <c r="BE34">
        <v>0</v>
      </c>
      <c r="BF34" t="s">
        <v>83</v>
      </c>
      <c r="BG34">
        <v>0</v>
      </c>
      <c r="BH34">
        <v>0</v>
      </c>
      <c r="BI34">
        <v>0</v>
      </c>
      <c r="BJ34">
        <v>0</v>
      </c>
      <c r="BK34">
        <v>0</v>
      </c>
      <c r="BL34" t="s">
        <v>207</v>
      </c>
    </row>
    <row r="35" spans="1:64" x14ac:dyDescent="0.2">
      <c r="A35">
        <v>824427</v>
      </c>
      <c r="B35" t="s">
        <v>208</v>
      </c>
      <c r="C35" s="3">
        <v>46181</v>
      </c>
      <c r="D35">
        <v>6.2</v>
      </c>
      <c r="E35">
        <v>2</v>
      </c>
      <c r="F35">
        <v>19</v>
      </c>
      <c r="G35" t="s">
        <v>123</v>
      </c>
      <c r="H35">
        <v>110</v>
      </c>
      <c r="I35">
        <v>0.48</v>
      </c>
      <c r="J35">
        <v>113</v>
      </c>
      <c r="K35">
        <v>0.46948400000000001</v>
      </c>
      <c r="L35">
        <v>0.46071475534673001</v>
      </c>
      <c r="M35">
        <v>701542</v>
      </c>
      <c r="N35" t="b">
        <v>0</v>
      </c>
      <c r="O35">
        <v>-122.2</v>
      </c>
      <c r="P35">
        <v>-112.3</v>
      </c>
      <c r="Q35" t="s">
        <v>209</v>
      </c>
      <c r="R35" t="s">
        <v>81</v>
      </c>
      <c r="S35">
        <v>123.7</v>
      </c>
      <c r="T35">
        <v>123.7</v>
      </c>
      <c r="U35" t="s">
        <v>73</v>
      </c>
      <c r="V35">
        <v>7</v>
      </c>
      <c r="W35" t="s">
        <v>137</v>
      </c>
      <c r="X35">
        <v>-119</v>
      </c>
      <c r="Y35">
        <v>0.54</v>
      </c>
      <c r="Z35">
        <v>-122</v>
      </c>
      <c r="AA35">
        <v>0.54954999999999998</v>
      </c>
      <c r="AB35">
        <v>0.53928524465326899</v>
      </c>
      <c r="AC35">
        <v>668909</v>
      </c>
      <c r="AD35" t="b">
        <v>0</v>
      </c>
      <c r="AE35">
        <v>-150</v>
      </c>
      <c r="AF35">
        <v>-100</v>
      </c>
      <c r="AG35">
        <v>-100</v>
      </c>
      <c r="AH35" t="s">
        <v>73</v>
      </c>
      <c r="AI35">
        <v>-123.7</v>
      </c>
      <c r="AJ35">
        <v>-123.7</v>
      </c>
      <c r="AK35" t="s">
        <v>73</v>
      </c>
      <c r="AL35" t="s">
        <v>210</v>
      </c>
      <c r="AM35" t="s">
        <v>75</v>
      </c>
      <c r="AN35">
        <v>15</v>
      </c>
      <c r="AO35">
        <v>1</v>
      </c>
      <c r="AP35">
        <v>0.53</v>
      </c>
      <c r="AQ35">
        <v>-9.2899999999999996E-3</v>
      </c>
      <c r="AR35">
        <v>-112.8</v>
      </c>
      <c r="AS35" t="s">
        <v>75</v>
      </c>
      <c r="AT35">
        <v>0</v>
      </c>
      <c r="AU35">
        <v>0</v>
      </c>
      <c r="AV35" t="s">
        <v>760</v>
      </c>
      <c r="AW35" t="s">
        <v>75</v>
      </c>
      <c r="AX35">
        <v>41</v>
      </c>
      <c r="AY35">
        <v>0.98</v>
      </c>
      <c r="AZ35">
        <v>0.54</v>
      </c>
      <c r="BA35">
        <v>7.1000000000000002E-4</v>
      </c>
      <c r="BB35">
        <v>-117.4</v>
      </c>
      <c r="BC35" t="s">
        <v>75</v>
      </c>
      <c r="BD35">
        <v>0</v>
      </c>
      <c r="BE35">
        <v>0</v>
      </c>
      <c r="BF35" t="s">
        <v>83</v>
      </c>
      <c r="BG35">
        <v>0</v>
      </c>
      <c r="BH35">
        <v>0</v>
      </c>
      <c r="BI35">
        <v>0</v>
      </c>
      <c r="BJ35">
        <v>0</v>
      </c>
      <c r="BK35">
        <v>0</v>
      </c>
      <c r="BL35" t="s">
        <v>211</v>
      </c>
    </row>
    <row r="36" spans="1:64" x14ac:dyDescent="0.2">
      <c r="A36">
        <v>824998</v>
      </c>
      <c r="B36" t="s">
        <v>1017</v>
      </c>
      <c r="C36" s="3">
        <v>46181</v>
      </c>
      <c r="D36">
        <v>6.2</v>
      </c>
      <c r="E36">
        <v>2</v>
      </c>
      <c r="F36">
        <v>17</v>
      </c>
      <c r="G36" t="s">
        <v>89</v>
      </c>
      <c r="H36">
        <v>-140</v>
      </c>
      <c r="I36">
        <v>0.57999999999999996</v>
      </c>
      <c r="J36">
        <v>-142</v>
      </c>
      <c r="K36">
        <v>0.58677699999999999</v>
      </c>
      <c r="L36">
        <v>0.57439308508555498</v>
      </c>
      <c r="M36">
        <v>690986</v>
      </c>
      <c r="N36" t="b">
        <v>0</v>
      </c>
      <c r="O36">
        <v>-233.3</v>
      </c>
      <c r="P36">
        <v>-118.6</v>
      </c>
      <c r="Q36" t="s">
        <v>212</v>
      </c>
      <c r="R36" t="s">
        <v>81</v>
      </c>
      <c r="S36">
        <v>-153.69999999999999</v>
      </c>
      <c r="T36">
        <v>-153.69999999999999</v>
      </c>
      <c r="U36" t="s">
        <v>73</v>
      </c>
      <c r="V36">
        <v>20</v>
      </c>
      <c r="W36" t="s">
        <v>107</v>
      </c>
      <c r="X36">
        <v>129</v>
      </c>
      <c r="Y36">
        <v>0.44</v>
      </c>
      <c r="Z36">
        <v>130</v>
      </c>
      <c r="AA36">
        <v>0.43478299999999998</v>
      </c>
      <c r="AB36">
        <v>0.42560691491444402</v>
      </c>
      <c r="AC36">
        <v>605488</v>
      </c>
      <c r="AD36" t="b">
        <v>0</v>
      </c>
      <c r="AE36">
        <v>150</v>
      </c>
      <c r="AF36">
        <v>-100.5</v>
      </c>
      <c r="AG36">
        <v>-100.5</v>
      </c>
      <c r="AH36" t="s">
        <v>73</v>
      </c>
      <c r="AI36">
        <v>153.69999999999999</v>
      </c>
      <c r="AJ36">
        <v>153.69999999999999</v>
      </c>
      <c r="AK36" t="s">
        <v>73</v>
      </c>
      <c r="AL36" t="s">
        <v>761</v>
      </c>
      <c r="AM36" t="s">
        <v>94</v>
      </c>
      <c r="AN36">
        <v>15</v>
      </c>
      <c r="AO36">
        <v>0.93</v>
      </c>
      <c r="AP36">
        <v>0.44</v>
      </c>
      <c r="AQ36">
        <v>1.439E-2</v>
      </c>
      <c r="AR36">
        <v>127.3</v>
      </c>
      <c r="AS36" t="s">
        <v>94</v>
      </c>
      <c r="AT36">
        <v>0</v>
      </c>
      <c r="AU36">
        <v>0</v>
      </c>
      <c r="AV36" t="s">
        <v>213</v>
      </c>
      <c r="AW36" t="s">
        <v>94</v>
      </c>
      <c r="AX36">
        <v>41</v>
      </c>
      <c r="AY36">
        <v>0.93</v>
      </c>
      <c r="AZ36">
        <v>0.45</v>
      </c>
      <c r="BA36">
        <v>2.4389999999999998E-2</v>
      </c>
      <c r="BB36">
        <v>122.2</v>
      </c>
      <c r="BC36" t="s">
        <v>94</v>
      </c>
      <c r="BD36">
        <v>0</v>
      </c>
      <c r="BE36">
        <v>0</v>
      </c>
      <c r="BF36" t="s">
        <v>83</v>
      </c>
      <c r="BG36">
        <v>0</v>
      </c>
      <c r="BH36">
        <v>0</v>
      </c>
      <c r="BI36">
        <v>0</v>
      </c>
      <c r="BJ36">
        <v>0</v>
      </c>
      <c r="BK36">
        <v>0</v>
      </c>
      <c r="BL36" t="s">
        <v>214</v>
      </c>
    </row>
    <row r="37" spans="1:64" x14ac:dyDescent="0.2">
      <c r="A37">
        <v>823289</v>
      </c>
      <c r="B37" t="s">
        <v>1018</v>
      </c>
      <c r="C37" s="3">
        <v>46181</v>
      </c>
      <c r="D37">
        <v>6.2</v>
      </c>
      <c r="E37">
        <v>2</v>
      </c>
      <c r="F37">
        <v>6</v>
      </c>
      <c r="G37" t="s">
        <v>133</v>
      </c>
      <c r="H37">
        <v>120</v>
      </c>
      <c r="I37">
        <v>0.45</v>
      </c>
      <c r="J37">
        <v>118</v>
      </c>
      <c r="K37">
        <v>0.45871600000000001</v>
      </c>
      <c r="L37">
        <v>0.44966866643140002</v>
      </c>
      <c r="M37">
        <v>671096</v>
      </c>
      <c r="N37" t="b">
        <v>0</v>
      </c>
      <c r="O37">
        <v>150</v>
      </c>
      <c r="P37">
        <v>108.3</v>
      </c>
      <c r="Q37">
        <v>108.3</v>
      </c>
      <c r="R37" t="s">
        <v>78</v>
      </c>
      <c r="S37">
        <v>-104.9</v>
      </c>
      <c r="T37">
        <v>-104.9</v>
      </c>
      <c r="U37" t="s">
        <v>73</v>
      </c>
      <c r="V37">
        <v>23</v>
      </c>
      <c r="W37" t="s">
        <v>130</v>
      </c>
      <c r="X37">
        <v>-130</v>
      </c>
      <c r="Y37">
        <v>0.56999999999999995</v>
      </c>
      <c r="Z37">
        <v>-128</v>
      </c>
      <c r="AA37">
        <v>0.56140400000000001</v>
      </c>
      <c r="AB37">
        <v>0.55033133356859898</v>
      </c>
      <c r="AC37">
        <v>621111</v>
      </c>
      <c r="AD37" t="b">
        <v>0</v>
      </c>
      <c r="AE37">
        <v>185.7</v>
      </c>
      <c r="AF37">
        <v>-101.1</v>
      </c>
      <c r="AG37">
        <v>-101.1</v>
      </c>
      <c r="AH37" t="s">
        <v>73</v>
      </c>
      <c r="AI37">
        <v>104.9</v>
      </c>
      <c r="AJ37">
        <v>104.9</v>
      </c>
      <c r="AK37" t="s">
        <v>73</v>
      </c>
      <c r="AL37" t="s">
        <v>762</v>
      </c>
      <c r="AM37" t="s">
        <v>75</v>
      </c>
      <c r="AN37">
        <v>15</v>
      </c>
      <c r="AO37">
        <v>0.87</v>
      </c>
      <c r="AP37">
        <v>0.54</v>
      </c>
      <c r="AQ37">
        <v>-1.0330000000000001E-2</v>
      </c>
      <c r="AR37">
        <v>-117.4</v>
      </c>
      <c r="AS37" t="s">
        <v>75</v>
      </c>
      <c r="AT37">
        <v>0</v>
      </c>
      <c r="AU37">
        <v>0</v>
      </c>
      <c r="AV37" t="s">
        <v>763</v>
      </c>
      <c r="AW37" t="s">
        <v>75</v>
      </c>
      <c r="AX37">
        <v>41</v>
      </c>
      <c r="AY37">
        <v>0.93</v>
      </c>
      <c r="AZ37">
        <v>0.53</v>
      </c>
      <c r="BA37">
        <v>-2.0330000000000001E-2</v>
      </c>
      <c r="BB37">
        <v>-112.8</v>
      </c>
      <c r="BC37" t="s">
        <v>75</v>
      </c>
      <c r="BD37">
        <v>0</v>
      </c>
      <c r="BE37">
        <v>0</v>
      </c>
      <c r="BF37" t="s">
        <v>83</v>
      </c>
      <c r="BG37">
        <v>0</v>
      </c>
      <c r="BH37">
        <v>0</v>
      </c>
      <c r="BI37">
        <v>0</v>
      </c>
      <c r="BJ37">
        <v>0</v>
      </c>
      <c r="BK37">
        <v>0</v>
      </c>
      <c r="BL37" t="s">
        <v>215</v>
      </c>
    </row>
    <row r="38" spans="1:64" x14ac:dyDescent="0.2">
      <c r="A38">
        <v>823218</v>
      </c>
      <c r="B38" t="s">
        <v>216</v>
      </c>
      <c r="C38" s="3">
        <v>46181</v>
      </c>
      <c r="D38">
        <v>6.2</v>
      </c>
      <c r="E38">
        <v>2</v>
      </c>
      <c r="F38">
        <v>16</v>
      </c>
      <c r="G38" t="s">
        <v>77</v>
      </c>
      <c r="H38">
        <v>139</v>
      </c>
      <c r="I38">
        <v>0.42</v>
      </c>
      <c r="J38">
        <v>133</v>
      </c>
      <c r="K38">
        <v>0.42918499999999998</v>
      </c>
      <c r="L38">
        <v>0.420348435195323</v>
      </c>
      <c r="M38">
        <v>663992</v>
      </c>
      <c r="N38" t="b">
        <v>0</v>
      </c>
      <c r="O38">
        <v>-100</v>
      </c>
      <c r="P38">
        <v>112.8</v>
      </c>
      <c r="Q38">
        <v>112.8</v>
      </c>
      <c r="R38" t="s">
        <v>78</v>
      </c>
      <c r="S38">
        <v>386.7</v>
      </c>
      <c r="T38">
        <v>386.7</v>
      </c>
      <c r="U38" t="s">
        <v>126</v>
      </c>
      <c r="V38">
        <v>25</v>
      </c>
      <c r="W38" t="s">
        <v>84</v>
      </c>
      <c r="X38">
        <v>-151</v>
      </c>
      <c r="Y38">
        <v>0.6</v>
      </c>
      <c r="Z38">
        <v>-145</v>
      </c>
      <c r="AA38">
        <v>0.59183699999999995</v>
      </c>
      <c r="AB38">
        <v>0.57965156480467595</v>
      </c>
      <c r="AC38">
        <v>657277</v>
      </c>
      <c r="AD38" t="b">
        <v>0</v>
      </c>
      <c r="AE38">
        <v>150</v>
      </c>
      <c r="AF38">
        <v>105.9</v>
      </c>
      <c r="AG38">
        <v>105.9</v>
      </c>
      <c r="AH38" t="s">
        <v>73</v>
      </c>
      <c r="AI38">
        <v>-386.7</v>
      </c>
      <c r="AJ38">
        <v>-386.7</v>
      </c>
      <c r="AK38" t="s">
        <v>128</v>
      </c>
      <c r="AL38" t="s">
        <v>217</v>
      </c>
      <c r="AM38" t="s">
        <v>75</v>
      </c>
      <c r="AN38">
        <v>15</v>
      </c>
      <c r="AO38">
        <v>0.87</v>
      </c>
      <c r="AP38">
        <v>0.54</v>
      </c>
      <c r="AQ38">
        <v>-3.9649999999999998E-2</v>
      </c>
      <c r="AR38">
        <v>-117.4</v>
      </c>
      <c r="AS38" t="s">
        <v>75</v>
      </c>
      <c r="AT38">
        <v>0</v>
      </c>
      <c r="AU38">
        <v>0</v>
      </c>
      <c r="AV38" t="s">
        <v>218</v>
      </c>
      <c r="AW38" t="s">
        <v>75</v>
      </c>
      <c r="AX38">
        <v>41</v>
      </c>
      <c r="AY38">
        <v>0.93</v>
      </c>
      <c r="AZ38">
        <v>0.53</v>
      </c>
      <c r="BA38">
        <v>-4.965E-2</v>
      </c>
      <c r="BB38">
        <v>-112.8</v>
      </c>
      <c r="BC38" t="s">
        <v>75</v>
      </c>
      <c r="BD38">
        <v>0</v>
      </c>
      <c r="BE38">
        <v>0</v>
      </c>
      <c r="BF38" t="s">
        <v>83</v>
      </c>
      <c r="BG38">
        <v>0</v>
      </c>
      <c r="BH38">
        <v>0</v>
      </c>
      <c r="BI38">
        <v>0</v>
      </c>
      <c r="BJ38">
        <v>0</v>
      </c>
      <c r="BK38">
        <v>0</v>
      </c>
      <c r="BL38" t="s">
        <v>219</v>
      </c>
    </row>
    <row r="39" spans="1:64" x14ac:dyDescent="0.2">
      <c r="A39">
        <v>822972</v>
      </c>
      <c r="B39" t="s">
        <v>1019</v>
      </c>
      <c r="C39" s="3">
        <v>46181</v>
      </c>
      <c r="D39">
        <v>6.2</v>
      </c>
      <c r="E39">
        <v>2</v>
      </c>
      <c r="F39">
        <v>3</v>
      </c>
      <c r="G39" t="s">
        <v>122</v>
      </c>
      <c r="H39">
        <v>-108</v>
      </c>
      <c r="I39">
        <v>0.52</v>
      </c>
      <c r="J39">
        <v>-106</v>
      </c>
      <c r="K39">
        <v>0.51456299999999999</v>
      </c>
      <c r="L39">
        <v>0.50471450584739896</v>
      </c>
      <c r="M39">
        <v>813349</v>
      </c>
      <c r="N39" t="b">
        <v>0</v>
      </c>
      <c r="O39">
        <v>122.2</v>
      </c>
      <c r="P39">
        <v>-105.4</v>
      </c>
      <c r="Q39">
        <v>-105.4</v>
      </c>
      <c r="R39" t="s">
        <v>73</v>
      </c>
      <c r="S39">
        <v>-104.7</v>
      </c>
      <c r="T39">
        <v>-104.7</v>
      </c>
      <c r="U39" t="s">
        <v>73</v>
      </c>
      <c r="V39">
        <v>27</v>
      </c>
      <c r="W39" t="s">
        <v>101</v>
      </c>
      <c r="X39">
        <v>100</v>
      </c>
      <c r="Y39">
        <v>0.5</v>
      </c>
      <c r="Z39">
        <v>-102</v>
      </c>
      <c r="AA39">
        <v>0.50495000000000001</v>
      </c>
      <c r="AB39">
        <v>0.49528549415259998</v>
      </c>
      <c r="AC39">
        <v>693855</v>
      </c>
      <c r="AD39" t="b">
        <v>0</v>
      </c>
      <c r="AE39">
        <v>122.2</v>
      </c>
      <c r="AF39">
        <v>-101.7</v>
      </c>
      <c r="AG39">
        <v>-101.7</v>
      </c>
      <c r="AH39" t="s">
        <v>73</v>
      </c>
      <c r="AI39">
        <v>104.7</v>
      </c>
      <c r="AJ39">
        <v>104.7</v>
      </c>
      <c r="AK39" t="s">
        <v>73</v>
      </c>
      <c r="AL39" t="s">
        <v>764</v>
      </c>
      <c r="AM39" t="s">
        <v>94</v>
      </c>
      <c r="AN39">
        <v>15</v>
      </c>
      <c r="AO39">
        <v>0.53</v>
      </c>
      <c r="AP39">
        <v>0.49</v>
      </c>
      <c r="AQ39">
        <v>-5.2900000000000004E-3</v>
      </c>
      <c r="AR39">
        <v>104.1</v>
      </c>
      <c r="AS39" t="s">
        <v>94</v>
      </c>
      <c r="AT39">
        <v>0</v>
      </c>
      <c r="AU39">
        <v>0</v>
      </c>
      <c r="AV39" t="s">
        <v>765</v>
      </c>
      <c r="AW39" t="s">
        <v>94</v>
      </c>
      <c r="AX39">
        <v>41</v>
      </c>
      <c r="AY39">
        <v>0.59</v>
      </c>
      <c r="AZ39">
        <v>0.49</v>
      </c>
      <c r="BA39">
        <v>-5.2900000000000004E-3</v>
      </c>
      <c r="BB39">
        <v>104.1</v>
      </c>
      <c r="BC39" t="s">
        <v>94</v>
      </c>
      <c r="BD39">
        <v>0</v>
      </c>
      <c r="BE39">
        <v>0</v>
      </c>
      <c r="BF39" t="s">
        <v>83</v>
      </c>
      <c r="BG39">
        <v>0</v>
      </c>
      <c r="BH39">
        <v>0</v>
      </c>
      <c r="BI39">
        <v>0</v>
      </c>
      <c r="BJ39">
        <v>0</v>
      </c>
      <c r="BK39">
        <v>0</v>
      </c>
      <c r="BL39" t="s">
        <v>220</v>
      </c>
    </row>
    <row r="40" spans="1:64" x14ac:dyDescent="0.2">
      <c r="A40">
        <v>822806</v>
      </c>
      <c r="B40" t="s">
        <v>1020</v>
      </c>
      <c r="C40" s="3">
        <v>46181</v>
      </c>
      <c r="D40">
        <v>6.2</v>
      </c>
      <c r="E40">
        <v>2</v>
      </c>
      <c r="F40">
        <v>21</v>
      </c>
      <c r="G40" t="s">
        <v>127</v>
      </c>
      <c r="H40">
        <v>-162</v>
      </c>
      <c r="I40">
        <v>0.62</v>
      </c>
      <c r="J40">
        <v>-168</v>
      </c>
      <c r="K40">
        <v>0.62686600000000003</v>
      </c>
      <c r="L40">
        <v>0.61423306848056003</v>
      </c>
      <c r="M40">
        <v>650911</v>
      </c>
      <c r="N40" t="b">
        <v>0</v>
      </c>
      <c r="O40">
        <v>-185.7</v>
      </c>
      <c r="P40">
        <v>-107.4</v>
      </c>
      <c r="Q40">
        <v>-107.4</v>
      </c>
      <c r="R40" t="s">
        <v>73</v>
      </c>
      <c r="S40">
        <v>-216.1</v>
      </c>
      <c r="T40" t="s">
        <v>221</v>
      </c>
      <c r="U40" t="s">
        <v>81</v>
      </c>
      <c r="V40">
        <v>29</v>
      </c>
      <c r="W40" t="s">
        <v>144</v>
      </c>
      <c r="X40">
        <v>149</v>
      </c>
      <c r="Y40">
        <v>0.4</v>
      </c>
      <c r="Z40">
        <v>154</v>
      </c>
      <c r="AA40">
        <v>0.39370100000000002</v>
      </c>
      <c r="AB40">
        <v>0.38576693151943903</v>
      </c>
      <c r="AC40">
        <v>571578</v>
      </c>
      <c r="AD40" t="b">
        <v>0</v>
      </c>
      <c r="AE40">
        <v>-122.2</v>
      </c>
      <c r="AF40">
        <v>-106.2</v>
      </c>
      <c r="AG40">
        <v>-106.2</v>
      </c>
      <c r="AH40" t="s">
        <v>73</v>
      </c>
      <c r="AI40">
        <v>216.1</v>
      </c>
      <c r="AJ40">
        <v>216.1</v>
      </c>
      <c r="AK40" t="s">
        <v>78</v>
      </c>
      <c r="AL40" t="s">
        <v>766</v>
      </c>
      <c r="AM40" t="s">
        <v>94</v>
      </c>
      <c r="AN40">
        <v>15</v>
      </c>
      <c r="AO40">
        <v>0.87</v>
      </c>
      <c r="AP40">
        <v>0.46</v>
      </c>
      <c r="AQ40">
        <v>7.4230000000000004E-2</v>
      </c>
      <c r="AR40">
        <v>117.4</v>
      </c>
      <c r="AS40" t="s">
        <v>94</v>
      </c>
      <c r="AT40">
        <v>0</v>
      </c>
      <c r="AU40">
        <v>0</v>
      </c>
      <c r="AV40" t="s">
        <v>767</v>
      </c>
      <c r="AW40" t="s">
        <v>94</v>
      </c>
      <c r="AX40">
        <v>41</v>
      </c>
      <c r="AY40">
        <v>0.85</v>
      </c>
      <c r="AZ40">
        <v>0.48</v>
      </c>
      <c r="BA40">
        <v>9.4229999999999994E-2</v>
      </c>
      <c r="BB40">
        <v>108.3</v>
      </c>
      <c r="BC40" t="s">
        <v>94</v>
      </c>
      <c r="BD40">
        <v>0</v>
      </c>
      <c r="BE40">
        <v>0</v>
      </c>
      <c r="BF40" t="s">
        <v>83</v>
      </c>
      <c r="BG40">
        <v>0</v>
      </c>
      <c r="BH40">
        <v>0</v>
      </c>
      <c r="BI40">
        <v>0</v>
      </c>
      <c r="BJ40">
        <v>0</v>
      </c>
      <c r="BK40">
        <v>0</v>
      </c>
      <c r="BL40" t="s">
        <v>222</v>
      </c>
    </row>
    <row r="41" spans="1:64" x14ac:dyDescent="0.2">
      <c r="A41">
        <v>824830</v>
      </c>
      <c r="B41" t="s">
        <v>1021</v>
      </c>
      <c r="C41" s="3">
        <v>46182</v>
      </c>
      <c r="D41">
        <v>6.2</v>
      </c>
      <c r="E41">
        <v>2</v>
      </c>
      <c r="F41">
        <v>24</v>
      </c>
      <c r="G41" t="s">
        <v>96</v>
      </c>
      <c r="H41">
        <v>-105</v>
      </c>
      <c r="I41">
        <v>0.51</v>
      </c>
      <c r="J41">
        <v>-112</v>
      </c>
      <c r="K41">
        <v>0.52830200000000005</v>
      </c>
      <c r="L41">
        <v>0.517479941973508</v>
      </c>
      <c r="M41">
        <v>669302</v>
      </c>
      <c r="N41" t="b">
        <v>0</v>
      </c>
      <c r="O41">
        <v>-185.7</v>
      </c>
      <c r="P41">
        <v>-111</v>
      </c>
      <c r="Q41">
        <v>-111</v>
      </c>
      <c r="R41" t="s">
        <v>73</v>
      </c>
      <c r="S41">
        <v>-125.6</v>
      </c>
      <c r="T41">
        <v>-125.6</v>
      </c>
      <c r="U41" t="s">
        <v>73</v>
      </c>
      <c r="V41">
        <v>2</v>
      </c>
      <c r="W41" t="s">
        <v>141</v>
      </c>
      <c r="X41">
        <v>-103</v>
      </c>
      <c r="Y41">
        <v>0.51</v>
      </c>
      <c r="Z41">
        <v>103</v>
      </c>
      <c r="AA41">
        <v>0.49261100000000002</v>
      </c>
      <c r="AB41">
        <v>0.48252005802649101</v>
      </c>
      <c r="AC41">
        <v>669432</v>
      </c>
      <c r="AD41" t="b">
        <v>0</v>
      </c>
      <c r="AE41">
        <v>-100</v>
      </c>
      <c r="AF41">
        <v>103.6</v>
      </c>
      <c r="AG41">
        <v>103.6</v>
      </c>
      <c r="AH41" t="s">
        <v>73</v>
      </c>
      <c r="AI41">
        <v>125.6</v>
      </c>
      <c r="AJ41">
        <v>125.6</v>
      </c>
      <c r="AK41" t="s">
        <v>73</v>
      </c>
      <c r="AL41" t="s">
        <v>768</v>
      </c>
      <c r="AM41" t="s">
        <v>94</v>
      </c>
      <c r="AN41">
        <v>15</v>
      </c>
      <c r="AO41">
        <v>0.87</v>
      </c>
      <c r="AP41">
        <v>0.45</v>
      </c>
      <c r="AQ41">
        <v>-3.252E-2</v>
      </c>
      <c r="AR41">
        <v>122.2</v>
      </c>
      <c r="AS41" t="s">
        <v>94</v>
      </c>
      <c r="AT41">
        <v>0</v>
      </c>
      <c r="AU41">
        <v>0</v>
      </c>
      <c r="AV41" t="s">
        <v>769</v>
      </c>
      <c r="AW41" t="s">
        <v>94</v>
      </c>
      <c r="AX41">
        <v>41</v>
      </c>
      <c r="AY41">
        <v>1</v>
      </c>
      <c r="AZ41">
        <v>0.44</v>
      </c>
      <c r="BA41">
        <v>-4.2520000000000002E-2</v>
      </c>
      <c r="BB41">
        <v>127.3</v>
      </c>
      <c r="BC41" t="s">
        <v>94</v>
      </c>
      <c r="BD41">
        <v>0</v>
      </c>
      <c r="BE41">
        <v>0</v>
      </c>
      <c r="BF41" t="s">
        <v>83</v>
      </c>
      <c r="BG41">
        <v>0</v>
      </c>
      <c r="BH41">
        <v>0</v>
      </c>
      <c r="BI41">
        <v>0</v>
      </c>
      <c r="BJ41">
        <v>0</v>
      </c>
      <c r="BK41">
        <v>0</v>
      </c>
      <c r="BL41" t="s">
        <v>695</v>
      </c>
    </row>
    <row r="42" spans="1:64" x14ac:dyDescent="0.2">
      <c r="A42">
        <v>824023</v>
      </c>
      <c r="B42" t="s">
        <v>223</v>
      </c>
      <c r="C42" s="3">
        <v>46182</v>
      </c>
      <c r="D42">
        <v>6.2</v>
      </c>
      <c r="E42">
        <v>2</v>
      </c>
      <c r="F42">
        <v>12</v>
      </c>
      <c r="G42" t="s">
        <v>108</v>
      </c>
      <c r="H42">
        <v>-120</v>
      </c>
      <c r="I42">
        <v>0.55000000000000004</v>
      </c>
      <c r="J42">
        <v>-120</v>
      </c>
      <c r="K42">
        <v>0.54545500000000002</v>
      </c>
      <c r="L42">
        <v>0.53508032752952905</v>
      </c>
      <c r="M42">
        <v>678906</v>
      </c>
      <c r="N42" t="b">
        <v>0</v>
      </c>
      <c r="O42">
        <v>-150</v>
      </c>
      <c r="P42">
        <v>103</v>
      </c>
      <c r="Q42">
        <v>103</v>
      </c>
      <c r="R42" t="s">
        <v>73</v>
      </c>
      <c r="S42">
        <v>127.8</v>
      </c>
      <c r="T42">
        <v>127.8</v>
      </c>
      <c r="U42" t="s">
        <v>73</v>
      </c>
      <c r="V42">
        <v>4</v>
      </c>
      <c r="W42" t="s">
        <v>111</v>
      </c>
      <c r="X42">
        <v>111</v>
      </c>
      <c r="Y42">
        <v>0.47</v>
      </c>
      <c r="Z42">
        <v>111</v>
      </c>
      <c r="AA42">
        <v>0.47393400000000002</v>
      </c>
      <c r="AB42">
        <v>0.46491967247047</v>
      </c>
      <c r="AC42">
        <v>700712</v>
      </c>
      <c r="AD42" t="b">
        <v>0</v>
      </c>
      <c r="AE42">
        <v>122.2</v>
      </c>
      <c r="AF42">
        <v>110.5</v>
      </c>
      <c r="AG42">
        <v>110.5</v>
      </c>
      <c r="AH42" t="s">
        <v>73</v>
      </c>
      <c r="AI42">
        <v>-127.8</v>
      </c>
      <c r="AJ42">
        <v>-127.8</v>
      </c>
      <c r="AK42" t="s">
        <v>73</v>
      </c>
      <c r="AL42" t="s">
        <v>224</v>
      </c>
      <c r="AM42" t="s">
        <v>94</v>
      </c>
      <c r="AN42">
        <v>15</v>
      </c>
      <c r="AO42">
        <v>0.73</v>
      </c>
      <c r="AP42">
        <v>0.48</v>
      </c>
      <c r="AQ42">
        <v>1.508E-2</v>
      </c>
      <c r="AR42">
        <v>108.3</v>
      </c>
      <c r="AS42" t="s">
        <v>94</v>
      </c>
      <c r="AT42">
        <v>0</v>
      </c>
      <c r="AU42">
        <v>0</v>
      </c>
      <c r="AV42" t="s">
        <v>225</v>
      </c>
      <c r="AW42" t="s">
        <v>94</v>
      </c>
      <c r="AX42">
        <v>41</v>
      </c>
      <c r="AY42">
        <v>0.54</v>
      </c>
      <c r="AZ42">
        <v>0.49</v>
      </c>
      <c r="BA42">
        <v>2.5080000000000002E-2</v>
      </c>
      <c r="BB42">
        <v>104.1</v>
      </c>
      <c r="BC42" t="s">
        <v>94</v>
      </c>
      <c r="BD42">
        <v>0</v>
      </c>
      <c r="BE42">
        <v>0</v>
      </c>
      <c r="BF42" t="s">
        <v>83</v>
      </c>
      <c r="BG42">
        <v>0</v>
      </c>
      <c r="BH42">
        <v>0</v>
      </c>
      <c r="BI42">
        <v>0</v>
      </c>
      <c r="BJ42">
        <v>0</v>
      </c>
      <c r="BK42">
        <v>0</v>
      </c>
      <c r="BL42" t="s">
        <v>226</v>
      </c>
    </row>
    <row r="43" spans="1:64" x14ac:dyDescent="0.2">
      <c r="A43">
        <v>824429</v>
      </c>
      <c r="B43" t="s">
        <v>1022</v>
      </c>
      <c r="C43" s="3">
        <v>46182</v>
      </c>
      <c r="D43">
        <v>6.2</v>
      </c>
      <c r="E43">
        <v>2</v>
      </c>
      <c r="F43">
        <v>19</v>
      </c>
      <c r="G43" t="s">
        <v>123</v>
      </c>
      <c r="H43">
        <v>-112</v>
      </c>
      <c r="I43">
        <v>0.53</v>
      </c>
      <c r="J43">
        <v>-116</v>
      </c>
      <c r="K43">
        <v>0.53703699999999999</v>
      </c>
      <c r="L43">
        <v>0.52644028353276795</v>
      </c>
      <c r="M43">
        <v>543037</v>
      </c>
      <c r="N43" t="b">
        <v>0</v>
      </c>
      <c r="O43">
        <v>-122.2</v>
      </c>
      <c r="P43">
        <v>-112.4</v>
      </c>
      <c r="Q43" t="s">
        <v>227</v>
      </c>
      <c r="R43" t="s">
        <v>81</v>
      </c>
      <c r="S43">
        <v>-106.6</v>
      </c>
      <c r="T43">
        <v>-106.6</v>
      </c>
      <c r="U43" t="s">
        <v>73</v>
      </c>
      <c r="V43">
        <v>7</v>
      </c>
      <c r="W43" t="s">
        <v>137</v>
      </c>
      <c r="X43">
        <v>104</v>
      </c>
      <c r="Y43">
        <v>0.49</v>
      </c>
      <c r="Z43">
        <v>107</v>
      </c>
      <c r="AA43">
        <v>0.48309200000000002</v>
      </c>
      <c r="AB43">
        <v>0.473559716467231</v>
      </c>
      <c r="AC43">
        <v>677944</v>
      </c>
      <c r="AD43" t="b">
        <v>0</v>
      </c>
      <c r="AE43">
        <v>-122.2</v>
      </c>
      <c r="AF43">
        <v>100.3</v>
      </c>
      <c r="AG43">
        <v>100.3</v>
      </c>
      <c r="AH43" t="s">
        <v>73</v>
      </c>
      <c r="AI43">
        <v>106.6</v>
      </c>
      <c r="AJ43">
        <v>106.6</v>
      </c>
      <c r="AK43" t="s">
        <v>73</v>
      </c>
      <c r="AL43" t="s">
        <v>770</v>
      </c>
      <c r="AM43" t="s">
        <v>94</v>
      </c>
      <c r="AN43">
        <v>15</v>
      </c>
      <c r="AO43">
        <v>1</v>
      </c>
      <c r="AP43">
        <v>0.45</v>
      </c>
      <c r="AQ43">
        <v>-2.3560000000000001E-2</v>
      </c>
      <c r="AR43">
        <v>122.2</v>
      </c>
      <c r="AS43" t="s">
        <v>94</v>
      </c>
      <c r="AT43">
        <v>0</v>
      </c>
      <c r="AU43">
        <v>0</v>
      </c>
      <c r="AV43" t="s">
        <v>771</v>
      </c>
      <c r="AW43" t="s">
        <v>94</v>
      </c>
      <c r="AX43">
        <v>41</v>
      </c>
      <c r="AY43">
        <v>1</v>
      </c>
      <c r="AZ43">
        <v>0.44</v>
      </c>
      <c r="BA43">
        <v>-3.356E-2</v>
      </c>
      <c r="BB43">
        <v>127.3</v>
      </c>
      <c r="BC43" t="s">
        <v>94</v>
      </c>
      <c r="BD43">
        <v>0</v>
      </c>
      <c r="BE43">
        <v>0</v>
      </c>
      <c r="BF43" t="s">
        <v>83</v>
      </c>
      <c r="BG43">
        <v>0</v>
      </c>
      <c r="BH43">
        <v>0</v>
      </c>
      <c r="BI43">
        <v>0</v>
      </c>
      <c r="BJ43">
        <v>0</v>
      </c>
      <c r="BK43">
        <v>0</v>
      </c>
      <c r="BL43" t="s">
        <v>228</v>
      </c>
    </row>
    <row r="44" spans="1:64" x14ac:dyDescent="0.2">
      <c r="A44">
        <v>824347</v>
      </c>
      <c r="B44" t="s">
        <v>229</v>
      </c>
      <c r="C44" s="3">
        <v>46182</v>
      </c>
      <c r="D44">
        <v>6.2</v>
      </c>
      <c r="E44">
        <v>2</v>
      </c>
      <c r="F44">
        <v>5</v>
      </c>
      <c r="G44" t="s">
        <v>85</v>
      </c>
      <c r="H44">
        <v>-147</v>
      </c>
      <c r="I44">
        <v>0.6</v>
      </c>
      <c r="J44">
        <v>-153</v>
      </c>
      <c r="K44">
        <v>0.60474300000000003</v>
      </c>
      <c r="L44">
        <v>0.59307077409503495</v>
      </c>
      <c r="M44">
        <v>607067</v>
      </c>
      <c r="N44" t="b">
        <v>0</v>
      </c>
      <c r="O44">
        <v>300</v>
      </c>
      <c r="P44">
        <v>-110.9</v>
      </c>
      <c r="Q44">
        <v>-110.9</v>
      </c>
      <c r="R44" t="s">
        <v>73</v>
      </c>
      <c r="S44">
        <v>-139.30000000000001</v>
      </c>
      <c r="T44">
        <v>-139.30000000000001</v>
      </c>
      <c r="U44" t="s">
        <v>73</v>
      </c>
      <c r="V44">
        <v>8</v>
      </c>
      <c r="W44" t="s">
        <v>92</v>
      </c>
      <c r="X44">
        <v>135</v>
      </c>
      <c r="Y44">
        <v>0.43</v>
      </c>
      <c r="Z44">
        <v>141</v>
      </c>
      <c r="AA44">
        <v>0.41493799999999997</v>
      </c>
      <c r="AB44">
        <v>0.406929225904964</v>
      </c>
      <c r="AC44">
        <v>608372</v>
      </c>
      <c r="AD44" t="b">
        <v>0</v>
      </c>
      <c r="AE44">
        <v>233.3</v>
      </c>
      <c r="AF44">
        <v>129.80000000000001</v>
      </c>
      <c r="AG44">
        <v>129.80000000000001</v>
      </c>
      <c r="AH44" t="s">
        <v>93</v>
      </c>
      <c r="AI44">
        <v>139.30000000000001</v>
      </c>
      <c r="AJ44">
        <v>139.30000000000001</v>
      </c>
      <c r="AK44" t="s">
        <v>73</v>
      </c>
      <c r="AL44" t="s">
        <v>772</v>
      </c>
      <c r="AM44" t="s">
        <v>94</v>
      </c>
      <c r="AN44">
        <v>15</v>
      </c>
      <c r="AO44">
        <v>1</v>
      </c>
      <c r="AP44">
        <v>0.41</v>
      </c>
      <c r="AQ44">
        <v>3.0699999999999998E-3</v>
      </c>
      <c r="AR44">
        <v>143.9</v>
      </c>
      <c r="AS44" t="s">
        <v>94</v>
      </c>
      <c r="AT44">
        <v>0</v>
      </c>
      <c r="AU44">
        <v>0</v>
      </c>
      <c r="AV44" t="s">
        <v>773</v>
      </c>
      <c r="AW44" t="s">
        <v>94</v>
      </c>
      <c r="AX44">
        <v>41</v>
      </c>
      <c r="AY44">
        <v>1</v>
      </c>
      <c r="AZ44">
        <v>0.43</v>
      </c>
      <c r="BA44">
        <v>2.307E-2</v>
      </c>
      <c r="BB44">
        <v>132.6</v>
      </c>
      <c r="BC44" t="s">
        <v>94</v>
      </c>
      <c r="BD44">
        <v>0</v>
      </c>
      <c r="BE44">
        <v>0</v>
      </c>
      <c r="BF44" t="s">
        <v>83</v>
      </c>
      <c r="BG44">
        <v>0</v>
      </c>
      <c r="BH44">
        <v>0</v>
      </c>
      <c r="BI44">
        <v>0</v>
      </c>
      <c r="BJ44">
        <v>0</v>
      </c>
      <c r="BK44">
        <v>0</v>
      </c>
      <c r="BL44" t="s">
        <v>230</v>
      </c>
    </row>
    <row r="45" spans="1:64" x14ac:dyDescent="0.2">
      <c r="A45">
        <v>824591</v>
      </c>
      <c r="B45" t="s">
        <v>231</v>
      </c>
      <c r="C45" s="3">
        <v>46182</v>
      </c>
      <c r="D45">
        <v>6.2</v>
      </c>
      <c r="E45">
        <v>2</v>
      </c>
      <c r="F45">
        <v>0</v>
      </c>
      <c r="G45" t="s">
        <v>74</v>
      </c>
      <c r="H45">
        <v>-145</v>
      </c>
      <c r="I45">
        <v>0.59</v>
      </c>
      <c r="J45">
        <v>-152</v>
      </c>
      <c r="K45">
        <v>0.60317500000000002</v>
      </c>
      <c r="L45">
        <v>0.59043055643925801</v>
      </c>
      <c r="M45">
        <v>656550</v>
      </c>
      <c r="N45" t="b">
        <v>0</v>
      </c>
      <c r="O45">
        <v>-233.3</v>
      </c>
      <c r="P45">
        <v>-106.1</v>
      </c>
      <c r="Q45">
        <v>-106.1</v>
      </c>
      <c r="R45" t="s">
        <v>73</v>
      </c>
      <c r="S45">
        <v>-533</v>
      </c>
      <c r="T45" t="s">
        <v>232</v>
      </c>
      <c r="U45" t="s">
        <v>233</v>
      </c>
      <c r="V45">
        <v>9</v>
      </c>
      <c r="W45" t="s">
        <v>125</v>
      </c>
      <c r="X45">
        <v>134</v>
      </c>
      <c r="Y45">
        <v>0.43</v>
      </c>
      <c r="Z45">
        <v>139</v>
      </c>
      <c r="AA45">
        <v>0.41841</v>
      </c>
      <c r="AB45">
        <v>0.40956944356074099</v>
      </c>
      <c r="AC45">
        <v>685126</v>
      </c>
      <c r="AD45" t="b">
        <v>0</v>
      </c>
      <c r="AE45">
        <v>-122.2</v>
      </c>
      <c r="AF45">
        <v>104.4</v>
      </c>
      <c r="AG45">
        <v>104.4</v>
      </c>
      <c r="AH45" t="s">
        <v>73</v>
      </c>
      <c r="AI45">
        <v>533</v>
      </c>
      <c r="AJ45">
        <v>533</v>
      </c>
      <c r="AK45" t="s">
        <v>126</v>
      </c>
      <c r="AL45" t="s">
        <v>234</v>
      </c>
      <c r="AM45" t="s">
        <v>94</v>
      </c>
      <c r="AN45">
        <v>15</v>
      </c>
      <c r="AO45">
        <v>1</v>
      </c>
      <c r="AP45">
        <v>0.34</v>
      </c>
      <c r="AQ45">
        <v>-6.9570000000000007E-2</v>
      </c>
      <c r="AR45">
        <v>194.1</v>
      </c>
      <c r="AS45" t="s">
        <v>94</v>
      </c>
      <c r="AT45">
        <v>0</v>
      </c>
      <c r="AU45">
        <v>0</v>
      </c>
      <c r="AV45" t="s">
        <v>235</v>
      </c>
      <c r="AW45" t="s">
        <v>94</v>
      </c>
      <c r="AX45">
        <v>41</v>
      </c>
      <c r="AY45">
        <v>0.98</v>
      </c>
      <c r="AZ45">
        <v>0.41</v>
      </c>
      <c r="BA45">
        <v>4.2999999999999999E-4</v>
      </c>
      <c r="BB45">
        <v>143.9</v>
      </c>
      <c r="BC45" t="s">
        <v>94</v>
      </c>
      <c r="BD45">
        <v>0</v>
      </c>
      <c r="BE45">
        <v>0</v>
      </c>
      <c r="BF45" t="s">
        <v>83</v>
      </c>
      <c r="BG45">
        <v>0</v>
      </c>
      <c r="BH45">
        <v>0</v>
      </c>
      <c r="BI45">
        <v>0</v>
      </c>
      <c r="BJ45">
        <v>0</v>
      </c>
      <c r="BK45">
        <v>0</v>
      </c>
      <c r="BL45" t="s">
        <v>236</v>
      </c>
    </row>
    <row r="46" spans="1:64" x14ac:dyDescent="0.2">
      <c r="A46">
        <v>824267</v>
      </c>
      <c r="B46" t="s">
        <v>237</v>
      </c>
      <c r="C46" s="3">
        <v>46182</v>
      </c>
      <c r="D46">
        <v>6.2</v>
      </c>
      <c r="E46">
        <v>2</v>
      </c>
      <c r="F46">
        <v>15</v>
      </c>
      <c r="G46" t="s">
        <v>119</v>
      </c>
      <c r="H46">
        <v>114</v>
      </c>
      <c r="I46">
        <v>0.47</v>
      </c>
      <c r="J46">
        <v>112</v>
      </c>
      <c r="K46">
        <v>0.47169800000000001</v>
      </c>
      <c r="L46">
        <v>0.461883891082283</v>
      </c>
      <c r="M46">
        <v>671737</v>
      </c>
      <c r="N46" t="b">
        <v>0</v>
      </c>
      <c r="O46">
        <v>122.2</v>
      </c>
      <c r="P46">
        <v>110</v>
      </c>
      <c r="Q46">
        <v>110</v>
      </c>
      <c r="R46" t="s">
        <v>78</v>
      </c>
      <c r="S46">
        <v>-150</v>
      </c>
      <c r="T46">
        <v>-150</v>
      </c>
      <c r="U46" t="s">
        <v>73</v>
      </c>
      <c r="V46">
        <v>10</v>
      </c>
      <c r="W46" t="s">
        <v>97</v>
      </c>
      <c r="X46">
        <v>-124</v>
      </c>
      <c r="Y46">
        <v>0.55000000000000004</v>
      </c>
      <c r="Z46">
        <v>-122</v>
      </c>
      <c r="AA46">
        <v>0.54954999999999998</v>
      </c>
      <c r="AB46">
        <v>0.538116108917716</v>
      </c>
      <c r="AC46">
        <v>675512</v>
      </c>
      <c r="AD46" t="b">
        <v>0</v>
      </c>
      <c r="AE46">
        <v>185.7</v>
      </c>
      <c r="AF46">
        <v>-100.5</v>
      </c>
      <c r="AG46">
        <v>-100.5</v>
      </c>
      <c r="AH46" t="s">
        <v>73</v>
      </c>
      <c r="AI46">
        <v>150</v>
      </c>
      <c r="AJ46">
        <v>150</v>
      </c>
      <c r="AK46" t="s">
        <v>73</v>
      </c>
      <c r="AL46" t="s">
        <v>238</v>
      </c>
      <c r="AM46" t="s">
        <v>75</v>
      </c>
      <c r="AN46">
        <v>15</v>
      </c>
      <c r="AO46">
        <v>0.73</v>
      </c>
      <c r="AP46">
        <v>0.52</v>
      </c>
      <c r="AQ46">
        <v>-1.8120000000000001E-2</v>
      </c>
      <c r="AR46">
        <v>-108.3</v>
      </c>
      <c r="AS46" t="s">
        <v>75</v>
      </c>
      <c r="AT46">
        <v>0</v>
      </c>
      <c r="AU46">
        <v>0</v>
      </c>
      <c r="AV46" t="s">
        <v>239</v>
      </c>
      <c r="AW46" t="s">
        <v>75</v>
      </c>
      <c r="AX46">
        <v>41</v>
      </c>
      <c r="AY46">
        <v>0.73</v>
      </c>
      <c r="AZ46">
        <v>0.5</v>
      </c>
      <c r="BA46">
        <v>-3.8120000000000001E-2</v>
      </c>
      <c r="BB46">
        <v>-100</v>
      </c>
      <c r="BC46" t="s">
        <v>75</v>
      </c>
      <c r="BD46">
        <v>0</v>
      </c>
      <c r="BE46">
        <v>0</v>
      </c>
      <c r="BF46" t="s">
        <v>83</v>
      </c>
      <c r="BG46">
        <v>0</v>
      </c>
      <c r="BH46">
        <v>0</v>
      </c>
      <c r="BI46">
        <v>0</v>
      </c>
      <c r="BJ46">
        <v>0</v>
      </c>
      <c r="BK46">
        <v>0</v>
      </c>
      <c r="BL46" t="s">
        <v>240</v>
      </c>
    </row>
    <row r="47" spans="1:64" x14ac:dyDescent="0.2">
      <c r="A47">
        <v>823858</v>
      </c>
      <c r="B47" t="s">
        <v>1023</v>
      </c>
      <c r="C47" s="3">
        <v>46182</v>
      </c>
      <c r="D47">
        <v>6.2</v>
      </c>
      <c r="E47">
        <v>2</v>
      </c>
      <c r="F47">
        <v>1</v>
      </c>
      <c r="G47" t="s">
        <v>79</v>
      </c>
      <c r="H47">
        <v>115</v>
      </c>
      <c r="I47">
        <v>0.47</v>
      </c>
      <c r="J47">
        <v>124</v>
      </c>
      <c r="K47">
        <v>0.44642900000000002</v>
      </c>
      <c r="L47">
        <v>0.43729093140640002</v>
      </c>
      <c r="M47">
        <v>668678</v>
      </c>
      <c r="N47" t="b">
        <v>0</v>
      </c>
      <c r="O47">
        <v>-150</v>
      </c>
      <c r="P47">
        <v>101.9</v>
      </c>
      <c r="Q47">
        <v>101.9</v>
      </c>
      <c r="R47" t="s">
        <v>73</v>
      </c>
      <c r="S47">
        <v>139.4</v>
      </c>
      <c r="T47">
        <v>139.4</v>
      </c>
      <c r="U47" t="s">
        <v>78</v>
      </c>
      <c r="V47">
        <v>11</v>
      </c>
      <c r="W47" t="s">
        <v>103</v>
      </c>
      <c r="X47">
        <v>-124</v>
      </c>
      <c r="Y47">
        <v>0.55000000000000004</v>
      </c>
      <c r="Z47">
        <v>-135</v>
      </c>
      <c r="AA47">
        <v>0.57446799999999998</v>
      </c>
      <c r="AB47">
        <v>0.56270906859359904</v>
      </c>
      <c r="AC47">
        <v>676974</v>
      </c>
      <c r="AD47" t="b">
        <v>0</v>
      </c>
      <c r="AE47">
        <v>-100</v>
      </c>
      <c r="AF47">
        <v>-101.5</v>
      </c>
      <c r="AG47">
        <v>-101.5</v>
      </c>
      <c r="AH47" t="s">
        <v>73</v>
      </c>
      <c r="AI47">
        <v>-139.4</v>
      </c>
      <c r="AJ47" t="s">
        <v>241</v>
      </c>
      <c r="AK47" t="s">
        <v>81</v>
      </c>
      <c r="AL47" t="s">
        <v>774</v>
      </c>
      <c r="AM47" t="s">
        <v>75</v>
      </c>
      <c r="AN47">
        <v>15</v>
      </c>
      <c r="AO47">
        <v>0.87</v>
      </c>
      <c r="AP47">
        <v>0.54</v>
      </c>
      <c r="AQ47">
        <v>-2.2710000000000001E-2</v>
      </c>
      <c r="AR47">
        <v>-117.4</v>
      </c>
      <c r="AS47" t="s">
        <v>75</v>
      </c>
      <c r="AT47">
        <v>0</v>
      </c>
      <c r="AU47">
        <v>0</v>
      </c>
      <c r="AV47" t="s">
        <v>242</v>
      </c>
      <c r="AW47" t="s">
        <v>75</v>
      </c>
      <c r="AX47">
        <v>41</v>
      </c>
      <c r="AY47">
        <v>0.9</v>
      </c>
      <c r="AZ47">
        <v>0.52</v>
      </c>
      <c r="BA47">
        <v>-4.2709999999999998E-2</v>
      </c>
      <c r="BB47">
        <v>-108.3</v>
      </c>
      <c r="BC47" t="s">
        <v>75</v>
      </c>
      <c r="BD47">
        <v>0</v>
      </c>
      <c r="BE47">
        <v>0</v>
      </c>
      <c r="BF47" t="s">
        <v>83</v>
      </c>
      <c r="BG47">
        <v>0</v>
      </c>
      <c r="BH47">
        <v>0</v>
      </c>
      <c r="BI47">
        <v>0</v>
      </c>
      <c r="BJ47">
        <v>0</v>
      </c>
      <c r="BK47">
        <v>0</v>
      </c>
      <c r="BL47" t="s">
        <v>243</v>
      </c>
    </row>
    <row r="48" spans="1:64" x14ac:dyDescent="0.2">
      <c r="A48">
        <v>824105</v>
      </c>
      <c r="B48" t="s">
        <v>1024</v>
      </c>
      <c r="C48" s="3">
        <v>46182</v>
      </c>
      <c r="D48">
        <v>6.2</v>
      </c>
      <c r="E48">
        <v>2</v>
      </c>
      <c r="F48">
        <v>28</v>
      </c>
      <c r="G48" t="s">
        <v>138</v>
      </c>
      <c r="H48">
        <v>-120</v>
      </c>
      <c r="I48">
        <v>0.55000000000000004</v>
      </c>
      <c r="J48">
        <v>-120</v>
      </c>
      <c r="K48">
        <v>0.54545500000000002</v>
      </c>
      <c r="L48">
        <v>0.53389876131141401</v>
      </c>
      <c r="M48">
        <v>543135</v>
      </c>
      <c r="N48" t="b">
        <v>0</v>
      </c>
      <c r="O48">
        <v>-122.2</v>
      </c>
      <c r="P48">
        <v>-105.1</v>
      </c>
      <c r="Q48">
        <v>-105.1</v>
      </c>
      <c r="R48" t="s">
        <v>73</v>
      </c>
      <c r="S48">
        <v>-135.6</v>
      </c>
      <c r="T48">
        <v>-135.6</v>
      </c>
      <c r="U48" t="s">
        <v>73</v>
      </c>
      <c r="V48">
        <v>13</v>
      </c>
      <c r="W48" t="s">
        <v>118</v>
      </c>
      <c r="X48">
        <v>111</v>
      </c>
      <c r="Y48">
        <v>0.47</v>
      </c>
      <c r="Z48">
        <v>110</v>
      </c>
      <c r="AA48">
        <v>0.47619</v>
      </c>
      <c r="AB48">
        <v>0.466101238688585</v>
      </c>
      <c r="AC48">
        <v>663568</v>
      </c>
      <c r="AD48" t="b">
        <v>0</v>
      </c>
      <c r="AE48">
        <v>150</v>
      </c>
      <c r="AF48">
        <v>102.2</v>
      </c>
      <c r="AG48">
        <v>102.2</v>
      </c>
      <c r="AH48" t="s">
        <v>73</v>
      </c>
      <c r="AI48">
        <v>135.6</v>
      </c>
      <c r="AJ48">
        <v>135.6</v>
      </c>
      <c r="AK48" t="s">
        <v>73</v>
      </c>
      <c r="AL48" t="s">
        <v>775</v>
      </c>
      <c r="AM48" t="s">
        <v>94</v>
      </c>
      <c r="AN48">
        <v>15</v>
      </c>
      <c r="AO48">
        <v>0.93</v>
      </c>
      <c r="AP48">
        <v>0.45</v>
      </c>
      <c r="AQ48">
        <v>-1.61E-2</v>
      </c>
      <c r="AR48">
        <v>122.2</v>
      </c>
      <c r="AS48" t="s">
        <v>94</v>
      </c>
      <c r="AT48">
        <v>0</v>
      </c>
      <c r="AU48">
        <v>0</v>
      </c>
      <c r="AV48" t="s">
        <v>244</v>
      </c>
      <c r="AW48" t="s">
        <v>94</v>
      </c>
      <c r="AX48">
        <v>41</v>
      </c>
      <c r="AY48">
        <v>0.9</v>
      </c>
      <c r="AZ48">
        <v>0.47</v>
      </c>
      <c r="BA48">
        <v>3.8999999999999998E-3</v>
      </c>
      <c r="BB48">
        <v>112.8</v>
      </c>
      <c r="BC48" t="s">
        <v>94</v>
      </c>
      <c r="BD48">
        <v>0</v>
      </c>
      <c r="BE48">
        <v>0</v>
      </c>
      <c r="BF48" t="s">
        <v>83</v>
      </c>
      <c r="BG48">
        <v>0</v>
      </c>
      <c r="BH48">
        <v>0</v>
      </c>
      <c r="BI48">
        <v>0</v>
      </c>
      <c r="BJ48">
        <v>0</v>
      </c>
      <c r="BK48">
        <v>0</v>
      </c>
      <c r="BL48" t="s">
        <v>245</v>
      </c>
    </row>
    <row r="49" spans="1:64" x14ac:dyDescent="0.2">
      <c r="A49">
        <v>823620</v>
      </c>
      <c r="B49" t="s">
        <v>1025</v>
      </c>
      <c r="C49" s="3">
        <v>46182</v>
      </c>
      <c r="D49">
        <v>6.2</v>
      </c>
      <c r="E49">
        <v>2</v>
      </c>
      <c r="F49">
        <v>26</v>
      </c>
      <c r="G49" t="s">
        <v>134</v>
      </c>
      <c r="H49">
        <v>110</v>
      </c>
      <c r="I49">
        <v>0.48</v>
      </c>
      <c r="J49">
        <v>115</v>
      </c>
      <c r="K49">
        <v>0.46511599999999997</v>
      </c>
      <c r="L49">
        <v>0.455695855279658</v>
      </c>
      <c r="M49">
        <v>669160</v>
      </c>
      <c r="N49" t="b">
        <v>0</v>
      </c>
      <c r="O49">
        <v>-122.2</v>
      </c>
      <c r="P49">
        <v>108.8</v>
      </c>
      <c r="Q49">
        <v>108.8</v>
      </c>
      <c r="R49" t="s">
        <v>78</v>
      </c>
      <c r="S49">
        <v>113.8</v>
      </c>
      <c r="T49">
        <v>113.8</v>
      </c>
      <c r="U49" t="s">
        <v>73</v>
      </c>
      <c r="V49">
        <v>18</v>
      </c>
      <c r="W49" t="s">
        <v>129</v>
      </c>
      <c r="X49">
        <v>-120</v>
      </c>
      <c r="Y49">
        <v>0.55000000000000004</v>
      </c>
      <c r="Z49">
        <v>-125</v>
      </c>
      <c r="AA49">
        <v>0.55555600000000005</v>
      </c>
      <c r="AB49">
        <v>0.54430414472034105</v>
      </c>
      <c r="AC49">
        <v>642547</v>
      </c>
      <c r="AD49" t="b">
        <v>0</v>
      </c>
      <c r="AE49">
        <v>-100</v>
      </c>
      <c r="AF49">
        <v>106</v>
      </c>
      <c r="AG49">
        <v>106</v>
      </c>
      <c r="AH49" t="s">
        <v>73</v>
      </c>
      <c r="AI49">
        <v>-113.8</v>
      </c>
      <c r="AJ49">
        <v>-113.8</v>
      </c>
      <c r="AK49" t="s">
        <v>73</v>
      </c>
      <c r="AL49" t="s">
        <v>776</v>
      </c>
      <c r="AM49" t="s">
        <v>75</v>
      </c>
      <c r="AN49">
        <v>15</v>
      </c>
      <c r="AO49">
        <v>0.8</v>
      </c>
      <c r="AP49">
        <v>0.53</v>
      </c>
      <c r="AQ49">
        <v>-1.43E-2</v>
      </c>
      <c r="AR49">
        <v>-112.8</v>
      </c>
      <c r="AS49" t="s">
        <v>75</v>
      </c>
      <c r="AT49">
        <v>0</v>
      </c>
      <c r="AU49">
        <v>0</v>
      </c>
      <c r="AV49" t="s">
        <v>246</v>
      </c>
      <c r="AW49" t="s">
        <v>75</v>
      </c>
      <c r="AX49">
        <v>41</v>
      </c>
      <c r="AY49">
        <v>1</v>
      </c>
      <c r="AZ49">
        <v>0.52</v>
      </c>
      <c r="BA49">
        <v>-2.4299999999999999E-2</v>
      </c>
      <c r="BB49">
        <v>-108.3</v>
      </c>
      <c r="BC49" t="s">
        <v>75</v>
      </c>
      <c r="BD49">
        <v>0</v>
      </c>
      <c r="BE49">
        <v>0</v>
      </c>
      <c r="BF49" t="s">
        <v>83</v>
      </c>
      <c r="BG49">
        <v>0</v>
      </c>
      <c r="BH49">
        <v>0</v>
      </c>
      <c r="BI49">
        <v>0</v>
      </c>
      <c r="BJ49">
        <v>0</v>
      </c>
      <c r="BK49">
        <v>0</v>
      </c>
      <c r="BL49" t="s">
        <v>247</v>
      </c>
    </row>
    <row r="50" spans="1:64" x14ac:dyDescent="0.2">
      <c r="A50">
        <v>824999</v>
      </c>
      <c r="B50" t="s">
        <v>248</v>
      </c>
      <c r="C50" s="3">
        <v>46182</v>
      </c>
      <c r="D50">
        <v>6.2</v>
      </c>
      <c r="E50">
        <v>2</v>
      </c>
      <c r="F50">
        <v>17</v>
      </c>
      <c r="G50" t="s">
        <v>89</v>
      </c>
      <c r="H50">
        <v>-104</v>
      </c>
      <c r="I50">
        <v>0.51</v>
      </c>
      <c r="J50">
        <v>-102</v>
      </c>
      <c r="K50">
        <v>0.50495000000000001</v>
      </c>
      <c r="L50">
        <v>0.49528549415259998</v>
      </c>
      <c r="M50">
        <v>688107</v>
      </c>
      <c r="N50" t="b">
        <v>0</v>
      </c>
      <c r="O50">
        <v>-300</v>
      </c>
      <c r="P50">
        <v>-118.1</v>
      </c>
      <c r="Q50" t="s">
        <v>249</v>
      </c>
      <c r="R50" t="s">
        <v>81</v>
      </c>
      <c r="S50">
        <v>145.9</v>
      </c>
      <c r="T50">
        <v>145.9</v>
      </c>
      <c r="U50" t="s">
        <v>78</v>
      </c>
      <c r="V50">
        <v>20</v>
      </c>
      <c r="W50" t="s">
        <v>107</v>
      </c>
      <c r="X50">
        <v>-104</v>
      </c>
      <c r="Y50">
        <v>0.51</v>
      </c>
      <c r="Z50">
        <v>-106</v>
      </c>
      <c r="AA50">
        <v>0.51456299999999999</v>
      </c>
      <c r="AB50">
        <v>0.50471450584739896</v>
      </c>
      <c r="AC50">
        <v>669372</v>
      </c>
      <c r="AD50" t="b">
        <v>0</v>
      </c>
      <c r="AE50">
        <v>150</v>
      </c>
      <c r="AF50">
        <v>-100.6</v>
      </c>
      <c r="AG50">
        <v>-100.6</v>
      </c>
      <c r="AH50" t="s">
        <v>73</v>
      </c>
      <c r="AI50">
        <v>-145.9</v>
      </c>
      <c r="AJ50" t="s">
        <v>250</v>
      </c>
      <c r="AK50" t="s">
        <v>81</v>
      </c>
      <c r="AL50" t="s">
        <v>251</v>
      </c>
      <c r="AM50" t="s">
        <v>75</v>
      </c>
      <c r="AN50">
        <v>15</v>
      </c>
      <c r="AO50">
        <v>0.53</v>
      </c>
      <c r="AP50">
        <v>0.5</v>
      </c>
      <c r="AQ50">
        <v>-4.7099999999999998E-3</v>
      </c>
      <c r="AR50">
        <v>-100</v>
      </c>
      <c r="AS50" t="s">
        <v>75</v>
      </c>
      <c r="AT50">
        <v>0</v>
      </c>
      <c r="AU50">
        <v>0</v>
      </c>
      <c r="AV50" t="s">
        <v>252</v>
      </c>
      <c r="AW50" t="s">
        <v>109</v>
      </c>
      <c r="AX50">
        <v>41</v>
      </c>
      <c r="AY50">
        <v>0.93</v>
      </c>
      <c r="AZ50">
        <v>0.44</v>
      </c>
      <c r="BA50">
        <v>-6.4710000000000004E-2</v>
      </c>
      <c r="BB50">
        <v>127.3</v>
      </c>
      <c r="BC50" t="s">
        <v>109</v>
      </c>
      <c r="BD50">
        <v>1</v>
      </c>
      <c r="BE50">
        <v>0.98</v>
      </c>
      <c r="BF50" t="s">
        <v>83</v>
      </c>
      <c r="BG50">
        <v>0</v>
      </c>
      <c r="BH50">
        <v>0</v>
      </c>
      <c r="BI50">
        <v>0</v>
      </c>
      <c r="BJ50">
        <v>0</v>
      </c>
      <c r="BK50">
        <v>0</v>
      </c>
      <c r="BL50" t="s">
        <v>253</v>
      </c>
    </row>
    <row r="51" spans="1:64" x14ac:dyDescent="0.2">
      <c r="A51">
        <v>823374</v>
      </c>
      <c r="B51" t="s">
        <v>1026</v>
      </c>
      <c r="C51" s="3">
        <v>46182</v>
      </c>
      <c r="D51">
        <v>6.2</v>
      </c>
      <c r="E51">
        <v>2</v>
      </c>
      <c r="F51">
        <v>14</v>
      </c>
      <c r="G51" t="s">
        <v>113</v>
      </c>
      <c r="H51">
        <v>100</v>
      </c>
      <c r="I51">
        <v>0.5</v>
      </c>
      <c r="J51">
        <v>104</v>
      </c>
      <c r="K51">
        <v>0.49019600000000002</v>
      </c>
      <c r="L51">
        <v>0.48129304132163198</v>
      </c>
      <c r="M51">
        <v>641778</v>
      </c>
      <c r="N51" t="b">
        <v>0</v>
      </c>
      <c r="O51">
        <v>-233.3</v>
      </c>
      <c r="P51">
        <v>-115.8</v>
      </c>
      <c r="Q51" t="s">
        <v>254</v>
      </c>
      <c r="R51" t="s">
        <v>81</v>
      </c>
      <c r="S51">
        <v>266</v>
      </c>
      <c r="T51">
        <v>266</v>
      </c>
      <c r="U51" t="s">
        <v>93</v>
      </c>
      <c r="V51">
        <v>22</v>
      </c>
      <c r="W51" t="s">
        <v>72</v>
      </c>
      <c r="X51">
        <v>-109</v>
      </c>
      <c r="Y51">
        <v>0.52</v>
      </c>
      <c r="Z51">
        <v>-112</v>
      </c>
      <c r="AA51">
        <v>0.52830200000000005</v>
      </c>
      <c r="AB51">
        <v>0.51870695867836702</v>
      </c>
      <c r="AC51">
        <v>694973</v>
      </c>
      <c r="AD51" t="b">
        <v>0</v>
      </c>
      <c r="AE51">
        <v>-100</v>
      </c>
      <c r="AF51">
        <v>-100.8</v>
      </c>
      <c r="AG51">
        <v>-100.8</v>
      </c>
      <c r="AH51" t="s">
        <v>73</v>
      </c>
      <c r="AI51">
        <v>-266</v>
      </c>
      <c r="AJ51" t="s">
        <v>255</v>
      </c>
      <c r="AK51" t="s">
        <v>143</v>
      </c>
      <c r="AL51" t="s">
        <v>777</v>
      </c>
      <c r="AM51" t="s">
        <v>75</v>
      </c>
      <c r="AN51">
        <v>15</v>
      </c>
      <c r="AO51">
        <v>0.8</v>
      </c>
      <c r="AP51">
        <v>0.51</v>
      </c>
      <c r="AQ51">
        <v>-8.7100000000000007E-3</v>
      </c>
      <c r="AR51">
        <v>-104.1</v>
      </c>
      <c r="AS51" t="s">
        <v>75</v>
      </c>
      <c r="AT51">
        <v>0</v>
      </c>
      <c r="AU51">
        <v>0</v>
      </c>
      <c r="AV51" t="s">
        <v>778</v>
      </c>
      <c r="AW51" t="s">
        <v>109</v>
      </c>
      <c r="AX51">
        <v>41</v>
      </c>
      <c r="AY51">
        <v>0.68</v>
      </c>
      <c r="AZ51">
        <v>0.49</v>
      </c>
      <c r="BA51">
        <v>-2.8709999999999999E-2</v>
      </c>
      <c r="BB51">
        <v>104.1</v>
      </c>
      <c r="BC51" t="s">
        <v>109</v>
      </c>
      <c r="BD51">
        <v>1</v>
      </c>
      <c r="BE51">
        <v>1.04</v>
      </c>
      <c r="BF51" t="s">
        <v>83</v>
      </c>
      <c r="BG51">
        <v>0</v>
      </c>
      <c r="BH51">
        <v>0</v>
      </c>
      <c r="BI51">
        <v>0</v>
      </c>
      <c r="BJ51">
        <v>0</v>
      </c>
      <c r="BK51">
        <v>0</v>
      </c>
      <c r="BL51" t="s">
        <v>256</v>
      </c>
    </row>
    <row r="52" spans="1:64" x14ac:dyDescent="0.2">
      <c r="A52">
        <v>823290</v>
      </c>
      <c r="B52" t="s">
        <v>1027</v>
      </c>
      <c r="C52" s="3">
        <v>46182</v>
      </c>
      <c r="D52">
        <v>6.2</v>
      </c>
      <c r="E52">
        <v>2</v>
      </c>
      <c r="F52">
        <v>6</v>
      </c>
      <c r="G52" t="s">
        <v>133</v>
      </c>
      <c r="H52">
        <v>-119</v>
      </c>
      <c r="I52">
        <v>0.54</v>
      </c>
      <c r="J52">
        <v>-123</v>
      </c>
      <c r="K52">
        <v>0.55157</v>
      </c>
      <c r="L52">
        <v>0.54135995131813897</v>
      </c>
      <c r="M52">
        <v>695505</v>
      </c>
      <c r="N52" t="b">
        <v>0</v>
      </c>
      <c r="O52">
        <v>185.7</v>
      </c>
      <c r="P52">
        <v>108.7</v>
      </c>
      <c r="Q52">
        <v>108.7</v>
      </c>
      <c r="R52" t="s">
        <v>78</v>
      </c>
      <c r="S52">
        <v>-250.9</v>
      </c>
      <c r="T52" t="s">
        <v>257</v>
      </c>
      <c r="U52" t="s">
        <v>116</v>
      </c>
      <c r="V52">
        <v>23</v>
      </c>
      <c r="W52" t="s">
        <v>130</v>
      </c>
      <c r="X52">
        <v>110</v>
      </c>
      <c r="Y52">
        <v>0.48</v>
      </c>
      <c r="Z52">
        <v>114</v>
      </c>
      <c r="AA52">
        <v>0.46728999999999998</v>
      </c>
      <c r="AB52">
        <v>0.45864004868185998</v>
      </c>
      <c r="AC52">
        <v>608337</v>
      </c>
      <c r="AD52" t="b">
        <v>0</v>
      </c>
      <c r="AE52">
        <v>185.7</v>
      </c>
      <c r="AF52">
        <v>-101.3</v>
      </c>
      <c r="AG52">
        <v>-101.3</v>
      </c>
      <c r="AH52" t="s">
        <v>73</v>
      </c>
      <c r="AI52">
        <v>250.9</v>
      </c>
      <c r="AJ52">
        <v>250.9</v>
      </c>
      <c r="AK52" t="s">
        <v>112</v>
      </c>
      <c r="AL52" t="s">
        <v>779</v>
      </c>
      <c r="AM52" t="s">
        <v>94</v>
      </c>
      <c r="AN52">
        <v>15</v>
      </c>
      <c r="AO52">
        <v>0.8</v>
      </c>
      <c r="AP52">
        <v>0.47</v>
      </c>
      <c r="AQ52">
        <v>1.136E-2</v>
      </c>
      <c r="AR52">
        <v>112.8</v>
      </c>
      <c r="AS52" t="s">
        <v>94</v>
      </c>
      <c r="AT52">
        <v>0</v>
      </c>
      <c r="AU52">
        <v>0</v>
      </c>
      <c r="AV52" t="s">
        <v>258</v>
      </c>
      <c r="AW52" t="s">
        <v>94</v>
      </c>
      <c r="AX52">
        <v>41</v>
      </c>
      <c r="AY52">
        <v>0.73</v>
      </c>
      <c r="AZ52">
        <v>0.48</v>
      </c>
      <c r="BA52">
        <v>2.1360000000000001E-2</v>
      </c>
      <c r="BB52">
        <v>108.3</v>
      </c>
      <c r="BC52" t="s">
        <v>94</v>
      </c>
      <c r="BD52">
        <v>0</v>
      </c>
      <c r="BE52">
        <v>0</v>
      </c>
      <c r="BF52" t="s">
        <v>83</v>
      </c>
      <c r="BG52">
        <v>0</v>
      </c>
      <c r="BH52">
        <v>0</v>
      </c>
      <c r="BI52">
        <v>0</v>
      </c>
      <c r="BJ52">
        <v>0</v>
      </c>
      <c r="BK52">
        <v>0</v>
      </c>
      <c r="BL52" t="s">
        <v>259</v>
      </c>
    </row>
    <row r="53" spans="1:64" x14ac:dyDescent="0.2">
      <c r="A53">
        <v>823214</v>
      </c>
      <c r="B53" t="s">
        <v>1028</v>
      </c>
      <c r="C53" s="3">
        <v>46182</v>
      </c>
      <c r="D53">
        <v>6.2</v>
      </c>
      <c r="E53">
        <v>2</v>
      </c>
      <c r="F53">
        <v>16</v>
      </c>
      <c r="G53" t="s">
        <v>77</v>
      </c>
      <c r="H53">
        <v>-103</v>
      </c>
      <c r="I53">
        <v>0.51</v>
      </c>
      <c r="J53">
        <v>-105</v>
      </c>
      <c r="K53">
        <v>0.51219499999999996</v>
      </c>
      <c r="L53">
        <v>0.50116976631092502</v>
      </c>
      <c r="M53">
        <v>674841</v>
      </c>
      <c r="N53" t="b">
        <v>0</v>
      </c>
      <c r="O53">
        <v>-122.2</v>
      </c>
      <c r="P53">
        <v>112.6</v>
      </c>
      <c r="Q53">
        <v>112.6</v>
      </c>
      <c r="R53" t="s">
        <v>78</v>
      </c>
      <c r="S53">
        <v>-120.9</v>
      </c>
      <c r="T53">
        <v>-120.9</v>
      </c>
      <c r="U53" t="s">
        <v>73</v>
      </c>
      <c r="V53">
        <v>25</v>
      </c>
      <c r="W53" t="s">
        <v>84</v>
      </c>
      <c r="X53">
        <v>-105</v>
      </c>
      <c r="Y53">
        <v>0.51</v>
      </c>
      <c r="Z53">
        <v>-104</v>
      </c>
      <c r="AA53">
        <v>0.50980400000000003</v>
      </c>
      <c r="AB53">
        <v>0.49883023368907398</v>
      </c>
      <c r="AC53">
        <v>605288</v>
      </c>
      <c r="AD53" t="b">
        <v>0</v>
      </c>
      <c r="AE53">
        <v>185.7</v>
      </c>
      <c r="AF53">
        <v>105.5</v>
      </c>
      <c r="AG53">
        <v>105.5</v>
      </c>
      <c r="AH53" t="s">
        <v>73</v>
      </c>
      <c r="AI53">
        <v>120.9</v>
      </c>
      <c r="AJ53">
        <v>120.9</v>
      </c>
      <c r="AK53" t="s">
        <v>73</v>
      </c>
      <c r="AL53" t="s">
        <v>780</v>
      </c>
      <c r="AM53" t="s">
        <v>94</v>
      </c>
      <c r="AN53">
        <v>15</v>
      </c>
      <c r="AO53">
        <v>0.67</v>
      </c>
      <c r="AP53">
        <v>0.49</v>
      </c>
      <c r="AQ53">
        <v>-8.8299999999999993E-3</v>
      </c>
      <c r="AR53">
        <v>104.1</v>
      </c>
      <c r="AS53" t="s">
        <v>94</v>
      </c>
      <c r="AT53">
        <v>0</v>
      </c>
      <c r="AU53">
        <v>0</v>
      </c>
      <c r="AV53" t="s">
        <v>781</v>
      </c>
      <c r="AW53" t="s">
        <v>187</v>
      </c>
      <c r="AX53">
        <v>41</v>
      </c>
      <c r="AY53">
        <v>0.9</v>
      </c>
      <c r="AZ53">
        <v>0.52</v>
      </c>
      <c r="BA53">
        <v>2.1170000000000001E-2</v>
      </c>
      <c r="BB53">
        <v>-108.3</v>
      </c>
      <c r="BC53" t="s">
        <v>187</v>
      </c>
      <c r="BD53">
        <v>1</v>
      </c>
      <c r="BE53">
        <v>0.96199999999999997</v>
      </c>
      <c r="BF53" t="s">
        <v>83</v>
      </c>
      <c r="BG53">
        <v>0</v>
      </c>
      <c r="BH53">
        <v>0</v>
      </c>
      <c r="BI53">
        <v>0</v>
      </c>
      <c r="BJ53">
        <v>0</v>
      </c>
      <c r="BK53">
        <v>0</v>
      </c>
      <c r="BL53" t="s">
        <v>260</v>
      </c>
    </row>
    <row r="54" spans="1:64" x14ac:dyDescent="0.2">
      <c r="A54">
        <v>822969</v>
      </c>
      <c r="B54" t="s">
        <v>1029</v>
      </c>
      <c r="C54" s="3">
        <v>46182</v>
      </c>
      <c r="D54">
        <v>6.2</v>
      </c>
      <c r="E54">
        <v>2</v>
      </c>
      <c r="F54">
        <v>3</v>
      </c>
      <c r="G54" t="s">
        <v>122</v>
      </c>
      <c r="H54">
        <v>-114</v>
      </c>
      <c r="I54">
        <v>0.53</v>
      </c>
      <c r="J54">
        <v>-115</v>
      </c>
      <c r="K54">
        <v>0.53488400000000003</v>
      </c>
      <c r="L54">
        <v>0.52543871368283701</v>
      </c>
      <c r="M54">
        <v>801139</v>
      </c>
      <c r="N54" t="b">
        <v>0</v>
      </c>
      <c r="O54">
        <v>122.2</v>
      </c>
      <c r="P54">
        <v>-104.7</v>
      </c>
      <c r="Q54">
        <v>-104.7</v>
      </c>
      <c r="R54" t="s">
        <v>73</v>
      </c>
      <c r="S54">
        <v>-163.69999999999999</v>
      </c>
      <c r="T54" t="s">
        <v>261</v>
      </c>
      <c r="U54" t="s">
        <v>81</v>
      </c>
      <c r="V54">
        <v>27</v>
      </c>
      <c r="W54" t="s">
        <v>101</v>
      </c>
      <c r="X54">
        <v>105</v>
      </c>
      <c r="Y54">
        <v>0.49</v>
      </c>
      <c r="Z54">
        <v>107</v>
      </c>
      <c r="AA54">
        <v>0.48309200000000002</v>
      </c>
      <c r="AB54">
        <v>0.47456128631716199</v>
      </c>
      <c r="AC54">
        <v>607259</v>
      </c>
      <c r="AD54" t="b">
        <v>0</v>
      </c>
      <c r="AE54">
        <v>122.2</v>
      </c>
      <c r="AF54">
        <v>-102</v>
      </c>
      <c r="AG54">
        <v>-102</v>
      </c>
      <c r="AH54" t="s">
        <v>73</v>
      </c>
      <c r="AI54">
        <v>163.69999999999999</v>
      </c>
      <c r="AJ54">
        <v>163.69999999999999</v>
      </c>
      <c r="AK54" t="s">
        <v>78</v>
      </c>
      <c r="AL54" t="s">
        <v>782</v>
      </c>
      <c r="AM54" t="s">
        <v>94</v>
      </c>
      <c r="AN54">
        <v>15</v>
      </c>
      <c r="AO54">
        <v>0.8</v>
      </c>
      <c r="AP54">
        <v>0.49</v>
      </c>
      <c r="AQ54">
        <v>1.5440000000000001E-2</v>
      </c>
      <c r="AR54">
        <v>104.1</v>
      </c>
      <c r="AS54" t="s">
        <v>94</v>
      </c>
      <c r="AT54">
        <v>0</v>
      </c>
      <c r="AU54">
        <v>0</v>
      </c>
      <c r="AV54" t="s">
        <v>783</v>
      </c>
      <c r="AW54" t="s">
        <v>187</v>
      </c>
      <c r="AX54">
        <v>41</v>
      </c>
      <c r="AY54">
        <v>0.54</v>
      </c>
      <c r="AZ54">
        <v>0.5</v>
      </c>
      <c r="BA54">
        <v>2.5440000000000001E-2</v>
      </c>
      <c r="BB54">
        <v>-100</v>
      </c>
      <c r="BC54" t="s">
        <v>187</v>
      </c>
      <c r="BD54">
        <v>1</v>
      </c>
      <c r="BE54">
        <v>1.07</v>
      </c>
      <c r="BF54" t="s">
        <v>83</v>
      </c>
      <c r="BG54">
        <v>0</v>
      </c>
      <c r="BH54">
        <v>0</v>
      </c>
      <c r="BI54">
        <v>0</v>
      </c>
      <c r="BJ54">
        <v>0</v>
      </c>
      <c r="BK54">
        <v>0</v>
      </c>
      <c r="BL54" t="s">
        <v>696</v>
      </c>
    </row>
    <row r="55" spans="1:64" x14ac:dyDescent="0.2">
      <c r="A55">
        <v>822805</v>
      </c>
      <c r="B55" t="s">
        <v>1030</v>
      </c>
      <c r="C55" s="3">
        <v>46182</v>
      </c>
      <c r="D55">
        <v>6.2</v>
      </c>
      <c r="E55">
        <v>2</v>
      </c>
      <c r="F55">
        <v>21</v>
      </c>
      <c r="G55" t="s">
        <v>127</v>
      </c>
      <c r="H55">
        <v>-102</v>
      </c>
      <c r="I55">
        <v>0.5</v>
      </c>
      <c r="J55">
        <v>-101</v>
      </c>
      <c r="K55">
        <v>0.50248800000000005</v>
      </c>
      <c r="L55">
        <v>0.49292718433268301</v>
      </c>
      <c r="M55">
        <v>554430</v>
      </c>
      <c r="N55" t="b">
        <v>0</v>
      </c>
      <c r="O55">
        <v>-185.7</v>
      </c>
      <c r="P55">
        <v>-107.8</v>
      </c>
      <c r="Q55">
        <v>-107.8</v>
      </c>
      <c r="R55" t="s">
        <v>73</v>
      </c>
      <c r="S55">
        <v>112.2</v>
      </c>
      <c r="T55">
        <v>112.2</v>
      </c>
      <c r="U55" t="s">
        <v>73</v>
      </c>
      <c r="V55">
        <v>29</v>
      </c>
      <c r="W55" t="s">
        <v>144</v>
      </c>
      <c r="X55">
        <v>-106</v>
      </c>
      <c r="Y55">
        <v>0.51</v>
      </c>
      <c r="Z55">
        <v>-107</v>
      </c>
      <c r="AA55">
        <v>0.51690800000000003</v>
      </c>
      <c r="AB55">
        <v>0.50707281566731599</v>
      </c>
      <c r="AC55">
        <v>656302</v>
      </c>
      <c r="AD55" t="b">
        <v>0</v>
      </c>
      <c r="AE55">
        <v>-122.2</v>
      </c>
      <c r="AF55">
        <v>-106.6</v>
      </c>
      <c r="AG55">
        <v>-106.6</v>
      </c>
      <c r="AH55" t="s">
        <v>73</v>
      </c>
      <c r="AI55">
        <v>-112.2</v>
      </c>
      <c r="AJ55">
        <v>-112.2</v>
      </c>
      <c r="AK55" t="s">
        <v>73</v>
      </c>
      <c r="AL55" t="s">
        <v>784</v>
      </c>
      <c r="AM55" t="s">
        <v>75</v>
      </c>
      <c r="AN55">
        <v>15</v>
      </c>
      <c r="AO55">
        <v>0.8</v>
      </c>
      <c r="AP55">
        <v>0.53</v>
      </c>
      <c r="AQ55">
        <v>2.2929999999999999E-2</v>
      </c>
      <c r="AR55">
        <v>-112.8</v>
      </c>
      <c r="AS55" t="s">
        <v>75</v>
      </c>
      <c r="AT55">
        <v>1</v>
      </c>
      <c r="AU55">
        <v>0.93500000000000005</v>
      </c>
      <c r="AV55" t="s">
        <v>262</v>
      </c>
      <c r="AW55" t="s">
        <v>75</v>
      </c>
      <c r="AX55">
        <v>41</v>
      </c>
      <c r="AY55">
        <v>0.9</v>
      </c>
      <c r="AZ55">
        <v>0.51</v>
      </c>
      <c r="BA55">
        <v>2.9299999999999999E-3</v>
      </c>
      <c r="BB55">
        <v>-104.1</v>
      </c>
      <c r="BC55" t="s">
        <v>75</v>
      </c>
      <c r="BD55">
        <v>0</v>
      </c>
      <c r="BE55">
        <v>0</v>
      </c>
      <c r="BF55" t="s">
        <v>75</v>
      </c>
      <c r="BG55">
        <v>2.2929999999999999E-2</v>
      </c>
      <c r="BH55">
        <v>0</v>
      </c>
      <c r="BI55">
        <v>0</v>
      </c>
      <c r="BJ55">
        <v>3</v>
      </c>
      <c r="BK55">
        <v>0.8</v>
      </c>
      <c r="BL55" t="s">
        <v>697</v>
      </c>
    </row>
    <row r="56" spans="1:64" x14ac:dyDescent="0.2">
      <c r="A56">
        <v>824831</v>
      </c>
      <c r="B56" t="s">
        <v>263</v>
      </c>
      <c r="C56" s="3">
        <v>46183</v>
      </c>
      <c r="D56">
        <v>6.2</v>
      </c>
      <c r="E56">
        <v>2</v>
      </c>
      <c r="F56">
        <v>24</v>
      </c>
      <c r="G56" t="s">
        <v>96</v>
      </c>
      <c r="H56">
        <v>-113</v>
      </c>
      <c r="I56">
        <v>0.53</v>
      </c>
      <c r="J56">
        <v>-104</v>
      </c>
      <c r="K56">
        <v>0.50980400000000003</v>
      </c>
      <c r="L56">
        <v>0.5</v>
      </c>
      <c r="M56">
        <v>669923</v>
      </c>
      <c r="N56" t="b">
        <v>0</v>
      </c>
      <c r="O56">
        <v>-233.3</v>
      </c>
      <c r="P56">
        <v>-111</v>
      </c>
      <c r="Q56" t="s">
        <v>264</v>
      </c>
      <c r="R56" t="s">
        <v>81</v>
      </c>
      <c r="S56">
        <v>-143.19999999999999</v>
      </c>
      <c r="T56">
        <v>-143.19999999999999</v>
      </c>
      <c r="U56" t="s">
        <v>73</v>
      </c>
      <c r="V56">
        <v>2</v>
      </c>
      <c r="W56" t="s">
        <v>141</v>
      </c>
      <c r="X56">
        <v>104</v>
      </c>
      <c r="Y56">
        <v>0.49</v>
      </c>
      <c r="Z56">
        <v>-104</v>
      </c>
      <c r="AA56">
        <v>0.50980400000000003</v>
      </c>
      <c r="AB56">
        <v>0.5</v>
      </c>
      <c r="AC56">
        <v>687064</v>
      </c>
      <c r="AD56" t="b">
        <v>0</v>
      </c>
      <c r="AE56">
        <v>122.2</v>
      </c>
      <c r="AF56">
        <v>103.6</v>
      </c>
      <c r="AG56">
        <v>103.6</v>
      </c>
      <c r="AH56" t="s">
        <v>73</v>
      </c>
      <c r="AI56">
        <v>143.19999999999999</v>
      </c>
      <c r="AJ56">
        <v>143.19999999999999</v>
      </c>
      <c r="AK56" t="s">
        <v>73</v>
      </c>
      <c r="AL56" t="s">
        <v>785</v>
      </c>
      <c r="AM56" t="s">
        <v>94</v>
      </c>
      <c r="AN56">
        <v>15</v>
      </c>
      <c r="AO56">
        <v>0.87</v>
      </c>
      <c r="AP56">
        <v>0.46</v>
      </c>
      <c r="AQ56">
        <v>-0.04</v>
      </c>
      <c r="AR56">
        <v>117.4</v>
      </c>
      <c r="AS56" t="s">
        <v>94</v>
      </c>
      <c r="AT56">
        <v>0</v>
      </c>
      <c r="AU56">
        <v>0</v>
      </c>
      <c r="AV56" t="s">
        <v>786</v>
      </c>
      <c r="AW56" t="s">
        <v>94</v>
      </c>
      <c r="AX56">
        <v>41</v>
      </c>
      <c r="AY56">
        <v>1</v>
      </c>
      <c r="AZ56">
        <v>0.4</v>
      </c>
      <c r="BA56">
        <v>-0.1</v>
      </c>
      <c r="BB56">
        <v>150</v>
      </c>
      <c r="BC56" t="s">
        <v>94</v>
      </c>
      <c r="BD56">
        <v>0</v>
      </c>
      <c r="BE56">
        <v>0</v>
      </c>
      <c r="BF56" t="s">
        <v>83</v>
      </c>
      <c r="BG56">
        <v>0</v>
      </c>
      <c r="BH56">
        <v>0</v>
      </c>
      <c r="BI56">
        <v>0</v>
      </c>
      <c r="BJ56">
        <v>0</v>
      </c>
      <c r="BK56">
        <v>0</v>
      </c>
      <c r="BL56" t="s">
        <v>265</v>
      </c>
    </row>
    <row r="57" spans="1:64" x14ac:dyDescent="0.2">
      <c r="A57">
        <v>824022</v>
      </c>
      <c r="B57" t="s">
        <v>266</v>
      </c>
      <c r="C57" s="3">
        <v>46183</v>
      </c>
      <c r="D57">
        <v>6.2</v>
      </c>
      <c r="E57">
        <v>2</v>
      </c>
      <c r="F57">
        <v>12</v>
      </c>
      <c r="G57" t="s">
        <v>108</v>
      </c>
      <c r="H57">
        <v>105</v>
      </c>
      <c r="I57">
        <v>0.49</v>
      </c>
      <c r="J57">
        <v>102</v>
      </c>
      <c r="K57">
        <v>0.49504999999999999</v>
      </c>
      <c r="L57">
        <v>0.48481269512964198</v>
      </c>
      <c r="M57">
        <v>663567</v>
      </c>
      <c r="N57" t="b">
        <v>0</v>
      </c>
      <c r="O57">
        <v>-150</v>
      </c>
      <c r="P57">
        <v>103.2</v>
      </c>
      <c r="Q57">
        <v>103.2</v>
      </c>
      <c r="R57" t="s">
        <v>73</v>
      </c>
      <c r="S57">
        <v>123.1</v>
      </c>
      <c r="T57">
        <v>123.1</v>
      </c>
      <c r="U57" t="s">
        <v>73</v>
      </c>
      <c r="V57">
        <v>4</v>
      </c>
      <c r="W57" t="s">
        <v>111</v>
      </c>
      <c r="X57">
        <v>-113</v>
      </c>
      <c r="Y57">
        <v>0.53</v>
      </c>
      <c r="Z57">
        <v>-111</v>
      </c>
      <c r="AA57">
        <v>0.52606600000000003</v>
      </c>
      <c r="AB57">
        <v>0.51518730487035702</v>
      </c>
      <c r="AC57">
        <v>672282</v>
      </c>
      <c r="AD57" t="b">
        <v>0</v>
      </c>
      <c r="AE57">
        <v>122.2</v>
      </c>
      <c r="AF57">
        <v>110.3</v>
      </c>
      <c r="AG57">
        <v>110.3</v>
      </c>
      <c r="AH57" t="s">
        <v>73</v>
      </c>
      <c r="AI57">
        <v>-123.1</v>
      </c>
      <c r="AJ57">
        <v>-123.1</v>
      </c>
      <c r="AK57" t="s">
        <v>73</v>
      </c>
      <c r="AL57" t="s">
        <v>267</v>
      </c>
      <c r="AM57" t="s">
        <v>75</v>
      </c>
      <c r="AN57">
        <v>15</v>
      </c>
      <c r="AO57">
        <v>0.6</v>
      </c>
      <c r="AP57">
        <v>0.5</v>
      </c>
      <c r="AQ57">
        <v>-1.519E-2</v>
      </c>
      <c r="AR57">
        <v>-100</v>
      </c>
      <c r="AS57" t="s">
        <v>75</v>
      </c>
      <c r="AT57">
        <v>0</v>
      </c>
      <c r="AU57">
        <v>0</v>
      </c>
      <c r="AV57" t="s">
        <v>268</v>
      </c>
      <c r="AW57" t="s">
        <v>75</v>
      </c>
      <c r="AX57">
        <v>41</v>
      </c>
      <c r="AY57">
        <v>0.54</v>
      </c>
      <c r="AZ57">
        <v>0.51</v>
      </c>
      <c r="BA57">
        <v>-5.1900000000000002E-3</v>
      </c>
      <c r="BB57">
        <v>-104.1</v>
      </c>
      <c r="BC57" t="s">
        <v>75</v>
      </c>
      <c r="BD57">
        <v>0</v>
      </c>
      <c r="BE57">
        <v>0</v>
      </c>
      <c r="BF57" t="s">
        <v>83</v>
      </c>
      <c r="BG57">
        <v>0</v>
      </c>
      <c r="BH57">
        <v>0</v>
      </c>
      <c r="BI57">
        <v>0</v>
      </c>
      <c r="BJ57">
        <v>0</v>
      </c>
      <c r="BK57">
        <v>0</v>
      </c>
      <c r="BL57" t="s">
        <v>269</v>
      </c>
    </row>
    <row r="58" spans="1:64" x14ac:dyDescent="0.2">
      <c r="A58">
        <v>824428</v>
      </c>
      <c r="B58" t="s">
        <v>270</v>
      </c>
      <c r="C58" s="3">
        <v>46183</v>
      </c>
      <c r="D58">
        <v>6.2</v>
      </c>
      <c r="E58">
        <v>2</v>
      </c>
      <c r="F58">
        <v>19</v>
      </c>
      <c r="G58" t="s">
        <v>123</v>
      </c>
      <c r="H58">
        <v>108</v>
      </c>
      <c r="I58">
        <v>0.48</v>
      </c>
      <c r="J58">
        <v>106</v>
      </c>
      <c r="K58">
        <v>0.48543700000000001</v>
      </c>
      <c r="L58">
        <v>0.475768900179453</v>
      </c>
      <c r="M58">
        <v>607074</v>
      </c>
      <c r="N58" t="b">
        <v>0</v>
      </c>
      <c r="O58">
        <v>-150</v>
      </c>
      <c r="P58">
        <v>-112.3</v>
      </c>
      <c r="Q58" t="s">
        <v>209</v>
      </c>
      <c r="R58" t="s">
        <v>81</v>
      </c>
      <c r="S58">
        <v>111.8</v>
      </c>
      <c r="T58">
        <v>111.8</v>
      </c>
      <c r="U58" t="s">
        <v>73</v>
      </c>
      <c r="V58">
        <v>7</v>
      </c>
      <c r="W58" t="s">
        <v>137</v>
      </c>
      <c r="X58">
        <v>-116</v>
      </c>
      <c r="Y58">
        <v>0.54</v>
      </c>
      <c r="Z58">
        <v>-115</v>
      </c>
      <c r="AA58">
        <v>0.53488400000000003</v>
      </c>
      <c r="AB58">
        <v>0.52423109982054605</v>
      </c>
      <c r="AC58">
        <v>800048</v>
      </c>
      <c r="AD58" t="b">
        <v>0</v>
      </c>
      <c r="AE58">
        <v>-100</v>
      </c>
      <c r="AF58">
        <v>-100.2</v>
      </c>
      <c r="AG58">
        <v>-100.2</v>
      </c>
      <c r="AH58" t="s">
        <v>73</v>
      </c>
      <c r="AI58">
        <v>-111.8</v>
      </c>
      <c r="AJ58">
        <v>-111.8</v>
      </c>
      <c r="AK58" t="s">
        <v>73</v>
      </c>
      <c r="AL58" t="s">
        <v>787</v>
      </c>
      <c r="AM58" t="s">
        <v>75</v>
      </c>
      <c r="AN58">
        <v>15</v>
      </c>
      <c r="AO58">
        <v>0.87</v>
      </c>
      <c r="AP58">
        <v>0.52</v>
      </c>
      <c r="AQ58">
        <v>-4.2300000000000003E-3</v>
      </c>
      <c r="AR58">
        <v>-108.3</v>
      </c>
      <c r="AS58" t="s">
        <v>75</v>
      </c>
      <c r="AT58">
        <v>0</v>
      </c>
      <c r="AU58">
        <v>0</v>
      </c>
      <c r="AV58" t="s">
        <v>788</v>
      </c>
      <c r="AW58" t="s">
        <v>75</v>
      </c>
      <c r="AX58">
        <v>41</v>
      </c>
      <c r="AY58">
        <v>0.61</v>
      </c>
      <c r="AZ58">
        <v>0.5</v>
      </c>
      <c r="BA58">
        <v>-2.4230000000000002E-2</v>
      </c>
      <c r="BB58">
        <v>-100</v>
      </c>
      <c r="BC58" t="s">
        <v>75</v>
      </c>
      <c r="BD58">
        <v>0</v>
      </c>
      <c r="BE58">
        <v>0</v>
      </c>
      <c r="BF58" t="s">
        <v>83</v>
      </c>
      <c r="BG58">
        <v>0</v>
      </c>
      <c r="BH58">
        <v>0</v>
      </c>
      <c r="BI58">
        <v>0</v>
      </c>
      <c r="BJ58">
        <v>0</v>
      </c>
      <c r="BK58">
        <v>0</v>
      </c>
      <c r="BL58" t="s">
        <v>271</v>
      </c>
    </row>
    <row r="59" spans="1:64" x14ac:dyDescent="0.2">
      <c r="A59">
        <v>824348</v>
      </c>
      <c r="B59" t="s">
        <v>272</v>
      </c>
      <c r="C59" s="3">
        <v>46183</v>
      </c>
      <c r="D59">
        <v>6.2</v>
      </c>
      <c r="E59">
        <v>2</v>
      </c>
      <c r="F59">
        <v>5</v>
      </c>
      <c r="G59" t="s">
        <v>85</v>
      </c>
      <c r="H59">
        <v>-160</v>
      </c>
      <c r="I59">
        <v>0.62</v>
      </c>
      <c r="J59">
        <v>-162</v>
      </c>
      <c r="K59">
        <v>0.61832100000000001</v>
      </c>
      <c r="L59">
        <v>0.60624044662019905</v>
      </c>
      <c r="M59">
        <v>684007</v>
      </c>
      <c r="N59" t="b">
        <v>0</v>
      </c>
      <c r="O59">
        <v>300</v>
      </c>
      <c r="P59">
        <v>-110.7</v>
      </c>
      <c r="Q59">
        <v>-110.7</v>
      </c>
      <c r="R59" t="s">
        <v>73</v>
      </c>
      <c r="S59">
        <v>-139.80000000000001</v>
      </c>
      <c r="T59">
        <v>-139.80000000000001</v>
      </c>
      <c r="U59" t="s">
        <v>73</v>
      </c>
      <c r="V59">
        <v>8</v>
      </c>
      <c r="W59" t="s">
        <v>92</v>
      </c>
      <c r="X59">
        <v>147</v>
      </c>
      <c r="Y59">
        <v>0.4</v>
      </c>
      <c r="Z59">
        <v>149</v>
      </c>
      <c r="AA59">
        <v>0.40160600000000002</v>
      </c>
      <c r="AB59">
        <v>0.39375955337980001</v>
      </c>
      <c r="AC59">
        <v>547179</v>
      </c>
      <c r="AD59" t="b">
        <v>0</v>
      </c>
      <c r="AE59">
        <v>185.7</v>
      </c>
      <c r="AF59">
        <v>129</v>
      </c>
      <c r="AG59">
        <v>129</v>
      </c>
      <c r="AH59" t="s">
        <v>93</v>
      </c>
      <c r="AI59">
        <v>139.80000000000001</v>
      </c>
      <c r="AJ59">
        <v>139.80000000000001</v>
      </c>
      <c r="AK59" t="s">
        <v>73</v>
      </c>
      <c r="AL59" t="s">
        <v>789</v>
      </c>
      <c r="AM59" t="s">
        <v>94</v>
      </c>
      <c r="AN59">
        <v>15</v>
      </c>
      <c r="AO59">
        <v>0.93</v>
      </c>
      <c r="AP59">
        <v>0.41</v>
      </c>
      <c r="AQ59">
        <v>1.6240000000000001E-2</v>
      </c>
      <c r="AR59">
        <v>143.9</v>
      </c>
      <c r="AS59" t="s">
        <v>94</v>
      </c>
      <c r="AT59">
        <v>0</v>
      </c>
      <c r="AU59">
        <v>0</v>
      </c>
      <c r="AV59" t="s">
        <v>790</v>
      </c>
      <c r="AW59" t="s">
        <v>94</v>
      </c>
      <c r="AX59">
        <v>41</v>
      </c>
      <c r="AY59">
        <v>0.98</v>
      </c>
      <c r="AZ59">
        <v>0.42</v>
      </c>
      <c r="BA59">
        <v>2.6239999999999999E-2</v>
      </c>
      <c r="BB59">
        <v>138.1</v>
      </c>
      <c r="BC59" t="s">
        <v>94</v>
      </c>
      <c r="BD59">
        <v>0</v>
      </c>
      <c r="BE59">
        <v>0</v>
      </c>
      <c r="BF59" t="s">
        <v>83</v>
      </c>
      <c r="BG59">
        <v>0</v>
      </c>
      <c r="BH59">
        <v>0</v>
      </c>
      <c r="BI59">
        <v>0</v>
      </c>
      <c r="BJ59">
        <v>0</v>
      </c>
      <c r="BK59">
        <v>0</v>
      </c>
      <c r="BL59" t="s">
        <v>273</v>
      </c>
    </row>
    <row r="60" spans="1:64" x14ac:dyDescent="0.2">
      <c r="A60">
        <v>824590</v>
      </c>
      <c r="B60" t="s">
        <v>274</v>
      </c>
      <c r="C60" s="3">
        <v>46183</v>
      </c>
      <c r="D60">
        <v>6.2</v>
      </c>
      <c r="E60">
        <v>2</v>
      </c>
      <c r="F60">
        <v>0</v>
      </c>
      <c r="G60" t="s">
        <v>74</v>
      </c>
      <c r="H60">
        <v>-146</v>
      </c>
      <c r="I60">
        <v>0.59</v>
      </c>
      <c r="J60">
        <v>-143</v>
      </c>
      <c r="K60">
        <v>0.58847700000000003</v>
      </c>
      <c r="L60">
        <v>0.57721495893619501</v>
      </c>
      <c r="M60">
        <v>519242</v>
      </c>
      <c r="N60" t="b">
        <v>0</v>
      </c>
      <c r="O60">
        <v>-185.7</v>
      </c>
      <c r="P60">
        <v>-105.4</v>
      </c>
      <c r="Q60">
        <v>-105.4</v>
      </c>
      <c r="R60" t="s">
        <v>73</v>
      </c>
      <c r="S60">
        <v>-143.6</v>
      </c>
      <c r="T60">
        <v>-143.6</v>
      </c>
      <c r="U60" t="s">
        <v>73</v>
      </c>
      <c r="V60">
        <v>9</v>
      </c>
      <c r="W60" t="s">
        <v>125</v>
      </c>
      <c r="X60">
        <v>135</v>
      </c>
      <c r="Y60">
        <v>0.43</v>
      </c>
      <c r="Z60">
        <v>132</v>
      </c>
      <c r="AA60">
        <v>0.43103399999999997</v>
      </c>
      <c r="AB60">
        <v>0.42278504106380399</v>
      </c>
      <c r="AC60">
        <v>663436</v>
      </c>
      <c r="AD60" t="b">
        <v>0</v>
      </c>
      <c r="AE60">
        <v>-122.2</v>
      </c>
      <c r="AF60">
        <v>104.3</v>
      </c>
      <c r="AG60">
        <v>104.3</v>
      </c>
      <c r="AH60" t="s">
        <v>73</v>
      </c>
      <c r="AI60">
        <v>143.6</v>
      </c>
      <c r="AJ60">
        <v>143.6</v>
      </c>
      <c r="AK60" t="s">
        <v>73</v>
      </c>
      <c r="AL60" t="s">
        <v>275</v>
      </c>
      <c r="AM60" t="s">
        <v>94</v>
      </c>
      <c r="AN60">
        <v>15</v>
      </c>
      <c r="AO60">
        <v>1</v>
      </c>
      <c r="AP60">
        <v>0.39</v>
      </c>
      <c r="AQ60">
        <v>-3.279E-2</v>
      </c>
      <c r="AR60">
        <v>156.4</v>
      </c>
      <c r="AS60" t="s">
        <v>94</v>
      </c>
      <c r="AT60">
        <v>0</v>
      </c>
      <c r="AU60">
        <v>0</v>
      </c>
      <c r="AV60" t="s">
        <v>276</v>
      </c>
      <c r="AW60" t="s">
        <v>94</v>
      </c>
      <c r="AX60">
        <v>41</v>
      </c>
      <c r="AY60">
        <v>1</v>
      </c>
      <c r="AZ60">
        <v>0.39</v>
      </c>
      <c r="BA60">
        <v>-3.279E-2</v>
      </c>
      <c r="BB60">
        <v>156.4</v>
      </c>
      <c r="BC60" t="s">
        <v>94</v>
      </c>
      <c r="BD60">
        <v>0</v>
      </c>
      <c r="BE60">
        <v>0</v>
      </c>
      <c r="BF60" t="s">
        <v>83</v>
      </c>
      <c r="BG60">
        <v>0</v>
      </c>
      <c r="BH60">
        <v>0</v>
      </c>
      <c r="BI60">
        <v>0</v>
      </c>
      <c r="BJ60">
        <v>0</v>
      </c>
      <c r="BK60">
        <v>0</v>
      </c>
      <c r="BL60" t="s">
        <v>277</v>
      </c>
    </row>
    <row r="61" spans="1:64" x14ac:dyDescent="0.2">
      <c r="A61">
        <v>824266</v>
      </c>
      <c r="B61" t="s">
        <v>278</v>
      </c>
      <c r="C61" s="3">
        <v>46183</v>
      </c>
      <c r="D61">
        <v>6.2</v>
      </c>
      <c r="E61">
        <v>2</v>
      </c>
      <c r="F61">
        <v>15</v>
      </c>
      <c r="G61" t="s">
        <v>119</v>
      </c>
      <c r="H61">
        <v>152</v>
      </c>
      <c r="I61">
        <v>0.4</v>
      </c>
      <c r="J61">
        <v>150</v>
      </c>
      <c r="K61">
        <v>0.4</v>
      </c>
      <c r="L61">
        <v>0.39169144115031901</v>
      </c>
      <c r="M61">
        <v>702474</v>
      </c>
      <c r="N61" t="b">
        <v>1</v>
      </c>
      <c r="O61">
        <v>150</v>
      </c>
      <c r="P61">
        <v>110</v>
      </c>
      <c r="Q61">
        <v>110</v>
      </c>
      <c r="R61" t="s">
        <v>78</v>
      </c>
      <c r="S61">
        <v>-124.1</v>
      </c>
      <c r="T61">
        <v>-124.1</v>
      </c>
      <c r="U61" t="s">
        <v>73</v>
      </c>
      <c r="V61">
        <v>10</v>
      </c>
      <c r="W61" t="s">
        <v>97</v>
      </c>
      <c r="X61">
        <v>-166</v>
      </c>
      <c r="Y61">
        <v>0.62</v>
      </c>
      <c r="Z61">
        <v>-164</v>
      </c>
      <c r="AA61">
        <v>0.62121199999999999</v>
      </c>
      <c r="AB61">
        <v>0.60830855884968005</v>
      </c>
      <c r="AC61">
        <v>664285</v>
      </c>
      <c r="AD61" t="b">
        <v>0</v>
      </c>
      <c r="AE61">
        <v>150</v>
      </c>
      <c r="AF61">
        <v>-100.6</v>
      </c>
      <c r="AG61">
        <v>-100.6</v>
      </c>
      <c r="AH61" t="s">
        <v>73</v>
      </c>
      <c r="AI61">
        <v>124.1</v>
      </c>
      <c r="AJ61">
        <v>124.1</v>
      </c>
      <c r="AK61" t="s">
        <v>73</v>
      </c>
      <c r="AL61" t="s">
        <v>791</v>
      </c>
      <c r="AM61" t="s">
        <v>75</v>
      </c>
      <c r="AN61">
        <v>15</v>
      </c>
      <c r="AO61">
        <v>1</v>
      </c>
      <c r="AP61">
        <v>0.55000000000000004</v>
      </c>
      <c r="AQ61">
        <v>-5.8310000000000001E-2</v>
      </c>
      <c r="AR61">
        <v>-122.2</v>
      </c>
      <c r="AS61" t="s">
        <v>75</v>
      </c>
      <c r="AT61">
        <v>0</v>
      </c>
      <c r="AU61">
        <v>0</v>
      </c>
      <c r="AV61" t="s">
        <v>792</v>
      </c>
      <c r="AW61" t="s">
        <v>75</v>
      </c>
      <c r="AX61">
        <v>41</v>
      </c>
      <c r="AY61">
        <v>0.88</v>
      </c>
      <c r="AZ61">
        <v>0.53</v>
      </c>
      <c r="BA61">
        <v>-7.8310000000000005E-2</v>
      </c>
      <c r="BB61">
        <v>-112.8</v>
      </c>
      <c r="BC61" t="s">
        <v>75</v>
      </c>
      <c r="BD61">
        <v>0</v>
      </c>
      <c r="BE61">
        <v>0</v>
      </c>
      <c r="BF61" t="s">
        <v>83</v>
      </c>
      <c r="BG61">
        <v>0</v>
      </c>
      <c r="BH61">
        <v>0</v>
      </c>
      <c r="BI61">
        <v>0</v>
      </c>
      <c r="BJ61">
        <v>0</v>
      </c>
      <c r="BK61">
        <v>0</v>
      </c>
      <c r="BL61" t="s">
        <v>279</v>
      </c>
    </row>
    <row r="62" spans="1:64" x14ac:dyDescent="0.2">
      <c r="A62">
        <v>823856</v>
      </c>
      <c r="B62" t="s">
        <v>280</v>
      </c>
      <c r="C62" s="3">
        <v>46183</v>
      </c>
      <c r="D62">
        <v>6.2</v>
      </c>
      <c r="E62">
        <v>2</v>
      </c>
      <c r="F62">
        <v>1</v>
      </c>
      <c r="G62" t="s">
        <v>79</v>
      </c>
      <c r="H62">
        <v>-108</v>
      </c>
      <c r="I62">
        <v>0.52</v>
      </c>
      <c r="J62">
        <v>-111</v>
      </c>
      <c r="K62">
        <v>0.52606600000000003</v>
      </c>
      <c r="L62">
        <v>0.51518730487035702</v>
      </c>
      <c r="M62">
        <v>669194</v>
      </c>
      <c r="N62" t="b">
        <v>0</v>
      </c>
      <c r="O62">
        <v>-122.2</v>
      </c>
      <c r="P62">
        <v>102.2</v>
      </c>
      <c r="Q62">
        <v>102.2</v>
      </c>
      <c r="R62" t="s">
        <v>73</v>
      </c>
      <c r="S62">
        <v>-169.5</v>
      </c>
      <c r="T62" t="s">
        <v>281</v>
      </c>
      <c r="U62" t="s">
        <v>81</v>
      </c>
      <c r="V62">
        <v>11</v>
      </c>
      <c r="W62" t="s">
        <v>103</v>
      </c>
      <c r="X62">
        <v>100</v>
      </c>
      <c r="Y62">
        <v>0.5</v>
      </c>
      <c r="Z62">
        <v>102</v>
      </c>
      <c r="AA62">
        <v>0.49504999999999999</v>
      </c>
      <c r="AB62">
        <v>0.48481269512964198</v>
      </c>
      <c r="AC62">
        <v>687473</v>
      </c>
      <c r="AD62" t="b">
        <v>0</v>
      </c>
      <c r="AE62">
        <v>-122.2</v>
      </c>
      <c r="AF62">
        <v>-101.8</v>
      </c>
      <c r="AG62">
        <v>-101.8</v>
      </c>
      <c r="AH62" t="s">
        <v>73</v>
      </c>
      <c r="AI62">
        <v>169.5</v>
      </c>
      <c r="AJ62">
        <v>169.5</v>
      </c>
      <c r="AK62" t="s">
        <v>78</v>
      </c>
      <c r="AL62" t="s">
        <v>793</v>
      </c>
      <c r="AM62" t="s">
        <v>187</v>
      </c>
      <c r="AN62">
        <v>15</v>
      </c>
      <c r="AO62">
        <v>0.6</v>
      </c>
      <c r="AP62">
        <v>0.5</v>
      </c>
      <c r="AQ62">
        <v>1.519E-2</v>
      </c>
      <c r="AR62">
        <v>-100</v>
      </c>
      <c r="AS62" t="s">
        <v>187</v>
      </c>
      <c r="AT62">
        <v>1</v>
      </c>
      <c r="AU62">
        <v>1.02</v>
      </c>
      <c r="AV62" t="s">
        <v>794</v>
      </c>
      <c r="AW62" t="s">
        <v>187</v>
      </c>
      <c r="AX62">
        <v>41</v>
      </c>
      <c r="AY62">
        <v>0.73</v>
      </c>
      <c r="AZ62">
        <v>0.5</v>
      </c>
      <c r="BA62">
        <v>1.519E-2</v>
      </c>
      <c r="BB62">
        <v>-100</v>
      </c>
      <c r="BC62" t="s">
        <v>187</v>
      </c>
      <c r="BD62">
        <v>1</v>
      </c>
      <c r="BE62">
        <v>1.02</v>
      </c>
      <c r="BF62" t="s">
        <v>187</v>
      </c>
      <c r="BG62">
        <v>1.519E-2</v>
      </c>
      <c r="BH62">
        <v>0</v>
      </c>
      <c r="BI62">
        <v>0</v>
      </c>
      <c r="BJ62">
        <v>5</v>
      </c>
      <c r="BK62">
        <v>0.6</v>
      </c>
      <c r="BL62" t="s">
        <v>282</v>
      </c>
    </row>
    <row r="63" spans="1:64" x14ac:dyDescent="0.2">
      <c r="A63">
        <v>824103</v>
      </c>
      <c r="B63" t="s">
        <v>283</v>
      </c>
      <c r="C63" s="3">
        <v>46183</v>
      </c>
      <c r="D63">
        <v>6.2</v>
      </c>
      <c r="E63">
        <v>2</v>
      </c>
      <c r="F63">
        <v>28</v>
      </c>
      <c r="G63" t="s">
        <v>138</v>
      </c>
      <c r="H63">
        <v>-118</v>
      </c>
      <c r="I63">
        <v>0.54</v>
      </c>
      <c r="J63">
        <v>-117</v>
      </c>
      <c r="K63">
        <v>0.53917099999999996</v>
      </c>
      <c r="L63">
        <v>0.52863011549698902</v>
      </c>
      <c r="M63">
        <v>669022</v>
      </c>
      <c r="N63" t="b">
        <v>0</v>
      </c>
      <c r="O63">
        <v>-100</v>
      </c>
      <c r="P63">
        <v>-104.7</v>
      </c>
      <c r="Q63">
        <v>-104.7</v>
      </c>
      <c r="R63" t="s">
        <v>73</v>
      </c>
      <c r="S63">
        <v>-108.5</v>
      </c>
      <c r="T63">
        <v>-108.5</v>
      </c>
      <c r="U63" t="s">
        <v>73</v>
      </c>
      <c r="V63">
        <v>13</v>
      </c>
      <c r="W63" t="s">
        <v>118</v>
      </c>
      <c r="X63">
        <v>109</v>
      </c>
      <c r="Y63">
        <v>0.48</v>
      </c>
      <c r="Z63">
        <v>108</v>
      </c>
      <c r="AA63">
        <v>0.480769</v>
      </c>
      <c r="AB63">
        <v>0.47136988450300898</v>
      </c>
      <c r="AC63">
        <v>607625</v>
      </c>
      <c r="AD63" t="b">
        <v>0</v>
      </c>
      <c r="AE63">
        <v>150</v>
      </c>
      <c r="AF63">
        <v>101.9</v>
      </c>
      <c r="AG63">
        <v>101.9</v>
      </c>
      <c r="AH63" t="s">
        <v>73</v>
      </c>
      <c r="AI63">
        <v>108.5</v>
      </c>
      <c r="AJ63">
        <v>108.5</v>
      </c>
      <c r="AK63" t="s">
        <v>73</v>
      </c>
      <c r="AL63" t="s">
        <v>795</v>
      </c>
      <c r="AM63" t="s">
        <v>94</v>
      </c>
      <c r="AN63">
        <v>15</v>
      </c>
      <c r="AO63">
        <v>0.8</v>
      </c>
      <c r="AP63">
        <v>0.47</v>
      </c>
      <c r="AQ63">
        <v>-1.3699999999999999E-3</v>
      </c>
      <c r="AR63">
        <v>112.8</v>
      </c>
      <c r="AS63" t="s">
        <v>94</v>
      </c>
      <c r="AT63">
        <v>0</v>
      </c>
      <c r="AU63">
        <v>0</v>
      </c>
      <c r="AV63" t="s">
        <v>796</v>
      </c>
      <c r="AW63" t="s">
        <v>94</v>
      </c>
      <c r="AX63">
        <v>41</v>
      </c>
      <c r="AY63">
        <v>0.83</v>
      </c>
      <c r="AZ63">
        <v>0.46</v>
      </c>
      <c r="BA63">
        <v>-1.137E-2</v>
      </c>
      <c r="BB63">
        <v>117.4</v>
      </c>
      <c r="BC63" t="s">
        <v>94</v>
      </c>
      <c r="BD63">
        <v>0</v>
      </c>
      <c r="BE63">
        <v>0</v>
      </c>
      <c r="BF63" t="s">
        <v>83</v>
      </c>
      <c r="BG63">
        <v>0</v>
      </c>
      <c r="BH63">
        <v>0</v>
      </c>
      <c r="BI63">
        <v>0</v>
      </c>
      <c r="BJ63">
        <v>0</v>
      </c>
      <c r="BK63">
        <v>0</v>
      </c>
      <c r="BL63" t="s">
        <v>284</v>
      </c>
    </row>
    <row r="64" spans="1:64" x14ac:dyDescent="0.2">
      <c r="A64">
        <v>823618</v>
      </c>
      <c r="B64" t="s">
        <v>285</v>
      </c>
      <c r="C64" s="3">
        <v>46183</v>
      </c>
      <c r="D64">
        <v>6.2</v>
      </c>
      <c r="E64">
        <v>2</v>
      </c>
      <c r="F64">
        <v>26</v>
      </c>
      <c r="G64" t="s">
        <v>134</v>
      </c>
      <c r="H64">
        <v>119</v>
      </c>
      <c r="I64">
        <v>0.46</v>
      </c>
      <c r="J64">
        <v>118</v>
      </c>
      <c r="K64">
        <v>0.45871600000000001</v>
      </c>
      <c r="L64">
        <v>0.44966866643140002</v>
      </c>
      <c r="M64">
        <v>669467</v>
      </c>
      <c r="N64" t="b">
        <v>0</v>
      </c>
      <c r="O64">
        <v>-122.2</v>
      </c>
      <c r="P64">
        <v>107.6</v>
      </c>
      <c r="Q64">
        <v>107.6</v>
      </c>
      <c r="R64" t="s">
        <v>78</v>
      </c>
      <c r="S64">
        <v>-900</v>
      </c>
      <c r="T64" t="s">
        <v>286</v>
      </c>
      <c r="U64" t="s">
        <v>233</v>
      </c>
      <c r="V64">
        <v>18</v>
      </c>
      <c r="W64" t="s">
        <v>129</v>
      </c>
      <c r="X64">
        <v>-129</v>
      </c>
      <c r="Y64">
        <v>0.56000000000000005</v>
      </c>
      <c r="Z64">
        <v>-128</v>
      </c>
      <c r="AA64">
        <v>0.56140400000000001</v>
      </c>
      <c r="AB64">
        <v>0.55033133356859898</v>
      </c>
      <c r="AC64">
        <v>681810</v>
      </c>
      <c r="AD64" t="b">
        <v>0</v>
      </c>
      <c r="AE64">
        <v>122.2</v>
      </c>
      <c r="AF64">
        <v>106.5</v>
      </c>
      <c r="AG64">
        <v>106.5</v>
      </c>
      <c r="AH64" t="s">
        <v>73</v>
      </c>
      <c r="AI64">
        <v>-100</v>
      </c>
      <c r="AJ64">
        <v>-100</v>
      </c>
      <c r="AK64" t="s">
        <v>126</v>
      </c>
      <c r="AL64" t="s">
        <v>797</v>
      </c>
      <c r="AM64" t="s">
        <v>75</v>
      </c>
      <c r="AN64">
        <v>15</v>
      </c>
      <c r="AO64">
        <v>0.93</v>
      </c>
      <c r="AP64">
        <v>0.54</v>
      </c>
      <c r="AQ64">
        <v>-1.0330000000000001E-2</v>
      </c>
      <c r="AR64">
        <v>-117.4</v>
      </c>
      <c r="AS64" t="s">
        <v>75</v>
      </c>
      <c r="AT64">
        <v>0</v>
      </c>
      <c r="AU64">
        <v>0</v>
      </c>
      <c r="AV64" t="s">
        <v>798</v>
      </c>
      <c r="AW64" t="s">
        <v>75</v>
      </c>
      <c r="AX64">
        <v>41</v>
      </c>
      <c r="AY64">
        <v>1</v>
      </c>
      <c r="AZ64">
        <v>0.53</v>
      </c>
      <c r="BA64">
        <v>-2.0330000000000001E-2</v>
      </c>
      <c r="BB64">
        <v>-112.8</v>
      </c>
      <c r="BC64" t="s">
        <v>75</v>
      </c>
      <c r="BD64">
        <v>0</v>
      </c>
      <c r="BE64">
        <v>0</v>
      </c>
      <c r="BF64" t="s">
        <v>83</v>
      </c>
      <c r="BG64">
        <v>0</v>
      </c>
      <c r="BH64">
        <v>0</v>
      </c>
      <c r="BI64">
        <v>0</v>
      </c>
      <c r="BJ64">
        <v>0</v>
      </c>
      <c r="BK64">
        <v>0</v>
      </c>
      <c r="BL64" t="s">
        <v>287</v>
      </c>
    </row>
    <row r="65" spans="1:64" x14ac:dyDescent="0.2">
      <c r="A65">
        <v>824996</v>
      </c>
      <c r="B65" t="s">
        <v>288</v>
      </c>
      <c r="C65" s="3">
        <v>46183</v>
      </c>
      <c r="D65">
        <v>6.2</v>
      </c>
      <c r="E65">
        <v>2</v>
      </c>
      <c r="F65">
        <v>17</v>
      </c>
      <c r="G65" t="s">
        <v>89</v>
      </c>
      <c r="H65">
        <v>-104</v>
      </c>
      <c r="I65">
        <v>0.51</v>
      </c>
      <c r="J65">
        <v>-103</v>
      </c>
      <c r="K65">
        <v>0.50738899999999998</v>
      </c>
      <c r="L65">
        <v>0.49764315642458001</v>
      </c>
      <c r="M65">
        <v>687075</v>
      </c>
      <c r="N65" t="b">
        <v>0</v>
      </c>
      <c r="O65">
        <v>-233.3</v>
      </c>
      <c r="P65">
        <v>-118.4</v>
      </c>
      <c r="Q65" t="s">
        <v>289</v>
      </c>
      <c r="R65" t="s">
        <v>81</v>
      </c>
      <c r="S65">
        <v>102.1</v>
      </c>
      <c r="T65">
        <v>102.1</v>
      </c>
      <c r="U65" t="s">
        <v>73</v>
      </c>
      <c r="V65">
        <v>20</v>
      </c>
      <c r="W65" t="s">
        <v>107</v>
      </c>
      <c r="X65">
        <v>-104</v>
      </c>
      <c r="Y65">
        <v>0.51</v>
      </c>
      <c r="Z65">
        <v>-105</v>
      </c>
      <c r="AA65">
        <v>0.51219499999999996</v>
      </c>
      <c r="AB65">
        <v>0.50235684357541799</v>
      </c>
      <c r="AC65">
        <v>678022</v>
      </c>
      <c r="AD65" t="b">
        <v>0</v>
      </c>
      <c r="AE65">
        <v>122.2</v>
      </c>
      <c r="AF65">
        <v>-101</v>
      </c>
      <c r="AG65">
        <v>-101</v>
      </c>
      <c r="AH65" t="s">
        <v>73</v>
      </c>
      <c r="AI65">
        <v>-102.1</v>
      </c>
      <c r="AJ65">
        <v>-102.1</v>
      </c>
      <c r="AK65" t="s">
        <v>73</v>
      </c>
      <c r="AL65" t="s">
        <v>799</v>
      </c>
      <c r="AM65" t="s">
        <v>75</v>
      </c>
      <c r="AN65">
        <v>15</v>
      </c>
      <c r="AO65">
        <v>0.67</v>
      </c>
      <c r="AP65">
        <v>0.51</v>
      </c>
      <c r="AQ65">
        <v>7.6400000000000001E-3</v>
      </c>
      <c r="AR65">
        <v>-104.1</v>
      </c>
      <c r="AS65" t="s">
        <v>75</v>
      </c>
      <c r="AT65">
        <v>1</v>
      </c>
      <c r="AU65">
        <v>0.95199999999999996</v>
      </c>
      <c r="AV65" t="s">
        <v>800</v>
      </c>
      <c r="AW65" t="s">
        <v>109</v>
      </c>
      <c r="AX65">
        <v>41</v>
      </c>
      <c r="AY65">
        <v>0.98</v>
      </c>
      <c r="AZ65">
        <v>0.44</v>
      </c>
      <c r="BA65">
        <v>-6.2359999999999999E-2</v>
      </c>
      <c r="BB65">
        <v>127.3</v>
      </c>
      <c r="BC65" t="s">
        <v>109</v>
      </c>
      <c r="BD65">
        <v>1</v>
      </c>
      <c r="BE65">
        <v>0.97099999999999997</v>
      </c>
      <c r="BF65" t="s">
        <v>109</v>
      </c>
      <c r="BG65">
        <v>-6.2359999999999999E-2</v>
      </c>
      <c r="BH65">
        <v>0</v>
      </c>
      <c r="BI65">
        <v>0</v>
      </c>
      <c r="BJ65">
        <v>5</v>
      </c>
      <c r="BK65">
        <v>0.98</v>
      </c>
      <c r="BL65" t="s">
        <v>290</v>
      </c>
    </row>
    <row r="66" spans="1:64" x14ac:dyDescent="0.2">
      <c r="A66">
        <v>823372</v>
      </c>
      <c r="B66" t="s">
        <v>291</v>
      </c>
      <c r="C66" s="3">
        <v>46183</v>
      </c>
      <c r="D66">
        <v>6.2</v>
      </c>
      <c r="E66">
        <v>2</v>
      </c>
      <c r="F66">
        <v>14</v>
      </c>
      <c r="G66" t="s">
        <v>113</v>
      </c>
      <c r="H66">
        <v>-206</v>
      </c>
      <c r="I66">
        <v>0.67</v>
      </c>
      <c r="J66">
        <v>-193</v>
      </c>
      <c r="K66">
        <v>0.65870300000000004</v>
      </c>
      <c r="L66">
        <v>0.64430976417802699</v>
      </c>
      <c r="M66">
        <v>660271</v>
      </c>
      <c r="N66" t="b">
        <v>0</v>
      </c>
      <c r="O66">
        <v>-233.3</v>
      </c>
      <c r="P66">
        <v>-116.5</v>
      </c>
      <c r="Q66" t="s">
        <v>171</v>
      </c>
      <c r="R66" t="s">
        <v>81</v>
      </c>
      <c r="S66">
        <v>-112.2</v>
      </c>
      <c r="T66">
        <v>-112.2</v>
      </c>
      <c r="U66" t="s">
        <v>73</v>
      </c>
      <c r="V66">
        <v>22</v>
      </c>
      <c r="W66" t="s">
        <v>72</v>
      </c>
      <c r="X66">
        <v>187</v>
      </c>
      <c r="Y66">
        <v>0.35</v>
      </c>
      <c r="Z66">
        <v>175</v>
      </c>
      <c r="AA66">
        <v>0.36363600000000001</v>
      </c>
      <c r="AB66">
        <v>0.35569023582197201</v>
      </c>
      <c r="AC66">
        <v>683003</v>
      </c>
      <c r="AD66" t="b">
        <v>0</v>
      </c>
      <c r="AE66">
        <v>-100</v>
      </c>
      <c r="AF66">
        <v>100.2</v>
      </c>
      <c r="AG66">
        <v>100.2</v>
      </c>
      <c r="AH66" t="s">
        <v>73</v>
      </c>
      <c r="AI66">
        <v>112.2</v>
      </c>
      <c r="AJ66">
        <v>112.2</v>
      </c>
      <c r="AK66" t="s">
        <v>73</v>
      </c>
      <c r="AL66" t="s">
        <v>292</v>
      </c>
      <c r="AM66" t="s">
        <v>94</v>
      </c>
      <c r="AN66">
        <v>15</v>
      </c>
      <c r="AO66">
        <v>1</v>
      </c>
      <c r="AP66">
        <v>0.4</v>
      </c>
      <c r="AQ66">
        <v>4.4310000000000002E-2</v>
      </c>
      <c r="AR66">
        <v>150</v>
      </c>
      <c r="AS66" t="s">
        <v>94</v>
      </c>
      <c r="AT66">
        <v>0</v>
      </c>
      <c r="AU66">
        <v>0</v>
      </c>
      <c r="AV66" t="s">
        <v>801</v>
      </c>
      <c r="AW66" t="s">
        <v>94</v>
      </c>
      <c r="AX66">
        <v>41</v>
      </c>
      <c r="AY66">
        <v>0.98</v>
      </c>
      <c r="AZ66">
        <v>0.44</v>
      </c>
      <c r="BA66">
        <v>8.4309999999999996E-2</v>
      </c>
      <c r="BB66">
        <v>127.3</v>
      </c>
      <c r="BC66" t="s">
        <v>94</v>
      </c>
      <c r="BD66">
        <v>0</v>
      </c>
      <c r="BE66">
        <v>0</v>
      </c>
      <c r="BF66" t="s">
        <v>83</v>
      </c>
      <c r="BG66">
        <v>0</v>
      </c>
      <c r="BH66">
        <v>0</v>
      </c>
      <c r="BI66">
        <v>0</v>
      </c>
      <c r="BJ66">
        <v>0</v>
      </c>
      <c r="BK66">
        <v>0</v>
      </c>
      <c r="BL66" t="s">
        <v>293</v>
      </c>
    </row>
    <row r="67" spans="1:64" x14ac:dyDescent="0.2">
      <c r="A67">
        <v>823287</v>
      </c>
      <c r="B67" t="s">
        <v>294</v>
      </c>
      <c r="C67" s="3">
        <v>46183</v>
      </c>
      <c r="D67">
        <v>6.2</v>
      </c>
      <c r="E67">
        <v>2</v>
      </c>
      <c r="F67">
        <v>6</v>
      </c>
      <c r="G67" t="s">
        <v>133</v>
      </c>
      <c r="H67">
        <v>147</v>
      </c>
      <c r="I67">
        <v>0.4</v>
      </c>
      <c r="J67">
        <v>145</v>
      </c>
      <c r="K67">
        <v>0.408163</v>
      </c>
      <c r="L67">
        <v>0.399937877609091</v>
      </c>
      <c r="M67">
        <v>663903</v>
      </c>
      <c r="N67" t="b">
        <v>0</v>
      </c>
      <c r="O67">
        <v>185.7</v>
      </c>
      <c r="P67">
        <v>108.8</v>
      </c>
      <c r="Q67">
        <v>108.8</v>
      </c>
      <c r="R67" t="s">
        <v>78</v>
      </c>
      <c r="S67">
        <v>-106.9</v>
      </c>
      <c r="T67">
        <v>-106.9</v>
      </c>
      <c r="U67" t="s">
        <v>73</v>
      </c>
      <c r="V67">
        <v>23</v>
      </c>
      <c r="W67" t="s">
        <v>130</v>
      </c>
      <c r="X67">
        <v>-160</v>
      </c>
      <c r="Y67">
        <v>0.62</v>
      </c>
      <c r="Z67">
        <v>-158</v>
      </c>
      <c r="AA67">
        <v>0.61240300000000003</v>
      </c>
      <c r="AB67">
        <v>0.60006212239090795</v>
      </c>
      <c r="AC67">
        <v>650633</v>
      </c>
      <c r="AD67" t="b">
        <v>0</v>
      </c>
      <c r="AE67">
        <v>233.3</v>
      </c>
      <c r="AF67">
        <v>-101.6</v>
      </c>
      <c r="AG67">
        <v>-101.6</v>
      </c>
      <c r="AH67" t="s">
        <v>73</v>
      </c>
      <c r="AI67">
        <v>106.9</v>
      </c>
      <c r="AJ67">
        <v>106.9</v>
      </c>
      <c r="AK67" t="s">
        <v>73</v>
      </c>
      <c r="AL67" t="s">
        <v>802</v>
      </c>
      <c r="AM67" t="s">
        <v>75</v>
      </c>
      <c r="AN67">
        <v>15</v>
      </c>
      <c r="AO67">
        <v>1</v>
      </c>
      <c r="AP67">
        <v>0.56000000000000005</v>
      </c>
      <c r="AQ67">
        <v>-4.0059999999999998E-2</v>
      </c>
      <c r="AR67">
        <v>-127.3</v>
      </c>
      <c r="AS67" t="s">
        <v>75</v>
      </c>
      <c r="AT67">
        <v>0</v>
      </c>
      <c r="AU67">
        <v>0</v>
      </c>
      <c r="AV67" t="s">
        <v>803</v>
      </c>
      <c r="AW67" t="s">
        <v>75</v>
      </c>
      <c r="AX67">
        <v>41</v>
      </c>
      <c r="AY67">
        <v>0.88</v>
      </c>
      <c r="AZ67">
        <v>0.52</v>
      </c>
      <c r="BA67">
        <v>-8.0060000000000006E-2</v>
      </c>
      <c r="BB67">
        <v>-108.3</v>
      </c>
      <c r="BC67" t="s">
        <v>75</v>
      </c>
      <c r="BD67">
        <v>0</v>
      </c>
      <c r="BE67">
        <v>0</v>
      </c>
      <c r="BF67" t="s">
        <v>83</v>
      </c>
      <c r="BG67">
        <v>0</v>
      </c>
      <c r="BH67">
        <v>0</v>
      </c>
      <c r="BI67">
        <v>0</v>
      </c>
      <c r="BJ67">
        <v>0</v>
      </c>
      <c r="BK67">
        <v>0</v>
      </c>
      <c r="BL67" t="s">
        <v>295</v>
      </c>
    </row>
    <row r="68" spans="1:64" x14ac:dyDescent="0.2">
      <c r="A68">
        <v>823215</v>
      </c>
      <c r="B68" t="s">
        <v>296</v>
      </c>
      <c r="C68" s="3">
        <v>46183</v>
      </c>
      <c r="D68">
        <v>6.2</v>
      </c>
      <c r="E68">
        <v>2</v>
      </c>
      <c r="F68">
        <v>16</v>
      </c>
      <c r="G68" t="s">
        <v>77</v>
      </c>
      <c r="H68">
        <v>-102</v>
      </c>
      <c r="I68">
        <v>0.5</v>
      </c>
      <c r="J68">
        <v>-103</v>
      </c>
      <c r="K68">
        <v>0.50738899999999998</v>
      </c>
      <c r="L68">
        <v>0.49764315642458001</v>
      </c>
      <c r="M68">
        <v>656492</v>
      </c>
      <c r="N68" t="b">
        <v>0</v>
      </c>
      <c r="O68">
        <v>-150</v>
      </c>
      <c r="P68">
        <v>112.7</v>
      </c>
      <c r="Q68">
        <v>112.7</v>
      </c>
      <c r="R68" t="s">
        <v>78</v>
      </c>
      <c r="S68">
        <v>-104.9</v>
      </c>
      <c r="T68">
        <v>-104.9</v>
      </c>
      <c r="U68" t="s">
        <v>73</v>
      </c>
      <c r="V68">
        <v>25</v>
      </c>
      <c r="W68" t="s">
        <v>84</v>
      </c>
      <c r="X68">
        <v>-106</v>
      </c>
      <c r="Y68">
        <v>0.51</v>
      </c>
      <c r="Z68">
        <v>-105</v>
      </c>
      <c r="AA68">
        <v>0.51219499999999996</v>
      </c>
      <c r="AB68">
        <v>0.50235684357541799</v>
      </c>
      <c r="AC68">
        <v>592662</v>
      </c>
      <c r="AD68" t="b">
        <v>0</v>
      </c>
      <c r="AE68">
        <v>185.7</v>
      </c>
      <c r="AF68">
        <v>105.5</v>
      </c>
      <c r="AG68">
        <v>105.5</v>
      </c>
      <c r="AH68" t="s">
        <v>73</v>
      </c>
      <c r="AI68">
        <v>104.9</v>
      </c>
      <c r="AJ68">
        <v>104.9</v>
      </c>
      <c r="AK68" t="s">
        <v>73</v>
      </c>
      <c r="AL68" t="s">
        <v>297</v>
      </c>
      <c r="AM68" t="s">
        <v>109</v>
      </c>
      <c r="AN68">
        <v>15</v>
      </c>
      <c r="AO68">
        <v>0.93</v>
      </c>
      <c r="AP68">
        <v>0.47</v>
      </c>
      <c r="AQ68">
        <v>-3.236E-2</v>
      </c>
      <c r="AR68">
        <v>112.8</v>
      </c>
      <c r="AS68" t="s">
        <v>109</v>
      </c>
      <c r="AT68">
        <v>1</v>
      </c>
      <c r="AU68">
        <v>0.97099999999999997</v>
      </c>
      <c r="AV68" t="s">
        <v>298</v>
      </c>
      <c r="AW68" t="s">
        <v>75</v>
      </c>
      <c r="AX68">
        <v>41</v>
      </c>
      <c r="AY68">
        <v>0.71</v>
      </c>
      <c r="AZ68">
        <v>0.5</v>
      </c>
      <c r="BA68">
        <v>-2.3600000000000001E-3</v>
      </c>
      <c r="BB68">
        <v>-100</v>
      </c>
      <c r="BC68" t="s">
        <v>75</v>
      </c>
      <c r="BD68">
        <v>0</v>
      </c>
      <c r="BE68">
        <v>0</v>
      </c>
      <c r="BF68" t="s">
        <v>109</v>
      </c>
      <c r="BG68">
        <v>-3.236E-2</v>
      </c>
      <c r="BH68">
        <v>0</v>
      </c>
      <c r="BI68">
        <v>0</v>
      </c>
      <c r="BJ68">
        <v>3</v>
      </c>
      <c r="BK68">
        <v>0.93</v>
      </c>
      <c r="BL68" t="s">
        <v>299</v>
      </c>
    </row>
    <row r="69" spans="1:64" x14ac:dyDescent="0.2">
      <c r="A69">
        <v>822970</v>
      </c>
      <c r="B69" t="s">
        <v>300</v>
      </c>
      <c r="C69" s="3">
        <v>46183</v>
      </c>
      <c r="D69">
        <v>6.2</v>
      </c>
      <c r="E69">
        <v>2</v>
      </c>
      <c r="F69">
        <v>3</v>
      </c>
      <c r="G69" t="s">
        <v>122</v>
      </c>
      <c r="H69">
        <v>136</v>
      </c>
      <c r="I69">
        <v>0.42</v>
      </c>
      <c r="J69">
        <v>142</v>
      </c>
      <c r="K69">
        <v>0.41322300000000001</v>
      </c>
      <c r="L69">
        <v>0.40531052787482702</v>
      </c>
      <c r="M69">
        <v>687562</v>
      </c>
      <c r="N69" t="b">
        <v>0</v>
      </c>
      <c r="O69">
        <v>150</v>
      </c>
      <c r="P69">
        <v>-104.3</v>
      </c>
      <c r="Q69">
        <v>-104.3</v>
      </c>
      <c r="R69" t="s">
        <v>73</v>
      </c>
      <c r="S69">
        <v>220</v>
      </c>
      <c r="T69">
        <v>220</v>
      </c>
      <c r="U69" t="s">
        <v>112</v>
      </c>
      <c r="V69">
        <v>27</v>
      </c>
      <c r="W69" t="s">
        <v>101</v>
      </c>
      <c r="X69">
        <v>-148</v>
      </c>
      <c r="Y69">
        <v>0.6</v>
      </c>
      <c r="Z69">
        <v>-154</v>
      </c>
      <c r="AA69">
        <v>0.60629900000000003</v>
      </c>
      <c r="AB69">
        <v>0.59468947212517198</v>
      </c>
      <c r="AC69">
        <v>656876</v>
      </c>
      <c r="AD69" t="b">
        <v>0</v>
      </c>
      <c r="AE69">
        <v>-100</v>
      </c>
      <c r="AF69">
        <v>-102.6</v>
      </c>
      <c r="AG69">
        <v>-102.6</v>
      </c>
      <c r="AH69" t="s">
        <v>73</v>
      </c>
      <c r="AI69">
        <v>-220</v>
      </c>
      <c r="AJ69" t="s">
        <v>301</v>
      </c>
      <c r="AK69" t="s">
        <v>116</v>
      </c>
      <c r="AL69" t="s">
        <v>302</v>
      </c>
      <c r="AM69" t="s">
        <v>75</v>
      </c>
      <c r="AN69">
        <v>15</v>
      </c>
      <c r="AO69">
        <v>1</v>
      </c>
      <c r="AP69">
        <v>0.56000000000000005</v>
      </c>
      <c r="AQ69">
        <v>-3.4689999999999999E-2</v>
      </c>
      <c r="AR69">
        <v>-127.3</v>
      </c>
      <c r="AS69" t="s">
        <v>75</v>
      </c>
      <c r="AT69">
        <v>0</v>
      </c>
      <c r="AU69">
        <v>0</v>
      </c>
      <c r="AV69" t="s">
        <v>804</v>
      </c>
      <c r="AW69" t="s">
        <v>75</v>
      </c>
      <c r="AX69">
        <v>41</v>
      </c>
      <c r="AY69">
        <v>0.93</v>
      </c>
      <c r="AZ69">
        <v>0.53</v>
      </c>
      <c r="BA69">
        <v>-6.4689999999999998E-2</v>
      </c>
      <c r="BB69">
        <v>-112.8</v>
      </c>
      <c r="BC69" t="s">
        <v>75</v>
      </c>
      <c r="BD69">
        <v>0</v>
      </c>
      <c r="BE69">
        <v>0</v>
      </c>
      <c r="BF69" t="s">
        <v>83</v>
      </c>
      <c r="BG69">
        <v>0</v>
      </c>
      <c r="BH69">
        <v>0</v>
      </c>
      <c r="BI69">
        <v>0</v>
      </c>
      <c r="BJ69">
        <v>0</v>
      </c>
      <c r="BK69">
        <v>0</v>
      </c>
      <c r="BL69" t="s">
        <v>303</v>
      </c>
    </row>
    <row r="70" spans="1:64" x14ac:dyDescent="0.2">
      <c r="A70">
        <v>822804</v>
      </c>
      <c r="B70" t="s">
        <v>304</v>
      </c>
      <c r="C70" s="3">
        <v>46183</v>
      </c>
      <c r="D70">
        <v>6.2</v>
      </c>
      <c r="E70">
        <v>2</v>
      </c>
      <c r="F70">
        <v>21</v>
      </c>
      <c r="G70" t="s">
        <v>127</v>
      </c>
      <c r="H70">
        <v>-130</v>
      </c>
      <c r="I70">
        <v>0.56999999999999995</v>
      </c>
      <c r="J70">
        <v>-124</v>
      </c>
      <c r="K70">
        <v>0.55357100000000004</v>
      </c>
      <c r="L70">
        <v>0.54225893632923505</v>
      </c>
      <c r="M70">
        <v>666200</v>
      </c>
      <c r="N70" t="b">
        <v>0</v>
      </c>
      <c r="O70">
        <v>-150</v>
      </c>
      <c r="P70">
        <v>-107.5</v>
      </c>
      <c r="Q70">
        <v>-107.5</v>
      </c>
      <c r="R70" t="s">
        <v>73</v>
      </c>
      <c r="S70">
        <v>-155.5</v>
      </c>
      <c r="T70">
        <v>-155.5</v>
      </c>
      <c r="U70" t="s">
        <v>73</v>
      </c>
      <c r="V70">
        <v>29</v>
      </c>
      <c r="W70" t="s">
        <v>144</v>
      </c>
      <c r="X70">
        <v>120</v>
      </c>
      <c r="Y70">
        <v>0.45</v>
      </c>
      <c r="Z70">
        <v>114</v>
      </c>
      <c r="AA70">
        <v>0.46728999999999998</v>
      </c>
      <c r="AB70">
        <v>0.457741063670764</v>
      </c>
      <c r="AC70">
        <v>453286</v>
      </c>
      <c r="AD70" t="b">
        <v>0</v>
      </c>
      <c r="AE70">
        <v>-150</v>
      </c>
      <c r="AF70">
        <v>-106.3</v>
      </c>
      <c r="AG70">
        <v>-106.3</v>
      </c>
      <c r="AH70" t="s">
        <v>73</v>
      </c>
      <c r="AI70">
        <v>155.5</v>
      </c>
      <c r="AJ70">
        <v>155.5</v>
      </c>
      <c r="AK70" t="s">
        <v>73</v>
      </c>
      <c r="AL70" t="s">
        <v>305</v>
      </c>
      <c r="AM70" t="s">
        <v>94</v>
      </c>
      <c r="AN70">
        <v>15</v>
      </c>
      <c r="AO70">
        <v>0.73</v>
      </c>
      <c r="AP70">
        <v>0.48</v>
      </c>
      <c r="AQ70">
        <v>2.2259999999999999E-2</v>
      </c>
      <c r="AR70">
        <v>108.3</v>
      </c>
      <c r="AS70" t="s">
        <v>94</v>
      </c>
      <c r="AT70">
        <v>0</v>
      </c>
      <c r="AU70">
        <v>0</v>
      </c>
      <c r="AV70" t="s">
        <v>306</v>
      </c>
      <c r="AW70" t="s">
        <v>187</v>
      </c>
      <c r="AX70">
        <v>41</v>
      </c>
      <c r="AY70">
        <v>0.61</v>
      </c>
      <c r="AZ70">
        <v>0.5</v>
      </c>
      <c r="BA70">
        <v>4.2259999999999999E-2</v>
      </c>
      <c r="BB70">
        <v>-100</v>
      </c>
      <c r="BC70" t="s">
        <v>187</v>
      </c>
      <c r="BD70">
        <v>1</v>
      </c>
      <c r="BE70">
        <v>1.1399999999999999</v>
      </c>
      <c r="BF70" t="s">
        <v>83</v>
      </c>
      <c r="BG70">
        <v>0</v>
      </c>
      <c r="BH70">
        <v>0</v>
      </c>
      <c r="BI70">
        <v>0</v>
      </c>
      <c r="BJ70">
        <v>0</v>
      </c>
      <c r="BK70">
        <v>0</v>
      </c>
      <c r="BL70" t="s">
        <v>307</v>
      </c>
    </row>
    <row r="71" spans="1:64" x14ac:dyDescent="0.2">
      <c r="A71">
        <v>824827</v>
      </c>
      <c r="B71" t="s">
        <v>1031</v>
      </c>
      <c r="C71" s="3">
        <v>46184</v>
      </c>
      <c r="D71">
        <v>6.2</v>
      </c>
      <c r="E71">
        <v>2</v>
      </c>
      <c r="F71">
        <v>24</v>
      </c>
      <c r="G71" t="s">
        <v>96</v>
      </c>
      <c r="H71">
        <v>-111</v>
      </c>
      <c r="I71">
        <v>0.53</v>
      </c>
      <c r="J71">
        <v>-110</v>
      </c>
      <c r="K71">
        <v>0.52381</v>
      </c>
      <c r="L71">
        <v>0.51162813412644903</v>
      </c>
      <c r="M71">
        <v>693433</v>
      </c>
      <c r="N71" t="b">
        <v>0</v>
      </c>
      <c r="O71">
        <v>-185.7</v>
      </c>
      <c r="P71">
        <v>-110.7</v>
      </c>
      <c r="Q71">
        <v>-110.7</v>
      </c>
      <c r="R71" t="s">
        <v>73</v>
      </c>
      <c r="S71">
        <v>-108.8</v>
      </c>
      <c r="T71">
        <v>-108.8</v>
      </c>
      <c r="U71" t="s">
        <v>73</v>
      </c>
      <c r="V71">
        <v>2</v>
      </c>
      <c r="W71" t="s">
        <v>141</v>
      </c>
      <c r="X71">
        <v>101</v>
      </c>
      <c r="Y71">
        <v>0.5</v>
      </c>
      <c r="Z71">
        <v>100</v>
      </c>
      <c r="AA71">
        <v>0.5</v>
      </c>
      <c r="AB71">
        <v>0.48837186587355003</v>
      </c>
      <c r="AC71">
        <v>680694</v>
      </c>
      <c r="AD71" t="b">
        <v>0</v>
      </c>
      <c r="AE71">
        <v>-100</v>
      </c>
      <c r="AF71">
        <v>102.9</v>
      </c>
      <c r="AG71">
        <v>102.9</v>
      </c>
      <c r="AH71" t="s">
        <v>73</v>
      </c>
      <c r="AI71">
        <v>108.8</v>
      </c>
      <c r="AJ71">
        <v>108.8</v>
      </c>
      <c r="AK71" t="s">
        <v>73</v>
      </c>
      <c r="AL71" t="s">
        <v>805</v>
      </c>
      <c r="AM71" t="s">
        <v>94</v>
      </c>
      <c r="AN71">
        <v>15</v>
      </c>
      <c r="AO71">
        <v>0.87</v>
      </c>
      <c r="AP71">
        <v>0.48</v>
      </c>
      <c r="AQ71">
        <v>-8.3700000000000007E-3</v>
      </c>
      <c r="AR71">
        <v>108.3</v>
      </c>
      <c r="AS71" t="s">
        <v>94</v>
      </c>
      <c r="AT71">
        <v>0</v>
      </c>
      <c r="AU71">
        <v>0</v>
      </c>
      <c r="AV71" t="s">
        <v>806</v>
      </c>
      <c r="AW71" t="s">
        <v>94</v>
      </c>
      <c r="AX71">
        <v>41</v>
      </c>
      <c r="AY71">
        <v>1</v>
      </c>
      <c r="AZ71">
        <v>0.43</v>
      </c>
      <c r="BA71">
        <v>-5.8369999999999998E-2</v>
      </c>
      <c r="BB71">
        <v>132.6</v>
      </c>
      <c r="BC71" t="s">
        <v>94</v>
      </c>
      <c r="BD71">
        <v>0</v>
      </c>
      <c r="BE71">
        <v>0</v>
      </c>
      <c r="BF71" t="s">
        <v>83</v>
      </c>
      <c r="BG71">
        <v>0</v>
      </c>
      <c r="BH71">
        <v>0</v>
      </c>
      <c r="BI71">
        <v>0</v>
      </c>
      <c r="BJ71">
        <v>0</v>
      </c>
      <c r="BK71">
        <v>0</v>
      </c>
      <c r="BL71" t="s">
        <v>308</v>
      </c>
    </row>
    <row r="72" spans="1:64" x14ac:dyDescent="0.2">
      <c r="A72">
        <v>824346</v>
      </c>
      <c r="B72" t="s">
        <v>1032</v>
      </c>
      <c r="C72" s="3">
        <v>46184</v>
      </c>
      <c r="D72">
        <v>6.2</v>
      </c>
      <c r="E72">
        <v>2</v>
      </c>
      <c r="F72">
        <v>5</v>
      </c>
      <c r="G72" t="s">
        <v>85</v>
      </c>
      <c r="H72">
        <v>-142</v>
      </c>
      <c r="I72">
        <v>0.59</v>
      </c>
      <c r="J72">
        <v>-146</v>
      </c>
      <c r="K72">
        <v>0.59349600000000002</v>
      </c>
      <c r="L72">
        <v>0.57928611168047695</v>
      </c>
      <c r="M72">
        <v>665795</v>
      </c>
      <c r="N72" t="b">
        <v>0</v>
      </c>
      <c r="O72">
        <v>300</v>
      </c>
      <c r="P72">
        <v>-110.1</v>
      </c>
      <c r="Q72">
        <v>-110.1</v>
      </c>
      <c r="R72" t="s">
        <v>73</v>
      </c>
      <c r="S72">
        <v>-148.9</v>
      </c>
      <c r="T72">
        <v>-148.9</v>
      </c>
      <c r="U72" t="s">
        <v>73</v>
      </c>
      <c r="V72">
        <v>8</v>
      </c>
      <c r="W72" t="s">
        <v>92</v>
      </c>
      <c r="X72">
        <v>128</v>
      </c>
      <c r="Y72">
        <v>0.44</v>
      </c>
      <c r="Z72">
        <v>132</v>
      </c>
      <c r="AA72">
        <v>0.43103399999999997</v>
      </c>
      <c r="AB72">
        <v>0.420713888319522</v>
      </c>
      <c r="AC72">
        <v>663372</v>
      </c>
      <c r="AD72" t="b">
        <v>0</v>
      </c>
      <c r="AE72">
        <v>185.7</v>
      </c>
      <c r="AF72">
        <v>128.69999999999999</v>
      </c>
      <c r="AG72">
        <v>128.69999999999999</v>
      </c>
      <c r="AH72" t="s">
        <v>93</v>
      </c>
      <c r="AI72">
        <v>148.9</v>
      </c>
      <c r="AJ72">
        <v>148.9</v>
      </c>
      <c r="AK72" t="s">
        <v>73</v>
      </c>
      <c r="AL72" t="s">
        <v>807</v>
      </c>
      <c r="AM72" t="s">
        <v>94</v>
      </c>
      <c r="AN72">
        <v>15</v>
      </c>
      <c r="AO72">
        <v>1</v>
      </c>
      <c r="AP72">
        <v>0.38</v>
      </c>
      <c r="AQ72">
        <v>-4.0710000000000003E-2</v>
      </c>
      <c r="AR72">
        <v>163.19999999999999</v>
      </c>
      <c r="AS72" t="s">
        <v>94</v>
      </c>
      <c r="AT72">
        <v>0</v>
      </c>
      <c r="AU72">
        <v>0</v>
      </c>
      <c r="AV72" t="s">
        <v>808</v>
      </c>
      <c r="AW72" t="s">
        <v>94</v>
      </c>
      <c r="AX72">
        <v>41</v>
      </c>
      <c r="AY72">
        <v>1</v>
      </c>
      <c r="AZ72">
        <v>0.41</v>
      </c>
      <c r="BA72">
        <v>-1.0710000000000001E-2</v>
      </c>
      <c r="BB72">
        <v>143.9</v>
      </c>
      <c r="BC72" t="s">
        <v>94</v>
      </c>
      <c r="BD72">
        <v>0</v>
      </c>
      <c r="BE72">
        <v>0</v>
      </c>
      <c r="BF72" t="s">
        <v>83</v>
      </c>
      <c r="BG72">
        <v>0</v>
      </c>
      <c r="BH72">
        <v>0</v>
      </c>
      <c r="BI72">
        <v>0</v>
      </c>
      <c r="BJ72">
        <v>0</v>
      </c>
      <c r="BK72">
        <v>0</v>
      </c>
      <c r="BL72" t="s">
        <v>309</v>
      </c>
    </row>
    <row r="73" spans="1:64" x14ac:dyDescent="0.2">
      <c r="A73">
        <v>824589</v>
      </c>
      <c r="B73" t="s">
        <v>1033</v>
      </c>
      <c r="C73" s="3">
        <v>46184</v>
      </c>
      <c r="D73">
        <v>6.2</v>
      </c>
      <c r="E73">
        <v>2</v>
      </c>
      <c r="F73">
        <v>0</v>
      </c>
      <c r="G73" t="s">
        <v>74</v>
      </c>
      <c r="H73">
        <v>-116</v>
      </c>
      <c r="I73">
        <v>0.54</v>
      </c>
      <c r="J73">
        <v>-115</v>
      </c>
      <c r="K73">
        <v>0.53488400000000003</v>
      </c>
      <c r="L73">
        <v>0.521797323135755</v>
      </c>
      <c r="M73">
        <v>527048</v>
      </c>
      <c r="N73" t="b">
        <v>0</v>
      </c>
      <c r="O73">
        <v>-185.7</v>
      </c>
      <c r="P73">
        <v>-105.5</v>
      </c>
      <c r="Q73">
        <v>-105.5</v>
      </c>
      <c r="R73" t="s">
        <v>73</v>
      </c>
      <c r="S73">
        <v>102.2</v>
      </c>
      <c r="T73">
        <v>102.2</v>
      </c>
      <c r="U73" t="s">
        <v>73</v>
      </c>
      <c r="V73">
        <v>9</v>
      </c>
      <c r="W73" t="s">
        <v>125</v>
      </c>
      <c r="X73">
        <v>105</v>
      </c>
      <c r="Y73">
        <v>0.49</v>
      </c>
      <c r="Z73">
        <v>104</v>
      </c>
      <c r="AA73">
        <v>0.49019600000000002</v>
      </c>
      <c r="AB73">
        <v>0.478202676864244</v>
      </c>
      <c r="AC73">
        <v>641743</v>
      </c>
      <c r="AD73" t="b">
        <v>0</v>
      </c>
      <c r="AE73">
        <v>-150</v>
      </c>
      <c r="AF73">
        <v>104.5</v>
      </c>
      <c r="AG73">
        <v>104.5</v>
      </c>
      <c r="AH73" t="s">
        <v>73</v>
      </c>
      <c r="AI73">
        <v>-102.2</v>
      </c>
      <c r="AJ73">
        <v>-102.2</v>
      </c>
      <c r="AK73" t="s">
        <v>73</v>
      </c>
      <c r="AL73" t="s">
        <v>809</v>
      </c>
      <c r="AM73" t="s">
        <v>94</v>
      </c>
      <c r="AN73">
        <v>15</v>
      </c>
      <c r="AO73">
        <v>1</v>
      </c>
      <c r="AP73">
        <v>0.46</v>
      </c>
      <c r="AQ73">
        <v>-1.8200000000000001E-2</v>
      </c>
      <c r="AR73">
        <v>117.4</v>
      </c>
      <c r="AS73" t="s">
        <v>94</v>
      </c>
      <c r="AT73">
        <v>0</v>
      </c>
      <c r="AU73">
        <v>0</v>
      </c>
      <c r="AV73" t="s">
        <v>810</v>
      </c>
      <c r="AW73" t="s">
        <v>94</v>
      </c>
      <c r="AX73">
        <v>41</v>
      </c>
      <c r="AY73">
        <v>1</v>
      </c>
      <c r="AZ73">
        <v>0.45</v>
      </c>
      <c r="BA73">
        <v>-2.8199999999999999E-2</v>
      </c>
      <c r="BB73">
        <v>122.2</v>
      </c>
      <c r="BC73" t="s">
        <v>94</v>
      </c>
      <c r="BD73">
        <v>0</v>
      </c>
      <c r="BE73">
        <v>0</v>
      </c>
      <c r="BF73" t="s">
        <v>83</v>
      </c>
      <c r="BG73">
        <v>0</v>
      </c>
      <c r="BH73">
        <v>0</v>
      </c>
      <c r="BI73">
        <v>0</v>
      </c>
      <c r="BJ73">
        <v>0</v>
      </c>
      <c r="BK73">
        <v>0</v>
      </c>
      <c r="BL73" t="s">
        <v>310</v>
      </c>
    </row>
    <row r="74" spans="1:64" x14ac:dyDescent="0.2">
      <c r="A74">
        <v>824265</v>
      </c>
      <c r="B74" t="s">
        <v>1034</v>
      </c>
      <c r="C74" s="3">
        <v>46184</v>
      </c>
      <c r="D74">
        <v>6.2</v>
      </c>
      <c r="E74">
        <v>2</v>
      </c>
      <c r="F74">
        <v>15</v>
      </c>
      <c r="G74" t="s">
        <v>119</v>
      </c>
      <c r="H74">
        <v>110</v>
      </c>
      <c r="I74">
        <v>0.48</v>
      </c>
      <c r="J74">
        <v>109</v>
      </c>
      <c r="K74">
        <v>0.47846899999999998</v>
      </c>
      <c r="L74">
        <v>0.46728956445986197</v>
      </c>
      <c r="M74">
        <v>805673</v>
      </c>
      <c r="N74" t="b">
        <v>0</v>
      </c>
      <c r="O74">
        <v>122.2</v>
      </c>
      <c r="P74">
        <v>109.2</v>
      </c>
      <c r="Q74">
        <v>109.2</v>
      </c>
      <c r="R74" t="s">
        <v>78</v>
      </c>
      <c r="S74">
        <v>-134.69999999999999</v>
      </c>
      <c r="T74">
        <v>-134.69999999999999</v>
      </c>
      <c r="U74" t="s">
        <v>73</v>
      </c>
      <c r="V74">
        <v>10</v>
      </c>
      <c r="W74" t="s">
        <v>97</v>
      </c>
      <c r="X74">
        <v>-121</v>
      </c>
      <c r="Y74">
        <v>0.55000000000000004</v>
      </c>
      <c r="Z74">
        <v>-120</v>
      </c>
      <c r="AA74">
        <v>0.54545500000000002</v>
      </c>
      <c r="AB74">
        <v>0.53271043554013697</v>
      </c>
      <c r="AC74">
        <v>672456</v>
      </c>
      <c r="AD74" t="b">
        <v>0</v>
      </c>
      <c r="AE74">
        <v>150</v>
      </c>
      <c r="AF74">
        <v>-100</v>
      </c>
      <c r="AG74">
        <v>-100</v>
      </c>
      <c r="AH74" t="s">
        <v>73</v>
      </c>
      <c r="AI74">
        <v>134.69999999999999</v>
      </c>
      <c r="AJ74">
        <v>134.69999999999999</v>
      </c>
      <c r="AK74" t="s">
        <v>73</v>
      </c>
      <c r="AL74" t="s">
        <v>811</v>
      </c>
      <c r="AM74" t="s">
        <v>75</v>
      </c>
      <c r="AN74">
        <v>15</v>
      </c>
      <c r="AO74">
        <v>0.87</v>
      </c>
      <c r="AP74">
        <v>0.52</v>
      </c>
      <c r="AQ74">
        <v>-1.2710000000000001E-2</v>
      </c>
      <c r="AR74">
        <v>-108.3</v>
      </c>
      <c r="AS74" t="s">
        <v>75</v>
      </c>
      <c r="AT74">
        <v>0</v>
      </c>
      <c r="AU74">
        <v>0</v>
      </c>
      <c r="AV74" t="s">
        <v>311</v>
      </c>
      <c r="AW74" t="s">
        <v>75</v>
      </c>
      <c r="AX74">
        <v>41</v>
      </c>
      <c r="AY74">
        <v>0.93</v>
      </c>
      <c r="AZ74">
        <v>0.52</v>
      </c>
      <c r="BA74">
        <v>-1.2710000000000001E-2</v>
      </c>
      <c r="BB74">
        <v>-108.3</v>
      </c>
      <c r="BC74" t="s">
        <v>75</v>
      </c>
      <c r="BD74">
        <v>0</v>
      </c>
      <c r="BE74">
        <v>0</v>
      </c>
      <c r="BF74" t="s">
        <v>83</v>
      </c>
      <c r="BG74">
        <v>0</v>
      </c>
      <c r="BH74">
        <v>0</v>
      </c>
      <c r="BI74">
        <v>0</v>
      </c>
      <c r="BJ74">
        <v>0</v>
      </c>
      <c r="BK74">
        <v>0</v>
      </c>
      <c r="BL74" t="s">
        <v>698</v>
      </c>
    </row>
    <row r="75" spans="1:64" x14ac:dyDescent="0.2">
      <c r="A75">
        <v>823855</v>
      </c>
      <c r="B75" t="s">
        <v>1035</v>
      </c>
      <c r="C75" s="3">
        <v>46184</v>
      </c>
      <c r="D75">
        <v>6.2</v>
      </c>
      <c r="E75">
        <v>2</v>
      </c>
      <c r="F75">
        <v>1</v>
      </c>
      <c r="G75" t="s">
        <v>79</v>
      </c>
      <c r="H75">
        <v>102</v>
      </c>
      <c r="I75">
        <v>0.5</v>
      </c>
      <c r="J75">
        <v>-102</v>
      </c>
      <c r="K75">
        <v>0.50495000000000001</v>
      </c>
      <c r="L75">
        <v>0.493028087808697</v>
      </c>
      <c r="M75">
        <v>518876</v>
      </c>
      <c r="N75" t="b">
        <v>0</v>
      </c>
      <c r="O75">
        <v>-100</v>
      </c>
      <c r="P75">
        <v>102.8</v>
      </c>
      <c r="Q75">
        <v>102.8</v>
      </c>
      <c r="R75" t="s">
        <v>73</v>
      </c>
      <c r="S75">
        <v>-146.30000000000001</v>
      </c>
      <c r="T75">
        <v>-146.30000000000001</v>
      </c>
      <c r="U75" t="s">
        <v>73</v>
      </c>
      <c r="V75">
        <v>11</v>
      </c>
      <c r="W75" t="s">
        <v>103</v>
      </c>
      <c r="X75">
        <v>-112</v>
      </c>
      <c r="Y75">
        <v>0.53</v>
      </c>
      <c r="Z75">
        <v>-108</v>
      </c>
      <c r="AA75">
        <v>0.519231</v>
      </c>
      <c r="AB75">
        <v>0.506971912191302</v>
      </c>
      <c r="AC75">
        <v>663969</v>
      </c>
      <c r="AD75" t="b">
        <v>0</v>
      </c>
      <c r="AE75">
        <v>-122.2</v>
      </c>
      <c r="AF75">
        <v>-102.1</v>
      </c>
      <c r="AG75">
        <v>-102.1</v>
      </c>
      <c r="AH75" t="s">
        <v>73</v>
      </c>
      <c r="AI75">
        <v>146.30000000000001</v>
      </c>
      <c r="AJ75">
        <v>146.30000000000001</v>
      </c>
      <c r="AK75" t="s">
        <v>73</v>
      </c>
      <c r="AL75" t="s">
        <v>812</v>
      </c>
      <c r="AM75" t="s">
        <v>75</v>
      </c>
      <c r="AN75">
        <v>15</v>
      </c>
      <c r="AO75">
        <v>0.93</v>
      </c>
      <c r="AP75">
        <v>0.53</v>
      </c>
      <c r="AQ75">
        <v>2.3029999999999998E-2</v>
      </c>
      <c r="AR75">
        <v>-112.8</v>
      </c>
      <c r="AS75" t="s">
        <v>75</v>
      </c>
      <c r="AT75">
        <v>1</v>
      </c>
      <c r="AU75">
        <v>0.92600000000000005</v>
      </c>
      <c r="AV75" t="s">
        <v>312</v>
      </c>
      <c r="AW75" t="s">
        <v>75</v>
      </c>
      <c r="AX75">
        <v>41</v>
      </c>
      <c r="AY75">
        <v>1</v>
      </c>
      <c r="AZ75">
        <v>0.54</v>
      </c>
      <c r="BA75">
        <v>3.3029999999999997E-2</v>
      </c>
      <c r="BB75">
        <v>-117.4</v>
      </c>
      <c r="BC75" t="s">
        <v>75</v>
      </c>
      <c r="BD75">
        <v>1</v>
      </c>
      <c r="BE75">
        <v>0.92600000000000005</v>
      </c>
      <c r="BF75" t="s">
        <v>75</v>
      </c>
      <c r="BG75">
        <v>2.3029999999999998E-2</v>
      </c>
      <c r="BH75">
        <v>0</v>
      </c>
      <c r="BI75">
        <v>0</v>
      </c>
      <c r="BJ75">
        <v>1</v>
      </c>
      <c r="BK75">
        <v>0.93</v>
      </c>
      <c r="BL75" t="s">
        <v>699</v>
      </c>
    </row>
    <row r="76" spans="1:64" x14ac:dyDescent="0.2">
      <c r="A76">
        <v>824101</v>
      </c>
      <c r="B76" t="s">
        <v>1036</v>
      </c>
      <c r="C76" s="3">
        <v>46184</v>
      </c>
      <c r="D76">
        <v>6.2</v>
      </c>
      <c r="E76">
        <v>2</v>
      </c>
      <c r="F76">
        <v>28</v>
      </c>
      <c r="G76" t="s">
        <v>138</v>
      </c>
      <c r="H76">
        <v>103</v>
      </c>
      <c r="I76">
        <v>0.49</v>
      </c>
      <c r="J76">
        <v>104</v>
      </c>
      <c r="K76">
        <v>0.49019600000000002</v>
      </c>
      <c r="L76">
        <v>0.478202676864244</v>
      </c>
      <c r="M76">
        <v>677958</v>
      </c>
      <c r="N76" t="b">
        <v>0</v>
      </c>
      <c r="O76">
        <v>-122.2</v>
      </c>
      <c r="P76">
        <v>-104.5</v>
      </c>
      <c r="Q76">
        <v>-104.5</v>
      </c>
      <c r="R76" t="s">
        <v>73</v>
      </c>
      <c r="S76">
        <v>109.9</v>
      </c>
      <c r="T76">
        <v>109.9</v>
      </c>
      <c r="U76" t="s">
        <v>73</v>
      </c>
      <c r="V76">
        <v>13</v>
      </c>
      <c r="W76" t="s">
        <v>118</v>
      </c>
      <c r="X76">
        <v>-114</v>
      </c>
      <c r="Y76">
        <v>0.53</v>
      </c>
      <c r="Z76">
        <v>-115</v>
      </c>
      <c r="AA76">
        <v>0.53488400000000003</v>
      </c>
      <c r="AB76">
        <v>0.521797323135755</v>
      </c>
      <c r="AC76">
        <v>608379</v>
      </c>
      <c r="AD76" t="b">
        <v>0</v>
      </c>
      <c r="AE76">
        <v>150</v>
      </c>
      <c r="AF76">
        <v>101.4</v>
      </c>
      <c r="AG76">
        <v>101.4</v>
      </c>
      <c r="AH76" t="s">
        <v>73</v>
      </c>
      <c r="AI76">
        <v>-109.9</v>
      </c>
      <c r="AJ76">
        <v>-109.9</v>
      </c>
      <c r="AK76" t="s">
        <v>73</v>
      </c>
      <c r="AL76" t="s">
        <v>813</v>
      </c>
      <c r="AM76" t="s">
        <v>75</v>
      </c>
      <c r="AN76">
        <v>15</v>
      </c>
      <c r="AO76">
        <v>0.87</v>
      </c>
      <c r="AP76">
        <v>0.53</v>
      </c>
      <c r="AQ76">
        <v>8.2000000000000007E-3</v>
      </c>
      <c r="AR76">
        <v>-112.8</v>
      </c>
      <c r="AS76" t="s">
        <v>75</v>
      </c>
      <c r="AT76">
        <v>1</v>
      </c>
      <c r="AU76">
        <v>0.87</v>
      </c>
      <c r="AV76" t="s">
        <v>313</v>
      </c>
      <c r="AW76" t="s">
        <v>75</v>
      </c>
      <c r="AX76">
        <v>41</v>
      </c>
      <c r="AY76">
        <v>0.71</v>
      </c>
      <c r="AZ76">
        <v>0.52</v>
      </c>
      <c r="BA76">
        <v>-1.8E-3</v>
      </c>
      <c r="BB76">
        <v>-108.3</v>
      </c>
      <c r="BC76" t="s">
        <v>75</v>
      </c>
      <c r="BD76">
        <v>0</v>
      </c>
      <c r="BE76">
        <v>0</v>
      </c>
      <c r="BF76" t="s">
        <v>75</v>
      </c>
      <c r="BG76">
        <v>8.2000000000000007E-3</v>
      </c>
      <c r="BH76">
        <v>0</v>
      </c>
      <c r="BI76">
        <v>0</v>
      </c>
      <c r="BJ76">
        <v>3</v>
      </c>
      <c r="BK76">
        <v>0.87</v>
      </c>
      <c r="BL76" t="s">
        <v>700</v>
      </c>
    </row>
    <row r="77" spans="1:64" x14ac:dyDescent="0.2">
      <c r="A77">
        <v>823619</v>
      </c>
      <c r="B77" t="s">
        <v>1037</v>
      </c>
      <c r="C77" s="3">
        <v>46184</v>
      </c>
      <c r="D77">
        <v>6.2</v>
      </c>
      <c r="E77">
        <v>2</v>
      </c>
      <c r="F77">
        <v>26</v>
      </c>
      <c r="G77" t="s">
        <v>134</v>
      </c>
      <c r="H77">
        <v>124</v>
      </c>
      <c r="I77">
        <v>0.45</v>
      </c>
      <c r="J77">
        <v>122</v>
      </c>
      <c r="K77">
        <v>0.45045000000000002</v>
      </c>
      <c r="L77">
        <v>0.43949857452010799</v>
      </c>
      <c r="M77">
        <v>690928</v>
      </c>
      <c r="N77" t="b">
        <v>0</v>
      </c>
      <c r="O77">
        <v>-122.2</v>
      </c>
      <c r="P77">
        <v>107.3</v>
      </c>
      <c r="Q77">
        <v>107.3</v>
      </c>
      <c r="R77" t="s">
        <v>78</v>
      </c>
      <c r="S77">
        <v>128</v>
      </c>
      <c r="T77">
        <v>128</v>
      </c>
      <c r="U77" t="s">
        <v>73</v>
      </c>
      <c r="V77">
        <v>18</v>
      </c>
      <c r="W77" t="s">
        <v>129</v>
      </c>
      <c r="X77">
        <v>-137</v>
      </c>
      <c r="Y77">
        <v>0.57999999999999996</v>
      </c>
      <c r="Z77">
        <v>-135</v>
      </c>
      <c r="AA77">
        <v>0.57446799999999998</v>
      </c>
      <c r="AB77">
        <v>0.56050142547989201</v>
      </c>
      <c r="AC77">
        <v>681035</v>
      </c>
      <c r="AD77" t="b">
        <v>0</v>
      </c>
      <c r="AE77">
        <v>150</v>
      </c>
      <c r="AF77">
        <v>106.6</v>
      </c>
      <c r="AG77">
        <v>106.6</v>
      </c>
      <c r="AH77" t="s">
        <v>73</v>
      </c>
      <c r="AI77">
        <v>-128</v>
      </c>
      <c r="AJ77">
        <v>-128</v>
      </c>
      <c r="AK77" t="s">
        <v>73</v>
      </c>
      <c r="AL77" t="s">
        <v>814</v>
      </c>
      <c r="AM77" t="s">
        <v>75</v>
      </c>
      <c r="AN77">
        <v>15</v>
      </c>
      <c r="AO77">
        <v>0.87</v>
      </c>
      <c r="AP77">
        <v>0.55000000000000004</v>
      </c>
      <c r="AQ77">
        <v>-1.0500000000000001E-2</v>
      </c>
      <c r="AR77">
        <v>-122.2</v>
      </c>
      <c r="AS77" t="s">
        <v>75</v>
      </c>
      <c r="AT77">
        <v>0</v>
      </c>
      <c r="AU77">
        <v>0</v>
      </c>
      <c r="AV77" t="s">
        <v>815</v>
      </c>
      <c r="AW77" t="s">
        <v>75</v>
      </c>
      <c r="AX77">
        <v>41</v>
      </c>
      <c r="AY77">
        <v>0.93</v>
      </c>
      <c r="AZ77">
        <v>0.53</v>
      </c>
      <c r="BA77">
        <v>-3.0499999999999999E-2</v>
      </c>
      <c r="BB77">
        <v>-112.8</v>
      </c>
      <c r="BC77" t="s">
        <v>75</v>
      </c>
      <c r="BD77">
        <v>0</v>
      </c>
      <c r="BE77">
        <v>0</v>
      </c>
      <c r="BF77" t="s">
        <v>83</v>
      </c>
      <c r="BG77">
        <v>0</v>
      </c>
      <c r="BH77">
        <v>0</v>
      </c>
      <c r="BI77">
        <v>0</v>
      </c>
      <c r="BJ77">
        <v>0</v>
      </c>
      <c r="BK77">
        <v>0</v>
      </c>
      <c r="BL77" t="s">
        <v>701</v>
      </c>
    </row>
    <row r="78" spans="1:64" x14ac:dyDescent="0.2">
      <c r="A78">
        <v>823371</v>
      </c>
      <c r="B78" t="s">
        <v>1038</v>
      </c>
      <c r="C78" s="3">
        <v>46184</v>
      </c>
      <c r="D78">
        <v>6.2</v>
      </c>
      <c r="E78">
        <v>2</v>
      </c>
      <c r="F78">
        <v>14</v>
      </c>
      <c r="G78" t="s">
        <v>113</v>
      </c>
      <c r="H78">
        <v>-153</v>
      </c>
      <c r="I78">
        <v>0.6</v>
      </c>
      <c r="J78">
        <v>-152</v>
      </c>
      <c r="K78">
        <v>0.60317500000000002</v>
      </c>
      <c r="L78">
        <v>0.58839682533488802</v>
      </c>
      <c r="M78">
        <v>680736</v>
      </c>
      <c r="N78" t="b">
        <v>0</v>
      </c>
      <c r="O78">
        <v>-233.3</v>
      </c>
      <c r="P78">
        <v>-116.9</v>
      </c>
      <c r="Q78" t="s">
        <v>314</v>
      </c>
      <c r="R78" t="s">
        <v>81</v>
      </c>
      <c r="S78">
        <v>107.6</v>
      </c>
      <c r="T78">
        <v>107.6</v>
      </c>
      <c r="U78" t="s">
        <v>73</v>
      </c>
      <c r="V78">
        <v>22</v>
      </c>
      <c r="W78" t="s">
        <v>72</v>
      </c>
      <c r="X78">
        <v>138</v>
      </c>
      <c r="Y78">
        <v>0.42</v>
      </c>
      <c r="Z78">
        <v>137</v>
      </c>
      <c r="AA78">
        <v>0.42194100000000001</v>
      </c>
      <c r="AB78">
        <v>0.41160317466511098</v>
      </c>
      <c r="AC78">
        <v>656605</v>
      </c>
      <c r="AD78" t="b">
        <v>0</v>
      </c>
      <c r="AE78">
        <v>-122.2</v>
      </c>
      <c r="AF78">
        <v>100.1</v>
      </c>
      <c r="AG78">
        <v>100.1</v>
      </c>
      <c r="AH78" t="s">
        <v>73</v>
      </c>
      <c r="AI78">
        <v>-107.6</v>
      </c>
      <c r="AJ78">
        <v>-107.6</v>
      </c>
      <c r="AK78" t="s">
        <v>73</v>
      </c>
      <c r="AL78" t="s">
        <v>816</v>
      </c>
      <c r="AM78" t="s">
        <v>94</v>
      </c>
      <c r="AN78">
        <v>15</v>
      </c>
      <c r="AO78">
        <v>0.93</v>
      </c>
      <c r="AP78">
        <v>0.41</v>
      </c>
      <c r="AQ78">
        <v>-1.6000000000000001E-3</v>
      </c>
      <c r="AR78">
        <v>143.9</v>
      </c>
      <c r="AS78" t="s">
        <v>94</v>
      </c>
      <c r="AT78">
        <v>0</v>
      </c>
      <c r="AU78">
        <v>0</v>
      </c>
      <c r="AV78" t="s">
        <v>315</v>
      </c>
      <c r="AW78" t="s">
        <v>94</v>
      </c>
      <c r="AX78">
        <v>41</v>
      </c>
      <c r="AY78">
        <v>0.95</v>
      </c>
      <c r="AZ78">
        <v>0.47</v>
      </c>
      <c r="BA78">
        <v>5.8400000000000001E-2</v>
      </c>
      <c r="BB78">
        <v>112.8</v>
      </c>
      <c r="BC78" t="s">
        <v>94</v>
      </c>
      <c r="BD78">
        <v>0</v>
      </c>
      <c r="BE78">
        <v>0</v>
      </c>
      <c r="BF78" t="s">
        <v>83</v>
      </c>
      <c r="BG78">
        <v>0</v>
      </c>
      <c r="BH78">
        <v>0</v>
      </c>
      <c r="BI78">
        <v>0</v>
      </c>
      <c r="BJ78">
        <v>0</v>
      </c>
      <c r="BK78">
        <v>0</v>
      </c>
      <c r="BL78" t="s">
        <v>702</v>
      </c>
    </row>
    <row r="79" spans="1:64" x14ac:dyDescent="0.2">
      <c r="A79">
        <v>824826</v>
      </c>
      <c r="B79" t="s">
        <v>1039</v>
      </c>
      <c r="C79" s="3">
        <v>46185</v>
      </c>
      <c r="D79">
        <v>6.2</v>
      </c>
      <c r="E79">
        <v>2</v>
      </c>
      <c r="F79">
        <v>23</v>
      </c>
      <c r="G79" t="s">
        <v>130</v>
      </c>
      <c r="H79">
        <v>118</v>
      </c>
      <c r="I79">
        <v>0.46</v>
      </c>
      <c r="J79">
        <v>113</v>
      </c>
      <c r="K79">
        <v>0.46948400000000001</v>
      </c>
      <c r="L79">
        <v>0.46071475534673001</v>
      </c>
      <c r="M79">
        <v>656288</v>
      </c>
      <c r="N79" t="b">
        <v>0</v>
      </c>
      <c r="O79">
        <v>233.3</v>
      </c>
      <c r="P79">
        <v>-101.3</v>
      </c>
      <c r="Q79">
        <v>-101.3</v>
      </c>
      <c r="R79" t="s">
        <v>73</v>
      </c>
      <c r="S79">
        <v>107.9</v>
      </c>
      <c r="T79">
        <v>107.9</v>
      </c>
      <c r="U79" t="s">
        <v>73</v>
      </c>
      <c r="V79">
        <v>2</v>
      </c>
      <c r="W79" t="s">
        <v>141</v>
      </c>
      <c r="X79">
        <v>-128</v>
      </c>
      <c r="Y79">
        <v>0.56000000000000005</v>
      </c>
      <c r="Z79">
        <v>-122</v>
      </c>
      <c r="AA79">
        <v>0.54954999999999998</v>
      </c>
      <c r="AB79">
        <v>0.53928524465326899</v>
      </c>
      <c r="AC79">
        <v>669358</v>
      </c>
      <c r="AD79" t="b">
        <v>0</v>
      </c>
      <c r="AE79">
        <v>-122.2</v>
      </c>
      <c r="AF79">
        <v>103.6</v>
      </c>
      <c r="AG79">
        <v>103.6</v>
      </c>
      <c r="AH79" t="s">
        <v>73</v>
      </c>
      <c r="AI79">
        <v>-107.9</v>
      </c>
      <c r="AJ79">
        <v>-107.9</v>
      </c>
      <c r="AK79" t="s">
        <v>73</v>
      </c>
      <c r="AL79" t="s">
        <v>817</v>
      </c>
      <c r="AM79" t="s">
        <v>75</v>
      </c>
      <c r="AN79">
        <v>15</v>
      </c>
      <c r="AO79">
        <v>0.6</v>
      </c>
      <c r="AP79">
        <v>0.51</v>
      </c>
      <c r="AQ79">
        <v>-2.929E-2</v>
      </c>
      <c r="AR79">
        <v>-104.1</v>
      </c>
      <c r="AS79" t="s">
        <v>75</v>
      </c>
      <c r="AT79">
        <v>0</v>
      </c>
      <c r="AU79">
        <v>0</v>
      </c>
      <c r="AV79" t="s">
        <v>818</v>
      </c>
      <c r="AW79" t="s">
        <v>75</v>
      </c>
      <c r="AX79">
        <v>41</v>
      </c>
      <c r="AY79">
        <v>0.95</v>
      </c>
      <c r="AZ79">
        <v>0.54</v>
      </c>
      <c r="BA79">
        <v>7.1000000000000002E-4</v>
      </c>
      <c r="BB79">
        <v>-117.4</v>
      </c>
      <c r="BC79" t="s">
        <v>75</v>
      </c>
      <c r="BD79">
        <v>0</v>
      </c>
      <c r="BE79">
        <v>0</v>
      </c>
      <c r="BF79" t="s">
        <v>83</v>
      </c>
      <c r="BG79">
        <v>0</v>
      </c>
      <c r="BH79">
        <v>0</v>
      </c>
      <c r="BI79">
        <v>0</v>
      </c>
      <c r="BJ79">
        <v>0</v>
      </c>
      <c r="BK79">
        <v>0</v>
      </c>
      <c r="BL79" t="s">
        <v>316</v>
      </c>
    </row>
    <row r="80" spans="1:64" x14ac:dyDescent="0.2">
      <c r="A80">
        <v>824752</v>
      </c>
      <c r="B80" t="s">
        <v>1040</v>
      </c>
      <c r="C80" s="3">
        <v>46185</v>
      </c>
      <c r="D80">
        <v>6.2</v>
      </c>
      <c r="E80">
        <v>2</v>
      </c>
      <c r="F80">
        <v>28</v>
      </c>
      <c r="G80" t="s">
        <v>138</v>
      </c>
      <c r="H80">
        <v>113</v>
      </c>
      <c r="I80">
        <v>0.47</v>
      </c>
      <c r="J80">
        <v>117</v>
      </c>
      <c r="K80">
        <v>0.46082899999999999</v>
      </c>
      <c r="L80">
        <v>0.452524718883764</v>
      </c>
      <c r="M80">
        <v>683004</v>
      </c>
      <c r="N80" t="b">
        <v>0</v>
      </c>
      <c r="O80">
        <v>-122.2</v>
      </c>
      <c r="P80">
        <v>-105.1</v>
      </c>
      <c r="Q80">
        <v>-105.1</v>
      </c>
      <c r="R80" t="s">
        <v>73</v>
      </c>
      <c r="S80">
        <v>-144.19999999999999</v>
      </c>
      <c r="T80">
        <v>-144.19999999999999</v>
      </c>
      <c r="U80" t="s">
        <v>73</v>
      </c>
      <c r="V80">
        <v>3</v>
      </c>
      <c r="W80" t="s">
        <v>122</v>
      </c>
      <c r="X80">
        <v>-123</v>
      </c>
      <c r="Y80">
        <v>0.55000000000000004</v>
      </c>
      <c r="Z80">
        <v>-126</v>
      </c>
      <c r="AA80">
        <v>0.55752199999999996</v>
      </c>
      <c r="AB80">
        <v>0.547475281116235</v>
      </c>
      <c r="AC80">
        <v>543243</v>
      </c>
      <c r="AD80" t="b">
        <v>0</v>
      </c>
      <c r="AE80">
        <v>150</v>
      </c>
      <c r="AF80">
        <v>-103.7</v>
      </c>
      <c r="AG80">
        <v>-103.7</v>
      </c>
      <c r="AH80" t="s">
        <v>73</v>
      </c>
      <c r="AI80">
        <v>144.19999999999999</v>
      </c>
      <c r="AJ80">
        <v>144.19999999999999</v>
      </c>
      <c r="AK80" t="s">
        <v>73</v>
      </c>
      <c r="AL80" t="s">
        <v>819</v>
      </c>
      <c r="AM80" t="s">
        <v>75</v>
      </c>
      <c r="AN80">
        <v>15</v>
      </c>
      <c r="AO80">
        <v>0.53</v>
      </c>
      <c r="AP80">
        <v>0.5</v>
      </c>
      <c r="AQ80">
        <v>-4.7480000000000001E-2</v>
      </c>
      <c r="AR80">
        <v>-100</v>
      </c>
      <c r="AS80" t="s">
        <v>75</v>
      </c>
      <c r="AT80">
        <v>0</v>
      </c>
      <c r="AU80">
        <v>0</v>
      </c>
      <c r="AV80" t="s">
        <v>820</v>
      </c>
      <c r="AW80" t="s">
        <v>75</v>
      </c>
      <c r="AX80">
        <v>41</v>
      </c>
      <c r="AY80">
        <v>0.78</v>
      </c>
      <c r="AZ80">
        <v>0.51</v>
      </c>
      <c r="BA80">
        <v>-3.7479999999999999E-2</v>
      </c>
      <c r="BB80">
        <v>-104.1</v>
      </c>
      <c r="BC80" t="s">
        <v>75</v>
      </c>
      <c r="BD80">
        <v>0</v>
      </c>
      <c r="BE80">
        <v>0</v>
      </c>
      <c r="BF80" t="s">
        <v>83</v>
      </c>
      <c r="BG80">
        <v>0</v>
      </c>
      <c r="BH80">
        <v>0</v>
      </c>
      <c r="BI80">
        <v>0</v>
      </c>
      <c r="BJ80">
        <v>0</v>
      </c>
      <c r="BK80">
        <v>0</v>
      </c>
      <c r="BL80" t="s">
        <v>317</v>
      </c>
    </row>
    <row r="81" spans="1:64" x14ac:dyDescent="0.2">
      <c r="A81">
        <v>824020</v>
      </c>
      <c r="B81" t="s">
        <v>1041</v>
      </c>
      <c r="C81" s="3">
        <v>46185</v>
      </c>
      <c r="D81">
        <v>6.2</v>
      </c>
      <c r="E81">
        <v>2</v>
      </c>
      <c r="F81">
        <v>27</v>
      </c>
      <c r="G81" t="s">
        <v>101</v>
      </c>
      <c r="H81">
        <v>-162</v>
      </c>
      <c r="I81">
        <v>0.62</v>
      </c>
      <c r="J81">
        <v>-162</v>
      </c>
      <c r="K81">
        <v>0.61832100000000001</v>
      </c>
      <c r="L81">
        <v>0.60527905226093304</v>
      </c>
      <c r="M81">
        <v>663556</v>
      </c>
      <c r="N81" t="b">
        <v>0</v>
      </c>
      <c r="O81">
        <v>-100</v>
      </c>
      <c r="P81">
        <v>-103.3</v>
      </c>
      <c r="Q81">
        <v>-103.3</v>
      </c>
      <c r="R81" t="s">
        <v>73</v>
      </c>
      <c r="S81">
        <v>-184.3</v>
      </c>
      <c r="T81" t="s">
        <v>318</v>
      </c>
      <c r="U81" t="s">
        <v>81</v>
      </c>
      <c r="V81">
        <v>4</v>
      </c>
      <c r="W81" t="s">
        <v>111</v>
      </c>
      <c r="X81">
        <v>149</v>
      </c>
      <c r="Y81">
        <v>0.4</v>
      </c>
      <c r="Z81">
        <v>148</v>
      </c>
      <c r="AA81">
        <v>0.40322599999999997</v>
      </c>
      <c r="AB81">
        <v>0.39472094773906602</v>
      </c>
      <c r="AC81">
        <v>691951</v>
      </c>
      <c r="AD81" t="b">
        <v>0</v>
      </c>
      <c r="AE81">
        <v>-100</v>
      </c>
      <c r="AF81">
        <v>110.1</v>
      </c>
      <c r="AG81">
        <v>110.1</v>
      </c>
      <c r="AH81" t="s">
        <v>73</v>
      </c>
      <c r="AI81">
        <v>184.3</v>
      </c>
      <c r="AJ81">
        <v>184.3</v>
      </c>
      <c r="AK81" t="s">
        <v>78</v>
      </c>
      <c r="AL81" t="s">
        <v>821</v>
      </c>
      <c r="AM81" t="s">
        <v>94</v>
      </c>
      <c r="AN81">
        <v>15</v>
      </c>
      <c r="AO81">
        <v>0.93</v>
      </c>
      <c r="AP81">
        <v>0.4</v>
      </c>
      <c r="AQ81">
        <v>5.28E-3</v>
      </c>
      <c r="AR81">
        <v>150</v>
      </c>
      <c r="AS81" t="s">
        <v>94</v>
      </c>
      <c r="AT81">
        <v>0</v>
      </c>
      <c r="AU81">
        <v>0</v>
      </c>
      <c r="AV81" t="s">
        <v>822</v>
      </c>
      <c r="AW81" t="s">
        <v>94</v>
      </c>
      <c r="AX81">
        <v>41</v>
      </c>
      <c r="AY81">
        <v>1</v>
      </c>
      <c r="AZ81">
        <v>0.43</v>
      </c>
      <c r="BA81">
        <v>3.5279999999999999E-2</v>
      </c>
      <c r="BB81">
        <v>132.6</v>
      </c>
      <c r="BC81" t="s">
        <v>94</v>
      </c>
      <c r="BD81">
        <v>0</v>
      </c>
      <c r="BE81">
        <v>0</v>
      </c>
      <c r="BF81" t="s">
        <v>83</v>
      </c>
      <c r="BG81">
        <v>0</v>
      </c>
      <c r="BH81">
        <v>0</v>
      </c>
      <c r="BI81">
        <v>0</v>
      </c>
      <c r="BJ81">
        <v>0</v>
      </c>
      <c r="BK81">
        <v>0</v>
      </c>
      <c r="BL81" t="s">
        <v>319</v>
      </c>
    </row>
    <row r="82" spans="1:64" x14ac:dyDescent="0.2">
      <c r="A82">
        <v>824507</v>
      </c>
      <c r="B82" t="s">
        <v>1042</v>
      </c>
      <c r="C82" s="3">
        <v>46185</v>
      </c>
      <c r="D82">
        <v>6.2</v>
      </c>
      <c r="E82">
        <v>2</v>
      </c>
      <c r="F82">
        <v>1</v>
      </c>
      <c r="G82" t="s">
        <v>79</v>
      </c>
      <c r="H82">
        <v>-101</v>
      </c>
      <c r="I82">
        <v>0.5</v>
      </c>
      <c r="J82">
        <v>101</v>
      </c>
      <c r="K82">
        <v>0.49751200000000001</v>
      </c>
      <c r="L82">
        <v>0.487125509878373</v>
      </c>
      <c r="M82">
        <v>593958</v>
      </c>
      <c r="N82" t="b">
        <v>0</v>
      </c>
      <c r="O82">
        <v>122.2</v>
      </c>
      <c r="P82">
        <v>102.9</v>
      </c>
      <c r="Q82">
        <v>102.9</v>
      </c>
      <c r="R82" t="s">
        <v>73</v>
      </c>
      <c r="S82">
        <v>122.8</v>
      </c>
      <c r="T82">
        <v>122.8</v>
      </c>
      <c r="U82" t="s">
        <v>73</v>
      </c>
      <c r="V82">
        <v>6</v>
      </c>
      <c r="W82" t="s">
        <v>133</v>
      </c>
      <c r="X82">
        <v>-107</v>
      </c>
      <c r="Y82">
        <v>0.52</v>
      </c>
      <c r="Z82">
        <v>-110</v>
      </c>
      <c r="AA82">
        <v>0.52381</v>
      </c>
      <c r="AB82">
        <v>0.512874490121626</v>
      </c>
      <c r="AC82">
        <v>666157</v>
      </c>
      <c r="AD82" t="b">
        <v>0</v>
      </c>
      <c r="AE82">
        <v>185.7</v>
      </c>
      <c r="AF82">
        <v>108.6</v>
      </c>
      <c r="AG82">
        <v>108.6</v>
      </c>
      <c r="AH82" t="s">
        <v>73</v>
      </c>
      <c r="AI82">
        <v>-122.8</v>
      </c>
      <c r="AJ82">
        <v>-122.8</v>
      </c>
      <c r="AK82" t="s">
        <v>73</v>
      </c>
      <c r="AL82" t="s">
        <v>823</v>
      </c>
      <c r="AM82" t="s">
        <v>109</v>
      </c>
      <c r="AN82">
        <v>15</v>
      </c>
      <c r="AO82">
        <v>0.73</v>
      </c>
      <c r="AP82">
        <v>0.48</v>
      </c>
      <c r="AQ82">
        <v>-3.2870000000000003E-2</v>
      </c>
      <c r="AR82">
        <v>108.3</v>
      </c>
      <c r="AS82" t="s">
        <v>109</v>
      </c>
      <c r="AT82">
        <v>1</v>
      </c>
      <c r="AU82">
        <v>1.01</v>
      </c>
      <c r="AV82" t="s">
        <v>824</v>
      </c>
      <c r="AW82" t="s">
        <v>75</v>
      </c>
      <c r="AX82">
        <v>41</v>
      </c>
      <c r="AY82">
        <v>0.59</v>
      </c>
      <c r="AZ82">
        <v>0.5</v>
      </c>
      <c r="BA82">
        <v>-1.2869999999999999E-2</v>
      </c>
      <c r="BB82">
        <v>-100</v>
      </c>
      <c r="BC82" t="s">
        <v>75</v>
      </c>
      <c r="BD82">
        <v>0</v>
      </c>
      <c r="BE82">
        <v>0</v>
      </c>
      <c r="BF82" t="s">
        <v>109</v>
      </c>
      <c r="BG82">
        <v>-3.2870000000000003E-2</v>
      </c>
      <c r="BH82">
        <v>0</v>
      </c>
      <c r="BI82">
        <v>0</v>
      </c>
      <c r="BJ82">
        <v>3</v>
      </c>
      <c r="BK82">
        <v>0.73</v>
      </c>
      <c r="BL82" t="s">
        <v>320</v>
      </c>
    </row>
    <row r="83" spans="1:64" x14ac:dyDescent="0.2">
      <c r="A83">
        <v>824425</v>
      </c>
      <c r="B83" t="s">
        <v>1043</v>
      </c>
      <c r="C83" s="3">
        <v>46185</v>
      </c>
      <c r="D83">
        <v>6.2</v>
      </c>
      <c r="E83">
        <v>2</v>
      </c>
      <c r="F83">
        <v>10</v>
      </c>
      <c r="G83" t="s">
        <v>97</v>
      </c>
      <c r="H83">
        <v>110</v>
      </c>
      <c r="I83">
        <v>0.48</v>
      </c>
      <c r="J83">
        <v>107</v>
      </c>
      <c r="K83">
        <v>0.48309200000000002</v>
      </c>
      <c r="L83">
        <v>0.473559716467231</v>
      </c>
      <c r="M83">
        <v>656427</v>
      </c>
      <c r="N83" t="b">
        <v>0</v>
      </c>
      <c r="O83">
        <v>122.2</v>
      </c>
      <c r="P83">
        <v>-101.7</v>
      </c>
      <c r="Q83">
        <v>-101.7</v>
      </c>
      <c r="R83" t="s">
        <v>73</v>
      </c>
      <c r="S83">
        <v>-108.9</v>
      </c>
      <c r="T83">
        <v>-108.9</v>
      </c>
      <c r="U83" t="s">
        <v>73</v>
      </c>
      <c r="V83">
        <v>7</v>
      </c>
      <c r="W83" t="s">
        <v>137</v>
      </c>
      <c r="X83">
        <v>-119</v>
      </c>
      <c r="Y83">
        <v>0.54</v>
      </c>
      <c r="Z83">
        <v>-116</v>
      </c>
      <c r="AA83">
        <v>0.53703699999999999</v>
      </c>
      <c r="AB83">
        <v>0.52644028353276795</v>
      </c>
      <c r="AC83">
        <v>676440</v>
      </c>
      <c r="AD83" t="b">
        <v>0</v>
      </c>
      <c r="AE83">
        <v>122.2</v>
      </c>
      <c r="AF83">
        <v>100.6</v>
      </c>
      <c r="AG83">
        <v>100.6</v>
      </c>
      <c r="AH83" t="s">
        <v>73</v>
      </c>
      <c r="AI83">
        <v>108.9</v>
      </c>
      <c r="AJ83">
        <v>108.9</v>
      </c>
      <c r="AK83" t="s">
        <v>73</v>
      </c>
      <c r="AL83" t="s">
        <v>825</v>
      </c>
      <c r="AM83" t="s">
        <v>109</v>
      </c>
      <c r="AN83">
        <v>15</v>
      </c>
      <c r="AO83">
        <v>0.73</v>
      </c>
      <c r="AP83">
        <v>0.49</v>
      </c>
      <c r="AQ83">
        <v>-3.644E-2</v>
      </c>
      <c r="AR83">
        <v>104.1</v>
      </c>
      <c r="AS83" t="s">
        <v>109</v>
      </c>
      <c r="AT83">
        <v>1</v>
      </c>
      <c r="AU83">
        <v>1.07</v>
      </c>
      <c r="AV83" t="s">
        <v>826</v>
      </c>
      <c r="AW83" t="s">
        <v>75</v>
      </c>
      <c r="AX83">
        <v>41</v>
      </c>
      <c r="AY83">
        <v>0.83</v>
      </c>
      <c r="AZ83">
        <v>0.51</v>
      </c>
      <c r="BA83">
        <v>-1.644E-2</v>
      </c>
      <c r="BB83">
        <v>-104.1</v>
      </c>
      <c r="BC83" t="s">
        <v>75</v>
      </c>
      <c r="BD83">
        <v>0</v>
      </c>
      <c r="BE83">
        <v>0</v>
      </c>
      <c r="BF83" t="s">
        <v>109</v>
      </c>
      <c r="BG83">
        <v>-3.644E-2</v>
      </c>
      <c r="BH83">
        <v>0</v>
      </c>
      <c r="BI83">
        <v>0</v>
      </c>
      <c r="BJ83">
        <v>3</v>
      </c>
      <c r="BK83">
        <v>0.73</v>
      </c>
      <c r="BL83" t="s">
        <v>321</v>
      </c>
    </row>
    <row r="84" spans="1:64" x14ac:dyDescent="0.2">
      <c r="A84">
        <v>824588</v>
      </c>
      <c r="B84" t="s">
        <v>1044</v>
      </c>
      <c r="C84" s="3">
        <v>46185</v>
      </c>
      <c r="D84">
        <v>6.2</v>
      </c>
      <c r="E84">
        <v>2</v>
      </c>
      <c r="F84">
        <v>14</v>
      </c>
      <c r="G84" t="s">
        <v>113</v>
      </c>
      <c r="H84">
        <v>-143</v>
      </c>
      <c r="I84">
        <v>0.59</v>
      </c>
      <c r="J84">
        <v>-146</v>
      </c>
      <c r="K84">
        <v>0.59349600000000002</v>
      </c>
      <c r="L84">
        <v>0.58137662291863801</v>
      </c>
      <c r="M84">
        <v>808963</v>
      </c>
      <c r="N84" t="b">
        <v>0</v>
      </c>
      <c r="O84">
        <v>-233.3</v>
      </c>
      <c r="P84">
        <v>-116.8</v>
      </c>
      <c r="Q84" t="s">
        <v>322</v>
      </c>
      <c r="R84" t="s">
        <v>81</v>
      </c>
      <c r="S84">
        <v>-133.30000000000001</v>
      </c>
      <c r="T84">
        <v>-133.30000000000001</v>
      </c>
      <c r="U84" t="s">
        <v>73</v>
      </c>
      <c r="V84">
        <v>9</v>
      </c>
      <c r="W84" t="s">
        <v>125</v>
      </c>
      <c r="X84">
        <v>132</v>
      </c>
      <c r="Y84">
        <v>0.43</v>
      </c>
      <c r="Z84">
        <v>134</v>
      </c>
      <c r="AA84">
        <v>0.42735000000000001</v>
      </c>
      <c r="AB84">
        <v>0.41862337708136099</v>
      </c>
      <c r="AC84">
        <v>641743</v>
      </c>
      <c r="AD84" t="b">
        <v>0</v>
      </c>
      <c r="AE84">
        <v>-150</v>
      </c>
      <c r="AF84">
        <v>103.9</v>
      </c>
      <c r="AG84">
        <v>103.9</v>
      </c>
      <c r="AH84" t="s">
        <v>73</v>
      </c>
      <c r="AI84">
        <v>133.30000000000001</v>
      </c>
      <c r="AJ84">
        <v>133.30000000000001</v>
      </c>
      <c r="AK84" t="s">
        <v>73</v>
      </c>
      <c r="AL84" t="s">
        <v>827</v>
      </c>
      <c r="AM84" t="s">
        <v>94</v>
      </c>
      <c r="AN84">
        <v>15</v>
      </c>
      <c r="AO84">
        <v>1</v>
      </c>
      <c r="AP84">
        <v>0.38</v>
      </c>
      <c r="AQ84">
        <v>-3.8620000000000002E-2</v>
      </c>
      <c r="AR84">
        <v>163.19999999999999</v>
      </c>
      <c r="AS84" t="s">
        <v>94</v>
      </c>
      <c r="AT84">
        <v>0</v>
      </c>
      <c r="AU84">
        <v>0</v>
      </c>
      <c r="AV84" t="s">
        <v>323</v>
      </c>
      <c r="AW84" t="s">
        <v>94</v>
      </c>
      <c r="AX84">
        <v>41</v>
      </c>
      <c r="AY84">
        <v>0.98</v>
      </c>
      <c r="AZ84">
        <v>0.43</v>
      </c>
      <c r="BA84">
        <v>1.1379999999999999E-2</v>
      </c>
      <c r="BB84">
        <v>132.6</v>
      </c>
      <c r="BC84" t="s">
        <v>94</v>
      </c>
      <c r="BD84">
        <v>0</v>
      </c>
      <c r="BE84">
        <v>0</v>
      </c>
      <c r="BF84" t="s">
        <v>83</v>
      </c>
      <c r="BG84">
        <v>0</v>
      </c>
      <c r="BH84">
        <v>0</v>
      </c>
      <c r="BI84">
        <v>0</v>
      </c>
      <c r="BJ84">
        <v>0</v>
      </c>
      <c r="BK84">
        <v>0</v>
      </c>
      <c r="BL84" t="s">
        <v>324</v>
      </c>
    </row>
    <row r="85" spans="1:64" x14ac:dyDescent="0.2">
      <c r="A85">
        <v>824102</v>
      </c>
      <c r="B85" t="s">
        <v>325</v>
      </c>
      <c r="C85" s="3">
        <v>46185</v>
      </c>
      <c r="D85">
        <v>6.2</v>
      </c>
      <c r="E85">
        <v>2</v>
      </c>
      <c r="F85">
        <v>12</v>
      </c>
      <c r="G85" t="s">
        <v>108</v>
      </c>
      <c r="H85">
        <v>-109</v>
      </c>
      <c r="I85">
        <v>0.52</v>
      </c>
      <c r="J85">
        <v>-109</v>
      </c>
      <c r="K85">
        <v>0.52153099999999997</v>
      </c>
      <c r="L85">
        <v>0.51053859354243702</v>
      </c>
      <c r="M85">
        <v>837227</v>
      </c>
      <c r="N85" t="b">
        <v>0</v>
      </c>
      <c r="O85">
        <v>-122.2</v>
      </c>
      <c r="P85">
        <v>103.8</v>
      </c>
      <c r="Q85">
        <v>103.8</v>
      </c>
      <c r="R85" t="s">
        <v>73</v>
      </c>
      <c r="S85">
        <v>-112.5</v>
      </c>
      <c r="T85">
        <v>-112.5</v>
      </c>
      <c r="U85" t="s">
        <v>73</v>
      </c>
      <c r="V85">
        <v>13</v>
      </c>
      <c r="W85" t="s">
        <v>118</v>
      </c>
      <c r="X85">
        <v>101</v>
      </c>
      <c r="Y85">
        <v>0.5</v>
      </c>
      <c r="Z85">
        <v>100</v>
      </c>
      <c r="AA85">
        <v>0.5</v>
      </c>
      <c r="AB85">
        <v>0.48946140645756198</v>
      </c>
      <c r="AC85">
        <v>679883</v>
      </c>
      <c r="AD85" t="b">
        <v>0</v>
      </c>
      <c r="AE85">
        <v>150</v>
      </c>
      <c r="AF85">
        <v>101.6</v>
      </c>
      <c r="AG85">
        <v>101.6</v>
      </c>
      <c r="AH85" t="s">
        <v>73</v>
      </c>
      <c r="AI85">
        <v>112.5</v>
      </c>
      <c r="AJ85">
        <v>112.5</v>
      </c>
      <c r="AK85" t="s">
        <v>73</v>
      </c>
      <c r="AL85" t="s">
        <v>828</v>
      </c>
      <c r="AM85" t="s">
        <v>94</v>
      </c>
      <c r="AN85">
        <v>15</v>
      </c>
      <c r="AO85">
        <v>0.93</v>
      </c>
      <c r="AP85">
        <v>0.46</v>
      </c>
      <c r="AQ85">
        <v>-2.946E-2</v>
      </c>
      <c r="AR85">
        <v>117.4</v>
      </c>
      <c r="AS85" t="s">
        <v>94</v>
      </c>
      <c r="AT85">
        <v>0</v>
      </c>
      <c r="AU85">
        <v>0</v>
      </c>
      <c r="AV85" t="s">
        <v>829</v>
      </c>
      <c r="AW85" t="s">
        <v>94</v>
      </c>
      <c r="AX85">
        <v>41</v>
      </c>
      <c r="AY85">
        <v>0.88</v>
      </c>
      <c r="AZ85">
        <v>0.47</v>
      </c>
      <c r="BA85">
        <v>-1.9460000000000002E-2</v>
      </c>
      <c r="BB85">
        <v>112.8</v>
      </c>
      <c r="BC85" t="s">
        <v>94</v>
      </c>
      <c r="BD85">
        <v>0</v>
      </c>
      <c r="BE85">
        <v>0</v>
      </c>
      <c r="BF85" t="s">
        <v>83</v>
      </c>
      <c r="BG85">
        <v>0</v>
      </c>
      <c r="BH85">
        <v>0</v>
      </c>
      <c r="BI85">
        <v>0</v>
      </c>
      <c r="BJ85">
        <v>0</v>
      </c>
      <c r="BK85">
        <v>0</v>
      </c>
      <c r="BL85" t="s">
        <v>326</v>
      </c>
    </row>
    <row r="86" spans="1:64" x14ac:dyDescent="0.2">
      <c r="A86">
        <v>823695</v>
      </c>
      <c r="B86" t="s">
        <v>1045</v>
      </c>
      <c r="C86" s="3">
        <v>46185</v>
      </c>
      <c r="D86">
        <v>6.2</v>
      </c>
      <c r="E86">
        <v>2</v>
      </c>
      <c r="F86">
        <v>26</v>
      </c>
      <c r="G86" t="s">
        <v>134</v>
      </c>
      <c r="H86">
        <v>125</v>
      </c>
      <c r="I86">
        <v>0.44</v>
      </c>
      <c r="J86">
        <v>120</v>
      </c>
      <c r="K86">
        <v>0.45454499999999998</v>
      </c>
      <c r="L86">
        <v>0.445736358091397</v>
      </c>
      <c r="M86">
        <v>681517</v>
      </c>
      <c r="N86" t="b">
        <v>0</v>
      </c>
      <c r="O86">
        <v>-100</v>
      </c>
      <c r="P86">
        <v>107.2</v>
      </c>
      <c r="Q86">
        <v>107.2</v>
      </c>
      <c r="R86" t="s">
        <v>78</v>
      </c>
      <c r="S86">
        <v>183.8</v>
      </c>
      <c r="T86">
        <v>183.8</v>
      </c>
      <c r="U86" t="s">
        <v>78</v>
      </c>
      <c r="V86">
        <v>15</v>
      </c>
      <c r="W86" t="s">
        <v>119</v>
      </c>
      <c r="X86">
        <v>-135</v>
      </c>
      <c r="Y86">
        <v>0.56999999999999995</v>
      </c>
      <c r="Z86">
        <v>-130</v>
      </c>
      <c r="AA86">
        <v>0.56521699999999997</v>
      </c>
      <c r="AB86">
        <v>0.554263641908602</v>
      </c>
      <c r="AC86">
        <v>657746</v>
      </c>
      <c r="AD86" t="b">
        <v>0</v>
      </c>
      <c r="AE86">
        <v>150</v>
      </c>
      <c r="AF86">
        <v>110.3</v>
      </c>
      <c r="AG86">
        <v>110.3</v>
      </c>
      <c r="AH86" t="s">
        <v>73</v>
      </c>
      <c r="AI86">
        <v>-183.8</v>
      </c>
      <c r="AJ86" t="s">
        <v>327</v>
      </c>
      <c r="AK86" t="s">
        <v>81</v>
      </c>
      <c r="AL86" t="s">
        <v>830</v>
      </c>
      <c r="AM86" t="s">
        <v>75</v>
      </c>
      <c r="AN86">
        <v>15</v>
      </c>
      <c r="AO86">
        <v>0.67</v>
      </c>
      <c r="AP86">
        <v>0.51</v>
      </c>
      <c r="AQ86">
        <v>-4.4260000000000001E-2</v>
      </c>
      <c r="AR86">
        <v>-104.1</v>
      </c>
      <c r="AS86" t="s">
        <v>75</v>
      </c>
      <c r="AT86">
        <v>0</v>
      </c>
      <c r="AU86">
        <v>0</v>
      </c>
      <c r="AV86" t="s">
        <v>831</v>
      </c>
      <c r="AW86" t="s">
        <v>75</v>
      </c>
      <c r="AX86">
        <v>41</v>
      </c>
      <c r="AY86">
        <v>0.78</v>
      </c>
      <c r="AZ86">
        <v>0.51</v>
      </c>
      <c r="BA86">
        <v>-4.4260000000000001E-2</v>
      </c>
      <c r="BB86">
        <v>-104.1</v>
      </c>
      <c r="BC86" t="s">
        <v>75</v>
      </c>
      <c r="BD86">
        <v>0</v>
      </c>
      <c r="BE86">
        <v>0</v>
      </c>
      <c r="BF86" t="s">
        <v>83</v>
      </c>
      <c r="BG86">
        <v>0</v>
      </c>
      <c r="BH86">
        <v>0</v>
      </c>
      <c r="BI86">
        <v>0</v>
      </c>
      <c r="BJ86">
        <v>0</v>
      </c>
      <c r="BK86">
        <v>0</v>
      </c>
      <c r="BL86" t="s">
        <v>328</v>
      </c>
    </row>
    <row r="87" spans="1:64" x14ac:dyDescent="0.2">
      <c r="A87">
        <v>822726</v>
      </c>
      <c r="B87" t="s">
        <v>1046</v>
      </c>
      <c r="C87" s="3">
        <v>46185</v>
      </c>
      <c r="D87">
        <v>6.2</v>
      </c>
      <c r="E87">
        <v>2</v>
      </c>
      <c r="F87">
        <v>24</v>
      </c>
      <c r="G87" t="s">
        <v>96</v>
      </c>
      <c r="H87">
        <v>-136</v>
      </c>
      <c r="I87">
        <v>0.57999999999999996</v>
      </c>
      <c r="J87">
        <v>-137</v>
      </c>
      <c r="K87">
        <v>0.57805899999999999</v>
      </c>
      <c r="L87">
        <v>0.56642630301498098</v>
      </c>
      <c r="M87">
        <v>682243</v>
      </c>
      <c r="N87" t="b">
        <v>0</v>
      </c>
      <c r="O87">
        <v>-185.7</v>
      </c>
      <c r="P87">
        <v>-110.7</v>
      </c>
      <c r="Q87">
        <v>-110.7</v>
      </c>
      <c r="R87" t="s">
        <v>73</v>
      </c>
      <c r="S87">
        <v>-138.1</v>
      </c>
      <c r="T87">
        <v>-138.1</v>
      </c>
      <c r="U87" t="s">
        <v>73</v>
      </c>
      <c r="V87">
        <v>16</v>
      </c>
      <c r="W87" t="s">
        <v>77</v>
      </c>
      <c r="X87">
        <v>125</v>
      </c>
      <c r="Y87">
        <v>0.44</v>
      </c>
      <c r="Z87">
        <v>126</v>
      </c>
      <c r="AA87">
        <v>0.44247799999999998</v>
      </c>
      <c r="AB87">
        <v>0.43357369698501802</v>
      </c>
      <c r="AC87">
        <v>641793</v>
      </c>
      <c r="AD87" t="b">
        <v>0</v>
      </c>
      <c r="AE87">
        <v>-122.2</v>
      </c>
      <c r="AF87">
        <v>112.6</v>
      </c>
      <c r="AG87">
        <v>112.6</v>
      </c>
      <c r="AH87" t="s">
        <v>78</v>
      </c>
      <c r="AI87">
        <v>138.1</v>
      </c>
      <c r="AJ87">
        <v>138.1</v>
      </c>
      <c r="AK87" t="s">
        <v>73</v>
      </c>
      <c r="AL87" t="s">
        <v>832</v>
      </c>
      <c r="AM87" t="s">
        <v>94</v>
      </c>
      <c r="AN87">
        <v>15</v>
      </c>
      <c r="AO87">
        <v>0.93</v>
      </c>
      <c r="AP87">
        <v>0.43</v>
      </c>
      <c r="AQ87">
        <v>-3.5699999999999998E-3</v>
      </c>
      <c r="AR87">
        <v>132.6</v>
      </c>
      <c r="AS87" t="s">
        <v>94</v>
      </c>
      <c r="AT87">
        <v>0</v>
      </c>
      <c r="AU87">
        <v>0</v>
      </c>
      <c r="AV87" t="s">
        <v>833</v>
      </c>
      <c r="AW87" t="s">
        <v>94</v>
      </c>
      <c r="AX87">
        <v>41</v>
      </c>
      <c r="AY87">
        <v>1</v>
      </c>
      <c r="AZ87">
        <v>0.44</v>
      </c>
      <c r="BA87">
        <v>6.43E-3</v>
      </c>
      <c r="BB87">
        <v>127.3</v>
      </c>
      <c r="BC87" t="s">
        <v>94</v>
      </c>
      <c r="BD87">
        <v>0</v>
      </c>
      <c r="BE87">
        <v>0</v>
      </c>
      <c r="BF87" t="s">
        <v>83</v>
      </c>
      <c r="BG87">
        <v>0</v>
      </c>
      <c r="BH87">
        <v>0</v>
      </c>
      <c r="BI87">
        <v>0</v>
      </c>
      <c r="BJ87">
        <v>0</v>
      </c>
      <c r="BK87">
        <v>0</v>
      </c>
      <c r="BL87" t="s">
        <v>329</v>
      </c>
    </row>
    <row r="88" spans="1:64" x14ac:dyDescent="0.2">
      <c r="A88">
        <v>823778</v>
      </c>
      <c r="B88" t="s">
        <v>1047</v>
      </c>
      <c r="C88" s="3">
        <v>46185</v>
      </c>
      <c r="D88">
        <v>6.2</v>
      </c>
      <c r="E88">
        <v>2</v>
      </c>
      <c r="F88">
        <v>21</v>
      </c>
      <c r="G88" t="s">
        <v>127</v>
      </c>
      <c r="H88">
        <v>214</v>
      </c>
      <c r="I88">
        <v>0.32</v>
      </c>
      <c r="J88">
        <v>213</v>
      </c>
      <c r="K88">
        <v>0.31948900000000002</v>
      </c>
      <c r="L88">
        <v>0.31265131572509203</v>
      </c>
      <c r="M88">
        <v>621383</v>
      </c>
      <c r="N88" t="b">
        <v>1</v>
      </c>
      <c r="O88">
        <v>-150</v>
      </c>
      <c r="P88">
        <v>-107.9</v>
      </c>
      <c r="Q88">
        <v>-107.9</v>
      </c>
      <c r="R88" t="s">
        <v>73</v>
      </c>
      <c r="S88">
        <v>140.19999999999999</v>
      </c>
      <c r="T88">
        <v>140.19999999999999</v>
      </c>
      <c r="U88" t="s">
        <v>78</v>
      </c>
      <c r="V88">
        <v>17</v>
      </c>
      <c r="W88" t="s">
        <v>89</v>
      </c>
      <c r="X88">
        <v>-238</v>
      </c>
      <c r="Y88">
        <v>0.7</v>
      </c>
      <c r="Z88">
        <v>-236</v>
      </c>
      <c r="AA88">
        <v>0.70238100000000003</v>
      </c>
      <c r="AB88">
        <v>0.68734868427490703</v>
      </c>
      <c r="AC88">
        <v>694819</v>
      </c>
      <c r="AD88" t="b">
        <v>0</v>
      </c>
      <c r="AE88">
        <v>-185.7</v>
      </c>
      <c r="AF88">
        <v>-118.9</v>
      </c>
      <c r="AG88" t="s">
        <v>330</v>
      </c>
      <c r="AH88" t="s">
        <v>116</v>
      </c>
      <c r="AI88">
        <v>-140.19999999999999</v>
      </c>
      <c r="AJ88" t="s">
        <v>331</v>
      </c>
      <c r="AK88" t="s">
        <v>81</v>
      </c>
      <c r="AL88" t="s">
        <v>834</v>
      </c>
      <c r="AM88" t="s">
        <v>75</v>
      </c>
      <c r="AN88">
        <v>15</v>
      </c>
      <c r="AO88">
        <v>1</v>
      </c>
      <c r="AP88">
        <v>0.56999999999999995</v>
      </c>
      <c r="AQ88">
        <v>-0.11735</v>
      </c>
      <c r="AR88">
        <v>-132.6</v>
      </c>
      <c r="AS88" t="s">
        <v>75</v>
      </c>
      <c r="AT88">
        <v>0</v>
      </c>
      <c r="AU88">
        <v>0</v>
      </c>
      <c r="AV88" t="s">
        <v>835</v>
      </c>
      <c r="AW88" t="s">
        <v>75</v>
      </c>
      <c r="AX88">
        <v>41</v>
      </c>
      <c r="AY88">
        <v>0.83</v>
      </c>
      <c r="AZ88">
        <v>0.52</v>
      </c>
      <c r="BA88">
        <v>-0.16735</v>
      </c>
      <c r="BB88">
        <v>-108.3</v>
      </c>
      <c r="BC88" t="s">
        <v>75</v>
      </c>
      <c r="BD88">
        <v>0</v>
      </c>
      <c r="BE88">
        <v>0</v>
      </c>
      <c r="BF88" t="s">
        <v>83</v>
      </c>
      <c r="BG88">
        <v>0</v>
      </c>
      <c r="BH88">
        <v>0</v>
      </c>
      <c r="BI88">
        <v>0</v>
      </c>
      <c r="BJ88">
        <v>0</v>
      </c>
      <c r="BK88">
        <v>0</v>
      </c>
      <c r="BL88" t="s">
        <v>332</v>
      </c>
    </row>
    <row r="89" spans="1:64" x14ac:dyDescent="0.2">
      <c r="A89">
        <v>823617</v>
      </c>
      <c r="B89" t="s">
        <v>1048</v>
      </c>
      <c r="C89" s="3">
        <v>46185</v>
      </c>
      <c r="D89">
        <v>6.2</v>
      </c>
      <c r="E89">
        <v>2</v>
      </c>
      <c r="F89">
        <v>0</v>
      </c>
      <c r="G89" t="s">
        <v>74</v>
      </c>
      <c r="H89">
        <v>113</v>
      </c>
      <c r="I89">
        <v>0.47</v>
      </c>
      <c r="J89">
        <v>113</v>
      </c>
      <c r="K89">
        <v>0.46948400000000001</v>
      </c>
      <c r="L89">
        <v>0.459803301294544</v>
      </c>
      <c r="M89">
        <v>675911</v>
      </c>
      <c r="N89" t="b">
        <v>0</v>
      </c>
      <c r="O89">
        <v>-185.7</v>
      </c>
      <c r="P89">
        <v>-105.3</v>
      </c>
      <c r="Q89">
        <v>-105.3</v>
      </c>
      <c r="R89" t="s">
        <v>73</v>
      </c>
      <c r="S89">
        <v>110</v>
      </c>
      <c r="T89">
        <v>110</v>
      </c>
      <c r="U89" t="s">
        <v>73</v>
      </c>
      <c r="V89">
        <v>18</v>
      </c>
      <c r="W89" t="s">
        <v>129</v>
      </c>
      <c r="X89">
        <v>-122</v>
      </c>
      <c r="Y89">
        <v>0.55000000000000004</v>
      </c>
      <c r="Z89">
        <v>-123</v>
      </c>
      <c r="AA89">
        <v>0.55157</v>
      </c>
      <c r="AB89">
        <v>0.54019669870545495</v>
      </c>
      <c r="AC89">
        <v>690997</v>
      </c>
      <c r="AD89" t="b">
        <v>0</v>
      </c>
      <c r="AE89">
        <v>122.2</v>
      </c>
      <c r="AF89">
        <v>107.3</v>
      </c>
      <c r="AG89">
        <v>107.3</v>
      </c>
      <c r="AH89" t="s">
        <v>73</v>
      </c>
      <c r="AI89">
        <v>-110</v>
      </c>
      <c r="AJ89">
        <v>-110</v>
      </c>
      <c r="AK89" t="s">
        <v>73</v>
      </c>
      <c r="AL89" t="s">
        <v>836</v>
      </c>
      <c r="AM89" t="s">
        <v>109</v>
      </c>
      <c r="AN89">
        <v>15</v>
      </c>
      <c r="AO89">
        <v>0.73</v>
      </c>
      <c r="AP89">
        <v>0.48</v>
      </c>
      <c r="AQ89">
        <v>-6.0199999999999997E-2</v>
      </c>
      <c r="AR89">
        <v>108.3</v>
      </c>
      <c r="AS89" t="s">
        <v>109</v>
      </c>
      <c r="AT89">
        <v>1</v>
      </c>
      <c r="AU89">
        <v>1.1299999999999999</v>
      </c>
      <c r="AV89" t="s">
        <v>837</v>
      </c>
      <c r="AW89" t="s">
        <v>109</v>
      </c>
      <c r="AX89">
        <v>41</v>
      </c>
      <c r="AY89">
        <v>0.61</v>
      </c>
      <c r="AZ89">
        <v>0.49</v>
      </c>
      <c r="BA89">
        <v>-5.0200000000000002E-2</v>
      </c>
      <c r="BB89">
        <v>104.1</v>
      </c>
      <c r="BC89" t="s">
        <v>109</v>
      </c>
      <c r="BD89">
        <v>1</v>
      </c>
      <c r="BE89">
        <v>1.1299999999999999</v>
      </c>
      <c r="BF89" t="s">
        <v>109</v>
      </c>
      <c r="BG89">
        <v>-6.0199999999999997E-2</v>
      </c>
      <c r="BH89">
        <v>0</v>
      </c>
      <c r="BI89">
        <v>0</v>
      </c>
      <c r="BJ89">
        <v>5</v>
      </c>
      <c r="BK89">
        <v>0.73</v>
      </c>
      <c r="BL89" t="s">
        <v>333</v>
      </c>
    </row>
    <row r="90" spans="1:64" x14ac:dyDescent="0.2">
      <c r="A90">
        <v>824997</v>
      </c>
      <c r="B90" t="s">
        <v>1049</v>
      </c>
      <c r="C90" s="3">
        <v>46185</v>
      </c>
      <c r="D90">
        <v>6.2</v>
      </c>
      <c r="E90">
        <v>2</v>
      </c>
      <c r="F90">
        <v>8</v>
      </c>
      <c r="G90" t="s">
        <v>92</v>
      </c>
      <c r="H90">
        <v>169</v>
      </c>
      <c r="I90">
        <v>0.37</v>
      </c>
      <c r="J90">
        <v>188</v>
      </c>
      <c r="K90">
        <v>0.34722199999999998</v>
      </c>
      <c r="L90">
        <v>0.33991751257233299</v>
      </c>
      <c r="M90">
        <v>807743</v>
      </c>
      <c r="N90" t="b">
        <v>1</v>
      </c>
      <c r="O90">
        <v>185.7</v>
      </c>
      <c r="P90">
        <v>128.30000000000001</v>
      </c>
      <c r="Q90">
        <v>128.30000000000001</v>
      </c>
      <c r="R90" t="s">
        <v>126</v>
      </c>
      <c r="S90">
        <v>124.8</v>
      </c>
      <c r="T90">
        <v>124.8</v>
      </c>
      <c r="U90" t="s">
        <v>73</v>
      </c>
      <c r="V90">
        <v>20</v>
      </c>
      <c r="W90" t="s">
        <v>107</v>
      </c>
      <c r="X90">
        <v>-185</v>
      </c>
      <c r="Y90">
        <v>0.65</v>
      </c>
      <c r="Z90">
        <v>-207</v>
      </c>
      <c r="AA90">
        <v>0.67426699999999995</v>
      </c>
      <c r="AB90">
        <v>0.66008248742766695</v>
      </c>
      <c r="AC90">
        <v>695611</v>
      </c>
      <c r="AD90" t="b">
        <v>0</v>
      </c>
      <c r="AE90">
        <v>122.2</v>
      </c>
      <c r="AF90">
        <v>-100.8</v>
      </c>
      <c r="AG90">
        <v>-100.8</v>
      </c>
      <c r="AH90" t="s">
        <v>73</v>
      </c>
      <c r="AI90">
        <v>-124.8</v>
      </c>
      <c r="AJ90">
        <v>-124.8</v>
      </c>
      <c r="AK90" t="s">
        <v>73</v>
      </c>
      <c r="AL90" t="s">
        <v>838</v>
      </c>
      <c r="AM90" t="s">
        <v>75</v>
      </c>
      <c r="AN90">
        <v>15</v>
      </c>
      <c r="AO90">
        <v>0.73</v>
      </c>
      <c r="AP90">
        <v>0.52</v>
      </c>
      <c r="AQ90">
        <v>-0.14008000000000001</v>
      </c>
      <c r="AR90">
        <v>-108.3</v>
      </c>
      <c r="AS90" t="s">
        <v>75</v>
      </c>
      <c r="AT90">
        <v>0</v>
      </c>
      <c r="AU90">
        <v>0</v>
      </c>
      <c r="AV90" t="s">
        <v>839</v>
      </c>
      <c r="AW90" t="s">
        <v>75</v>
      </c>
      <c r="AX90">
        <v>41</v>
      </c>
      <c r="AY90">
        <v>0.98</v>
      </c>
      <c r="AZ90">
        <v>0.56999999999999995</v>
      </c>
      <c r="BA90">
        <v>-9.0079999999999993E-2</v>
      </c>
      <c r="BB90">
        <v>-132.6</v>
      </c>
      <c r="BC90" t="s">
        <v>75</v>
      </c>
      <c r="BD90">
        <v>0</v>
      </c>
      <c r="BE90">
        <v>0</v>
      </c>
      <c r="BF90" t="s">
        <v>83</v>
      </c>
      <c r="BG90">
        <v>0</v>
      </c>
      <c r="BH90">
        <v>0</v>
      </c>
      <c r="BI90">
        <v>0</v>
      </c>
      <c r="BJ90">
        <v>0</v>
      </c>
      <c r="BK90">
        <v>0</v>
      </c>
      <c r="BL90" t="s">
        <v>334</v>
      </c>
    </row>
    <row r="91" spans="1:64" x14ac:dyDescent="0.2">
      <c r="A91">
        <v>823370</v>
      </c>
      <c r="B91" t="s">
        <v>1050</v>
      </c>
      <c r="C91" s="3">
        <v>46185</v>
      </c>
      <c r="D91">
        <v>6.2</v>
      </c>
      <c r="E91">
        <v>2</v>
      </c>
      <c r="F91">
        <v>11</v>
      </c>
      <c r="G91" t="s">
        <v>103</v>
      </c>
      <c r="H91">
        <v>124</v>
      </c>
      <c r="I91">
        <v>0.45</v>
      </c>
      <c r="J91">
        <v>127</v>
      </c>
      <c r="K91">
        <v>0.440529</v>
      </c>
      <c r="L91">
        <v>0.43248987814503997</v>
      </c>
      <c r="M91">
        <v>645261</v>
      </c>
      <c r="N91" t="b">
        <v>0</v>
      </c>
      <c r="O91">
        <v>-150</v>
      </c>
      <c r="P91">
        <v>-102</v>
      </c>
      <c r="Q91">
        <v>-102</v>
      </c>
      <c r="R91" t="s">
        <v>73</v>
      </c>
      <c r="S91">
        <v>117.6</v>
      </c>
      <c r="T91">
        <v>117.6</v>
      </c>
      <c r="U91" t="s">
        <v>73</v>
      </c>
      <c r="V91">
        <v>22</v>
      </c>
      <c r="W91" t="s">
        <v>72</v>
      </c>
      <c r="X91">
        <v>-134</v>
      </c>
      <c r="Y91">
        <v>0.56999999999999995</v>
      </c>
      <c r="Z91">
        <v>-137</v>
      </c>
      <c r="AA91">
        <v>0.57805899999999999</v>
      </c>
      <c r="AB91">
        <v>0.56751012185495997</v>
      </c>
      <c r="AC91">
        <v>677952</v>
      </c>
      <c r="AD91" t="b">
        <v>0</v>
      </c>
      <c r="AE91">
        <v>-100</v>
      </c>
      <c r="AF91">
        <v>100.1</v>
      </c>
      <c r="AG91">
        <v>100.1</v>
      </c>
      <c r="AH91" t="s">
        <v>73</v>
      </c>
      <c r="AI91">
        <v>-117.6</v>
      </c>
      <c r="AJ91">
        <v>-117.6</v>
      </c>
      <c r="AK91" t="s">
        <v>73</v>
      </c>
      <c r="AL91" t="s">
        <v>840</v>
      </c>
      <c r="AM91" t="s">
        <v>75</v>
      </c>
      <c r="AN91">
        <v>15</v>
      </c>
      <c r="AO91">
        <v>1</v>
      </c>
      <c r="AP91">
        <v>0.53</v>
      </c>
      <c r="AQ91">
        <v>-3.7510000000000002E-2</v>
      </c>
      <c r="AR91">
        <v>-112.8</v>
      </c>
      <c r="AS91" t="s">
        <v>75</v>
      </c>
      <c r="AT91">
        <v>0</v>
      </c>
      <c r="AU91">
        <v>0</v>
      </c>
      <c r="AV91" t="s">
        <v>841</v>
      </c>
      <c r="AW91" t="s">
        <v>75</v>
      </c>
      <c r="AX91">
        <v>41</v>
      </c>
      <c r="AY91">
        <v>0.56000000000000005</v>
      </c>
      <c r="AZ91">
        <v>0.5</v>
      </c>
      <c r="BA91">
        <v>-6.7510000000000001E-2</v>
      </c>
      <c r="BB91">
        <v>-100</v>
      </c>
      <c r="BC91" t="s">
        <v>75</v>
      </c>
      <c r="BD91">
        <v>0</v>
      </c>
      <c r="BE91">
        <v>0</v>
      </c>
      <c r="BF91" t="s">
        <v>83</v>
      </c>
      <c r="BG91">
        <v>0</v>
      </c>
      <c r="BH91">
        <v>0</v>
      </c>
      <c r="BI91">
        <v>0</v>
      </c>
      <c r="BJ91">
        <v>0</v>
      </c>
      <c r="BK91">
        <v>0</v>
      </c>
      <c r="BL91" t="s">
        <v>703</v>
      </c>
    </row>
    <row r="92" spans="1:64" x14ac:dyDescent="0.2">
      <c r="A92">
        <v>823211</v>
      </c>
      <c r="B92" t="s">
        <v>1051</v>
      </c>
      <c r="C92" s="3">
        <v>46185</v>
      </c>
      <c r="D92">
        <v>6.2</v>
      </c>
      <c r="E92">
        <v>2</v>
      </c>
      <c r="F92">
        <v>5</v>
      </c>
      <c r="G92" t="s">
        <v>85</v>
      </c>
      <c r="H92">
        <v>105</v>
      </c>
      <c r="I92">
        <v>0.49</v>
      </c>
      <c r="J92">
        <v>111</v>
      </c>
      <c r="K92">
        <v>0.47393400000000002</v>
      </c>
      <c r="L92">
        <v>0.46491967247047</v>
      </c>
      <c r="M92">
        <v>665871</v>
      </c>
      <c r="N92" t="b">
        <v>0</v>
      </c>
      <c r="O92">
        <v>233.3</v>
      </c>
      <c r="P92">
        <v>-110.4</v>
      </c>
      <c r="Q92">
        <v>-110.4</v>
      </c>
      <c r="R92" t="s">
        <v>73</v>
      </c>
      <c r="S92">
        <v>170</v>
      </c>
      <c r="T92">
        <v>170</v>
      </c>
      <c r="U92" t="s">
        <v>78</v>
      </c>
      <c r="V92">
        <v>25</v>
      </c>
      <c r="W92" t="s">
        <v>84</v>
      </c>
      <c r="X92">
        <v>-114</v>
      </c>
      <c r="Y92">
        <v>0.53</v>
      </c>
      <c r="Z92">
        <v>-120</v>
      </c>
      <c r="AA92">
        <v>0.54545500000000002</v>
      </c>
      <c r="AB92">
        <v>0.53508032752952905</v>
      </c>
      <c r="AC92">
        <v>694738</v>
      </c>
      <c r="AD92" t="b">
        <v>0</v>
      </c>
      <c r="AE92">
        <v>150</v>
      </c>
      <c r="AF92">
        <v>105.5</v>
      </c>
      <c r="AG92">
        <v>105.5</v>
      </c>
      <c r="AH92" t="s">
        <v>73</v>
      </c>
      <c r="AI92">
        <v>-170</v>
      </c>
      <c r="AJ92" t="s">
        <v>335</v>
      </c>
      <c r="AK92" t="s">
        <v>81</v>
      </c>
      <c r="AL92" t="s">
        <v>842</v>
      </c>
      <c r="AM92" t="s">
        <v>75</v>
      </c>
      <c r="AN92">
        <v>15</v>
      </c>
      <c r="AO92">
        <v>0.87</v>
      </c>
      <c r="AP92">
        <v>0.53</v>
      </c>
      <c r="AQ92">
        <v>-5.0800000000000003E-3</v>
      </c>
      <c r="AR92">
        <v>-112.8</v>
      </c>
      <c r="AS92" t="s">
        <v>75</v>
      </c>
      <c r="AT92">
        <v>0</v>
      </c>
      <c r="AU92">
        <v>0</v>
      </c>
      <c r="AV92" t="s">
        <v>843</v>
      </c>
      <c r="AW92" t="s">
        <v>109</v>
      </c>
      <c r="AX92">
        <v>41</v>
      </c>
      <c r="AY92">
        <v>0.66</v>
      </c>
      <c r="AZ92">
        <v>0.49</v>
      </c>
      <c r="BA92">
        <v>-4.5080000000000002E-2</v>
      </c>
      <c r="BB92">
        <v>104.1</v>
      </c>
      <c r="BC92" t="s">
        <v>109</v>
      </c>
      <c r="BD92">
        <v>1</v>
      </c>
      <c r="BE92">
        <v>1.1100000000000001</v>
      </c>
      <c r="BF92" t="s">
        <v>83</v>
      </c>
      <c r="BG92">
        <v>0</v>
      </c>
      <c r="BH92">
        <v>0</v>
      </c>
      <c r="BI92">
        <v>0</v>
      </c>
      <c r="BJ92">
        <v>0</v>
      </c>
      <c r="BK92">
        <v>0</v>
      </c>
      <c r="BL92" t="s">
        <v>336</v>
      </c>
    </row>
    <row r="93" spans="1:64" x14ac:dyDescent="0.2">
      <c r="A93">
        <v>822803</v>
      </c>
      <c r="B93" t="s">
        <v>1052</v>
      </c>
      <c r="C93" s="3">
        <v>46185</v>
      </c>
      <c r="D93">
        <v>6.2</v>
      </c>
      <c r="E93">
        <v>2</v>
      </c>
      <c r="F93">
        <v>19</v>
      </c>
      <c r="G93" t="s">
        <v>123</v>
      </c>
      <c r="H93">
        <v>100</v>
      </c>
      <c r="I93">
        <v>0.5</v>
      </c>
      <c r="J93">
        <v>100</v>
      </c>
      <c r="K93">
        <v>0.5</v>
      </c>
      <c r="L93">
        <v>0.49056592666431798</v>
      </c>
      <c r="M93">
        <v>677960</v>
      </c>
      <c r="N93" t="b">
        <v>0</v>
      </c>
      <c r="O93">
        <v>-185.7</v>
      </c>
      <c r="P93">
        <v>-112.2</v>
      </c>
      <c r="Q93" t="s">
        <v>337</v>
      </c>
      <c r="R93" t="s">
        <v>81</v>
      </c>
      <c r="S93">
        <v>-106.3</v>
      </c>
      <c r="T93">
        <v>-106.3</v>
      </c>
      <c r="U93" t="s">
        <v>73</v>
      </c>
      <c r="V93">
        <v>29</v>
      </c>
      <c r="W93" t="s">
        <v>144</v>
      </c>
      <c r="X93">
        <v>-108</v>
      </c>
      <c r="Y93">
        <v>0.52</v>
      </c>
      <c r="Z93">
        <v>-108</v>
      </c>
      <c r="AA93">
        <v>0.519231</v>
      </c>
      <c r="AB93">
        <v>0.50943407333568103</v>
      </c>
      <c r="AC93">
        <v>702056</v>
      </c>
      <c r="AD93" t="b">
        <v>0</v>
      </c>
      <c r="AE93">
        <v>-122.2</v>
      </c>
      <c r="AF93">
        <v>-106</v>
      </c>
      <c r="AG93">
        <v>-106</v>
      </c>
      <c r="AH93" t="s">
        <v>73</v>
      </c>
      <c r="AI93">
        <v>106.3</v>
      </c>
      <c r="AJ93">
        <v>106.3</v>
      </c>
      <c r="AK93" t="s">
        <v>73</v>
      </c>
      <c r="AL93" t="s">
        <v>844</v>
      </c>
      <c r="AM93" t="s">
        <v>109</v>
      </c>
      <c r="AN93">
        <v>15</v>
      </c>
      <c r="AO93">
        <v>0.8</v>
      </c>
      <c r="AP93">
        <v>0.48</v>
      </c>
      <c r="AQ93">
        <v>-2.9430000000000001E-2</v>
      </c>
      <c r="AR93">
        <v>108.3</v>
      </c>
      <c r="AS93" t="s">
        <v>109</v>
      </c>
      <c r="AT93">
        <v>1</v>
      </c>
      <c r="AU93">
        <v>1</v>
      </c>
      <c r="AV93" t="s">
        <v>338</v>
      </c>
      <c r="AW93" t="s">
        <v>109</v>
      </c>
      <c r="AX93">
        <v>41</v>
      </c>
      <c r="AY93">
        <v>0.98</v>
      </c>
      <c r="AZ93">
        <v>0.44</v>
      </c>
      <c r="BA93">
        <v>-6.9430000000000006E-2</v>
      </c>
      <c r="BB93">
        <v>127.3</v>
      </c>
      <c r="BC93" t="s">
        <v>109</v>
      </c>
      <c r="BD93">
        <v>1</v>
      </c>
      <c r="BE93">
        <v>1</v>
      </c>
      <c r="BF93" t="s">
        <v>109</v>
      </c>
      <c r="BG93">
        <v>-2.9430000000000001E-2</v>
      </c>
      <c r="BH93">
        <v>0</v>
      </c>
      <c r="BI93">
        <v>0</v>
      </c>
      <c r="BJ93">
        <v>5</v>
      </c>
      <c r="BK93">
        <v>0.8</v>
      </c>
      <c r="BL93" t="s">
        <v>339</v>
      </c>
    </row>
    <row r="94" spans="1:64" x14ac:dyDescent="0.2">
      <c r="A94">
        <v>824828</v>
      </c>
      <c r="B94" t="s">
        <v>340</v>
      </c>
      <c r="C94" s="3">
        <v>46186</v>
      </c>
      <c r="D94">
        <v>6.2</v>
      </c>
      <c r="E94">
        <v>2</v>
      </c>
      <c r="F94">
        <v>23</v>
      </c>
      <c r="G94" t="s">
        <v>130</v>
      </c>
      <c r="H94">
        <v>115</v>
      </c>
      <c r="I94">
        <v>0.47</v>
      </c>
      <c r="J94">
        <v>107</v>
      </c>
      <c r="K94">
        <v>0.48309200000000002</v>
      </c>
      <c r="L94">
        <v>0.473559716467231</v>
      </c>
      <c r="M94">
        <v>681190</v>
      </c>
      <c r="N94" t="b">
        <v>0</v>
      </c>
      <c r="O94">
        <v>233.3</v>
      </c>
      <c r="P94">
        <v>-101.1</v>
      </c>
      <c r="Q94">
        <v>-101.1</v>
      </c>
      <c r="R94" t="s">
        <v>73</v>
      </c>
      <c r="S94">
        <v>-340</v>
      </c>
      <c r="T94" t="s">
        <v>341</v>
      </c>
      <c r="U94" t="s">
        <v>143</v>
      </c>
      <c r="V94">
        <v>2</v>
      </c>
      <c r="W94" t="s">
        <v>141</v>
      </c>
      <c r="X94">
        <v>-127</v>
      </c>
      <c r="Y94">
        <v>0.56000000000000005</v>
      </c>
      <c r="Z94">
        <v>-116</v>
      </c>
      <c r="AA94">
        <v>0.53703699999999999</v>
      </c>
      <c r="AB94">
        <v>0.52644028353276795</v>
      </c>
      <c r="AC94">
        <v>694346</v>
      </c>
      <c r="AD94" t="b">
        <v>0</v>
      </c>
      <c r="AE94">
        <v>-150</v>
      </c>
      <c r="AF94">
        <v>103</v>
      </c>
      <c r="AG94">
        <v>103</v>
      </c>
      <c r="AH94" t="s">
        <v>73</v>
      </c>
      <c r="AI94">
        <v>340</v>
      </c>
      <c r="AJ94">
        <v>340</v>
      </c>
      <c r="AK94" t="s">
        <v>93</v>
      </c>
      <c r="AL94" t="s">
        <v>845</v>
      </c>
      <c r="AM94" t="s">
        <v>75</v>
      </c>
      <c r="AN94">
        <v>15</v>
      </c>
      <c r="AO94">
        <v>0.93</v>
      </c>
      <c r="AP94">
        <v>0.52</v>
      </c>
      <c r="AQ94">
        <v>-6.4400000000000004E-3</v>
      </c>
      <c r="AR94">
        <v>-108.3</v>
      </c>
      <c r="AS94" t="s">
        <v>75</v>
      </c>
      <c r="AT94">
        <v>0</v>
      </c>
      <c r="AU94">
        <v>0</v>
      </c>
      <c r="AV94" t="s">
        <v>846</v>
      </c>
      <c r="AW94" t="s">
        <v>75</v>
      </c>
      <c r="AX94">
        <v>41</v>
      </c>
      <c r="AY94">
        <v>0.68</v>
      </c>
      <c r="AZ94">
        <v>0.51</v>
      </c>
      <c r="BA94">
        <v>-1.644E-2</v>
      </c>
      <c r="BB94">
        <v>-104.1</v>
      </c>
      <c r="BC94" t="s">
        <v>75</v>
      </c>
      <c r="BD94">
        <v>0</v>
      </c>
      <c r="BE94">
        <v>0</v>
      </c>
      <c r="BF94" t="s">
        <v>83</v>
      </c>
      <c r="BG94">
        <v>0</v>
      </c>
      <c r="BH94">
        <v>0</v>
      </c>
      <c r="BI94">
        <v>0</v>
      </c>
      <c r="BJ94">
        <v>0</v>
      </c>
      <c r="BK94">
        <v>0</v>
      </c>
      <c r="BL94" t="s">
        <v>342</v>
      </c>
    </row>
    <row r="95" spans="1:64" x14ac:dyDescent="0.2">
      <c r="A95">
        <v>824749</v>
      </c>
      <c r="B95" t="s">
        <v>343</v>
      </c>
      <c r="C95" s="3">
        <v>46186</v>
      </c>
      <c r="D95">
        <v>6.2</v>
      </c>
      <c r="E95">
        <v>2</v>
      </c>
      <c r="F95">
        <v>28</v>
      </c>
      <c r="G95" t="s">
        <v>138</v>
      </c>
      <c r="H95">
        <v>108</v>
      </c>
      <c r="I95">
        <v>0.48</v>
      </c>
      <c r="J95">
        <v>102</v>
      </c>
      <c r="K95">
        <v>0.49504999999999999</v>
      </c>
      <c r="L95">
        <v>0.48481269512964198</v>
      </c>
      <c r="M95">
        <v>594798</v>
      </c>
      <c r="N95" t="b">
        <v>0</v>
      </c>
      <c r="O95">
        <v>-100</v>
      </c>
      <c r="P95">
        <v>-103.3</v>
      </c>
      <c r="Q95">
        <v>-103.3</v>
      </c>
      <c r="R95" t="s">
        <v>73</v>
      </c>
      <c r="S95">
        <v>-123.8</v>
      </c>
      <c r="T95">
        <v>-123.8</v>
      </c>
      <c r="U95" t="s">
        <v>73</v>
      </c>
      <c r="V95">
        <v>3</v>
      </c>
      <c r="W95" t="s">
        <v>122</v>
      </c>
      <c r="X95">
        <v>-119</v>
      </c>
      <c r="Y95">
        <v>0.54</v>
      </c>
      <c r="Z95">
        <v>-111</v>
      </c>
      <c r="AA95">
        <v>0.52606600000000003</v>
      </c>
      <c r="AB95">
        <v>0.51518730487035702</v>
      </c>
      <c r="AC95">
        <v>624133</v>
      </c>
      <c r="AD95" t="b">
        <v>0</v>
      </c>
      <c r="AE95">
        <v>150</v>
      </c>
      <c r="AF95">
        <v>-104.4</v>
      </c>
      <c r="AG95">
        <v>-104.4</v>
      </c>
      <c r="AH95" t="s">
        <v>73</v>
      </c>
      <c r="AI95">
        <v>123.8</v>
      </c>
      <c r="AJ95">
        <v>123.8</v>
      </c>
      <c r="AK95" t="s">
        <v>73</v>
      </c>
      <c r="AL95" t="s">
        <v>847</v>
      </c>
      <c r="AM95" t="s">
        <v>75</v>
      </c>
      <c r="AN95">
        <v>15</v>
      </c>
      <c r="AO95">
        <v>0.87</v>
      </c>
      <c r="AP95">
        <v>0.52</v>
      </c>
      <c r="AQ95">
        <v>4.81E-3</v>
      </c>
      <c r="AR95">
        <v>-108.3</v>
      </c>
      <c r="AS95" t="s">
        <v>75</v>
      </c>
      <c r="AT95">
        <v>0</v>
      </c>
      <c r="AU95">
        <v>0</v>
      </c>
      <c r="AV95" t="s">
        <v>848</v>
      </c>
      <c r="AW95" t="s">
        <v>75</v>
      </c>
      <c r="AX95">
        <v>41</v>
      </c>
      <c r="AY95">
        <v>0.83</v>
      </c>
      <c r="AZ95">
        <v>0.51</v>
      </c>
      <c r="BA95">
        <v>-5.1900000000000002E-3</v>
      </c>
      <c r="BB95">
        <v>-104.1</v>
      </c>
      <c r="BC95" t="s">
        <v>75</v>
      </c>
      <c r="BD95">
        <v>0</v>
      </c>
      <c r="BE95">
        <v>0</v>
      </c>
      <c r="BF95" t="s">
        <v>83</v>
      </c>
      <c r="BG95">
        <v>0</v>
      </c>
      <c r="BH95">
        <v>0</v>
      </c>
      <c r="BI95">
        <v>0</v>
      </c>
      <c r="BJ95">
        <v>0</v>
      </c>
      <c r="BK95">
        <v>0</v>
      </c>
      <c r="BL95" t="s">
        <v>344</v>
      </c>
    </row>
    <row r="96" spans="1:64" x14ac:dyDescent="0.2">
      <c r="A96">
        <v>824019</v>
      </c>
      <c r="B96" t="s">
        <v>345</v>
      </c>
      <c r="C96" s="3">
        <v>46186</v>
      </c>
      <c r="D96">
        <v>6.2</v>
      </c>
      <c r="E96">
        <v>2</v>
      </c>
      <c r="F96">
        <v>27</v>
      </c>
      <c r="G96" t="s">
        <v>101</v>
      </c>
      <c r="H96">
        <v>-112</v>
      </c>
      <c r="I96">
        <v>0.53</v>
      </c>
      <c r="J96">
        <v>-110</v>
      </c>
      <c r="K96">
        <v>0.52381</v>
      </c>
      <c r="L96">
        <v>0.51411381347780805</v>
      </c>
      <c r="M96">
        <v>643377</v>
      </c>
      <c r="N96" t="b">
        <v>0</v>
      </c>
      <c r="O96">
        <v>122.2</v>
      </c>
      <c r="P96">
        <v>-102.9</v>
      </c>
      <c r="Q96">
        <v>-102.9</v>
      </c>
      <c r="R96" t="s">
        <v>73</v>
      </c>
      <c r="S96">
        <v>201.8</v>
      </c>
      <c r="T96">
        <v>201.8</v>
      </c>
      <c r="U96" t="s">
        <v>78</v>
      </c>
      <c r="V96">
        <v>4</v>
      </c>
      <c r="W96" t="s">
        <v>111</v>
      </c>
      <c r="X96">
        <v>101</v>
      </c>
      <c r="Y96">
        <v>0.5</v>
      </c>
      <c r="Z96">
        <v>102</v>
      </c>
      <c r="AA96">
        <v>0.49504999999999999</v>
      </c>
      <c r="AB96">
        <v>0.48588618652219101</v>
      </c>
      <c r="AC96">
        <v>667755</v>
      </c>
      <c r="AD96" t="b">
        <v>0</v>
      </c>
      <c r="AE96">
        <v>-122.2</v>
      </c>
      <c r="AF96">
        <v>109.7</v>
      </c>
      <c r="AG96">
        <v>109.7</v>
      </c>
      <c r="AH96" t="s">
        <v>73</v>
      </c>
      <c r="AI96">
        <v>-201.8</v>
      </c>
      <c r="AJ96" t="s">
        <v>346</v>
      </c>
      <c r="AK96" t="s">
        <v>81</v>
      </c>
      <c r="AL96" t="s">
        <v>849</v>
      </c>
      <c r="AM96" t="s">
        <v>94</v>
      </c>
      <c r="AN96">
        <v>15</v>
      </c>
      <c r="AO96">
        <v>0.53</v>
      </c>
      <c r="AP96">
        <v>0.49</v>
      </c>
      <c r="AQ96">
        <v>4.1099999999999999E-3</v>
      </c>
      <c r="AR96">
        <v>104.1</v>
      </c>
      <c r="AS96" t="s">
        <v>94</v>
      </c>
      <c r="AT96">
        <v>0</v>
      </c>
      <c r="AU96">
        <v>0</v>
      </c>
      <c r="AV96" t="s">
        <v>850</v>
      </c>
      <c r="AW96" t="s">
        <v>187</v>
      </c>
      <c r="AX96">
        <v>41</v>
      </c>
      <c r="AY96">
        <v>0.54</v>
      </c>
      <c r="AZ96">
        <v>0.5</v>
      </c>
      <c r="BA96">
        <v>1.4109999999999999E-2</v>
      </c>
      <c r="BB96">
        <v>-100</v>
      </c>
      <c r="BC96" t="s">
        <v>187</v>
      </c>
      <c r="BD96">
        <v>1</v>
      </c>
      <c r="BE96">
        <v>1.02</v>
      </c>
      <c r="BF96" t="s">
        <v>83</v>
      </c>
      <c r="BG96">
        <v>0</v>
      </c>
      <c r="BH96">
        <v>0</v>
      </c>
      <c r="BI96">
        <v>0</v>
      </c>
      <c r="BJ96">
        <v>0</v>
      </c>
      <c r="BK96">
        <v>0</v>
      </c>
      <c r="BL96" t="s">
        <v>704</v>
      </c>
    </row>
    <row r="97" spans="1:64" x14ac:dyDescent="0.2">
      <c r="A97">
        <v>824508</v>
      </c>
      <c r="B97" t="s">
        <v>347</v>
      </c>
      <c r="C97" s="3">
        <v>46186</v>
      </c>
      <c r="D97">
        <v>6.2</v>
      </c>
      <c r="E97">
        <v>2</v>
      </c>
      <c r="F97">
        <v>1</v>
      </c>
      <c r="G97" t="s">
        <v>79</v>
      </c>
      <c r="H97">
        <v>-129</v>
      </c>
      <c r="I97">
        <v>0.56000000000000005</v>
      </c>
      <c r="J97">
        <v>-148</v>
      </c>
      <c r="K97">
        <v>0.59677400000000003</v>
      </c>
      <c r="L97">
        <v>0.58478417015922501</v>
      </c>
      <c r="M97">
        <v>647336</v>
      </c>
      <c r="N97" t="b">
        <v>0</v>
      </c>
      <c r="O97">
        <v>122.2</v>
      </c>
      <c r="P97">
        <v>102.8</v>
      </c>
      <c r="Q97">
        <v>102.8</v>
      </c>
      <c r="R97" t="s">
        <v>73</v>
      </c>
      <c r="S97">
        <v>-161</v>
      </c>
      <c r="T97" t="s">
        <v>348</v>
      </c>
      <c r="U97" t="s">
        <v>81</v>
      </c>
      <c r="V97">
        <v>6</v>
      </c>
      <c r="W97" t="s">
        <v>133</v>
      </c>
      <c r="X97">
        <v>117</v>
      </c>
      <c r="Y97">
        <v>0.46</v>
      </c>
      <c r="Z97">
        <v>136</v>
      </c>
      <c r="AA97">
        <v>0.42372900000000002</v>
      </c>
      <c r="AB97">
        <v>0.41521582984077399</v>
      </c>
      <c r="AC97">
        <v>695076</v>
      </c>
      <c r="AD97" t="b">
        <v>0</v>
      </c>
      <c r="AE97">
        <v>185.7</v>
      </c>
      <c r="AF97">
        <v>108.6</v>
      </c>
      <c r="AG97">
        <v>108.6</v>
      </c>
      <c r="AH97" t="s">
        <v>73</v>
      </c>
      <c r="AI97">
        <v>161</v>
      </c>
      <c r="AJ97">
        <v>161</v>
      </c>
      <c r="AK97" t="s">
        <v>78</v>
      </c>
      <c r="AL97" t="s">
        <v>851</v>
      </c>
      <c r="AM97" t="s">
        <v>94</v>
      </c>
      <c r="AN97">
        <v>15</v>
      </c>
      <c r="AO97">
        <v>1</v>
      </c>
      <c r="AP97">
        <v>0.44</v>
      </c>
      <c r="AQ97">
        <v>2.478E-2</v>
      </c>
      <c r="AR97">
        <v>127.3</v>
      </c>
      <c r="AS97" t="s">
        <v>94</v>
      </c>
      <c r="AT97">
        <v>0</v>
      </c>
      <c r="AU97">
        <v>0</v>
      </c>
      <c r="AV97" t="s">
        <v>852</v>
      </c>
      <c r="AW97" t="s">
        <v>94</v>
      </c>
      <c r="AX97">
        <v>41</v>
      </c>
      <c r="AY97">
        <v>0.95</v>
      </c>
      <c r="AZ97">
        <v>0.47</v>
      </c>
      <c r="BA97">
        <v>5.4780000000000002E-2</v>
      </c>
      <c r="BB97">
        <v>112.8</v>
      </c>
      <c r="BC97" t="s">
        <v>94</v>
      </c>
      <c r="BD97">
        <v>0</v>
      </c>
      <c r="BE97">
        <v>0</v>
      </c>
      <c r="BF97" t="s">
        <v>83</v>
      </c>
      <c r="BG97">
        <v>0</v>
      </c>
      <c r="BH97">
        <v>0</v>
      </c>
      <c r="BI97">
        <v>0</v>
      </c>
      <c r="BJ97">
        <v>0</v>
      </c>
      <c r="BK97">
        <v>0</v>
      </c>
      <c r="BL97" t="s">
        <v>349</v>
      </c>
    </row>
    <row r="98" spans="1:64" x14ac:dyDescent="0.2">
      <c r="A98">
        <v>824426</v>
      </c>
      <c r="B98" t="s">
        <v>350</v>
      </c>
      <c r="C98" s="3">
        <v>46186</v>
      </c>
      <c r="D98">
        <v>6.2</v>
      </c>
      <c r="E98">
        <v>2</v>
      </c>
      <c r="F98">
        <v>10</v>
      </c>
      <c r="G98" t="s">
        <v>97</v>
      </c>
      <c r="H98">
        <v>-148</v>
      </c>
      <c r="I98">
        <v>0.6</v>
      </c>
      <c r="J98">
        <v>-131</v>
      </c>
      <c r="K98">
        <v>0.56710000000000005</v>
      </c>
      <c r="L98">
        <v>0.556204509856422</v>
      </c>
      <c r="M98">
        <v>669373</v>
      </c>
      <c r="N98" t="b">
        <v>0</v>
      </c>
      <c r="O98">
        <v>122.2</v>
      </c>
      <c r="P98">
        <v>-101.1</v>
      </c>
      <c r="Q98">
        <v>-101.1</v>
      </c>
      <c r="R98" t="s">
        <v>73</v>
      </c>
      <c r="S98">
        <v>-157.6</v>
      </c>
      <c r="T98">
        <v>-157.6</v>
      </c>
      <c r="U98" t="s">
        <v>73</v>
      </c>
      <c r="V98">
        <v>7</v>
      </c>
      <c r="W98" t="s">
        <v>137</v>
      </c>
      <c r="X98">
        <v>133</v>
      </c>
      <c r="Y98">
        <v>0.43</v>
      </c>
      <c r="Z98">
        <v>121</v>
      </c>
      <c r="AA98">
        <v>0.45248899999999997</v>
      </c>
      <c r="AB98">
        <v>0.443795490143577</v>
      </c>
      <c r="AC98">
        <v>676282</v>
      </c>
      <c r="AD98" t="b">
        <v>0</v>
      </c>
      <c r="AE98">
        <v>122.2</v>
      </c>
      <c r="AF98">
        <v>-100</v>
      </c>
      <c r="AG98">
        <v>-100</v>
      </c>
      <c r="AH98" t="s">
        <v>73</v>
      </c>
      <c r="AI98">
        <v>157.6</v>
      </c>
      <c r="AJ98">
        <v>157.6</v>
      </c>
      <c r="AK98" t="s">
        <v>73</v>
      </c>
      <c r="AL98" t="s">
        <v>853</v>
      </c>
      <c r="AM98" t="s">
        <v>94</v>
      </c>
      <c r="AN98">
        <v>15</v>
      </c>
      <c r="AO98">
        <v>0.93</v>
      </c>
      <c r="AP98">
        <v>0.42</v>
      </c>
      <c r="AQ98">
        <v>-2.3800000000000002E-2</v>
      </c>
      <c r="AR98">
        <v>138.1</v>
      </c>
      <c r="AS98" t="s">
        <v>94</v>
      </c>
      <c r="AT98">
        <v>0</v>
      </c>
      <c r="AU98">
        <v>0</v>
      </c>
      <c r="AV98" t="s">
        <v>854</v>
      </c>
      <c r="AW98" t="s">
        <v>94</v>
      </c>
      <c r="AX98">
        <v>41</v>
      </c>
      <c r="AY98">
        <v>0.9</v>
      </c>
      <c r="AZ98">
        <v>0.47</v>
      </c>
      <c r="BA98">
        <v>2.6200000000000001E-2</v>
      </c>
      <c r="BB98">
        <v>112.8</v>
      </c>
      <c r="BC98" t="s">
        <v>94</v>
      </c>
      <c r="BD98">
        <v>0</v>
      </c>
      <c r="BE98">
        <v>0</v>
      </c>
      <c r="BF98" t="s">
        <v>83</v>
      </c>
      <c r="BG98">
        <v>0</v>
      </c>
      <c r="BH98">
        <v>0</v>
      </c>
      <c r="BI98">
        <v>0</v>
      </c>
      <c r="BJ98">
        <v>0</v>
      </c>
      <c r="BK98">
        <v>0</v>
      </c>
      <c r="BL98" t="s">
        <v>351</v>
      </c>
    </row>
    <row r="99" spans="1:64" x14ac:dyDescent="0.2">
      <c r="A99">
        <v>824587</v>
      </c>
      <c r="B99" t="s">
        <v>352</v>
      </c>
      <c r="C99" s="3">
        <v>46186</v>
      </c>
      <c r="D99">
        <v>6.2</v>
      </c>
      <c r="E99">
        <v>2</v>
      </c>
      <c r="F99">
        <v>14</v>
      </c>
      <c r="G99" t="s">
        <v>113</v>
      </c>
      <c r="H99">
        <v>-201</v>
      </c>
      <c r="I99">
        <v>0.67</v>
      </c>
      <c r="J99">
        <v>-203</v>
      </c>
      <c r="K99">
        <v>0.66996699999999998</v>
      </c>
      <c r="L99">
        <v>0.65628734654854204</v>
      </c>
      <c r="M99">
        <v>808967</v>
      </c>
      <c r="N99" t="b">
        <v>0</v>
      </c>
      <c r="O99">
        <v>-185.7</v>
      </c>
      <c r="P99">
        <v>-116</v>
      </c>
      <c r="Q99" t="s">
        <v>353</v>
      </c>
      <c r="R99" t="s">
        <v>81</v>
      </c>
      <c r="S99">
        <v>-130.69999999999999</v>
      </c>
      <c r="T99">
        <v>-130.69999999999999</v>
      </c>
      <c r="U99" t="s">
        <v>73</v>
      </c>
      <c r="V99">
        <v>9</v>
      </c>
      <c r="W99" t="s">
        <v>125</v>
      </c>
      <c r="X99">
        <v>179</v>
      </c>
      <c r="Y99">
        <v>0.36</v>
      </c>
      <c r="Z99">
        <v>185</v>
      </c>
      <c r="AA99">
        <v>0.35087699999999999</v>
      </c>
      <c r="AB99">
        <v>0.34371265345145702</v>
      </c>
      <c r="AC99">
        <v>680732</v>
      </c>
      <c r="AD99" t="b">
        <v>0</v>
      </c>
      <c r="AE99">
        <v>-150</v>
      </c>
      <c r="AF99">
        <v>103.3</v>
      </c>
      <c r="AG99">
        <v>103.3</v>
      </c>
      <c r="AH99" t="s">
        <v>73</v>
      </c>
      <c r="AI99">
        <v>130.69999999999999</v>
      </c>
      <c r="AJ99">
        <v>130.69999999999999</v>
      </c>
      <c r="AK99" t="s">
        <v>73</v>
      </c>
      <c r="AL99" t="s">
        <v>354</v>
      </c>
      <c r="AM99" t="s">
        <v>94</v>
      </c>
      <c r="AN99">
        <v>15</v>
      </c>
      <c r="AO99">
        <v>1</v>
      </c>
      <c r="AP99">
        <v>0.39</v>
      </c>
      <c r="AQ99">
        <v>4.6289999999999998E-2</v>
      </c>
      <c r="AR99">
        <v>156.4</v>
      </c>
      <c r="AS99" t="s">
        <v>94</v>
      </c>
      <c r="AT99">
        <v>0</v>
      </c>
      <c r="AU99">
        <v>0</v>
      </c>
      <c r="AV99" t="s">
        <v>355</v>
      </c>
      <c r="AW99" t="s">
        <v>94</v>
      </c>
      <c r="AX99">
        <v>41</v>
      </c>
      <c r="AY99">
        <v>0.98</v>
      </c>
      <c r="AZ99">
        <v>0.43</v>
      </c>
      <c r="BA99">
        <v>8.6290000000000006E-2</v>
      </c>
      <c r="BB99">
        <v>132.6</v>
      </c>
      <c r="BC99" t="s">
        <v>94</v>
      </c>
      <c r="BD99">
        <v>0</v>
      </c>
      <c r="BE99">
        <v>0</v>
      </c>
      <c r="BF99" t="s">
        <v>83</v>
      </c>
      <c r="BG99">
        <v>0</v>
      </c>
      <c r="BH99">
        <v>0</v>
      </c>
      <c r="BI99">
        <v>0</v>
      </c>
      <c r="BJ99">
        <v>0</v>
      </c>
      <c r="BK99">
        <v>0</v>
      </c>
      <c r="BL99" t="s">
        <v>356</v>
      </c>
    </row>
    <row r="100" spans="1:64" x14ac:dyDescent="0.2">
      <c r="A100">
        <v>824100</v>
      </c>
      <c r="B100" t="s">
        <v>357</v>
      </c>
      <c r="C100" s="3">
        <v>46186</v>
      </c>
      <c r="D100">
        <v>6.2</v>
      </c>
      <c r="E100">
        <v>2</v>
      </c>
      <c r="F100">
        <v>12</v>
      </c>
      <c r="G100" t="s">
        <v>108</v>
      </c>
      <c r="H100">
        <v>113</v>
      </c>
      <c r="I100">
        <v>0.47</v>
      </c>
      <c r="J100">
        <v>112</v>
      </c>
      <c r="K100">
        <v>0.47169800000000001</v>
      </c>
      <c r="L100">
        <v>0.46280792261449799</v>
      </c>
      <c r="M100">
        <v>681347</v>
      </c>
      <c r="N100" t="b">
        <v>0</v>
      </c>
      <c r="O100">
        <v>-150</v>
      </c>
      <c r="P100">
        <v>103.7</v>
      </c>
      <c r="Q100">
        <v>103.7</v>
      </c>
      <c r="R100" t="s">
        <v>73</v>
      </c>
      <c r="S100">
        <v>109.7</v>
      </c>
      <c r="T100">
        <v>109.7</v>
      </c>
      <c r="U100" t="s">
        <v>73</v>
      </c>
      <c r="V100">
        <v>13</v>
      </c>
      <c r="W100" t="s">
        <v>118</v>
      </c>
      <c r="X100">
        <v>-125</v>
      </c>
      <c r="Y100">
        <v>0.56000000000000005</v>
      </c>
      <c r="Z100">
        <v>-121</v>
      </c>
      <c r="AA100">
        <v>0.54751099999999997</v>
      </c>
      <c r="AB100">
        <v>0.53719207738550101</v>
      </c>
      <c r="AC100">
        <v>702070</v>
      </c>
      <c r="AD100" t="b">
        <v>0</v>
      </c>
      <c r="AE100">
        <v>150</v>
      </c>
      <c r="AF100">
        <v>101.7</v>
      </c>
      <c r="AG100">
        <v>101.7</v>
      </c>
      <c r="AH100" t="s">
        <v>73</v>
      </c>
      <c r="AI100">
        <v>-109.7</v>
      </c>
      <c r="AJ100">
        <v>-109.7</v>
      </c>
      <c r="AK100" t="s">
        <v>73</v>
      </c>
      <c r="AL100" t="s">
        <v>855</v>
      </c>
      <c r="AM100" t="s">
        <v>109</v>
      </c>
      <c r="AN100">
        <v>15</v>
      </c>
      <c r="AO100">
        <v>0.67</v>
      </c>
      <c r="AP100">
        <v>0.48</v>
      </c>
      <c r="AQ100">
        <v>-5.7189999999999998E-2</v>
      </c>
      <c r="AR100">
        <v>108.3</v>
      </c>
      <c r="AS100" t="s">
        <v>109</v>
      </c>
      <c r="AT100">
        <v>1</v>
      </c>
      <c r="AU100">
        <v>1.1200000000000001</v>
      </c>
      <c r="AV100" t="s">
        <v>856</v>
      </c>
      <c r="AW100" t="s">
        <v>109</v>
      </c>
      <c r="AX100">
        <v>41</v>
      </c>
      <c r="AY100">
        <v>0.73</v>
      </c>
      <c r="AZ100">
        <v>0.48</v>
      </c>
      <c r="BA100">
        <v>-5.7189999999999998E-2</v>
      </c>
      <c r="BB100">
        <v>108.3</v>
      </c>
      <c r="BC100" t="s">
        <v>109</v>
      </c>
      <c r="BD100">
        <v>1</v>
      </c>
      <c r="BE100">
        <v>1.1200000000000001</v>
      </c>
      <c r="BF100" t="s">
        <v>109</v>
      </c>
      <c r="BG100">
        <v>-5.7189999999999998E-2</v>
      </c>
      <c r="BH100">
        <v>0</v>
      </c>
      <c r="BI100">
        <v>0</v>
      </c>
      <c r="BJ100">
        <v>5</v>
      </c>
      <c r="BK100">
        <v>0.67</v>
      </c>
      <c r="BL100" t="s">
        <v>358</v>
      </c>
    </row>
    <row r="101" spans="1:64" x14ac:dyDescent="0.2">
      <c r="A101">
        <v>823694</v>
      </c>
      <c r="B101" t="s">
        <v>359</v>
      </c>
      <c r="C101" s="3">
        <v>46186</v>
      </c>
      <c r="D101">
        <v>6.2</v>
      </c>
      <c r="E101">
        <v>2</v>
      </c>
      <c r="F101">
        <v>26</v>
      </c>
      <c r="G101" t="s">
        <v>134</v>
      </c>
      <c r="H101">
        <v>-102</v>
      </c>
      <c r="I101">
        <v>0.5</v>
      </c>
      <c r="J101">
        <v>-110</v>
      </c>
      <c r="K101">
        <v>0.52381</v>
      </c>
      <c r="L101">
        <v>0.51411381347780805</v>
      </c>
      <c r="M101">
        <v>669461</v>
      </c>
      <c r="N101" t="b">
        <v>0</v>
      </c>
      <c r="O101">
        <v>-100</v>
      </c>
      <c r="P101">
        <v>107</v>
      </c>
      <c r="Q101">
        <v>107</v>
      </c>
      <c r="R101" t="s">
        <v>73</v>
      </c>
      <c r="S101">
        <v>130.5</v>
      </c>
      <c r="T101">
        <v>130.5</v>
      </c>
      <c r="U101" t="s">
        <v>73</v>
      </c>
      <c r="V101">
        <v>15</v>
      </c>
      <c r="W101" t="s">
        <v>119</v>
      </c>
      <c r="X101">
        <v>-108</v>
      </c>
      <c r="Y101">
        <v>0.52</v>
      </c>
      <c r="Z101">
        <v>102</v>
      </c>
      <c r="AA101">
        <v>0.49504999999999999</v>
      </c>
      <c r="AB101">
        <v>0.48588618652219101</v>
      </c>
      <c r="AC101">
        <v>687570</v>
      </c>
      <c r="AD101" t="b">
        <v>0</v>
      </c>
      <c r="AE101">
        <v>150</v>
      </c>
      <c r="AF101">
        <v>109.1</v>
      </c>
      <c r="AG101">
        <v>109.1</v>
      </c>
      <c r="AH101" t="s">
        <v>73</v>
      </c>
      <c r="AI101">
        <v>-130.5</v>
      </c>
      <c r="AJ101">
        <v>-130.5</v>
      </c>
      <c r="AK101" t="s">
        <v>73</v>
      </c>
      <c r="AL101" t="s">
        <v>857</v>
      </c>
      <c r="AM101" t="s">
        <v>187</v>
      </c>
      <c r="AN101">
        <v>15</v>
      </c>
      <c r="AO101">
        <v>0.53</v>
      </c>
      <c r="AP101">
        <v>0.5</v>
      </c>
      <c r="AQ101">
        <v>1.4109999999999999E-2</v>
      </c>
      <c r="AR101">
        <v>-100</v>
      </c>
      <c r="AS101" t="s">
        <v>187</v>
      </c>
      <c r="AT101">
        <v>1</v>
      </c>
      <c r="AU101">
        <v>1.02</v>
      </c>
      <c r="AV101" t="s">
        <v>858</v>
      </c>
      <c r="AW101" t="s">
        <v>187</v>
      </c>
      <c r="AX101">
        <v>41</v>
      </c>
      <c r="AY101">
        <v>0.85</v>
      </c>
      <c r="AZ101">
        <v>0.52</v>
      </c>
      <c r="BA101">
        <v>3.4110000000000001E-2</v>
      </c>
      <c r="BB101">
        <v>-108.3</v>
      </c>
      <c r="BC101" t="s">
        <v>187</v>
      </c>
      <c r="BD101">
        <v>1</v>
      </c>
      <c r="BE101">
        <v>1.02</v>
      </c>
      <c r="BF101" t="s">
        <v>187</v>
      </c>
      <c r="BG101">
        <v>1.4109999999999999E-2</v>
      </c>
      <c r="BH101">
        <v>0</v>
      </c>
      <c r="BI101">
        <v>0</v>
      </c>
      <c r="BJ101">
        <v>5</v>
      </c>
      <c r="BK101">
        <v>0.53</v>
      </c>
      <c r="BL101" t="s">
        <v>360</v>
      </c>
    </row>
    <row r="102" spans="1:64" x14ac:dyDescent="0.2">
      <c r="A102">
        <v>822725</v>
      </c>
      <c r="B102" t="s">
        <v>361</v>
      </c>
      <c r="C102" s="3">
        <v>46186</v>
      </c>
      <c r="D102">
        <v>6.2</v>
      </c>
      <c r="E102">
        <v>2</v>
      </c>
      <c r="F102">
        <v>24</v>
      </c>
      <c r="G102" t="s">
        <v>96</v>
      </c>
      <c r="H102">
        <v>-105</v>
      </c>
      <c r="I102">
        <v>0.51</v>
      </c>
      <c r="J102">
        <v>108</v>
      </c>
      <c r="K102">
        <v>0.480769</v>
      </c>
      <c r="L102">
        <v>0.472358190067655</v>
      </c>
      <c r="M102">
        <v>622491</v>
      </c>
      <c r="N102" t="b">
        <v>0</v>
      </c>
      <c r="O102">
        <v>-185.7</v>
      </c>
      <c r="P102">
        <v>-111</v>
      </c>
      <c r="Q102" t="s">
        <v>264</v>
      </c>
      <c r="R102" t="s">
        <v>81</v>
      </c>
      <c r="S102">
        <v>-103.5</v>
      </c>
      <c r="T102">
        <v>-103.5</v>
      </c>
      <c r="U102" t="s">
        <v>73</v>
      </c>
      <c r="V102">
        <v>16</v>
      </c>
      <c r="W102" t="s">
        <v>77</v>
      </c>
      <c r="X102">
        <v>-105</v>
      </c>
      <c r="Y102">
        <v>0.51</v>
      </c>
      <c r="Z102">
        <v>-116</v>
      </c>
      <c r="AA102">
        <v>0.53703699999999999</v>
      </c>
      <c r="AB102">
        <v>0.527641809932344</v>
      </c>
      <c r="AC102">
        <v>676917</v>
      </c>
      <c r="AD102" t="b">
        <v>0</v>
      </c>
      <c r="AE102">
        <v>-100</v>
      </c>
      <c r="AF102">
        <v>112.9</v>
      </c>
      <c r="AG102">
        <v>112.9</v>
      </c>
      <c r="AH102" t="s">
        <v>78</v>
      </c>
      <c r="AI102">
        <v>103.5</v>
      </c>
      <c r="AJ102">
        <v>103.5</v>
      </c>
      <c r="AK102" t="s">
        <v>73</v>
      </c>
      <c r="AL102" t="s">
        <v>859</v>
      </c>
      <c r="AM102" t="s">
        <v>109</v>
      </c>
      <c r="AN102">
        <v>15</v>
      </c>
      <c r="AO102">
        <v>0.73</v>
      </c>
      <c r="AP102">
        <v>0.48</v>
      </c>
      <c r="AQ102">
        <v>-4.7640000000000002E-2</v>
      </c>
      <c r="AR102">
        <v>108.3</v>
      </c>
      <c r="AS102" t="s">
        <v>109</v>
      </c>
      <c r="AT102">
        <v>1</v>
      </c>
      <c r="AU102">
        <v>1.08</v>
      </c>
      <c r="AV102" t="s">
        <v>860</v>
      </c>
      <c r="AW102" t="s">
        <v>109</v>
      </c>
      <c r="AX102">
        <v>41</v>
      </c>
      <c r="AY102">
        <v>0.95</v>
      </c>
      <c r="AZ102">
        <v>0.45</v>
      </c>
      <c r="BA102">
        <v>-7.7640000000000001E-2</v>
      </c>
      <c r="BB102">
        <v>122.2</v>
      </c>
      <c r="BC102" t="s">
        <v>109</v>
      </c>
      <c r="BD102">
        <v>1</v>
      </c>
      <c r="BE102">
        <v>1.08</v>
      </c>
      <c r="BF102" t="s">
        <v>109</v>
      </c>
      <c r="BG102">
        <v>-4.7640000000000002E-2</v>
      </c>
      <c r="BH102">
        <v>0</v>
      </c>
      <c r="BI102">
        <v>0</v>
      </c>
      <c r="BJ102">
        <v>5</v>
      </c>
      <c r="BK102">
        <v>0.73</v>
      </c>
      <c r="BL102" t="s">
        <v>362</v>
      </c>
    </row>
    <row r="103" spans="1:64" x14ac:dyDescent="0.2">
      <c r="A103">
        <v>823776</v>
      </c>
      <c r="B103" t="s">
        <v>363</v>
      </c>
      <c r="C103" s="3">
        <v>46186</v>
      </c>
      <c r="D103">
        <v>6.2</v>
      </c>
      <c r="E103">
        <v>2</v>
      </c>
      <c r="F103">
        <v>21</v>
      </c>
      <c r="G103" t="s">
        <v>127</v>
      </c>
      <c r="H103">
        <v>126</v>
      </c>
      <c r="I103">
        <v>0.44</v>
      </c>
      <c r="J103">
        <v>150</v>
      </c>
      <c r="K103">
        <v>0.4</v>
      </c>
      <c r="L103">
        <v>0.39224454093660099</v>
      </c>
      <c r="M103">
        <v>605400</v>
      </c>
      <c r="N103" t="b">
        <v>0</v>
      </c>
      <c r="O103">
        <v>-150</v>
      </c>
      <c r="P103">
        <v>-107.2</v>
      </c>
      <c r="Q103">
        <v>-107.2</v>
      </c>
      <c r="R103" t="s">
        <v>73</v>
      </c>
      <c r="S103">
        <v>-143.6</v>
      </c>
      <c r="T103">
        <v>-143.6</v>
      </c>
      <c r="U103" t="s">
        <v>73</v>
      </c>
      <c r="V103">
        <v>17</v>
      </c>
      <c r="W103" t="s">
        <v>89</v>
      </c>
      <c r="X103">
        <v>-139</v>
      </c>
      <c r="Y103">
        <v>0.57999999999999996</v>
      </c>
      <c r="Z103">
        <v>-163</v>
      </c>
      <c r="AA103">
        <v>0.61977199999999999</v>
      </c>
      <c r="AB103">
        <v>0.60775545906339801</v>
      </c>
      <c r="AC103">
        <v>675660</v>
      </c>
      <c r="AD103" t="b">
        <v>0</v>
      </c>
      <c r="AE103">
        <v>-185.7</v>
      </c>
      <c r="AF103">
        <v>-119.3</v>
      </c>
      <c r="AG103" t="s">
        <v>364</v>
      </c>
      <c r="AH103" t="s">
        <v>116</v>
      </c>
      <c r="AI103">
        <v>143.6</v>
      </c>
      <c r="AJ103">
        <v>143.6</v>
      </c>
      <c r="AK103" t="s">
        <v>73</v>
      </c>
      <c r="AL103" t="s">
        <v>365</v>
      </c>
      <c r="AM103" t="s">
        <v>75</v>
      </c>
      <c r="AN103">
        <v>15</v>
      </c>
      <c r="AO103">
        <v>1</v>
      </c>
      <c r="AP103">
        <v>0.57999999999999996</v>
      </c>
      <c r="AQ103">
        <v>-2.776E-2</v>
      </c>
      <c r="AR103">
        <v>-138.1</v>
      </c>
      <c r="AS103" t="s">
        <v>75</v>
      </c>
      <c r="AT103">
        <v>0</v>
      </c>
      <c r="AU103">
        <v>0</v>
      </c>
      <c r="AV103" t="s">
        <v>366</v>
      </c>
      <c r="AW103" t="s">
        <v>75</v>
      </c>
      <c r="AX103">
        <v>41</v>
      </c>
      <c r="AY103">
        <v>0.85</v>
      </c>
      <c r="AZ103">
        <v>0.52</v>
      </c>
      <c r="BA103">
        <v>-8.7760000000000005E-2</v>
      </c>
      <c r="BB103">
        <v>-108.3</v>
      </c>
      <c r="BC103" t="s">
        <v>75</v>
      </c>
      <c r="BD103">
        <v>0</v>
      </c>
      <c r="BE103">
        <v>0</v>
      </c>
      <c r="BF103" t="s">
        <v>83</v>
      </c>
      <c r="BG103">
        <v>0</v>
      </c>
      <c r="BH103">
        <v>0</v>
      </c>
      <c r="BI103">
        <v>0</v>
      </c>
      <c r="BJ103">
        <v>0</v>
      </c>
      <c r="BK103">
        <v>0</v>
      </c>
      <c r="BL103" t="s">
        <v>367</v>
      </c>
    </row>
    <row r="104" spans="1:64" x14ac:dyDescent="0.2">
      <c r="A104">
        <v>823616</v>
      </c>
      <c r="B104" t="s">
        <v>368</v>
      </c>
      <c r="C104" s="3">
        <v>46186</v>
      </c>
      <c r="D104">
        <v>6.2</v>
      </c>
      <c r="E104">
        <v>2</v>
      </c>
      <c r="F104">
        <v>0</v>
      </c>
      <c r="G104" t="s">
        <v>74</v>
      </c>
      <c r="H104">
        <v>105</v>
      </c>
      <c r="I104">
        <v>0.49</v>
      </c>
      <c r="J104">
        <v>105</v>
      </c>
      <c r="K104">
        <v>0.48780499999999999</v>
      </c>
      <c r="L104">
        <v>0.47799885352003602</v>
      </c>
      <c r="M104">
        <v>527048</v>
      </c>
      <c r="N104" t="b">
        <v>0</v>
      </c>
      <c r="O104">
        <v>-150</v>
      </c>
      <c r="P104">
        <v>-104.9</v>
      </c>
      <c r="Q104">
        <v>-104.9</v>
      </c>
      <c r="R104" t="s">
        <v>73</v>
      </c>
      <c r="S104">
        <v>131.19999999999999</v>
      </c>
      <c r="T104">
        <v>131.19999999999999</v>
      </c>
      <c r="U104" t="s">
        <v>73</v>
      </c>
      <c r="V104">
        <v>18</v>
      </c>
      <c r="W104" t="s">
        <v>129</v>
      </c>
      <c r="X104">
        <v>-114</v>
      </c>
      <c r="Y104">
        <v>0.53</v>
      </c>
      <c r="Z104">
        <v>-114</v>
      </c>
      <c r="AA104">
        <v>0.53271000000000002</v>
      </c>
      <c r="AB104">
        <v>0.52200114647996299</v>
      </c>
      <c r="AC104">
        <v>640455</v>
      </c>
      <c r="AD104" t="b">
        <v>0</v>
      </c>
      <c r="AE104">
        <v>-100</v>
      </c>
      <c r="AF104">
        <v>107.5</v>
      </c>
      <c r="AG104">
        <v>107.5</v>
      </c>
      <c r="AH104" t="s">
        <v>73</v>
      </c>
      <c r="AI104">
        <v>-131.19999999999999</v>
      </c>
      <c r="AJ104">
        <v>-131.19999999999999</v>
      </c>
      <c r="AK104" t="s">
        <v>73</v>
      </c>
      <c r="AL104" t="s">
        <v>861</v>
      </c>
      <c r="AM104" t="s">
        <v>75</v>
      </c>
      <c r="AN104">
        <v>15</v>
      </c>
      <c r="AO104">
        <v>1</v>
      </c>
      <c r="AP104">
        <v>0.52</v>
      </c>
      <c r="AQ104">
        <v>-2E-3</v>
      </c>
      <c r="AR104">
        <v>-108.3</v>
      </c>
      <c r="AS104" t="s">
        <v>75</v>
      </c>
      <c r="AT104">
        <v>0</v>
      </c>
      <c r="AU104">
        <v>0</v>
      </c>
      <c r="AV104" t="s">
        <v>862</v>
      </c>
      <c r="AW104" t="s">
        <v>109</v>
      </c>
      <c r="AX104">
        <v>41</v>
      </c>
      <c r="AY104">
        <v>0.88</v>
      </c>
      <c r="AZ104">
        <v>0.48</v>
      </c>
      <c r="BA104">
        <v>-4.2000000000000003E-2</v>
      </c>
      <c r="BB104">
        <v>108.3</v>
      </c>
      <c r="BC104" t="s">
        <v>109</v>
      </c>
      <c r="BD104">
        <v>1</v>
      </c>
      <c r="BE104">
        <v>1.05</v>
      </c>
      <c r="BF104" t="s">
        <v>83</v>
      </c>
      <c r="BG104">
        <v>0</v>
      </c>
      <c r="BH104">
        <v>0</v>
      </c>
      <c r="BI104">
        <v>0</v>
      </c>
      <c r="BJ104">
        <v>0</v>
      </c>
      <c r="BK104">
        <v>0</v>
      </c>
      <c r="BL104" t="s">
        <v>369</v>
      </c>
    </row>
    <row r="105" spans="1:64" x14ac:dyDescent="0.2">
      <c r="A105">
        <v>824995</v>
      </c>
      <c r="B105" t="s">
        <v>370</v>
      </c>
      <c r="C105" s="3">
        <v>46186</v>
      </c>
      <c r="D105">
        <v>6.2</v>
      </c>
      <c r="E105">
        <v>2</v>
      </c>
      <c r="F105">
        <v>8</v>
      </c>
      <c r="G105" t="s">
        <v>92</v>
      </c>
      <c r="H105">
        <v>150</v>
      </c>
      <c r="I105">
        <v>0.4</v>
      </c>
      <c r="J105">
        <v>136</v>
      </c>
      <c r="K105">
        <v>0.42372900000000002</v>
      </c>
      <c r="L105">
        <v>0.41521582984077399</v>
      </c>
      <c r="M105">
        <v>607536</v>
      </c>
      <c r="N105" t="b">
        <v>0</v>
      </c>
      <c r="O105">
        <v>185.7</v>
      </c>
      <c r="P105">
        <v>128.69999999999999</v>
      </c>
      <c r="Q105">
        <v>128.69999999999999</v>
      </c>
      <c r="R105" t="s">
        <v>126</v>
      </c>
      <c r="S105">
        <v>106.3</v>
      </c>
      <c r="T105">
        <v>106.3</v>
      </c>
      <c r="U105" t="s">
        <v>73</v>
      </c>
      <c r="V105">
        <v>20</v>
      </c>
      <c r="W105" t="s">
        <v>107</v>
      </c>
      <c r="X105">
        <v>-167</v>
      </c>
      <c r="Y105">
        <v>0.63</v>
      </c>
      <c r="Z105">
        <v>-148</v>
      </c>
      <c r="AA105">
        <v>0.59677400000000003</v>
      </c>
      <c r="AB105">
        <v>0.58478417015922501</v>
      </c>
      <c r="AC105">
        <v>683155</v>
      </c>
      <c r="AD105" t="b">
        <v>1</v>
      </c>
      <c r="AE105">
        <v>122.2</v>
      </c>
      <c r="AF105">
        <v>-101.2</v>
      </c>
      <c r="AG105">
        <v>-101.2</v>
      </c>
      <c r="AH105" t="s">
        <v>73</v>
      </c>
      <c r="AI105">
        <v>-106.3</v>
      </c>
      <c r="AJ105">
        <v>-106.3</v>
      </c>
      <c r="AK105" t="s">
        <v>73</v>
      </c>
      <c r="AL105" t="s">
        <v>371</v>
      </c>
      <c r="AM105" t="s">
        <v>75</v>
      </c>
      <c r="AN105">
        <v>15</v>
      </c>
      <c r="AO105">
        <v>0.93</v>
      </c>
      <c r="AP105">
        <v>0.56999999999999995</v>
      </c>
      <c r="AQ105">
        <v>-1.478E-2</v>
      </c>
      <c r="AR105">
        <v>-132.6</v>
      </c>
      <c r="AS105" t="s">
        <v>75</v>
      </c>
      <c r="AT105">
        <v>0</v>
      </c>
      <c r="AU105">
        <v>0</v>
      </c>
      <c r="AV105" t="s">
        <v>372</v>
      </c>
      <c r="AW105" t="s">
        <v>75</v>
      </c>
      <c r="AX105">
        <v>41</v>
      </c>
      <c r="AY105">
        <v>0.9</v>
      </c>
      <c r="AZ105">
        <v>0.56000000000000005</v>
      </c>
      <c r="BA105">
        <v>-2.478E-2</v>
      </c>
      <c r="BB105">
        <v>-127.3</v>
      </c>
      <c r="BC105" t="s">
        <v>75</v>
      </c>
      <c r="BD105">
        <v>0</v>
      </c>
      <c r="BE105">
        <v>0</v>
      </c>
      <c r="BF105" t="s">
        <v>83</v>
      </c>
      <c r="BG105">
        <v>0</v>
      </c>
      <c r="BH105">
        <v>0</v>
      </c>
      <c r="BI105">
        <v>0</v>
      </c>
      <c r="BJ105">
        <v>0</v>
      </c>
      <c r="BK105">
        <v>0</v>
      </c>
      <c r="BL105" t="s">
        <v>373</v>
      </c>
    </row>
    <row r="106" spans="1:64" x14ac:dyDescent="0.2">
      <c r="A106">
        <v>823369</v>
      </c>
      <c r="B106" t="s">
        <v>374</v>
      </c>
      <c r="C106" s="3">
        <v>46186</v>
      </c>
      <c r="D106">
        <v>6.2</v>
      </c>
      <c r="E106">
        <v>2</v>
      </c>
      <c r="F106">
        <v>11</v>
      </c>
      <c r="G106" t="s">
        <v>103</v>
      </c>
      <c r="H106">
        <v>113</v>
      </c>
      <c r="I106">
        <v>0.47</v>
      </c>
      <c r="J106">
        <v>102</v>
      </c>
      <c r="K106">
        <v>0.49504999999999999</v>
      </c>
      <c r="L106">
        <v>0.48588618652219101</v>
      </c>
      <c r="M106">
        <v>669199</v>
      </c>
      <c r="N106" t="b">
        <v>0</v>
      </c>
      <c r="O106">
        <v>-185.7</v>
      </c>
      <c r="P106">
        <v>-102.7</v>
      </c>
      <c r="Q106">
        <v>-102.7</v>
      </c>
      <c r="R106" t="s">
        <v>73</v>
      </c>
      <c r="S106">
        <v>180.1</v>
      </c>
      <c r="T106">
        <v>180.1</v>
      </c>
      <c r="U106" t="s">
        <v>78</v>
      </c>
      <c r="V106">
        <v>22</v>
      </c>
      <c r="W106" t="s">
        <v>72</v>
      </c>
      <c r="X106">
        <v>-125</v>
      </c>
      <c r="Y106">
        <v>0.56000000000000005</v>
      </c>
      <c r="Z106">
        <v>-110</v>
      </c>
      <c r="AA106">
        <v>0.52381</v>
      </c>
      <c r="AB106">
        <v>0.51411381347780805</v>
      </c>
      <c r="AC106">
        <v>696149</v>
      </c>
      <c r="AD106" t="b">
        <v>0</v>
      </c>
      <c r="AE106">
        <v>122.2</v>
      </c>
      <c r="AF106">
        <v>100.6</v>
      </c>
      <c r="AG106">
        <v>100.6</v>
      </c>
      <c r="AH106" t="s">
        <v>73</v>
      </c>
      <c r="AI106">
        <v>-180.1</v>
      </c>
      <c r="AJ106" t="s">
        <v>375</v>
      </c>
      <c r="AK106" t="s">
        <v>81</v>
      </c>
      <c r="AL106" t="s">
        <v>863</v>
      </c>
      <c r="AM106" t="s">
        <v>109</v>
      </c>
      <c r="AN106">
        <v>15</v>
      </c>
      <c r="AO106">
        <v>0.6</v>
      </c>
      <c r="AP106">
        <v>0.49</v>
      </c>
      <c r="AQ106">
        <v>-2.4109999999999999E-2</v>
      </c>
      <c r="AR106">
        <v>104.1</v>
      </c>
      <c r="AS106" t="s">
        <v>109</v>
      </c>
      <c r="AT106">
        <v>1</v>
      </c>
      <c r="AU106">
        <v>1.02</v>
      </c>
      <c r="AV106" t="s">
        <v>864</v>
      </c>
      <c r="AW106" t="s">
        <v>109</v>
      </c>
      <c r="AX106">
        <v>41</v>
      </c>
      <c r="AY106">
        <v>0.61</v>
      </c>
      <c r="AZ106">
        <v>0.49</v>
      </c>
      <c r="BA106">
        <v>-2.4109999999999999E-2</v>
      </c>
      <c r="BB106">
        <v>104.1</v>
      </c>
      <c r="BC106" t="s">
        <v>109</v>
      </c>
      <c r="BD106">
        <v>1</v>
      </c>
      <c r="BE106">
        <v>1.02</v>
      </c>
      <c r="BF106" t="s">
        <v>109</v>
      </c>
      <c r="BG106">
        <v>-2.4109999999999999E-2</v>
      </c>
      <c r="BH106">
        <v>0</v>
      </c>
      <c r="BI106">
        <v>0</v>
      </c>
      <c r="BJ106">
        <v>5</v>
      </c>
      <c r="BK106">
        <v>0.6</v>
      </c>
      <c r="BL106" t="s">
        <v>376</v>
      </c>
    </row>
    <row r="107" spans="1:64" x14ac:dyDescent="0.2">
      <c r="A107">
        <v>823213</v>
      </c>
      <c r="B107" t="s">
        <v>377</v>
      </c>
      <c r="C107" s="3">
        <v>46186</v>
      </c>
      <c r="D107">
        <v>6.2</v>
      </c>
      <c r="E107">
        <v>2</v>
      </c>
      <c r="F107">
        <v>5</v>
      </c>
      <c r="G107" t="s">
        <v>85</v>
      </c>
      <c r="H107">
        <v>-122</v>
      </c>
      <c r="I107">
        <v>0.55000000000000004</v>
      </c>
      <c r="J107">
        <v>-114</v>
      </c>
      <c r="K107">
        <v>0.53271000000000002</v>
      </c>
      <c r="L107">
        <v>0.52200114647996299</v>
      </c>
      <c r="M107">
        <v>676962</v>
      </c>
      <c r="N107" t="b">
        <v>0</v>
      </c>
      <c r="O107">
        <v>185.7</v>
      </c>
      <c r="P107">
        <v>-110.9</v>
      </c>
      <c r="Q107">
        <v>-110.9</v>
      </c>
      <c r="R107" t="s">
        <v>73</v>
      </c>
      <c r="S107">
        <v>108.8</v>
      </c>
      <c r="T107">
        <v>108.8</v>
      </c>
      <c r="U107" t="s">
        <v>73</v>
      </c>
      <c r="V107">
        <v>25</v>
      </c>
      <c r="W107" t="s">
        <v>84</v>
      </c>
      <c r="X107">
        <v>110</v>
      </c>
      <c r="Y107">
        <v>0.48</v>
      </c>
      <c r="Z107">
        <v>105</v>
      </c>
      <c r="AA107">
        <v>0.48780499999999999</v>
      </c>
      <c r="AB107">
        <v>0.47799885352003602</v>
      </c>
      <c r="AC107">
        <v>686790</v>
      </c>
      <c r="AD107" t="b">
        <v>0</v>
      </c>
      <c r="AE107">
        <v>150</v>
      </c>
      <c r="AF107">
        <v>106</v>
      </c>
      <c r="AG107">
        <v>106</v>
      </c>
      <c r="AH107" t="s">
        <v>73</v>
      </c>
      <c r="AI107">
        <v>-108.8</v>
      </c>
      <c r="AJ107">
        <v>-108.8</v>
      </c>
      <c r="AK107" t="s">
        <v>73</v>
      </c>
      <c r="AL107" t="s">
        <v>378</v>
      </c>
      <c r="AM107" t="s">
        <v>94</v>
      </c>
      <c r="AN107">
        <v>15</v>
      </c>
      <c r="AO107">
        <v>0.6</v>
      </c>
      <c r="AP107">
        <v>0.48</v>
      </c>
      <c r="AQ107">
        <v>2E-3</v>
      </c>
      <c r="AR107">
        <v>108.3</v>
      </c>
      <c r="AS107" t="s">
        <v>94</v>
      </c>
      <c r="AT107">
        <v>0</v>
      </c>
      <c r="AU107">
        <v>0</v>
      </c>
      <c r="AV107" t="s">
        <v>379</v>
      </c>
      <c r="AW107" t="s">
        <v>94</v>
      </c>
      <c r="AX107">
        <v>41</v>
      </c>
      <c r="AY107">
        <v>0.78</v>
      </c>
      <c r="AZ107">
        <v>0.48</v>
      </c>
      <c r="BA107">
        <v>2E-3</v>
      </c>
      <c r="BB107">
        <v>108.3</v>
      </c>
      <c r="BC107" t="s">
        <v>94</v>
      </c>
      <c r="BD107">
        <v>0</v>
      </c>
      <c r="BE107">
        <v>0</v>
      </c>
      <c r="BF107" t="s">
        <v>83</v>
      </c>
      <c r="BG107">
        <v>0</v>
      </c>
      <c r="BH107">
        <v>0</v>
      </c>
      <c r="BI107">
        <v>0</v>
      </c>
      <c r="BJ107">
        <v>0</v>
      </c>
      <c r="BK107">
        <v>0</v>
      </c>
      <c r="BL107" t="s">
        <v>380</v>
      </c>
    </row>
    <row r="108" spans="1:64" x14ac:dyDescent="0.2">
      <c r="A108">
        <v>822802</v>
      </c>
      <c r="B108" t="s">
        <v>381</v>
      </c>
      <c r="C108" s="3">
        <v>46186</v>
      </c>
      <c r="D108">
        <v>6.2</v>
      </c>
      <c r="E108">
        <v>2</v>
      </c>
      <c r="F108">
        <v>19</v>
      </c>
      <c r="G108" t="s">
        <v>123</v>
      </c>
      <c r="H108">
        <v>-124</v>
      </c>
      <c r="I108">
        <v>0.55000000000000004</v>
      </c>
      <c r="J108">
        <v>-114</v>
      </c>
      <c r="K108">
        <v>0.53271000000000002</v>
      </c>
      <c r="L108">
        <v>0.52200114647996299</v>
      </c>
      <c r="M108">
        <v>693645</v>
      </c>
      <c r="N108" t="b">
        <v>0</v>
      </c>
      <c r="O108">
        <v>-150</v>
      </c>
      <c r="P108">
        <v>-111.5</v>
      </c>
      <c r="Q108" t="s">
        <v>382</v>
      </c>
      <c r="R108" t="s">
        <v>81</v>
      </c>
      <c r="S108">
        <v>-107</v>
      </c>
      <c r="T108">
        <v>-107</v>
      </c>
      <c r="U108" t="s">
        <v>73</v>
      </c>
      <c r="V108">
        <v>29</v>
      </c>
      <c r="W108" t="s">
        <v>144</v>
      </c>
      <c r="X108">
        <v>112</v>
      </c>
      <c r="Y108">
        <v>0.47</v>
      </c>
      <c r="Z108">
        <v>105</v>
      </c>
      <c r="AA108">
        <v>0.48780499999999999</v>
      </c>
      <c r="AB108">
        <v>0.47799885352003602</v>
      </c>
      <c r="AC108">
        <v>592332</v>
      </c>
      <c r="AD108" t="b">
        <v>0</v>
      </c>
      <c r="AE108">
        <v>-122.2</v>
      </c>
      <c r="AF108">
        <v>-106</v>
      </c>
      <c r="AG108">
        <v>-106</v>
      </c>
      <c r="AH108" t="s">
        <v>73</v>
      </c>
      <c r="AI108">
        <v>107</v>
      </c>
      <c r="AJ108">
        <v>107</v>
      </c>
      <c r="AK108" t="s">
        <v>73</v>
      </c>
      <c r="AL108" t="s">
        <v>383</v>
      </c>
      <c r="AM108" t="s">
        <v>94</v>
      </c>
      <c r="AN108">
        <v>15</v>
      </c>
      <c r="AO108">
        <v>0.8</v>
      </c>
      <c r="AP108">
        <v>0.47</v>
      </c>
      <c r="AQ108">
        <v>-8.0000000000000002E-3</v>
      </c>
      <c r="AR108">
        <v>112.8</v>
      </c>
      <c r="AS108" t="s">
        <v>94</v>
      </c>
      <c r="AT108">
        <v>0</v>
      </c>
      <c r="AU108">
        <v>0</v>
      </c>
      <c r="AV108" t="s">
        <v>384</v>
      </c>
      <c r="AW108" t="s">
        <v>94</v>
      </c>
      <c r="AX108">
        <v>41</v>
      </c>
      <c r="AY108">
        <v>0.85</v>
      </c>
      <c r="AZ108">
        <v>0.48</v>
      </c>
      <c r="BA108">
        <v>2E-3</v>
      </c>
      <c r="BB108">
        <v>108.3</v>
      </c>
      <c r="BC108" t="s">
        <v>94</v>
      </c>
      <c r="BD108">
        <v>0</v>
      </c>
      <c r="BE108">
        <v>0</v>
      </c>
      <c r="BF108" t="s">
        <v>83</v>
      </c>
      <c r="BG108">
        <v>0</v>
      </c>
      <c r="BH108">
        <v>0</v>
      </c>
      <c r="BI108">
        <v>0</v>
      </c>
      <c r="BJ108">
        <v>0</v>
      </c>
      <c r="BK108">
        <v>0</v>
      </c>
      <c r="BL108" t="s">
        <v>385</v>
      </c>
    </row>
    <row r="109" spans="1:64" x14ac:dyDescent="0.2">
      <c r="A109">
        <v>824823</v>
      </c>
      <c r="B109" t="s">
        <v>386</v>
      </c>
      <c r="C109" s="3">
        <v>46187</v>
      </c>
      <c r="D109">
        <v>6.2</v>
      </c>
      <c r="E109">
        <v>2</v>
      </c>
      <c r="F109">
        <v>23</v>
      </c>
      <c r="G109" t="s">
        <v>130</v>
      </c>
      <c r="H109">
        <v>116</v>
      </c>
      <c r="I109">
        <v>0.46</v>
      </c>
      <c r="J109">
        <v>123</v>
      </c>
      <c r="K109">
        <v>0.44843</v>
      </c>
      <c r="L109">
        <v>0.439172248991264</v>
      </c>
      <c r="M109">
        <v>621111</v>
      </c>
      <c r="N109" t="b">
        <v>0</v>
      </c>
      <c r="O109">
        <v>185.7</v>
      </c>
      <c r="P109">
        <v>-101.8</v>
      </c>
      <c r="Q109">
        <v>-101.8</v>
      </c>
      <c r="R109" t="s">
        <v>73</v>
      </c>
      <c r="S109">
        <v>120.1</v>
      </c>
      <c r="T109">
        <v>120.1</v>
      </c>
      <c r="U109" t="s">
        <v>73</v>
      </c>
      <c r="V109">
        <v>2</v>
      </c>
      <c r="W109" t="s">
        <v>141</v>
      </c>
      <c r="X109">
        <v>-128</v>
      </c>
      <c r="Y109">
        <v>0.56000000000000005</v>
      </c>
      <c r="Z109">
        <v>-134</v>
      </c>
      <c r="AA109">
        <v>0.57264999999999999</v>
      </c>
      <c r="AB109">
        <v>0.56082775100873505</v>
      </c>
      <c r="AC109">
        <v>669432</v>
      </c>
      <c r="AD109" t="b">
        <v>0</v>
      </c>
      <c r="AE109">
        <v>-122.2</v>
      </c>
      <c r="AF109">
        <v>103.4</v>
      </c>
      <c r="AG109">
        <v>103.4</v>
      </c>
      <c r="AH109" t="s">
        <v>73</v>
      </c>
      <c r="AI109">
        <v>-120.1</v>
      </c>
      <c r="AJ109">
        <v>-120.1</v>
      </c>
      <c r="AK109" t="s">
        <v>73</v>
      </c>
      <c r="AL109" t="s">
        <v>865</v>
      </c>
      <c r="AM109" t="s">
        <v>75</v>
      </c>
      <c r="AN109">
        <v>15</v>
      </c>
      <c r="AO109">
        <v>1</v>
      </c>
      <c r="AP109">
        <v>0.56000000000000005</v>
      </c>
      <c r="AQ109">
        <v>-8.3000000000000001E-4</v>
      </c>
      <c r="AR109">
        <v>-127.3</v>
      </c>
      <c r="AS109" t="s">
        <v>75</v>
      </c>
      <c r="AT109">
        <v>0</v>
      </c>
      <c r="AU109">
        <v>0</v>
      </c>
      <c r="AV109" t="s">
        <v>866</v>
      </c>
      <c r="AW109" t="s">
        <v>75</v>
      </c>
      <c r="AX109">
        <v>41</v>
      </c>
      <c r="AY109">
        <v>0.8</v>
      </c>
      <c r="AZ109">
        <v>0.52</v>
      </c>
      <c r="BA109">
        <v>-4.0829999999999998E-2</v>
      </c>
      <c r="BB109">
        <v>-108.3</v>
      </c>
      <c r="BC109" t="s">
        <v>75</v>
      </c>
      <c r="BD109">
        <v>0</v>
      </c>
      <c r="BE109">
        <v>0</v>
      </c>
      <c r="BF109" t="s">
        <v>83</v>
      </c>
      <c r="BG109">
        <v>0</v>
      </c>
      <c r="BH109">
        <v>0</v>
      </c>
      <c r="BI109">
        <v>0</v>
      </c>
      <c r="BJ109">
        <v>0</v>
      </c>
      <c r="BK109">
        <v>0</v>
      </c>
      <c r="BL109" t="s">
        <v>387</v>
      </c>
    </row>
    <row r="110" spans="1:64" x14ac:dyDescent="0.2">
      <c r="A110">
        <v>824751</v>
      </c>
      <c r="B110" t="s">
        <v>388</v>
      </c>
      <c r="C110" s="3">
        <v>46187</v>
      </c>
      <c r="D110">
        <v>6.2</v>
      </c>
      <c r="E110">
        <v>2</v>
      </c>
      <c r="F110">
        <v>28</v>
      </c>
      <c r="G110" t="s">
        <v>138</v>
      </c>
      <c r="H110">
        <v>100</v>
      </c>
      <c r="I110">
        <v>0.5</v>
      </c>
      <c r="J110">
        <v>-101</v>
      </c>
      <c r="K110">
        <v>0.50248800000000005</v>
      </c>
      <c r="L110">
        <v>0.49292718433268301</v>
      </c>
      <c r="M110">
        <v>543135</v>
      </c>
      <c r="N110" t="b">
        <v>0</v>
      </c>
      <c r="O110">
        <v>-100</v>
      </c>
      <c r="P110">
        <v>-103</v>
      </c>
      <c r="Q110">
        <v>-103</v>
      </c>
      <c r="R110" t="s">
        <v>73</v>
      </c>
      <c r="S110">
        <v>-100</v>
      </c>
      <c r="T110">
        <v>-100</v>
      </c>
      <c r="U110" t="s">
        <v>73</v>
      </c>
      <c r="V110">
        <v>3</v>
      </c>
      <c r="W110" t="s">
        <v>122</v>
      </c>
      <c r="X110">
        <v>-110</v>
      </c>
      <c r="Y110">
        <v>0.52</v>
      </c>
      <c r="Z110">
        <v>-107</v>
      </c>
      <c r="AA110">
        <v>0.51690800000000003</v>
      </c>
      <c r="AB110">
        <v>0.50707281566731599</v>
      </c>
      <c r="AC110">
        <v>813349</v>
      </c>
      <c r="AD110" t="b">
        <v>0</v>
      </c>
      <c r="AE110">
        <v>150</v>
      </c>
      <c r="AF110">
        <v>-104.1</v>
      </c>
      <c r="AG110">
        <v>-104.1</v>
      </c>
      <c r="AH110" t="s">
        <v>73</v>
      </c>
      <c r="AI110">
        <v>-100</v>
      </c>
      <c r="AJ110">
        <v>-100</v>
      </c>
      <c r="AK110" t="s">
        <v>73</v>
      </c>
      <c r="AL110" t="s">
        <v>389</v>
      </c>
      <c r="AM110" t="s">
        <v>109</v>
      </c>
      <c r="AN110">
        <v>15</v>
      </c>
      <c r="AO110">
        <v>0.6</v>
      </c>
      <c r="AP110">
        <v>0.49</v>
      </c>
      <c r="AQ110">
        <v>-1.7069999999999998E-2</v>
      </c>
      <c r="AR110">
        <v>104.1</v>
      </c>
      <c r="AS110" t="s">
        <v>109</v>
      </c>
      <c r="AT110">
        <v>1</v>
      </c>
      <c r="AU110">
        <v>0.99</v>
      </c>
      <c r="AV110" t="s">
        <v>390</v>
      </c>
      <c r="AW110" t="s">
        <v>75</v>
      </c>
      <c r="AX110">
        <v>41</v>
      </c>
      <c r="AY110">
        <v>0.8</v>
      </c>
      <c r="AZ110">
        <v>0.51</v>
      </c>
      <c r="BA110">
        <v>2.9299999999999999E-3</v>
      </c>
      <c r="BB110">
        <v>-104.1</v>
      </c>
      <c r="BC110" t="s">
        <v>75</v>
      </c>
      <c r="BD110">
        <v>0</v>
      </c>
      <c r="BE110">
        <v>0</v>
      </c>
      <c r="BF110" t="s">
        <v>109</v>
      </c>
      <c r="BG110">
        <v>-1.7069999999999998E-2</v>
      </c>
      <c r="BH110">
        <v>0</v>
      </c>
      <c r="BI110">
        <v>0</v>
      </c>
      <c r="BJ110">
        <v>3</v>
      </c>
      <c r="BK110">
        <v>0.6</v>
      </c>
      <c r="BL110" t="s">
        <v>391</v>
      </c>
    </row>
    <row r="111" spans="1:64" x14ac:dyDescent="0.2">
      <c r="A111">
        <v>824021</v>
      </c>
      <c r="B111" t="s">
        <v>392</v>
      </c>
      <c r="C111" s="3">
        <v>46187</v>
      </c>
      <c r="D111">
        <v>6.2</v>
      </c>
      <c r="E111">
        <v>2</v>
      </c>
      <c r="F111">
        <v>27</v>
      </c>
      <c r="G111" t="s">
        <v>101</v>
      </c>
      <c r="H111">
        <v>-115</v>
      </c>
      <c r="I111">
        <v>0.53</v>
      </c>
      <c r="J111">
        <v>-115</v>
      </c>
      <c r="K111">
        <v>0.53488400000000003</v>
      </c>
      <c r="L111">
        <v>0.52423109982054605</v>
      </c>
      <c r="M111">
        <v>668984</v>
      </c>
      <c r="N111" t="b">
        <v>1</v>
      </c>
      <c r="O111">
        <v>150</v>
      </c>
      <c r="P111">
        <v>-102.1</v>
      </c>
      <c r="Q111">
        <v>-102.1</v>
      </c>
      <c r="R111" t="s">
        <v>73</v>
      </c>
      <c r="S111">
        <v>-109.4</v>
      </c>
      <c r="T111">
        <v>-109.4</v>
      </c>
      <c r="U111" t="s">
        <v>73</v>
      </c>
      <c r="V111">
        <v>4</v>
      </c>
      <c r="W111" t="s">
        <v>111</v>
      </c>
      <c r="X111">
        <v>106</v>
      </c>
      <c r="Y111">
        <v>0.49</v>
      </c>
      <c r="Z111">
        <v>106</v>
      </c>
      <c r="AA111">
        <v>0.48543700000000001</v>
      </c>
      <c r="AB111">
        <v>0.475768900179453</v>
      </c>
      <c r="AC111">
        <v>680570</v>
      </c>
      <c r="AD111" t="b">
        <v>0</v>
      </c>
      <c r="AE111">
        <v>-150</v>
      </c>
      <c r="AF111">
        <v>109</v>
      </c>
      <c r="AG111">
        <v>109</v>
      </c>
      <c r="AH111" t="s">
        <v>73</v>
      </c>
      <c r="AI111">
        <v>109.4</v>
      </c>
      <c r="AJ111">
        <v>109.4</v>
      </c>
      <c r="AK111" t="s">
        <v>73</v>
      </c>
      <c r="AL111" t="s">
        <v>393</v>
      </c>
      <c r="AM111" t="s">
        <v>94</v>
      </c>
      <c r="AN111">
        <v>15</v>
      </c>
      <c r="AO111">
        <v>0.93</v>
      </c>
      <c r="AP111">
        <v>0.44</v>
      </c>
      <c r="AQ111">
        <v>-3.5770000000000003E-2</v>
      </c>
      <c r="AR111">
        <v>127.3</v>
      </c>
      <c r="AS111" t="s">
        <v>94</v>
      </c>
      <c r="AT111">
        <v>0</v>
      </c>
      <c r="AU111">
        <v>0</v>
      </c>
      <c r="AV111" t="s">
        <v>394</v>
      </c>
      <c r="AW111" t="s">
        <v>94</v>
      </c>
      <c r="AX111">
        <v>41</v>
      </c>
      <c r="AY111">
        <v>0.98</v>
      </c>
      <c r="AZ111">
        <v>0.43</v>
      </c>
      <c r="BA111">
        <v>-4.5769999999999998E-2</v>
      </c>
      <c r="BB111">
        <v>132.6</v>
      </c>
      <c r="BC111" t="s">
        <v>94</v>
      </c>
      <c r="BD111">
        <v>0</v>
      </c>
      <c r="BE111">
        <v>0</v>
      </c>
      <c r="BF111" t="s">
        <v>83</v>
      </c>
      <c r="BG111">
        <v>0</v>
      </c>
      <c r="BH111">
        <v>0</v>
      </c>
      <c r="BI111">
        <v>0</v>
      </c>
      <c r="BJ111">
        <v>0</v>
      </c>
      <c r="BK111">
        <v>0</v>
      </c>
      <c r="BL111" t="s">
        <v>395</v>
      </c>
    </row>
    <row r="112" spans="1:64" x14ac:dyDescent="0.2">
      <c r="A112">
        <v>824506</v>
      </c>
      <c r="B112" t="s">
        <v>396</v>
      </c>
      <c r="C112" s="3">
        <v>46187</v>
      </c>
      <c r="D112">
        <v>6.2</v>
      </c>
      <c r="E112">
        <v>2</v>
      </c>
      <c r="F112">
        <v>1</v>
      </c>
      <c r="G112" t="s">
        <v>79</v>
      </c>
      <c r="H112">
        <v>-107</v>
      </c>
      <c r="I112">
        <v>0.52</v>
      </c>
      <c r="J112">
        <v>-107</v>
      </c>
      <c r="K112">
        <v>0.51690800000000003</v>
      </c>
      <c r="L112">
        <v>0.50707281566731599</v>
      </c>
      <c r="M112">
        <v>668678</v>
      </c>
      <c r="N112" t="b">
        <v>0</v>
      </c>
      <c r="O112">
        <v>122.2</v>
      </c>
      <c r="P112">
        <v>102.8</v>
      </c>
      <c r="Q112">
        <v>102.8</v>
      </c>
      <c r="R112" t="s">
        <v>73</v>
      </c>
      <c r="S112">
        <v>-102.6</v>
      </c>
      <c r="T112">
        <v>-102.6</v>
      </c>
      <c r="U112" t="s">
        <v>73</v>
      </c>
      <c r="V112">
        <v>6</v>
      </c>
      <c r="W112" t="s">
        <v>133</v>
      </c>
      <c r="X112">
        <v>-103</v>
      </c>
      <c r="Y112">
        <v>0.51</v>
      </c>
      <c r="Z112">
        <v>-101</v>
      </c>
      <c r="AA112">
        <v>0.50248800000000005</v>
      </c>
      <c r="AB112">
        <v>0.49292718433268301</v>
      </c>
      <c r="AC112">
        <v>671096</v>
      </c>
      <c r="AD112" t="b">
        <v>0</v>
      </c>
      <c r="AE112">
        <v>150</v>
      </c>
      <c r="AF112">
        <v>108.9</v>
      </c>
      <c r="AG112">
        <v>108.9</v>
      </c>
      <c r="AH112" t="s">
        <v>73</v>
      </c>
      <c r="AI112">
        <v>102.6</v>
      </c>
      <c r="AJ112">
        <v>102.6</v>
      </c>
      <c r="AK112" t="s">
        <v>73</v>
      </c>
      <c r="AL112" t="s">
        <v>867</v>
      </c>
      <c r="AM112" t="s">
        <v>94</v>
      </c>
      <c r="AN112">
        <v>15</v>
      </c>
      <c r="AO112">
        <v>0.87</v>
      </c>
      <c r="AP112">
        <v>0.47</v>
      </c>
      <c r="AQ112">
        <v>-2.2929999999999999E-2</v>
      </c>
      <c r="AR112">
        <v>112.8</v>
      </c>
      <c r="AS112" t="s">
        <v>94</v>
      </c>
      <c r="AT112">
        <v>0</v>
      </c>
      <c r="AU112">
        <v>0</v>
      </c>
      <c r="AV112" t="s">
        <v>868</v>
      </c>
      <c r="AW112" t="s">
        <v>94</v>
      </c>
      <c r="AX112">
        <v>41</v>
      </c>
      <c r="AY112">
        <v>0.9</v>
      </c>
      <c r="AZ112">
        <v>0.48</v>
      </c>
      <c r="BA112">
        <v>-1.2930000000000001E-2</v>
      </c>
      <c r="BB112">
        <v>108.3</v>
      </c>
      <c r="BC112" t="s">
        <v>94</v>
      </c>
      <c r="BD112">
        <v>0</v>
      </c>
      <c r="BE112">
        <v>0</v>
      </c>
      <c r="BF112" t="s">
        <v>83</v>
      </c>
      <c r="BG112">
        <v>0</v>
      </c>
      <c r="BH112">
        <v>0</v>
      </c>
      <c r="BI112">
        <v>0</v>
      </c>
      <c r="BJ112">
        <v>0</v>
      </c>
      <c r="BK112">
        <v>0</v>
      </c>
      <c r="BL112" t="s">
        <v>705</v>
      </c>
    </row>
    <row r="113" spans="1:64" x14ac:dyDescent="0.2">
      <c r="A113">
        <v>824424</v>
      </c>
      <c r="B113" t="s">
        <v>397</v>
      </c>
      <c r="C113" s="3">
        <v>46187</v>
      </c>
      <c r="D113">
        <v>6.2</v>
      </c>
      <c r="E113">
        <v>2</v>
      </c>
      <c r="F113">
        <v>10</v>
      </c>
      <c r="G113" t="s">
        <v>97</v>
      </c>
      <c r="H113">
        <v>100</v>
      </c>
      <c r="I113">
        <v>0.5</v>
      </c>
      <c r="J113">
        <v>-104</v>
      </c>
      <c r="K113">
        <v>0.50980400000000003</v>
      </c>
      <c r="L113">
        <v>0.5</v>
      </c>
      <c r="M113">
        <v>663554</v>
      </c>
      <c r="N113" t="b">
        <v>0</v>
      </c>
      <c r="O113">
        <v>122.2</v>
      </c>
      <c r="P113">
        <v>-100.8</v>
      </c>
      <c r="Q113">
        <v>-100.8</v>
      </c>
      <c r="R113" t="s">
        <v>73</v>
      </c>
      <c r="S113">
        <v>131</v>
      </c>
      <c r="T113">
        <v>131</v>
      </c>
      <c r="U113" t="s">
        <v>73</v>
      </c>
      <c r="V113">
        <v>7</v>
      </c>
      <c r="W113" t="s">
        <v>137</v>
      </c>
      <c r="X113">
        <v>-110</v>
      </c>
      <c r="Y113">
        <v>0.52</v>
      </c>
      <c r="Z113">
        <v>-104</v>
      </c>
      <c r="AA113">
        <v>0.50980400000000003</v>
      </c>
      <c r="AB113">
        <v>0.5</v>
      </c>
      <c r="AC113">
        <v>668909</v>
      </c>
      <c r="AD113" t="b">
        <v>0</v>
      </c>
      <c r="AE113">
        <v>122.2</v>
      </c>
      <c r="AF113">
        <v>-100.7</v>
      </c>
      <c r="AG113">
        <v>-100.7</v>
      </c>
      <c r="AH113" t="s">
        <v>73</v>
      </c>
      <c r="AI113">
        <v>-131</v>
      </c>
      <c r="AJ113">
        <v>-131</v>
      </c>
      <c r="AK113" t="s">
        <v>73</v>
      </c>
      <c r="AL113" t="s">
        <v>398</v>
      </c>
      <c r="AM113" t="s">
        <v>94</v>
      </c>
      <c r="AN113">
        <v>15</v>
      </c>
      <c r="AO113">
        <v>0.53</v>
      </c>
      <c r="AP113">
        <v>0.49</v>
      </c>
      <c r="AQ113">
        <v>-0.01</v>
      </c>
      <c r="AR113">
        <v>104.1</v>
      </c>
      <c r="AS113" t="s">
        <v>94</v>
      </c>
      <c r="AT113">
        <v>0</v>
      </c>
      <c r="AU113">
        <v>0</v>
      </c>
      <c r="AV113" t="s">
        <v>399</v>
      </c>
      <c r="AW113" t="s">
        <v>187</v>
      </c>
      <c r="AX113">
        <v>41</v>
      </c>
      <c r="AY113">
        <v>0.88</v>
      </c>
      <c r="AZ113">
        <v>0.52</v>
      </c>
      <c r="BA113">
        <v>0.02</v>
      </c>
      <c r="BB113">
        <v>-108.3</v>
      </c>
      <c r="BC113" t="s">
        <v>187</v>
      </c>
      <c r="BD113">
        <v>1</v>
      </c>
      <c r="BE113">
        <v>0.96199999999999997</v>
      </c>
      <c r="BF113" t="s">
        <v>83</v>
      </c>
      <c r="BG113">
        <v>0</v>
      </c>
      <c r="BH113">
        <v>0</v>
      </c>
      <c r="BI113">
        <v>0</v>
      </c>
      <c r="BJ113">
        <v>0</v>
      </c>
      <c r="BK113">
        <v>0</v>
      </c>
      <c r="BL113" t="s">
        <v>400</v>
      </c>
    </row>
    <row r="114" spans="1:64" x14ac:dyDescent="0.2">
      <c r="A114">
        <v>824586</v>
      </c>
      <c r="B114" t="s">
        <v>401</v>
      </c>
      <c r="C114" s="3">
        <v>46187</v>
      </c>
      <c r="D114">
        <v>6.2</v>
      </c>
      <c r="E114">
        <v>2</v>
      </c>
      <c r="F114">
        <v>14</v>
      </c>
      <c r="G114" t="s">
        <v>113</v>
      </c>
      <c r="H114">
        <v>-187</v>
      </c>
      <c r="I114">
        <v>0.65</v>
      </c>
      <c r="J114">
        <v>-188</v>
      </c>
      <c r="K114">
        <v>0.65277799999999997</v>
      </c>
      <c r="L114">
        <v>0.63886230135195099</v>
      </c>
      <c r="M114">
        <v>686218</v>
      </c>
      <c r="N114" t="b">
        <v>0</v>
      </c>
      <c r="O114">
        <v>-233.3</v>
      </c>
      <c r="P114">
        <v>-117.9</v>
      </c>
      <c r="Q114" t="s">
        <v>402</v>
      </c>
      <c r="R114" t="s">
        <v>81</v>
      </c>
      <c r="S114">
        <v>-575</v>
      </c>
      <c r="T114" t="s">
        <v>403</v>
      </c>
      <c r="U114" t="s">
        <v>233</v>
      </c>
      <c r="V114">
        <v>9</v>
      </c>
      <c r="W114" t="s">
        <v>125</v>
      </c>
      <c r="X114">
        <v>167</v>
      </c>
      <c r="Y114">
        <v>0.37</v>
      </c>
      <c r="Z114">
        <v>171</v>
      </c>
      <c r="AA114">
        <v>0.369004</v>
      </c>
      <c r="AB114">
        <v>0.36113769864804801</v>
      </c>
      <c r="AC114">
        <v>663542</v>
      </c>
      <c r="AD114" t="b">
        <v>0</v>
      </c>
      <c r="AE114">
        <v>-150</v>
      </c>
      <c r="AF114">
        <v>104.2</v>
      </c>
      <c r="AG114">
        <v>104.2</v>
      </c>
      <c r="AH114" t="s">
        <v>73</v>
      </c>
      <c r="AI114">
        <v>575</v>
      </c>
      <c r="AJ114">
        <v>575</v>
      </c>
      <c r="AK114" t="s">
        <v>126</v>
      </c>
      <c r="AL114" t="s">
        <v>869</v>
      </c>
      <c r="AM114" t="s">
        <v>94</v>
      </c>
      <c r="AN114">
        <v>15</v>
      </c>
      <c r="AO114">
        <v>1</v>
      </c>
      <c r="AP114">
        <v>0.37</v>
      </c>
      <c r="AQ114">
        <v>8.8599999999999998E-3</v>
      </c>
      <c r="AR114">
        <v>170.3</v>
      </c>
      <c r="AS114" t="s">
        <v>94</v>
      </c>
      <c r="AT114">
        <v>0</v>
      </c>
      <c r="AU114">
        <v>0</v>
      </c>
      <c r="AV114" t="s">
        <v>870</v>
      </c>
      <c r="AW114" t="s">
        <v>94</v>
      </c>
      <c r="AX114">
        <v>41</v>
      </c>
      <c r="AY114">
        <v>0.93</v>
      </c>
      <c r="AZ114">
        <v>0.43</v>
      </c>
      <c r="BA114">
        <v>6.8860000000000005E-2</v>
      </c>
      <c r="BB114">
        <v>132.6</v>
      </c>
      <c r="BC114" t="s">
        <v>94</v>
      </c>
      <c r="BD114">
        <v>0</v>
      </c>
      <c r="BE114">
        <v>0</v>
      </c>
      <c r="BF114" t="s">
        <v>83</v>
      </c>
      <c r="BG114">
        <v>0</v>
      </c>
      <c r="BH114">
        <v>0</v>
      </c>
      <c r="BI114">
        <v>0</v>
      </c>
      <c r="BJ114">
        <v>0</v>
      </c>
      <c r="BK114">
        <v>0</v>
      </c>
      <c r="BL114" t="s">
        <v>404</v>
      </c>
    </row>
    <row r="115" spans="1:64" x14ac:dyDescent="0.2">
      <c r="A115">
        <v>824099</v>
      </c>
      <c r="B115" t="s">
        <v>405</v>
      </c>
      <c r="C115" s="3">
        <v>46187</v>
      </c>
      <c r="D115">
        <v>6.2</v>
      </c>
      <c r="E115">
        <v>2</v>
      </c>
      <c r="F115">
        <v>12</v>
      </c>
      <c r="G115" t="s">
        <v>108</v>
      </c>
      <c r="H115">
        <v>107</v>
      </c>
      <c r="I115">
        <v>0.48</v>
      </c>
      <c r="J115">
        <v>107</v>
      </c>
      <c r="K115">
        <v>0.48309200000000002</v>
      </c>
      <c r="L115">
        <v>0.473559716467231</v>
      </c>
      <c r="M115">
        <v>681293</v>
      </c>
      <c r="N115" t="b">
        <v>0</v>
      </c>
      <c r="O115">
        <v>-150</v>
      </c>
      <c r="P115">
        <v>104.2</v>
      </c>
      <c r="Q115">
        <v>104.2</v>
      </c>
      <c r="R115" t="s">
        <v>73</v>
      </c>
      <c r="S115">
        <v>-119.3</v>
      </c>
      <c r="T115">
        <v>-119.3</v>
      </c>
      <c r="U115" t="s">
        <v>73</v>
      </c>
      <c r="V115">
        <v>13</v>
      </c>
      <c r="W115" t="s">
        <v>118</v>
      </c>
      <c r="X115">
        <v>-118</v>
      </c>
      <c r="Y115">
        <v>0.54</v>
      </c>
      <c r="Z115">
        <v>-116</v>
      </c>
      <c r="AA115">
        <v>0.53703699999999999</v>
      </c>
      <c r="AB115">
        <v>0.52644028353276795</v>
      </c>
      <c r="AC115">
        <v>663568</v>
      </c>
      <c r="AD115" t="b">
        <v>0</v>
      </c>
      <c r="AE115">
        <v>150</v>
      </c>
      <c r="AF115">
        <v>101.2</v>
      </c>
      <c r="AG115">
        <v>101.2</v>
      </c>
      <c r="AH115" t="s">
        <v>73</v>
      </c>
      <c r="AI115">
        <v>119.3</v>
      </c>
      <c r="AJ115">
        <v>119.3</v>
      </c>
      <c r="AK115" t="s">
        <v>73</v>
      </c>
      <c r="AL115" t="s">
        <v>871</v>
      </c>
      <c r="AM115" t="s">
        <v>109</v>
      </c>
      <c r="AN115">
        <v>15</v>
      </c>
      <c r="AO115">
        <v>0.73</v>
      </c>
      <c r="AP115">
        <v>0.48</v>
      </c>
      <c r="AQ115">
        <v>-4.6440000000000002E-2</v>
      </c>
      <c r="AR115">
        <v>108.3</v>
      </c>
      <c r="AS115" t="s">
        <v>109</v>
      </c>
      <c r="AT115">
        <v>1</v>
      </c>
      <c r="AU115">
        <v>1.07</v>
      </c>
      <c r="AV115" t="s">
        <v>872</v>
      </c>
      <c r="AW115" t="s">
        <v>75</v>
      </c>
      <c r="AX115">
        <v>41</v>
      </c>
      <c r="AY115">
        <v>0.63</v>
      </c>
      <c r="AZ115">
        <v>0.5</v>
      </c>
      <c r="BA115">
        <v>-2.6440000000000002E-2</v>
      </c>
      <c r="BB115">
        <v>-100</v>
      </c>
      <c r="BC115" t="s">
        <v>75</v>
      </c>
      <c r="BD115">
        <v>0</v>
      </c>
      <c r="BE115">
        <v>0</v>
      </c>
      <c r="BF115" t="s">
        <v>109</v>
      </c>
      <c r="BG115">
        <v>-4.6440000000000002E-2</v>
      </c>
      <c r="BH115">
        <v>0</v>
      </c>
      <c r="BI115">
        <v>0</v>
      </c>
      <c r="BJ115">
        <v>3</v>
      </c>
      <c r="BK115">
        <v>0.73</v>
      </c>
      <c r="BL115" t="s">
        <v>406</v>
      </c>
    </row>
    <row r="116" spans="1:64" x14ac:dyDescent="0.2">
      <c r="A116">
        <v>823693</v>
      </c>
      <c r="B116" t="s">
        <v>407</v>
      </c>
      <c r="C116" s="3">
        <v>46187</v>
      </c>
      <c r="D116">
        <v>6.2</v>
      </c>
      <c r="E116">
        <v>2</v>
      </c>
      <c r="F116">
        <v>26</v>
      </c>
      <c r="G116" t="s">
        <v>134</v>
      </c>
      <c r="H116">
        <v>-101</v>
      </c>
      <c r="I116">
        <v>0.5</v>
      </c>
      <c r="J116">
        <v>100</v>
      </c>
      <c r="K116">
        <v>0.5</v>
      </c>
      <c r="L116">
        <v>0.49056592666431798</v>
      </c>
      <c r="M116">
        <v>700241</v>
      </c>
      <c r="N116" t="b">
        <v>0</v>
      </c>
      <c r="O116">
        <v>-100</v>
      </c>
      <c r="P116">
        <v>106.8</v>
      </c>
      <c r="Q116">
        <v>106.8</v>
      </c>
      <c r="R116" t="s">
        <v>73</v>
      </c>
      <c r="S116">
        <v>168.5</v>
      </c>
      <c r="T116">
        <v>168.5</v>
      </c>
      <c r="U116" t="s">
        <v>78</v>
      </c>
      <c r="V116">
        <v>15</v>
      </c>
      <c r="W116" t="s">
        <v>119</v>
      </c>
      <c r="X116">
        <v>-109</v>
      </c>
      <c r="Y116">
        <v>0.52</v>
      </c>
      <c r="Z116">
        <v>-108</v>
      </c>
      <c r="AA116">
        <v>0.519231</v>
      </c>
      <c r="AB116">
        <v>0.50943407333568103</v>
      </c>
      <c r="AC116">
        <v>671737</v>
      </c>
      <c r="AD116" t="b">
        <v>0</v>
      </c>
      <c r="AE116">
        <v>185.7</v>
      </c>
      <c r="AF116">
        <v>109.2</v>
      </c>
      <c r="AG116">
        <v>109.2</v>
      </c>
      <c r="AH116" t="s">
        <v>73</v>
      </c>
      <c r="AI116">
        <v>-168.5</v>
      </c>
      <c r="AJ116" t="s">
        <v>408</v>
      </c>
      <c r="AK116" t="s">
        <v>81</v>
      </c>
      <c r="AL116" t="s">
        <v>873</v>
      </c>
      <c r="AM116" t="s">
        <v>75</v>
      </c>
      <c r="AN116">
        <v>15</v>
      </c>
      <c r="AO116">
        <v>0.53</v>
      </c>
      <c r="AP116">
        <v>0.5</v>
      </c>
      <c r="AQ116">
        <v>-9.4299999999999991E-3</v>
      </c>
      <c r="AR116">
        <v>-100</v>
      </c>
      <c r="AS116" t="s">
        <v>75</v>
      </c>
      <c r="AT116">
        <v>0</v>
      </c>
      <c r="AU116">
        <v>0</v>
      </c>
      <c r="AV116" t="s">
        <v>874</v>
      </c>
      <c r="AW116" t="s">
        <v>75</v>
      </c>
      <c r="AX116">
        <v>41</v>
      </c>
      <c r="AY116">
        <v>0.78</v>
      </c>
      <c r="AZ116">
        <v>0.51</v>
      </c>
      <c r="BA116">
        <v>5.6999999999999998E-4</v>
      </c>
      <c r="BB116">
        <v>-104.1</v>
      </c>
      <c r="BC116" t="s">
        <v>75</v>
      </c>
      <c r="BD116">
        <v>0</v>
      </c>
      <c r="BE116">
        <v>0</v>
      </c>
      <c r="BF116" t="s">
        <v>83</v>
      </c>
      <c r="BG116">
        <v>0</v>
      </c>
      <c r="BH116">
        <v>0</v>
      </c>
      <c r="BI116">
        <v>0</v>
      </c>
      <c r="BJ116">
        <v>0</v>
      </c>
      <c r="BK116">
        <v>0</v>
      </c>
      <c r="BL116" t="s">
        <v>409</v>
      </c>
    </row>
    <row r="117" spans="1:64" x14ac:dyDescent="0.2">
      <c r="A117">
        <v>822722</v>
      </c>
      <c r="B117" t="s">
        <v>410</v>
      </c>
      <c r="C117" s="3">
        <v>46187</v>
      </c>
      <c r="D117">
        <v>6.2</v>
      </c>
      <c r="E117">
        <v>2</v>
      </c>
      <c r="F117">
        <v>24</v>
      </c>
      <c r="G117" t="s">
        <v>96</v>
      </c>
      <c r="H117">
        <v>-139</v>
      </c>
      <c r="I117">
        <v>0.57999999999999996</v>
      </c>
      <c r="J117">
        <v>-129</v>
      </c>
      <c r="K117">
        <v>0.56331900000000001</v>
      </c>
      <c r="L117">
        <v>0.55230601800105805</v>
      </c>
      <c r="M117">
        <v>676106</v>
      </c>
      <c r="N117" t="b">
        <v>0</v>
      </c>
      <c r="O117">
        <v>-150</v>
      </c>
      <c r="P117">
        <v>-110</v>
      </c>
      <c r="Q117">
        <v>-110</v>
      </c>
      <c r="R117" t="s">
        <v>73</v>
      </c>
      <c r="S117">
        <v>-594.20000000000005</v>
      </c>
      <c r="T117" t="s">
        <v>411</v>
      </c>
      <c r="U117" t="s">
        <v>233</v>
      </c>
      <c r="V117">
        <v>16</v>
      </c>
      <c r="W117" t="s">
        <v>77</v>
      </c>
      <c r="X117">
        <v>126</v>
      </c>
      <c r="Y117">
        <v>0.44</v>
      </c>
      <c r="Z117">
        <v>119</v>
      </c>
      <c r="AA117">
        <v>0.456621</v>
      </c>
      <c r="AB117">
        <v>0.447693981998941</v>
      </c>
      <c r="AC117">
        <v>676571</v>
      </c>
      <c r="AD117" t="b">
        <v>0</v>
      </c>
      <c r="AE117">
        <v>-122.2</v>
      </c>
      <c r="AF117">
        <v>112.7</v>
      </c>
      <c r="AG117">
        <v>112.7</v>
      </c>
      <c r="AH117" t="s">
        <v>78</v>
      </c>
      <c r="AI117">
        <v>594.20000000000005</v>
      </c>
      <c r="AJ117">
        <v>594.20000000000005</v>
      </c>
      <c r="AK117" t="s">
        <v>126</v>
      </c>
      <c r="AL117" t="s">
        <v>412</v>
      </c>
      <c r="AM117" t="s">
        <v>94</v>
      </c>
      <c r="AN117">
        <v>15</v>
      </c>
      <c r="AO117">
        <v>0.93</v>
      </c>
      <c r="AP117">
        <v>0.41</v>
      </c>
      <c r="AQ117">
        <v>-3.7690000000000001E-2</v>
      </c>
      <c r="AR117">
        <v>143.9</v>
      </c>
      <c r="AS117" t="s">
        <v>94</v>
      </c>
      <c r="AT117">
        <v>0</v>
      </c>
      <c r="AU117">
        <v>0</v>
      </c>
      <c r="AV117" t="s">
        <v>875</v>
      </c>
      <c r="AW117" t="s">
        <v>94</v>
      </c>
      <c r="AX117">
        <v>41</v>
      </c>
      <c r="AY117">
        <v>1</v>
      </c>
      <c r="AZ117">
        <v>0.44</v>
      </c>
      <c r="BA117">
        <v>-7.6899999999999998E-3</v>
      </c>
      <c r="BB117">
        <v>127.3</v>
      </c>
      <c r="BC117" t="s">
        <v>94</v>
      </c>
      <c r="BD117">
        <v>0</v>
      </c>
      <c r="BE117">
        <v>0</v>
      </c>
      <c r="BF117" t="s">
        <v>83</v>
      </c>
      <c r="BG117">
        <v>0</v>
      </c>
      <c r="BH117">
        <v>0</v>
      </c>
      <c r="BI117">
        <v>0</v>
      </c>
      <c r="BJ117">
        <v>0</v>
      </c>
      <c r="BK117">
        <v>0</v>
      </c>
      <c r="BL117" t="s">
        <v>413</v>
      </c>
    </row>
    <row r="118" spans="1:64" x14ac:dyDescent="0.2">
      <c r="A118">
        <v>823777</v>
      </c>
      <c r="B118" t="s">
        <v>414</v>
      </c>
      <c r="C118" s="3">
        <v>46187</v>
      </c>
      <c r="D118">
        <v>6.2</v>
      </c>
      <c r="E118">
        <v>2</v>
      </c>
      <c r="F118">
        <v>21</v>
      </c>
      <c r="G118" t="s">
        <v>127</v>
      </c>
      <c r="H118">
        <v>-114</v>
      </c>
      <c r="I118">
        <v>0.53</v>
      </c>
      <c r="J118">
        <v>-122</v>
      </c>
      <c r="K118">
        <v>0.54954999999999998</v>
      </c>
      <c r="L118">
        <v>0.53928524465326899</v>
      </c>
      <c r="M118">
        <v>650911</v>
      </c>
      <c r="N118" t="b">
        <v>0</v>
      </c>
      <c r="O118">
        <v>-185.7</v>
      </c>
      <c r="P118">
        <v>-106.7</v>
      </c>
      <c r="Q118">
        <v>-106.7</v>
      </c>
      <c r="R118" t="s">
        <v>73</v>
      </c>
      <c r="S118">
        <v>-113.6</v>
      </c>
      <c r="T118">
        <v>-113.6</v>
      </c>
      <c r="U118" t="s">
        <v>73</v>
      </c>
      <c r="V118">
        <v>17</v>
      </c>
      <c r="W118" t="s">
        <v>89</v>
      </c>
      <c r="X118">
        <v>103</v>
      </c>
      <c r="Y118">
        <v>0.49</v>
      </c>
      <c r="Z118">
        <v>113</v>
      </c>
      <c r="AA118">
        <v>0.46948400000000001</v>
      </c>
      <c r="AB118">
        <v>0.46071475534673001</v>
      </c>
      <c r="AC118">
        <v>690986</v>
      </c>
      <c r="AD118" t="b">
        <v>0</v>
      </c>
      <c r="AE118">
        <v>-150</v>
      </c>
      <c r="AF118">
        <v>-119.1</v>
      </c>
      <c r="AG118" t="s">
        <v>415</v>
      </c>
      <c r="AH118" t="s">
        <v>116</v>
      </c>
      <c r="AI118">
        <v>113.6</v>
      </c>
      <c r="AJ118">
        <v>113.6</v>
      </c>
      <c r="AK118" t="s">
        <v>73</v>
      </c>
      <c r="AL118" t="s">
        <v>876</v>
      </c>
      <c r="AM118" t="s">
        <v>94</v>
      </c>
      <c r="AN118">
        <v>15</v>
      </c>
      <c r="AO118">
        <v>0.87</v>
      </c>
      <c r="AP118">
        <v>0.47</v>
      </c>
      <c r="AQ118">
        <v>9.2899999999999996E-3</v>
      </c>
      <c r="AR118">
        <v>112.8</v>
      </c>
      <c r="AS118" t="s">
        <v>94</v>
      </c>
      <c r="AT118">
        <v>0</v>
      </c>
      <c r="AU118">
        <v>0</v>
      </c>
      <c r="AV118" t="s">
        <v>877</v>
      </c>
      <c r="AW118" t="s">
        <v>187</v>
      </c>
      <c r="AX118">
        <v>41</v>
      </c>
      <c r="AY118">
        <v>0.59</v>
      </c>
      <c r="AZ118">
        <v>0.5</v>
      </c>
      <c r="BA118">
        <v>3.9289999999999999E-2</v>
      </c>
      <c r="BB118">
        <v>-100</v>
      </c>
      <c r="BC118" t="s">
        <v>187</v>
      </c>
      <c r="BD118">
        <v>1</v>
      </c>
      <c r="BE118">
        <v>1.1299999999999999</v>
      </c>
      <c r="BF118" t="s">
        <v>83</v>
      </c>
      <c r="BG118">
        <v>0</v>
      </c>
      <c r="BH118">
        <v>0</v>
      </c>
      <c r="BI118">
        <v>0</v>
      </c>
      <c r="BJ118">
        <v>0</v>
      </c>
      <c r="BK118">
        <v>0</v>
      </c>
      <c r="BL118" t="s">
        <v>416</v>
      </c>
    </row>
    <row r="119" spans="1:64" x14ac:dyDescent="0.2">
      <c r="A119">
        <v>823615</v>
      </c>
      <c r="B119" t="s">
        <v>417</v>
      </c>
      <c r="C119" s="3">
        <v>46187</v>
      </c>
      <c r="D119">
        <v>6.2</v>
      </c>
      <c r="E119">
        <v>2</v>
      </c>
      <c r="F119">
        <v>0</v>
      </c>
      <c r="G119" t="s">
        <v>74</v>
      </c>
      <c r="H119">
        <v>101</v>
      </c>
      <c r="I119">
        <v>0.5</v>
      </c>
      <c r="J119">
        <v>113</v>
      </c>
      <c r="K119">
        <v>0.46948400000000001</v>
      </c>
      <c r="L119">
        <v>0.46071475534673001</v>
      </c>
      <c r="M119">
        <v>693821</v>
      </c>
      <c r="N119" t="b">
        <v>0</v>
      </c>
      <c r="O119">
        <v>-150</v>
      </c>
      <c r="P119">
        <v>-105.3</v>
      </c>
      <c r="Q119">
        <v>-105.3</v>
      </c>
      <c r="R119" t="s">
        <v>73</v>
      </c>
      <c r="S119">
        <v>115.8</v>
      </c>
      <c r="T119">
        <v>115.8</v>
      </c>
      <c r="U119" t="s">
        <v>73</v>
      </c>
      <c r="V119">
        <v>18</v>
      </c>
      <c r="W119" t="s">
        <v>129</v>
      </c>
      <c r="X119">
        <v>-111</v>
      </c>
      <c r="Y119">
        <v>0.53</v>
      </c>
      <c r="Z119">
        <v>-122</v>
      </c>
      <c r="AA119">
        <v>0.54954999999999998</v>
      </c>
      <c r="AB119">
        <v>0.53928524465326899</v>
      </c>
      <c r="AC119">
        <v>642547</v>
      </c>
      <c r="AD119" t="b">
        <v>0</v>
      </c>
      <c r="AE119">
        <v>122.2</v>
      </c>
      <c r="AF119">
        <v>107.3</v>
      </c>
      <c r="AG119">
        <v>107.3</v>
      </c>
      <c r="AH119" t="s">
        <v>73</v>
      </c>
      <c r="AI119">
        <v>-115.8</v>
      </c>
      <c r="AJ119">
        <v>-115.8</v>
      </c>
      <c r="AK119" t="s">
        <v>73</v>
      </c>
      <c r="AL119" t="s">
        <v>878</v>
      </c>
      <c r="AM119" t="s">
        <v>75</v>
      </c>
      <c r="AN119">
        <v>15</v>
      </c>
      <c r="AO119">
        <v>0.93</v>
      </c>
      <c r="AP119">
        <v>0.53</v>
      </c>
      <c r="AQ119">
        <v>-9.2899999999999996E-3</v>
      </c>
      <c r="AR119">
        <v>-112.8</v>
      </c>
      <c r="AS119" t="s">
        <v>75</v>
      </c>
      <c r="AT119">
        <v>0</v>
      </c>
      <c r="AU119">
        <v>0</v>
      </c>
      <c r="AV119" t="s">
        <v>879</v>
      </c>
      <c r="AW119" t="s">
        <v>109</v>
      </c>
      <c r="AX119">
        <v>41</v>
      </c>
      <c r="AY119">
        <v>0.56000000000000005</v>
      </c>
      <c r="AZ119">
        <v>0.49</v>
      </c>
      <c r="BA119">
        <v>-4.929E-2</v>
      </c>
      <c r="BB119">
        <v>104.1</v>
      </c>
      <c r="BC119" t="s">
        <v>109</v>
      </c>
      <c r="BD119">
        <v>1</v>
      </c>
      <c r="BE119">
        <v>1.1299999999999999</v>
      </c>
      <c r="BF119" t="s">
        <v>83</v>
      </c>
      <c r="BG119">
        <v>0</v>
      </c>
      <c r="BH119">
        <v>0</v>
      </c>
      <c r="BI119">
        <v>0</v>
      </c>
      <c r="BJ119">
        <v>0</v>
      </c>
      <c r="BK119">
        <v>0</v>
      </c>
      <c r="BL119" t="s">
        <v>418</v>
      </c>
    </row>
    <row r="120" spans="1:64" x14ac:dyDescent="0.2">
      <c r="A120">
        <v>824994</v>
      </c>
      <c r="B120" t="s">
        <v>419</v>
      </c>
      <c r="C120" s="3">
        <v>46187</v>
      </c>
      <c r="D120">
        <v>6.2</v>
      </c>
      <c r="E120">
        <v>2</v>
      </c>
      <c r="F120">
        <v>8</v>
      </c>
      <c r="G120" t="s">
        <v>92</v>
      </c>
      <c r="H120">
        <v>156</v>
      </c>
      <c r="I120">
        <v>0.39</v>
      </c>
      <c r="J120">
        <v>171</v>
      </c>
      <c r="K120">
        <v>0.369004</v>
      </c>
      <c r="L120">
        <v>0.36113769864804801</v>
      </c>
      <c r="M120">
        <v>608372</v>
      </c>
      <c r="N120" t="b">
        <v>0</v>
      </c>
      <c r="O120">
        <v>185.7</v>
      </c>
      <c r="P120">
        <v>129.19999999999999</v>
      </c>
      <c r="Q120">
        <v>129.19999999999999</v>
      </c>
      <c r="R120" t="s">
        <v>126</v>
      </c>
      <c r="S120">
        <v>142.69999999999999</v>
      </c>
      <c r="T120">
        <v>142.69999999999999</v>
      </c>
      <c r="U120" t="s">
        <v>78</v>
      </c>
      <c r="V120">
        <v>20</v>
      </c>
      <c r="W120" t="s">
        <v>107</v>
      </c>
      <c r="X120">
        <v>-174</v>
      </c>
      <c r="Y120">
        <v>0.64</v>
      </c>
      <c r="Z120">
        <v>-188</v>
      </c>
      <c r="AA120">
        <v>0.65277799999999997</v>
      </c>
      <c r="AB120">
        <v>0.63886230135195099</v>
      </c>
      <c r="AC120">
        <v>605488</v>
      </c>
      <c r="AD120" t="b">
        <v>0</v>
      </c>
      <c r="AE120">
        <v>122.2</v>
      </c>
      <c r="AF120">
        <v>-101.1</v>
      </c>
      <c r="AG120">
        <v>-101.1</v>
      </c>
      <c r="AH120" t="s">
        <v>73</v>
      </c>
      <c r="AI120">
        <v>-142.69999999999999</v>
      </c>
      <c r="AJ120" t="s">
        <v>420</v>
      </c>
      <c r="AK120" t="s">
        <v>81</v>
      </c>
      <c r="AL120" t="s">
        <v>880</v>
      </c>
      <c r="AM120" t="s">
        <v>75</v>
      </c>
      <c r="AN120">
        <v>15</v>
      </c>
      <c r="AO120">
        <v>1</v>
      </c>
      <c r="AP120">
        <v>0.59</v>
      </c>
      <c r="AQ120">
        <v>-4.8860000000000001E-2</v>
      </c>
      <c r="AR120">
        <v>-143.9</v>
      </c>
      <c r="AS120" t="s">
        <v>75</v>
      </c>
      <c r="AT120">
        <v>0</v>
      </c>
      <c r="AU120">
        <v>0</v>
      </c>
      <c r="AV120" t="s">
        <v>881</v>
      </c>
      <c r="AW120" t="s">
        <v>75</v>
      </c>
      <c r="AX120">
        <v>41</v>
      </c>
      <c r="AY120">
        <v>0.95</v>
      </c>
      <c r="AZ120">
        <v>0.57999999999999996</v>
      </c>
      <c r="BA120">
        <v>-5.8860000000000003E-2</v>
      </c>
      <c r="BB120">
        <v>-138.1</v>
      </c>
      <c r="BC120" t="s">
        <v>75</v>
      </c>
      <c r="BD120">
        <v>0</v>
      </c>
      <c r="BE120">
        <v>0</v>
      </c>
      <c r="BF120" t="s">
        <v>83</v>
      </c>
      <c r="BG120">
        <v>0</v>
      </c>
      <c r="BH120">
        <v>0</v>
      </c>
      <c r="BI120">
        <v>0</v>
      </c>
      <c r="BJ120">
        <v>0</v>
      </c>
      <c r="BK120">
        <v>0</v>
      </c>
      <c r="BL120" t="s">
        <v>421</v>
      </c>
    </row>
    <row r="121" spans="1:64" x14ac:dyDescent="0.2">
      <c r="A121">
        <v>823368</v>
      </c>
      <c r="B121" t="s">
        <v>422</v>
      </c>
      <c r="C121" s="3">
        <v>46187</v>
      </c>
      <c r="D121">
        <v>6.2</v>
      </c>
      <c r="E121">
        <v>2</v>
      </c>
      <c r="F121">
        <v>11</v>
      </c>
      <c r="G121" t="s">
        <v>103</v>
      </c>
      <c r="H121">
        <v>140</v>
      </c>
      <c r="I121">
        <v>0.42</v>
      </c>
      <c r="J121">
        <v>138</v>
      </c>
      <c r="K121">
        <v>0.42016799999999999</v>
      </c>
      <c r="L121">
        <v>0.411861575740466</v>
      </c>
      <c r="M121">
        <v>676974</v>
      </c>
      <c r="N121" t="b">
        <v>0</v>
      </c>
      <c r="O121">
        <v>-185.7</v>
      </c>
      <c r="P121">
        <v>-102.2</v>
      </c>
      <c r="Q121">
        <v>-102.2</v>
      </c>
      <c r="R121" t="s">
        <v>73</v>
      </c>
      <c r="S121">
        <v>109.3</v>
      </c>
      <c r="T121">
        <v>109.3</v>
      </c>
      <c r="U121" t="s">
        <v>73</v>
      </c>
      <c r="V121">
        <v>22</v>
      </c>
      <c r="W121" t="s">
        <v>72</v>
      </c>
      <c r="X121">
        <v>-155</v>
      </c>
      <c r="Y121">
        <v>0.61</v>
      </c>
      <c r="Z121">
        <v>-150</v>
      </c>
      <c r="AA121">
        <v>0.6</v>
      </c>
      <c r="AB121">
        <v>0.588138424259533</v>
      </c>
      <c r="AC121">
        <v>694973</v>
      </c>
      <c r="AD121" t="b">
        <v>0</v>
      </c>
      <c r="AE121">
        <v>-100</v>
      </c>
      <c r="AF121">
        <v>100.6</v>
      </c>
      <c r="AG121">
        <v>100.6</v>
      </c>
      <c r="AH121" t="s">
        <v>73</v>
      </c>
      <c r="AI121">
        <v>-109.3</v>
      </c>
      <c r="AJ121">
        <v>-109.3</v>
      </c>
      <c r="AK121" t="s">
        <v>73</v>
      </c>
      <c r="AL121" t="s">
        <v>423</v>
      </c>
      <c r="AM121" t="s">
        <v>75</v>
      </c>
      <c r="AN121">
        <v>15</v>
      </c>
      <c r="AO121">
        <v>0.87</v>
      </c>
      <c r="AP121">
        <v>0.52</v>
      </c>
      <c r="AQ121">
        <v>-6.8140000000000006E-2</v>
      </c>
      <c r="AR121">
        <v>-108.3</v>
      </c>
      <c r="AS121" t="s">
        <v>75</v>
      </c>
      <c r="AT121">
        <v>0</v>
      </c>
      <c r="AU121">
        <v>0</v>
      </c>
      <c r="AV121" t="s">
        <v>424</v>
      </c>
      <c r="AW121" t="s">
        <v>109</v>
      </c>
      <c r="AX121">
        <v>41</v>
      </c>
      <c r="AY121">
        <v>0.93</v>
      </c>
      <c r="AZ121">
        <v>0.47</v>
      </c>
      <c r="BA121">
        <v>-0.11814</v>
      </c>
      <c r="BB121">
        <v>112.8</v>
      </c>
      <c r="BC121" t="s">
        <v>109</v>
      </c>
      <c r="BD121">
        <v>1</v>
      </c>
      <c r="BE121">
        <v>1.38</v>
      </c>
      <c r="BF121" t="s">
        <v>83</v>
      </c>
      <c r="BG121">
        <v>0</v>
      </c>
      <c r="BH121">
        <v>0</v>
      </c>
      <c r="BI121">
        <v>0</v>
      </c>
      <c r="BJ121">
        <v>0</v>
      </c>
      <c r="BK121">
        <v>0</v>
      </c>
      <c r="BL121" t="s">
        <v>425</v>
      </c>
    </row>
    <row r="122" spans="1:64" x14ac:dyDescent="0.2">
      <c r="A122">
        <v>823212</v>
      </c>
      <c r="B122" t="s">
        <v>426</v>
      </c>
      <c r="C122" s="3">
        <v>46187</v>
      </c>
      <c r="D122">
        <v>6.2</v>
      </c>
      <c r="E122">
        <v>2</v>
      </c>
      <c r="F122">
        <v>5</v>
      </c>
      <c r="G122" t="s">
        <v>85</v>
      </c>
      <c r="H122">
        <v>122</v>
      </c>
      <c r="I122">
        <v>0.45</v>
      </c>
      <c r="J122">
        <v>115</v>
      </c>
      <c r="K122">
        <v>0.46511599999999997</v>
      </c>
      <c r="L122">
        <v>0.45658381818949201</v>
      </c>
      <c r="M122">
        <v>669020</v>
      </c>
      <c r="N122" t="b">
        <v>1</v>
      </c>
      <c r="O122">
        <v>150</v>
      </c>
      <c r="P122">
        <v>-111.2</v>
      </c>
      <c r="Q122" t="s">
        <v>427</v>
      </c>
      <c r="R122" t="s">
        <v>81</v>
      </c>
      <c r="S122">
        <v>127.4</v>
      </c>
      <c r="T122">
        <v>127.4</v>
      </c>
      <c r="U122" t="s">
        <v>73</v>
      </c>
      <c r="V122">
        <v>25</v>
      </c>
      <c r="W122" t="s">
        <v>84</v>
      </c>
      <c r="X122">
        <v>-135</v>
      </c>
      <c r="Y122">
        <v>0.56999999999999995</v>
      </c>
      <c r="Z122">
        <v>-124</v>
      </c>
      <c r="AA122">
        <v>0.55357100000000004</v>
      </c>
      <c r="AB122">
        <v>0.54341618181050699</v>
      </c>
      <c r="AC122">
        <v>657277</v>
      </c>
      <c r="AD122" t="b">
        <v>0</v>
      </c>
      <c r="AE122">
        <v>150</v>
      </c>
      <c r="AF122">
        <v>107.2</v>
      </c>
      <c r="AG122">
        <v>107.2</v>
      </c>
      <c r="AH122" t="s">
        <v>73</v>
      </c>
      <c r="AI122">
        <v>-127.4</v>
      </c>
      <c r="AJ122">
        <v>-127.4</v>
      </c>
      <c r="AK122" t="s">
        <v>73</v>
      </c>
      <c r="AL122" t="s">
        <v>882</v>
      </c>
      <c r="AM122" t="s">
        <v>75</v>
      </c>
      <c r="AN122">
        <v>15</v>
      </c>
      <c r="AO122">
        <v>1</v>
      </c>
      <c r="AP122">
        <v>0.53</v>
      </c>
      <c r="AQ122">
        <v>-1.342E-2</v>
      </c>
      <c r="AR122">
        <v>-112.8</v>
      </c>
      <c r="AS122" t="s">
        <v>75</v>
      </c>
      <c r="AT122">
        <v>0</v>
      </c>
      <c r="AU122">
        <v>0</v>
      </c>
      <c r="AV122" t="s">
        <v>883</v>
      </c>
      <c r="AW122" t="s">
        <v>75</v>
      </c>
      <c r="AX122">
        <v>41</v>
      </c>
      <c r="AY122">
        <v>0.9</v>
      </c>
      <c r="AZ122">
        <v>0.51</v>
      </c>
      <c r="BA122">
        <v>-3.3419999999999998E-2</v>
      </c>
      <c r="BB122">
        <v>-104.1</v>
      </c>
      <c r="BC122" t="s">
        <v>75</v>
      </c>
      <c r="BD122">
        <v>0</v>
      </c>
      <c r="BE122">
        <v>0</v>
      </c>
      <c r="BF122" t="s">
        <v>83</v>
      </c>
      <c r="BG122">
        <v>0</v>
      </c>
      <c r="BH122">
        <v>0</v>
      </c>
      <c r="BI122">
        <v>0</v>
      </c>
      <c r="BJ122">
        <v>0</v>
      </c>
      <c r="BK122">
        <v>0</v>
      </c>
      <c r="BL122" t="s">
        <v>428</v>
      </c>
    </row>
    <row r="123" spans="1:64" x14ac:dyDescent="0.2">
      <c r="A123">
        <v>822801</v>
      </c>
      <c r="B123" t="s">
        <v>429</v>
      </c>
      <c r="C123" s="3">
        <v>46187</v>
      </c>
      <c r="D123">
        <v>6.2</v>
      </c>
      <c r="E123">
        <v>2</v>
      </c>
      <c r="F123">
        <v>19</v>
      </c>
      <c r="G123" t="s">
        <v>123</v>
      </c>
      <c r="H123">
        <v>-125</v>
      </c>
      <c r="I123">
        <v>0.56000000000000005</v>
      </c>
      <c r="J123">
        <v>-121</v>
      </c>
      <c r="K123">
        <v>0.54751099999999997</v>
      </c>
      <c r="L123">
        <v>0.53719207738550101</v>
      </c>
      <c r="M123">
        <v>701542</v>
      </c>
      <c r="N123" t="b">
        <v>0</v>
      </c>
      <c r="O123">
        <v>-150</v>
      </c>
      <c r="P123">
        <v>-111.7</v>
      </c>
      <c r="Q123" t="s">
        <v>430</v>
      </c>
      <c r="R123" t="s">
        <v>81</v>
      </c>
      <c r="S123">
        <v>-156.80000000000001</v>
      </c>
      <c r="T123">
        <v>-156.80000000000001</v>
      </c>
      <c r="U123" t="s">
        <v>73</v>
      </c>
      <c r="V123">
        <v>29</v>
      </c>
      <c r="W123" t="s">
        <v>144</v>
      </c>
      <c r="X123">
        <v>113</v>
      </c>
      <c r="Y123">
        <v>0.47</v>
      </c>
      <c r="Z123">
        <v>112</v>
      </c>
      <c r="AA123">
        <v>0.47169800000000001</v>
      </c>
      <c r="AB123">
        <v>0.46280792261449799</v>
      </c>
      <c r="AC123">
        <v>571578</v>
      </c>
      <c r="AD123" t="b">
        <v>0</v>
      </c>
      <c r="AE123">
        <v>-100</v>
      </c>
      <c r="AF123">
        <v>-106.8</v>
      </c>
      <c r="AG123">
        <v>-106.8</v>
      </c>
      <c r="AH123" t="s">
        <v>73</v>
      </c>
      <c r="AI123">
        <v>156.80000000000001</v>
      </c>
      <c r="AJ123">
        <v>156.80000000000001</v>
      </c>
      <c r="AK123" t="s">
        <v>73</v>
      </c>
      <c r="AL123" t="s">
        <v>431</v>
      </c>
      <c r="AM123" t="s">
        <v>94</v>
      </c>
      <c r="AN123">
        <v>15</v>
      </c>
      <c r="AO123">
        <v>0.8</v>
      </c>
      <c r="AP123">
        <v>0.47</v>
      </c>
      <c r="AQ123">
        <v>7.1900000000000002E-3</v>
      </c>
      <c r="AR123">
        <v>112.8</v>
      </c>
      <c r="AS123" t="s">
        <v>94</v>
      </c>
      <c r="AT123">
        <v>0</v>
      </c>
      <c r="AU123">
        <v>0</v>
      </c>
      <c r="AV123" t="s">
        <v>432</v>
      </c>
      <c r="AW123" t="s">
        <v>94</v>
      </c>
      <c r="AX123">
        <v>41</v>
      </c>
      <c r="AY123">
        <v>0.95</v>
      </c>
      <c r="AZ123">
        <v>0.46</v>
      </c>
      <c r="BA123">
        <v>-2.81E-3</v>
      </c>
      <c r="BB123">
        <v>117.4</v>
      </c>
      <c r="BC123" t="s">
        <v>94</v>
      </c>
      <c r="BD123">
        <v>0</v>
      </c>
      <c r="BE123">
        <v>0</v>
      </c>
      <c r="BF123" t="s">
        <v>83</v>
      </c>
      <c r="BG123">
        <v>0</v>
      </c>
      <c r="BH123">
        <v>0</v>
      </c>
      <c r="BI123">
        <v>0</v>
      </c>
      <c r="BJ123">
        <v>0</v>
      </c>
      <c r="BK123">
        <v>0</v>
      </c>
      <c r="BL123" t="s">
        <v>433</v>
      </c>
    </row>
    <row r="124" spans="1:64" x14ac:dyDescent="0.2">
      <c r="A124">
        <v>825071</v>
      </c>
      <c r="B124" t="s">
        <v>1053</v>
      </c>
      <c r="C124" s="3">
        <v>46188</v>
      </c>
      <c r="D124">
        <v>6.3</v>
      </c>
      <c r="E124">
        <v>2</v>
      </c>
      <c r="F124">
        <v>4</v>
      </c>
      <c r="G124" t="s">
        <v>111</v>
      </c>
      <c r="H124">
        <v>116</v>
      </c>
      <c r="I124">
        <v>0.46</v>
      </c>
      <c r="J124">
        <v>116</v>
      </c>
      <c r="K124">
        <v>0.46296300000000001</v>
      </c>
      <c r="L124">
        <v>0.45454527603314199</v>
      </c>
      <c r="M124">
        <v>700712</v>
      </c>
      <c r="N124" t="b">
        <v>0</v>
      </c>
      <c r="O124">
        <v>-122.2</v>
      </c>
      <c r="P124">
        <v>109.2</v>
      </c>
      <c r="Q124">
        <v>109.2</v>
      </c>
      <c r="R124" t="s">
        <v>78</v>
      </c>
      <c r="S124">
        <v>-114.7</v>
      </c>
      <c r="T124">
        <v>-114.7</v>
      </c>
      <c r="U124" t="s">
        <v>73</v>
      </c>
      <c r="V124">
        <v>1</v>
      </c>
      <c r="W124" t="s">
        <v>79</v>
      </c>
      <c r="X124">
        <v>-125</v>
      </c>
      <c r="Y124">
        <v>0.56000000000000005</v>
      </c>
      <c r="Z124">
        <v>-125</v>
      </c>
      <c r="AA124">
        <v>0.55555600000000005</v>
      </c>
      <c r="AB124">
        <v>0.54545472396685701</v>
      </c>
      <c r="AC124">
        <v>669194</v>
      </c>
      <c r="AD124" t="b">
        <v>0</v>
      </c>
      <c r="AE124">
        <v>122.2</v>
      </c>
      <c r="AF124">
        <v>102.5</v>
      </c>
      <c r="AG124">
        <v>102.5</v>
      </c>
      <c r="AH124" t="s">
        <v>73</v>
      </c>
      <c r="AI124">
        <v>114.7</v>
      </c>
      <c r="AJ124">
        <v>114.7</v>
      </c>
      <c r="AK124" t="s">
        <v>73</v>
      </c>
      <c r="AL124" t="s">
        <v>884</v>
      </c>
      <c r="AM124" t="s">
        <v>75</v>
      </c>
      <c r="AN124">
        <v>15</v>
      </c>
      <c r="AO124">
        <v>0.67</v>
      </c>
      <c r="AP124">
        <v>0.51</v>
      </c>
      <c r="AQ124">
        <v>-3.5450000000000002E-2</v>
      </c>
      <c r="AR124">
        <v>-104.1</v>
      </c>
      <c r="AS124" t="s">
        <v>75</v>
      </c>
      <c r="AT124">
        <v>0</v>
      </c>
      <c r="AU124">
        <v>0</v>
      </c>
      <c r="AV124" t="s">
        <v>434</v>
      </c>
      <c r="AW124" t="s">
        <v>75</v>
      </c>
      <c r="AX124">
        <v>41</v>
      </c>
      <c r="AY124">
        <v>0.93</v>
      </c>
      <c r="AZ124">
        <v>0.53</v>
      </c>
      <c r="BA124">
        <v>-1.545E-2</v>
      </c>
      <c r="BB124">
        <v>-112.8</v>
      </c>
      <c r="BC124" t="s">
        <v>75</v>
      </c>
      <c r="BD124">
        <v>0</v>
      </c>
      <c r="BE124">
        <v>0</v>
      </c>
      <c r="BF124" t="s">
        <v>83</v>
      </c>
      <c r="BG124">
        <v>0</v>
      </c>
      <c r="BH124">
        <v>0</v>
      </c>
      <c r="BI124">
        <v>0</v>
      </c>
      <c r="BJ124">
        <v>0</v>
      </c>
      <c r="BK124">
        <v>0</v>
      </c>
      <c r="BL124" t="s">
        <v>435</v>
      </c>
    </row>
    <row r="125" spans="1:64" x14ac:dyDescent="0.2">
      <c r="A125">
        <v>824666</v>
      </c>
      <c r="B125" t="s">
        <v>1054</v>
      </c>
      <c r="C125" s="3">
        <v>46188</v>
      </c>
      <c r="D125">
        <v>6.3</v>
      </c>
      <c r="E125">
        <v>2</v>
      </c>
      <c r="F125">
        <v>8</v>
      </c>
      <c r="G125" t="s">
        <v>92</v>
      </c>
      <c r="H125">
        <v>185</v>
      </c>
      <c r="I125">
        <v>0.35</v>
      </c>
      <c r="J125">
        <v>186</v>
      </c>
      <c r="K125">
        <v>0.34965000000000002</v>
      </c>
      <c r="L125">
        <v>0.34219661551741498</v>
      </c>
      <c r="M125">
        <v>547179</v>
      </c>
      <c r="N125" t="b">
        <v>0</v>
      </c>
      <c r="O125">
        <v>185.7</v>
      </c>
      <c r="P125">
        <v>127.8</v>
      </c>
      <c r="Q125">
        <v>127.8</v>
      </c>
      <c r="R125" t="s">
        <v>126</v>
      </c>
      <c r="S125">
        <v>132.80000000000001</v>
      </c>
      <c r="T125">
        <v>132.80000000000001</v>
      </c>
      <c r="U125" t="s">
        <v>73</v>
      </c>
      <c r="V125">
        <v>5</v>
      </c>
      <c r="W125" t="s">
        <v>85</v>
      </c>
      <c r="X125">
        <v>-204</v>
      </c>
      <c r="Y125">
        <v>0.67</v>
      </c>
      <c r="Z125">
        <v>-205</v>
      </c>
      <c r="AA125">
        <v>0.67213100000000003</v>
      </c>
      <c r="AB125">
        <v>0.65780338448258402</v>
      </c>
      <c r="AC125">
        <v>684007</v>
      </c>
      <c r="AD125" t="b">
        <v>0</v>
      </c>
      <c r="AE125">
        <v>150</v>
      </c>
      <c r="AF125">
        <v>-110.6</v>
      </c>
      <c r="AG125" t="s">
        <v>436</v>
      </c>
      <c r="AH125" t="s">
        <v>81</v>
      </c>
      <c r="AI125">
        <v>-132.80000000000001</v>
      </c>
      <c r="AJ125">
        <v>-132.80000000000001</v>
      </c>
      <c r="AK125" t="s">
        <v>73</v>
      </c>
      <c r="AL125" t="s">
        <v>885</v>
      </c>
      <c r="AM125" t="s">
        <v>75</v>
      </c>
      <c r="AN125">
        <v>15</v>
      </c>
      <c r="AO125">
        <v>1</v>
      </c>
      <c r="AP125">
        <v>0.61</v>
      </c>
      <c r="AQ125">
        <v>-4.7800000000000002E-2</v>
      </c>
      <c r="AR125">
        <v>-156.4</v>
      </c>
      <c r="AS125" t="s">
        <v>75</v>
      </c>
      <c r="AT125">
        <v>0</v>
      </c>
      <c r="AU125">
        <v>0</v>
      </c>
      <c r="AV125" t="s">
        <v>437</v>
      </c>
      <c r="AW125" t="s">
        <v>75</v>
      </c>
      <c r="AX125">
        <v>41</v>
      </c>
      <c r="AY125">
        <v>1</v>
      </c>
      <c r="AZ125">
        <v>0.59</v>
      </c>
      <c r="BA125">
        <v>-6.7799999999999999E-2</v>
      </c>
      <c r="BB125">
        <v>-143.9</v>
      </c>
      <c r="BC125" t="s">
        <v>75</v>
      </c>
      <c r="BD125">
        <v>0</v>
      </c>
      <c r="BE125">
        <v>0</v>
      </c>
      <c r="BF125" t="s">
        <v>83</v>
      </c>
      <c r="BG125">
        <v>0</v>
      </c>
      <c r="BH125">
        <v>0</v>
      </c>
      <c r="BI125">
        <v>0</v>
      </c>
      <c r="BJ125">
        <v>0</v>
      </c>
      <c r="BK125">
        <v>0</v>
      </c>
      <c r="BL125" t="s">
        <v>438</v>
      </c>
    </row>
    <row r="126" spans="1:64" x14ac:dyDescent="0.2">
      <c r="A126">
        <v>824505</v>
      </c>
      <c r="B126" t="s">
        <v>1055</v>
      </c>
      <c r="C126" s="3">
        <v>46188</v>
      </c>
      <c r="D126">
        <v>6.3</v>
      </c>
      <c r="E126">
        <v>2</v>
      </c>
      <c r="F126">
        <v>18</v>
      </c>
      <c r="G126" t="s">
        <v>129</v>
      </c>
      <c r="H126">
        <v>124</v>
      </c>
      <c r="I126">
        <v>0.45</v>
      </c>
      <c r="J126">
        <v>121</v>
      </c>
      <c r="K126">
        <v>0.45248899999999997</v>
      </c>
      <c r="L126">
        <v>0.443795490143577</v>
      </c>
      <c r="M126">
        <v>668964</v>
      </c>
      <c r="N126" t="b">
        <v>0</v>
      </c>
      <c r="O126">
        <v>-100</v>
      </c>
      <c r="P126">
        <v>106.3</v>
      </c>
      <c r="Q126">
        <v>106.3</v>
      </c>
      <c r="R126" t="s">
        <v>73</v>
      </c>
      <c r="S126">
        <v>690</v>
      </c>
      <c r="T126">
        <v>690</v>
      </c>
      <c r="U126" t="s">
        <v>126</v>
      </c>
      <c r="V126">
        <v>6</v>
      </c>
      <c r="W126" t="s">
        <v>133</v>
      </c>
      <c r="X126">
        <v>-134</v>
      </c>
      <c r="Y126">
        <v>0.56999999999999995</v>
      </c>
      <c r="Z126">
        <v>-131</v>
      </c>
      <c r="AA126">
        <v>0.56710000000000005</v>
      </c>
      <c r="AB126">
        <v>0.556204509856422</v>
      </c>
      <c r="AC126">
        <v>695505</v>
      </c>
      <c r="AD126" t="b">
        <v>0</v>
      </c>
      <c r="AE126">
        <v>185.7</v>
      </c>
      <c r="AF126">
        <v>109.4</v>
      </c>
      <c r="AG126">
        <v>109.4</v>
      </c>
      <c r="AH126" t="s">
        <v>73</v>
      </c>
      <c r="AI126">
        <v>-690</v>
      </c>
      <c r="AJ126">
        <v>-690</v>
      </c>
      <c r="AK126" t="s">
        <v>128</v>
      </c>
      <c r="AL126" t="s">
        <v>886</v>
      </c>
      <c r="AM126" t="s">
        <v>75</v>
      </c>
      <c r="AN126">
        <v>15</v>
      </c>
      <c r="AO126">
        <v>0.87</v>
      </c>
      <c r="AP126">
        <v>0.53</v>
      </c>
      <c r="AQ126">
        <v>-2.6200000000000001E-2</v>
      </c>
      <c r="AR126">
        <v>-112.8</v>
      </c>
      <c r="AS126" t="s">
        <v>75</v>
      </c>
      <c r="AT126">
        <v>0</v>
      </c>
      <c r="AU126">
        <v>0</v>
      </c>
      <c r="AV126" t="s">
        <v>887</v>
      </c>
      <c r="AW126" t="s">
        <v>75</v>
      </c>
      <c r="AX126">
        <v>41</v>
      </c>
      <c r="AY126">
        <v>0.83</v>
      </c>
      <c r="AZ126">
        <v>0.51</v>
      </c>
      <c r="BA126">
        <v>-4.6199999999999998E-2</v>
      </c>
      <c r="BB126">
        <v>-104.1</v>
      </c>
      <c r="BC126" t="s">
        <v>75</v>
      </c>
      <c r="BD126">
        <v>0</v>
      </c>
      <c r="BE126">
        <v>0</v>
      </c>
      <c r="BF126" t="s">
        <v>83</v>
      </c>
      <c r="BG126">
        <v>0</v>
      </c>
      <c r="BH126">
        <v>0</v>
      </c>
      <c r="BI126">
        <v>0</v>
      </c>
      <c r="BJ126">
        <v>0</v>
      </c>
      <c r="BK126">
        <v>0</v>
      </c>
      <c r="BL126" t="s">
        <v>439</v>
      </c>
    </row>
    <row r="127" spans="1:64" x14ac:dyDescent="0.2">
      <c r="A127">
        <v>824181</v>
      </c>
      <c r="B127" t="s">
        <v>1056</v>
      </c>
      <c r="C127" s="3">
        <v>46188</v>
      </c>
      <c r="D127">
        <v>6.3</v>
      </c>
      <c r="E127">
        <v>2</v>
      </c>
      <c r="F127">
        <v>10</v>
      </c>
      <c r="G127" t="s">
        <v>97</v>
      </c>
      <c r="H127">
        <v>110</v>
      </c>
      <c r="I127">
        <v>0.48</v>
      </c>
      <c r="J127">
        <v>106</v>
      </c>
      <c r="K127">
        <v>0.48543700000000001</v>
      </c>
      <c r="L127">
        <v>0.47678478647975198</v>
      </c>
      <c r="M127">
        <v>623454</v>
      </c>
      <c r="N127" t="b">
        <v>0</v>
      </c>
      <c r="O127">
        <v>122.2</v>
      </c>
      <c r="P127">
        <v>-101.3</v>
      </c>
      <c r="Q127">
        <v>-101.3</v>
      </c>
      <c r="R127" t="s">
        <v>73</v>
      </c>
      <c r="S127">
        <v>-169.1</v>
      </c>
      <c r="T127" t="s">
        <v>440</v>
      </c>
      <c r="U127" t="s">
        <v>81</v>
      </c>
      <c r="V127">
        <v>12</v>
      </c>
      <c r="W127" t="s">
        <v>108</v>
      </c>
      <c r="X127">
        <v>-119</v>
      </c>
      <c r="Y127">
        <v>0.54</v>
      </c>
      <c r="Z127">
        <v>-114</v>
      </c>
      <c r="AA127">
        <v>0.53271000000000002</v>
      </c>
      <c r="AB127">
        <v>0.52321521352024802</v>
      </c>
      <c r="AC127">
        <v>678906</v>
      </c>
      <c r="AD127" t="b">
        <v>0</v>
      </c>
      <c r="AE127">
        <v>-122.2</v>
      </c>
      <c r="AF127">
        <v>104.7</v>
      </c>
      <c r="AG127">
        <v>104.7</v>
      </c>
      <c r="AH127" t="s">
        <v>73</v>
      </c>
      <c r="AI127">
        <v>169.1</v>
      </c>
      <c r="AJ127">
        <v>169.1</v>
      </c>
      <c r="AK127" t="s">
        <v>78</v>
      </c>
      <c r="AL127" t="s">
        <v>888</v>
      </c>
      <c r="AM127" t="s">
        <v>109</v>
      </c>
      <c r="AN127">
        <v>15</v>
      </c>
      <c r="AO127">
        <v>0.8</v>
      </c>
      <c r="AP127">
        <v>0.49</v>
      </c>
      <c r="AQ127">
        <v>-3.322E-2</v>
      </c>
      <c r="AR127">
        <v>104.1</v>
      </c>
      <c r="AS127" t="s">
        <v>109</v>
      </c>
      <c r="AT127">
        <v>1</v>
      </c>
      <c r="AU127">
        <v>1.06</v>
      </c>
      <c r="AV127" t="s">
        <v>889</v>
      </c>
      <c r="AW127" t="s">
        <v>109</v>
      </c>
      <c r="AX127">
        <v>41</v>
      </c>
      <c r="AY127">
        <v>1</v>
      </c>
      <c r="AZ127">
        <v>0.47</v>
      </c>
      <c r="BA127">
        <v>-5.3220000000000003E-2</v>
      </c>
      <c r="BB127">
        <v>112.8</v>
      </c>
      <c r="BC127" t="s">
        <v>109</v>
      </c>
      <c r="BD127">
        <v>1</v>
      </c>
      <c r="BE127">
        <v>1.06</v>
      </c>
      <c r="BF127" t="s">
        <v>109</v>
      </c>
      <c r="BG127">
        <v>-3.322E-2</v>
      </c>
      <c r="BH127">
        <v>0</v>
      </c>
      <c r="BI127">
        <v>0</v>
      </c>
      <c r="BJ127">
        <v>5</v>
      </c>
      <c r="BK127">
        <v>0.8</v>
      </c>
      <c r="BL127" t="s">
        <v>441</v>
      </c>
    </row>
    <row r="128" spans="1:64" x14ac:dyDescent="0.2">
      <c r="A128">
        <v>823938</v>
      </c>
      <c r="B128" t="s">
        <v>1057</v>
      </c>
      <c r="C128" s="3">
        <v>46188</v>
      </c>
      <c r="D128">
        <v>6.3</v>
      </c>
      <c r="E128">
        <v>2</v>
      </c>
      <c r="F128">
        <v>27</v>
      </c>
      <c r="G128" t="s">
        <v>101</v>
      </c>
      <c r="H128">
        <v>149</v>
      </c>
      <c r="I128">
        <v>0.4</v>
      </c>
      <c r="J128">
        <v>158</v>
      </c>
      <c r="K128">
        <v>0.38759700000000002</v>
      </c>
      <c r="L128">
        <v>0.38001568704348199</v>
      </c>
      <c r="M128">
        <v>607259</v>
      </c>
      <c r="N128" t="b">
        <v>0</v>
      </c>
      <c r="O128">
        <v>150</v>
      </c>
      <c r="P128">
        <v>-102</v>
      </c>
      <c r="Q128">
        <v>-102</v>
      </c>
      <c r="R128" t="s">
        <v>73</v>
      </c>
      <c r="S128">
        <v>-101.5</v>
      </c>
      <c r="T128">
        <v>-101.5</v>
      </c>
      <c r="U128" t="s">
        <v>73</v>
      </c>
      <c r="V128">
        <v>14</v>
      </c>
      <c r="W128" t="s">
        <v>113</v>
      </c>
      <c r="X128">
        <v>-162</v>
      </c>
      <c r="Y128">
        <v>0.62</v>
      </c>
      <c r="Z128">
        <v>-172</v>
      </c>
      <c r="AA128">
        <v>0.63235300000000005</v>
      </c>
      <c r="AB128">
        <v>0.61998431295651701</v>
      </c>
      <c r="AC128">
        <v>641778</v>
      </c>
      <c r="AD128" t="b">
        <v>0</v>
      </c>
      <c r="AE128">
        <v>-185.7</v>
      </c>
      <c r="AF128">
        <v>-117.1</v>
      </c>
      <c r="AG128" t="s">
        <v>90</v>
      </c>
      <c r="AH128" t="s">
        <v>81</v>
      </c>
      <c r="AI128">
        <v>101.5</v>
      </c>
      <c r="AJ128">
        <v>101.5</v>
      </c>
      <c r="AK128" t="s">
        <v>73</v>
      </c>
      <c r="AL128" t="s">
        <v>890</v>
      </c>
      <c r="AM128" t="s">
        <v>75</v>
      </c>
      <c r="AN128">
        <v>15</v>
      </c>
      <c r="AO128">
        <v>0.87</v>
      </c>
      <c r="AP128">
        <v>0.57999999999999996</v>
      </c>
      <c r="AQ128">
        <v>-3.9980000000000002E-2</v>
      </c>
      <c r="AR128">
        <v>-138.1</v>
      </c>
      <c r="AS128" t="s">
        <v>75</v>
      </c>
      <c r="AT128">
        <v>0</v>
      </c>
      <c r="AU128">
        <v>0</v>
      </c>
      <c r="AV128" t="s">
        <v>442</v>
      </c>
      <c r="AW128" t="s">
        <v>75</v>
      </c>
      <c r="AX128">
        <v>41</v>
      </c>
      <c r="AY128">
        <v>0.93</v>
      </c>
      <c r="AZ128">
        <v>0.55000000000000004</v>
      </c>
      <c r="BA128">
        <v>-6.9980000000000001E-2</v>
      </c>
      <c r="BB128">
        <v>-122.2</v>
      </c>
      <c r="BC128" t="s">
        <v>75</v>
      </c>
      <c r="BD128">
        <v>0</v>
      </c>
      <c r="BE128">
        <v>0</v>
      </c>
      <c r="BF128" t="s">
        <v>83</v>
      </c>
      <c r="BG128">
        <v>0</v>
      </c>
      <c r="BH128">
        <v>0</v>
      </c>
      <c r="BI128">
        <v>0</v>
      </c>
      <c r="BJ128">
        <v>0</v>
      </c>
      <c r="BK128">
        <v>0</v>
      </c>
      <c r="BL128" t="s">
        <v>443</v>
      </c>
    </row>
    <row r="129" spans="1:64" x14ac:dyDescent="0.2">
      <c r="A129">
        <v>822724</v>
      </c>
      <c r="B129" t="s">
        <v>444</v>
      </c>
      <c r="C129" s="3">
        <v>46188</v>
      </c>
      <c r="D129">
        <v>6.3</v>
      </c>
      <c r="E129">
        <v>2</v>
      </c>
      <c r="F129">
        <v>13</v>
      </c>
      <c r="G129" t="s">
        <v>118</v>
      </c>
      <c r="H129">
        <v>114</v>
      </c>
      <c r="I129">
        <v>0.47</v>
      </c>
      <c r="J129">
        <v>118</v>
      </c>
      <c r="K129">
        <v>0.45871600000000001</v>
      </c>
      <c r="L129">
        <v>0.45052235002018198</v>
      </c>
      <c r="M129">
        <v>687765</v>
      </c>
      <c r="N129" t="b">
        <v>1</v>
      </c>
      <c r="O129">
        <v>150</v>
      </c>
      <c r="P129">
        <v>100.4</v>
      </c>
      <c r="Q129">
        <v>100.4</v>
      </c>
      <c r="R129" t="s">
        <v>73</v>
      </c>
      <c r="S129">
        <v>-114</v>
      </c>
      <c r="T129">
        <v>-114</v>
      </c>
      <c r="U129" t="s">
        <v>73</v>
      </c>
      <c r="V129">
        <v>16</v>
      </c>
      <c r="W129" t="s">
        <v>77</v>
      </c>
      <c r="X129">
        <v>-124</v>
      </c>
      <c r="Y129">
        <v>0.55000000000000004</v>
      </c>
      <c r="Z129">
        <v>-127</v>
      </c>
      <c r="AA129">
        <v>0.55947100000000005</v>
      </c>
      <c r="AB129">
        <v>0.54947764997981696</v>
      </c>
      <c r="AC129">
        <v>674841</v>
      </c>
      <c r="AD129" t="b">
        <v>0</v>
      </c>
      <c r="AE129">
        <v>-150</v>
      </c>
      <c r="AF129">
        <v>111.7</v>
      </c>
      <c r="AG129">
        <v>111.7</v>
      </c>
      <c r="AH129" t="s">
        <v>78</v>
      </c>
      <c r="AI129">
        <v>114</v>
      </c>
      <c r="AJ129">
        <v>114</v>
      </c>
      <c r="AK129" t="s">
        <v>73</v>
      </c>
      <c r="AL129" t="s">
        <v>445</v>
      </c>
      <c r="AM129" t="s">
        <v>75</v>
      </c>
      <c r="AN129">
        <v>15</v>
      </c>
      <c r="AO129">
        <v>0.8</v>
      </c>
      <c r="AP129">
        <v>0.51</v>
      </c>
      <c r="AQ129">
        <v>-3.9480000000000001E-2</v>
      </c>
      <c r="AR129">
        <v>-104.1</v>
      </c>
      <c r="AS129" t="s">
        <v>75</v>
      </c>
      <c r="AT129">
        <v>0</v>
      </c>
      <c r="AU129">
        <v>0</v>
      </c>
      <c r="AV129" t="s">
        <v>446</v>
      </c>
      <c r="AW129" t="s">
        <v>109</v>
      </c>
      <c r="AX129">
        <v>41</v>
      </c>
      <c r="AY129">
        <v>0.9</v>
      </c>
      <c r="AZ129">
        <v>0.46</v>
      </c>
      <c r="BA129">
        <v>-8.9480000000000004E-2</v>
      </c>
      <c r="BB129">
        <v>117.4</v>
      </c>
      <c r="BC129" t="s">
        <v>109</v>
      </c>
      <c r="BD129">
        <v>0</v>
      </c>
      <c r="BE129">
        <v>0</v>
      </c>
      <c r="BF129" t="s">
        <v>83</v>
      </c>
      <c r="BG129">
        <v>0</v>
      </c>
      <c r="BH129">
        <v>0</v>
      </c>
      <c r="BI129">
        <v>0</v>
      </c>
      <c r="BJ129">
        <v>0</v>
      </c>
      <c r="BK129">
        <v>0</v>
      </c>
      <c r="BL129" t="s">
        <v>447</v>
      </c>
    </row>
    <row r="130" spans="1:64" x14ac:dyDescent="0.2">
      <c r="A130">
        <v>824993</v>
      </c>
      <c r="B130" t="s">
        <v>448</v>
      </c>
      <c r="C130" s="3">
        <v>46188</v>
      </c>
      <c r="D130">
        <v>6.3</v>
      </c>
      <c r="E130">
        <v>2</v>
      </c>
      <c r="F130">
        <v>22</v>
      </c>
      <c r="G130" t="s">
        <v>72</v>
      </c>
      <c r="H130">
        <v>105</v>
      </c>
      <c r="I130">
        <v>0.49</v>
      </c>
      <c r="J130">
        <v>107</v>
      </c>
      <c r="K130">
        <v>0.48309200000000002</v>
      </c>
      <c r="L130">
        <v>0.473559716467231</v>
      </c>
      <c r="M130">
        <v>683003</v>
      </c>
      <c r="N130" t="b">
        <v>0</v>
      </c>
      <c r="O130">
        <v>-100</v>
      </c>
      <c r="P130">
        <v>100.7</v>
      </c>
      <c r="Q130">
        <v>100.7</v>
      </c>
      <c r="R130" t="s">
        <v>73</v>
      </c>
      <c r="S130">
        <v>106.2</v>
      </c>
      <c r="T130">
        <v>106.2</v>
      </c>
      <c r="U130" t="s">
        <v>73</v>
      </c>
      <c r="V130">
        <v>20</v>
      </c>
      <c r="W130" t="s">
        <v>107</v>
      </c>
      <c r="X130">
        <v>-113</v>
      </c>
      <c r="Y130">
        <v>0.53</v>
      </c>
      <c r="Z130">
        <v>-116</v>
      </c>
      <c r="AA130">
        <v>0.53703699999999999</v>
      </c>
      <c r="AB130">
        <v>0.52644028353276795</v>
      </c>
      <c r="AC130">
        <v>669372</v>
      </c>
      <c r="AD130" t="b">
        <v>0</v>
      </c>
      <c r="AE130">
        <v>122.2</v>
      </c>
      <c r="AF130">
        <v>-100.1</v>
      </c>
      <c r="AG130">
        <v>-100.1</v>
      </c>
      <c r="AH130" t="s">
        <v>73</v>
      </c>
      <c r="AI130">
        <v>-106.2</v>
      </c>
      <c r="AJ130">
        <v>-106.2</v>
      </c>
      <c r="AK130" t="s">
        <v>73</v>
      </c>
      <c r="AL130" t="s">
        <v>449</v>
      </c>
      <c r="AM130" t="s">
        <v>75</v>
      </c>
      <c r="AN130">
        <v>15</v>
      </c>
      <c r="AO130">
        <v>1</v>
      </c>
      <c r="AP130">
        <v>0.54</v>
      </c>
      <c r="AQ130">
        <v>1.3559999999999999E-2</v>
      </c>
      <c r="AR130">
        <v>-117.4</v>
      </c>
      <c r="AS130" t="s">
        <v>75</v>
      </c>
      <c r="AT130">
        <v>1</v>
      </c>
      <c r="AU130">
        <v>0.86199999999999999</v>
      </c>
      <c r="AV130" t="s">
        <v>450</v>
      </c>
      <c r="AW130" t="s">
        <v>75</v>
      </c>
      <c r="AX130">
        <v>41</v>
      </c>
      <c r="AY130">
        <v>1</v>
      </c>
      <c r="AZ130">
        <v>0.55000000000000004</v>
      </c>
      <c r="BA130">
        <v>2.3560000000000001E-2</v>
      </c>
      <c r="BB130">
        <v>-122.2</v>
      </c>
      <c r="BC130" t="s">
        <v>75</v>
      </c>
      <c r="BD130">
        <v>1</v>
      </c>
      <c r="BE130">
        <v>0.86199999999999999</v>
      </c>
      <c r="BF130" t="s">
        <v>75</v>
      </c>
      <c r="BG130">
        <v>1.3559999999999999E-2</v>
      </c>
      <c r="BH130">
        <v>0</v>
      </c>
      <c r="BI130">
        <v>0</v>
      </c>
      <c r="BJ130">
        <v>1</v>
      </c>
      <c r="BK130">
        <v>1</v>
      </c>
      <c r="BL130" t="s">
        <v>451</v>
      </c>
    </row>
    <row r="131" spans="1:64" x14ac:dyDescent="0.2">
      <c r="A131">
        <v>823452</v>
      </c>
      <c r="B131" t="s">
        <v>1058</v>
      </c>
      <c r="C131" s="3">
        <v>46188</v>
      </c>
      <c r="D131">
        <v>6.3</v>
      </c>
      <c r="E131">
        <v>2</v>
      </c>
      <c r="F131">
        <v>11</v>
      </c>
      <c r="G131" t="s">
        <v>103</v>
      </c>
      <c r="H131">
        <v>175</v>
      </c>
      <c r="I131">
        <v>0.36</v>
      </c>
      <c r="J131">
        <v>170</v>
      </c>
      <c r="K131">
        <v>0.37036999999999998</v>
      </c>
      <c r="L131">
        <v>0.36285171251665399</v>
      </c>
      <c r="M131">
        <v>687473</v>
      </c>
      <c r="N131" t="b">
        <v>0</v>
      </c>
      <c r="O131">
        <v>-185.7</v>
      </c>
      <c r="P131">
        <v>-102.3</v>
      </c>
      <c r="Q131">
        <v>-102.3</v>
      </c>
      <c r="R131" t="s">
        <v>73</v>
      </c>
      <c r="S131">
        <v>245</v>
      </c>
      <c r="T131">
        <v>245</v>
      </c>
      <c r="U131" t="s">
        <v>112</v>
      </c>
      <c r="V131">
        <v>21</v>
      </c>
      <c r="W131" t="s">
        <v>127</v>
      </c>
      <c r="X131">
        <v>-192</v>
      </c>
      <c r="Y131">
        <v>0.66</v>
      </c>
      <c r="Z131">
        <v>-186</v>
      </c>
      <c r="AA131">
        <v>0.65034999999999998</v>
      </c>
      <c r="AB131">
        <v>0.63714828748334496</v>
      </c>
      <c r="AC131">
        <v>554430</v>
      </c>
      <c r="AD131" t="b">
        <v>0</v>
      </c>
      <c r="AE131">
        <v>-185.7</v>
      </c>
      <c r="AF131">
        <v>-106.1</v>
      </c>
      <c r="AG131">
        <v>-106.1</v>
      </c>
      <c r="AH131" t="s">
        <v>73</v>
      </c>
      <c r="AI131">
        <v>-245</v>
      </c>
      <c r="AJ131" t="s">
        <v>452</v>
      </c>
      <c r="AK131" t="s">
        <v>116</v>
      </c>
      <c r="AL131" t="s">
        <v>891</v>
      </c>
      <c r="AM131" t="s">
        <v>75</v>
      </c>
      <c r="AN131">
        <v>15</v>
      </c>
      <c r="AO131">
        <v>0.87</v>
      </c>
      <c r="AP131">
        <v>0.55000000000000004</v>
      </c>
      <c r="AQ131">
        <v>-8.7150000000000005E-2</v>
      </c>
      <c r="AR131">
        <v>-122.2</v>
      </c>
      <c r="AS131" t="s">
        <v>75</v>
      </c>
      <c r="AT131">
        <v>0</v>
      </c>
      <c r="AU131">
        <v>0</v>
      </c>
      <c r="AV131" t="s">
        <v>892</v>
      </c>
      <c r="AW131" t="s">
        <v>75</v>
      </c>
      <c r="AX131">
        <v>41</v>
      </c>
      <c r="AY131">
        <v>0.93</v>
      </c>
      <c r="AZ131">
        <v>0.55000000000000004</v>
      </c>
      <c r="BA131">
        <v>-8.7150000000000005E-2</v>
      </c>
      <c r="BB131">
        <v>-122.2</v>
      </c>
      <c r="BC131" t="s">
        <v>75</v>
      </c>
      <c r="BD131">
        <v>0</v>
      </c>
      <c r="BE131">
        <v>0</v>
      </c>
      <c r="BF131" t="s">
        <v>83</v>
      </c>
      <c r="BG131">
        <v>0</v>
      </c>
      <c r="BH131">
        <v>0</v>
      </c>
      <c r="BI131">
        <v>0</v>
      </c>
      <c r="BJ131">
        <v>0</v>
      </c>
      <c r="BK131">
        <v>0</v>
      </c>
      <c r="BL131" t="s">
        <v>453</v>
      </c>
    </row>
    <row r="132" spans="1:64" x14ac:dyDescent="0.2">
      <c r="A132">
        <v>823046</v>
      </c>
      <c r="B132" t="s">
        <v>454</v>
      </c>
      <c r="C132" s="3">
        <v>46188</v>
      </c>
      <c r="D132">
        <v>6.3</v>
      </c>
      <c r="E132">
        <v>2</v>
      </c>
      <c r="F132">
        <v>23</v>
      </c>
      <c r="G132" t="s">
        <v>130</v>
      </c>
      <c r="H132">
        <v>137</v>
      </c>
      <c r="I132">
        <v>0.42</v>
      </c>
      <c r="J132">
        <v>146</v>
      </c>
      <c r="K132">
        <v>0.40650399999999998</v>
      </c>
      <c r="L132">
        <v>0.39837554537222503</v>
      </c>
      <c r="M132">
        <v>593974</v>
      </c>
      <c r="N132" t="b">
        <v>0</v>
      </c>
      <c r="O132">
        <v>185.7</v>
      </c>
      <c r="P132">
        <v>-101.5</v>
      </c>
      <c r="Q132">
        <v>-101.5</v>
      </c>
      <c r="R132" t="s">
        <v>73</v>
      </c>
      <c r="S132">
        <v>254</v>
      </c>
      <c r="T132">
        <v>254</v>
      </c>
      <c r="U132" t="s">
        <v>112</v>
      </c>
      <c r="V132">
        <v>26</v>
      </c>
      <c r="W132" t="s">
        <v>134</v>
      </c>
      <c r="X132">
        <v>-149</v>
      </c>
      <c r="Y132">
        <v>0.6</v>
      </c>
      <c r="Z132">
        <v>-159</v>
      </c>
      <c r="AA132">
        <v>0.6139</v>
      </c>
      <c r="AB132">
        <v>0.60162445462777403</v>
      </c>
      <c r="AC132">
        <v>669160</v>
      </c>
      <c r="AD132" t="b">
        <v>0</v>
      </c>
      <c r="AE132">
        <v>-100</v>
      </c>
      <c r="AF132">
        <v>107.2</v>
      </c>
      <c r="AG132">
        <v>107.2</v>
      </c>
      <c r="AH132" t="s">
        <v>73</v>
      </c>
      <c r="AI132">
        <v>-254</v>
      </c>
      <c r="AJ132" t="s">
        <v>455</v>
      </c>
      <c r="AK132" t="s">
        <v>116</v>
      </c>
      <c r="AL132" t="s">
        <v>456</v>
      </c>
      <c r="AM132" t="s">
        <v>75</v>
      </c>
      <c r="AN132">
        <v>15</v>
      </c>
      <c r="AO132">
        <v>0.87</v>
      </c>
      <c r="AP132">
        <v>0.54</v>
      </c>
      <c r="AQ132">
        <v>-6.1620000000000001E-2</v>
      </c>
      <c r="AR132">
        <v>-117.4</v>
      </c>
      <c r="AS132" t="s">
        <v>75</v>
      </c>
      <c r="AT132">
        <v>0</v>
      </c>
      <c r="AU132">
        <v>0</v>
      </c>
      <c r="AV132" t="s">
        <v>457</v>
      </c>
      <c r="AW132" t="s">
        <v>109</v>
      </c>
      <c r="AX132">
        <v>41</v>
      </c>
      <c r="AY132">
        <v>0.73</v>
      </c>
      <c r="AZ132">
        <v>0.49</v>
      </c>
      <c r="BA132">
        <v>-0.11162</v>
      </c>
      <c r="BB132">
        <v>104.1</v>
      </c>
      <c r="BC132" t="s">
        <v>109</v>
      </c>
      <c r="BD132">
        <v>0</v>
      </c>
      <c r="BE132">
        <v>0</v>
      </c>
      <c r="BF132" t="s">
        <v>83</v>
      </c>
      <c r="BG132">
        <v>0</v>
      </c>
      <c r="BH132">
        <v>0</v>
      </c>
      <c r="BI132">
        <v>0</v>
      </c>
      <c r="BJ132">
        <v>0</v>
      </c>
      <c r="BK132">
        <v>0</v>
      </c>
      <c r="BL132" t="s">
        <v>458</v>
      </c>
    </row>
    <row r="133" spans="1:64" x14ac:dyDescent="0.2">
      <c r="A133">
        <v>822887</v>
      </c>
      <c r="B133" t="s">
        <v>1059</v>
      </c>
      <c r="C133" s="3">
        <v>46188</v>
      </c>
      <c r="D133">
        <v>6.3</v>
      </c>
      <c r="E133">
        <v>2</v>
      </c>
      <c r="F133">
        <v>15</v>
      </c>
      <c r="G133" t="s">
        <v>119</v>
      </c>
      <c r="H133">
        <v>146</v>
      </c>
      <c r="I133">
        <v>0.41</v>
      </c>
      <c r="J133">
        <v>138</v>
      </c>
      <c r="K133">
        <v>0.42016799999999999</v>
      </c>
      <c r="L133">
        <v>0.411861575740466</v>
      </c>
      <c r="M133">
        <v>702474</v>
      </c>
      <c r="N133" t="b">
        <v>0</v>
      </c>
      <c r="O133">
        <v>185.7</v>
      </c>
      <c r="P133">
        <v>108.6</v>
      </c>
      <c r="Q133">
        <v>108.6</v>
      </c>
      <c r="R133" t="s">
        <v>78</v>
      </c>
      <c r="S133">
        <v>135.80000000000001</v>
      </c>
      <c r="T133">
        <v>135.80000000000001</v>
      </c>
      <c r="U133" t="s">
        <v>73</v>
      </c>
      <c r="V133">
        <v>28</v>
      </c>
      <c r="W133" t="s">
        <v>138</v>
      </c>
      <c r="X133">
        <v>-159</v>
      </c>
      <c r="Y133">
        <v>0.61</v>
      </c>
      <c r="Z133">
        <v>-150</v>
      </c>
      <c r="AA133">
        <v>0.6</v>
      </c>
      <c r="AB133">
        <v>0.588138424259533</v>
      </c>
      <c r="AC133">
        <v>669022</v>
      </c>
      <c r="AD133" t="b">
        <v>0</v>
      </c>
      <c r="AE133">
        <v>-122.2</v>
      </c>
      <c r="AF133">
        <v>-102.9</v>
      </c>
      <c r="AG133">
        <v>-102.9</v>
      </c>
      <c r="AH133" t="s">
        <v>73</v>
      </c>
      <c r="AI133">
        <v>-135.80000000000001</v>
      </c>
      <c r="AJ133">
        <v>-135.80000000000001</v>
      </c>
      <c r="AK133" t="s">
        <v>73</v>
      </c>
      <c r="AL133" t="s">
        <v>893</v>
      </c>
      <c r="AM133" t="s">
        <v>75</v>
      </c>
      <c r="AN133">
        <v>15</v>
      </c>
      <c r="AO133">
        <v>1</v>
      </c>
      <c r="AP133">
        <v>0.56000000000000005</v>
      </c>
      <c r="AQ133">
        <v>-2.8139999999999998E-2</v>
      </c>
      <c r="AR133">
        <v>-127.3</v>
      </c>
      <c r="AS133" t="s">
        <v>75</v>
      </c>
      <c r="AT133">
        <v>0</v>
      </c>
      <c r="AU133">
        <v>0</v>
      </c>
      <c r="AV133" t="s">
        <v>894</v>
      </c>
      <c r="AW133" t="s">
        <v>75</v>
      </c>
      <c r="AX133">
        <v>41</v>
      </c>
      <c r="AY133">
        <v>0.98</v>
      </c>
      <c r="AZ133">
        <v>0.53</v>
      </c>
      <c r="BA133">
        <v>-5.8139999999999997E-2</v>
      </c>
      <c r="BB133">
        <v>-112.8</v>
      </c>
      <c r="BC133" t="s">
        <v>75</v>
      </c>
      <c r="BD133">
        <v>0</v>
      </c>
      <c r="BE133">
        <v>0</v>
      </c>
      <c r="BF133" t="s">
        <v>83</v>
      </c>
      <c r="BG133">
        <v>0</v>
      </c>
      <c r="BH133">
        <v>0</v>
      </c>
      <c r="BI133">
        <v>0</v>
      </c>
      <c r="BJ133">
        <v>0</v>
      </c>
      <c r="BK133">
        <v>0</v>
      </c>
      <c r="BL133" t="s">
        <v>459</v>
      </c>
    </row>
    <row r="134" spans="1:64" x14ac:dyDescent="0.2">
      <c r="A134">
        <v>824912</v>
      </c>
      <c r="B134" t="s">
        <v>460</v>
      </c>
      <c r="C134" s="3">
        <v>46189</v>
      </c>
      <c r="D134">
        <v>6.3</v>
      </c>
      <c r="E134">
        <v>2</v>
      </c>
      <c r="F134">
        <v>25</v>
      </c>
      <c r="G134" t="s">
        <v>84</v>
      </c>
      <c r="H134">
        <v>146</v>
      </c>
      <c r="I134">
        <v>0.41</v>
      </c>
      <c r="J134">
        <v>154</v>
      </c>
      <c r="K134">
        <v>0.39370100000000002</v>
      </c>
      <c r="L134">
        <v>0.385243367118285</v>
      </c>
      <c r="M134">
        <v>605288</v>
      </c>
      <c r="N134" t="b">
        <v>0</v>
      </c>
      <c r="O134">
        <v>150</v>
      </c>
      <c r="P134">
        <v>106.1</v>
      </c>
      <c r="Q134">
        <v>106.1</v>
      </c>
      <c r="R134" t="s">
        <v>73</v>
      </c>
      <c r="S134">
        <v>122.6</v>
      </c>
      <c r="T134">
        <v>122.6</v>
      </c>
      <c r="U134" t="s">
        <v>73</v>
      </c>
      <c r="V134">
        <v>0</v>
      </c>
      <c r="W134" t="s">
        <v>74</v>
      </c>
      <c r="X134">
        <v>-159</v>
      </c>
      <c r="Y134">
        <v>0.61</v>
      </c>
      <c r="Z134">
        <v>-169</v>
      </c>
      <c r="AA134">
        <v>0.62825299999999995</v>
      </c>
      <c r="AB134">
        <v>0.614756632881714</v>
      </c>
      <c r="AC134">
        <v>656550</v>
      </c>
      <c r="AD134" t="b">
        <v>0</v>
      </c>
      <c r="AE134">
        <v>-122.2</v>
      </c>
      <c r="AF134">
        <v>-105.2</v>
      </c>
      <c r="AG134">
        <v>-105.2</v>
      </c>
      <c r="AH134" t="s">
        <v>73</v>
      </c>
      <c r="AI134">
        <v>-122.6</v>
      </c>
      <c r="AJ134">
        <v>-122.6</v>
      </c>
      <c r="AK134" t="s">
        <v>73</v>
      </c>
      <c r="AL134" t="s">
        <v>895</v>
      </c>
      <c r="AM134" t="s">
        <v>75</v>
      </c>
      <c r="AN134">
        <v>15</v>
      </c>
      <c r="AO134">
        <v>1</v>
      </c>
      <c r="AP134">
        <v>0.57999999999999996</v>
      </c>
      <c r="AQ134">
        <v>-3.4759999999999999E-2</v>
      </c>
      <c r="AR134">
        <v>-138.1</v>
      </c>
      <c r="AS134" t="s">
        <v>75</v>
      </c>
      <c r="AT134">
        <v>0</v>
      </c>
      <c r="AU134">
        <v>0</v>
      </c>
      <c r="AV134" t="s">
        <v>896</v>
      </c>
      <c r="AW134" t="s">
        <v>75</v>
      </c>
      <c r="AX134">
        <v>41</v>
      </c>
      <c r="AY134">
        <v>0.98</v>
      </c>
      <c r="AZ134">
        <v>0.56999999999999995</v>
      </c>
      <c r="BA134">
        <v>-4.4760000000000001E-2</v>
      </c>
      <c r="BB134">
        <v>-132.6</v>
      </c>
      <c r="BC134" t="s">
        <v>75</v>
      </c>
      <c r="BD134">
        <v>0</v>
      </c>
      <c r="BE134">
        <v>0</v>
      </c>
      <c r="BF134" t="s">
        <v>83</v>
      </c>
      <c r="BG134">
        <v>0</v>
      </c>
      <c r="BH134">
        <v>0</v>
      </c>
      <c r="BI134">
        <v>0</v>
      </c>
      <c r="BJ134">
        <v>0</v>
      </c>
      <c r="BK134">
        <v>0</v>
      </c>
      <c r="BL134" t="s">
        <v>461</v>
      </c>
    </row>
    <row r="135" spans="1:64" x14ac:dyDescent="0.2">
      <c r="A135">
        <v>825070</v>
      </c>
      <c r="B135" t="s">
        <v>462</v>
      </c>
      <c r="C135" s="3">
        <v>46189</v>
      </c>
      <c r="D135">
        <v>6.3</v>
      </c>
      <c r="E135">
        <v>2</v>
      </c>
      <c r="F135">
        <v>4</v>
      </c>
      <c r="G135" t="s">
        <v>111</v>
      </c>
      <c r="H135">
        <v>-102</v>
      </c>
      <c r="I135">
        <v>0.5</v>
      </c>
      <c r="J135">
        <v>-107</v>
      </c>
      <c r="K135">
        <v>0.51690800000000003</v>
      </c>
      <c r="L135">
        <v>0.50707281566731599</v>
      </c>
      <c r="M135">
        <v>672282</v>
      </c>
      <c r="N135" t="b">
        <v>0</v>
      </c>
      <c r="O135">
        <v>-100</v>
      </c>
      <c r="P135">
        <v>108.7</v>
      </c>
      <c r="Q135">
        <v>108.7</v>
      </c>
      <c r="R135" t="s">
        <v>78</v>
      </c>
      <c r="S135">
        <v>-170.7</v>
      </c>
      <c r="T135" t="s">
        <v>463</v>
      </c>
      <c r="U135" t="s">
        <v>81</v>
      </c>
      <c r="V135">
        <v>1</v>
      </c>
      <c r="W135" t="s">
        <v>79</v>
      </c>
      <c r="X135">
        <v>-106</v>
      </c>
      <c r="Y135">
        <v>0.51</v>
      </c>
      <c r="Z135">
        <v>-101</v>
      </c>
      <c r="AA135">
        <v>0.50248800000000005</v>
      </c>
      <c r="AB135">
        <v>0.49292718433268301</v>
      </c>
      <c r="AC135">
        <v>518876</v>
      </c>
      <c r="AD135" t="b">
        <v>0</v>
      </c>
      <c r="AE135">
        <v>122.2</v>
      </c>
      <c r="AF135">
        <v>101.8</v>
      </c>
      <c r="AG135">
        <v>101.8</v>
      </c>
      <c r="AH135" t="s">
        <v>73</v>
      </c>
      <c r="AI135">
        <v>170.7</v>
      </c>
      <c r="AJ135">
        <v>170.7</v>
      </c>
      <c r="AK135" t="s">
        <v>78</v>
      </c>
      <c r="AL135" t="s">
        <v>897</v>
      </c>
      <c r="AM135" t="s">
        <v>94</v>
      </c>
      <c r="AN135">
        <v>15</v>
      </c>
      <c r="AO135">
        <v>0.73</v>
      </c>
      <c r="AP135">
        <v>0.48</v>
      </c>
      <c r="AQ135">
        <v>-1.2930000000000001E-2</v>
      </c>
      <c r="AR135">
        <v>108.3</v>
      </c>
      <c r="AS135" t="s">
        <v>94</v>
      </c>
      <c r="AT135">
        <v>0</v>
      </c>
      <c r="AU135">
        <v>0</v>
      </c>
      <c r="AV135" t="s">
        <v>898</v>
      </c>
      <c r="AW135" t="s">
        <v>187</v>
      </c>
      <c r="AX135">
        <v>41</v>
      </c>
      <c r="AY135">
        <v>0.83</v>
      </c>
      <c r="AZ135">
        <v>0.51</v>
      </c>
      <c r="BA135">
        <v>1.7069999999999998E-2</v>
      </c>
      <c r="BB135">
        <v>-104.1</v>
      </c>
      <c r="BC135" t="s">
        <v>187</v>
      </c>
      <c r="BD135">
        <v>1</v>
      </c>
      <c r="BE135">
        <v>0.99</v>
      </c>
      <c r="BF135" t="s">
        <v>83</v>
      </c>
      <c r="BG135">
        <v>0</v>
      </c>
      <c r="BH135">
        <v>0</v>
      </c>
      <c r="BI135">
        <v>0</v>
      </c>
      <c r="BJ135">
        <v>0</v>
      </c>
      <c r="BK135">
        <v>0</v>
      </c>
      <c r="BL135" t="s">
        <v>464</v>
      </c>
    </row>
    <row r="136" spans="1:64" x14ac:dyDescent="0.2">
      <c r="A136">
        <v>824750</v>
      </c>
      <c r="B136" t="s">
        <v>465</v>
      </c>
      <c r="C136" s="3">
        <v>46189</v>
      </c>
      <c r="D136">
        <v>6.3</v>
      </c>
      <c r="E136">
        <v>2</v>
      </c>
      <c r="F136">
        <v>29</v>
      </c>
      <c r="G136" t="s">
        <v>144</v>
      </c>
      <c r="H136">
        <v>-117</v>
      </c>
      <c r="I136">
        <v>0.54</v>
      </c>
      <c r="J136">
        <v>-114</v>
      </c>
      <c r="K136">
        <v>0.53271000000000002</v>
      </c>
      <c r="L136">
        <v>0.52200114647996299</v>
      </c>
      <c r="M136">
        <v>656302</v>
      </c>
      <c r="N136" t="b">
        <v>0</v>
      </c>
      <c r="O136">
        <v>122.2</v>
      </c>
      <c r="P136">
        <v>-107.4</v>
      </c>
      <c r="Q136">
        <v>-107.4</v>
      </c>
      <c r="R136" t="s">
        <v>73</v>
      </c>
      <c r="S136">
        <v>-156</v>
      </c>
      <c r="T136">
        <v>-156</v>
      </c>
      <c r="U136" t="s">
        <v>73</v>
      </c>
      <c r="V136">
        <v>3</v>
      </c>
      <c r="W136" t="s">
        <v>122</v>
      </c>
      <c r="X136">
        <v>108</v>
      </c>
      <c r="Y136">
        <v>0.48</v>
      </c>
      <c r="Z136">
        <v>105</v>
      </c>
      <c r="AA136">
        <v>0.48780499999999999</v>
      </c>
      <c r="AB136">
        <v>0.47799885352003602</v>
      </c>
      <c r="AC136">
        <v>801139</v>
      </c>
      <c r="AD136" t="b">
        <v>0</v>
      </c>
      <c r="AE136">
        <v>185.7</v>
      </c>
      <c r="AF136">
        <v>-103.2</v>
      </c>
      <c r="AG136">
        <v>-103.2</v>
      </c>
      <c r="AH136" t="s">
        <v>73</v>
      </c>
      <c r="AI136">
        <v>156</v>
      </c>
      <c r="AJ136">
        <v>156</v>
      </c>
      <c r="AK136" t="s">
        <v>73</v>
      </c>
      <c r="AL136" t="s">
        <v>466</v>
      </c>
      <c r="AM136" t="s">
        <v>94</v>
      </c>
      <c r="AN136">
        <v>15</v>
      </c>
      <c r="AO136">
        <v>1</v>
      </c>
      <c r="AP136">
        <v>0.45</v>
      </c>
      <c r="AQ136">
        <v>-2.8000000000000001E-2</v>
      </c>
      <c r="AR136">
        <v>122.2</v>
      </c>
      <c r="AS136" t="s">
        <v>94</v>
      </c>
      <c r="AT136">
        <v>0</v>
      </c>
      <c r="AU136">
        <v>0</v>
      </c>
      <c r="AV136" t="s">
        <v>467</v>
      </c>
      <c r="AW136" t="s">
        <v>94</v>
      </c>
      <c r="AX136">
        <v>41</v>
      </c>
      <c r="AY136">
        <v>0.95</v>
      </c>
      <c r="AZ136">
        <v>0.46</v>
      </c>
      <c r="BA136">
        <v>-1.7999999999999999E-2</v>
      </c>
      <c r="BB136">
        <v>117.4</v>
      </c>
      <c r="BC136" t="s">
        <v>94</v>
      </c>
      <c r="BD136">
        <v>0</v>
      </c>
      <c r="BE136">
        <v>0</v>
      </c>
      <c r="BF136" t="s">
        <v>83</v>
      </c>
      <c r="BG136">
        <v>0</v>
      </c>
      <c r="BH136">
        <v>0</v>
      </c>
      <c r="BI136">
        <v>0</v>
      </c>
      <c r="BJ136">
        <v>0</v>
      </c>
      <c r="BK136">
        <v>0</v>
      </c>
      <c r="BL136" t="s">
        <v>468</v>
      </c>
    </row>
    <row r="137" spans="1:64" x14ac:dyDescent="0.2">
      <c r="A137">
        <v>824667</v>
      </c>
      <c r="B137" t="s">
        <v>469</v>
      </c>
      <c r="C137" s="3">
        <v>46189</v>
      </c>
      <c r="D137">
        <v>6.3</v>
      </c>
      <c r="E137">
        <v>2</v>
      </c>
      <c r="F137">
        <v>8</v>
      </c>
      <c r="G137" t="s">
        <v>92</v>
      </c>
      <c r="H137">
        <v>168</v>
      </c>
      <c r="I137">
        <v>0.37</v>
      </c>
      <c r="J137">
        <v>176</v>
      </c>
      <c r="K137">
        <v>0.362319</v>
      </c>
      <c r="L137">
        <v>0.35445610032645802</v>
      </c>
      <c r="M137">
        <v>663372</v>
      </c>
      <c r="N137" t="b">
        <v>0</v>
      </c>
      <c r="O137">
        <v>185.7</v>
      </c>
      <c r="P137">
        <v>129</v>
      </c>
      <c r="Q137">
        <v>129</v>
      </c>
      <c r="R137" t="s">
        <v>126</v>
      </c>
      <c r="S137">
        <v>151.1</v>
      </c>
      <c r="T137">
        <v>151.1</v>
      </c>
      <c r="U137" t="s">
        <v>78</v>
      </c>
      <c r="V137">
        <v>5</v>
      </c>
      <c r="W137" t="s">
        <v>85</v>
      </c>
      <c r="X137">
        <v>-184</v>
      </c>
      <c r="Y137">
        <v>0.65</v>
      </c>
      <c r="Z137">
        <v>-194</v>
      </c>
      <c r="AA137">
        <v>0.65986400000000001</v>
      </c>
      <c r="AB137">
        <v>0.64554389967354098</v>
      </c>
      <c r="AC137">
        <v>665795</v>
      </c>
      <c r="AD137" t="b">
        <v>0</v>
      </c>
      <c r="AE137">
        <v>122.2</v>
      </c>
      <c r="AF137">
        <v>-110.8</v>
      </c>
      <c r="AG137" t="s">
        <v>470</v>
      </c>
      <c r="AH137" t="s">
        <v>81</v>
      </c>
      <c r="AI137">
        <v>-151.1</v>
      </c>
      <c r="AJ137" t="s">
        <v>471</v>
      </c>
      <c r="AK137" t="s">
        <v>81</v>
      </c>
      <c r="AL137" t="s">
        <v>472</v>
      </c>
      <c r="AM137" t="s">
        <v>75</v>
      </c>
      <c r="AN137">
        <v>15</v>
      </c>
      <c r="AO137">
        <v>1</v>
      </c>
      <c r="AP137">
        <v>0.59</v>
      </c>
      <c r="AQ137">
        <v>-5.5539999999999999E-2</v>
      </c>
      <c r="AR137">
        <v>-143.9</v>
      </c>
      <c r="AS137" t="s">
        <v>75</v>
      </c>
      <c r="AT137">
        <v>0</v>
      </c>
      <c r="AU137">
        <v>0</v>
      </c>
      <c r="AV137" t="s">
        <v>473</v>
      </c>
      <c r="AW137" t="s">
        <v>75</v>
      </c>
      <c r="AX137">
        <v>41</v>
      </c>
      <c r="AY137">
        <v>0.98</v>
      </c>
      <c r="AZ137">
        <v>0.56000000000000005</v>
      </c>
      <c r="BA137">
        <v>-8.5540000000000005E-2</v>
      </c>
      <c r="BB137">
        <v>-127.3</v>
      </c>
      <c r="BC137" t="s">
        <v>75</v>
      </c>
      <c r="BD137">
        <v>0</v>
      </c>
      <c r="BE137">
        <v>0</v>
      </c>
      <c r="BF137" t="s">
        <v>83</v>
      </c>
      <c r="BG137">
        <v>0</v>
      </c>
      <c r="BH137">
        <v>0</v>
      </c>
      <c r="BI137">
        <v>0</v>
      </c>
      <c r="BJ137">
        <v>0</v>
      </c>
      <c r="BK137">
        <v>0</v>
      </c>
      <c r="BL137" t="s">
        <v>474</v>
      </c>
    </row>
    <row r="138" spans="1:64" x14ac:dyDescent="0.2">
      <c r="A138">
        <v>824504</v>
      </c>
      <c r="B138" t="s">
        <v>475</v>
      </c>
      <c r="C138" s="3">
        <v>46189</v>
      </c>
      <c r="D138">
        <v>6.3</v>
      </c>
      <c r="E138">
        <v>2</v>
      </c>
      <c r="F138">
        <v>18</v>
      </c>
      <c r="G138" t="s">
        <v>129</v>
      </c>
      <c r="H138">
        <v>-117</v>
      </c>
      <c r="I138">
        <v>0.54</v>
      </c>
      <c r="J138">
        <v>-115</v>
      </c>
      <c r="K138">
        <v>0.53488400000000003</v>
      </c>
      <c r="L138">
        <v>0.52543871368283701</v>
      </c>
      <c r="M138">
        <v>673540</v>
      </c>
      <c r="N138" t="b">
        <v>0</v>
      </c>
      <c r="O138">
        <v>-100</v>
      </c>
      <c r="P138">
        <v>106.3</v>
      </c>
      <c r="Q138">
        <v>106.3</v>
      </c>
      <c r="R138" t="s">
        <v>73</v>
      </c>
      <c r="S138">
        <v>109.3</v>
      </c>
      <c r="T138">
        <v>109.3</v>
      </c>
      <c r="U138" t="s">
        <v>73</v>
      </c>
      <c r="V138">
        <v>6</v>
      </c>
      <c r="W138" t="s">
        <v>133</v>
      </c>
      <c r="X138">
        <v>108</v>
      </c>
      <c r="Y138">
        <v>0.48</v>
      </c>
      <c r="Z138">
        <v>107</v>
      </c>
      <c r="AA138">
        <v>0.48309200000000002</v>
      </c>
      <c r="AB138">
        <v>0.47456128631716199</v>
      </c>
      <c r="AC138">
        <v>663903</v>
      </c>
      <c r="AD138" t="b">
        <v>0</v>
      </c>
      <c r="AE138">
        <v>185.7</v>
      </c>
      <c r="AF138">
        <v>109.1</v>
      </c>
      <c r="AG138">
        <v>109.1</v>
      </c>
      <c r="AH138" t="s">
        <v>73</v>
      </c>
      <c r="AI138">
        <v>-109.3</v>
      </c>
      <c r="AJ138">
        <v>-109.3</v>
      </c>
      <c r="AK138" t="s">
        <v>73</v>
      </c>
      <c r="AL138" t="s">
        <v>476</v>
      </c>
      <c r="AM138" t="s">
        <v>94</v>
      </c>
      <c r="AN138">
        <v>15</v>
      </c>
      <c r="AO138">
        <v>1</v>
      </c>
      <c r="AP138">
        <v>0.45</v>
      </c>
      <c r="AQ138">
        <v>-2.4559999999999998E-2</v>
      </c>
      <c r="AR138">
        <v>122.2</v>
      </c>
      <c r="AS138" t="s">
        <v>94</v>
      </c>
      <c r="AT138">
        <v>0</v>
      </c>
      <c r="AU138">
        <v>0</v>
      </c>
      <c r="AV138" t="s">
        <v>477</v>
      </c>
      <c r="AW138" t="s">
        <v>187</v>
      </c>
      <c r="AX138">
        <v>41</v>
      </c>
      <c r="AY138">
        <v>0.71</v>
      </c>
      <c r="AZ138">
        <v>0.51</v>
      </c>
      <c r="BA138">
        <v>3.5439999999999999E-2</v>
      </c>
      <c r="BB138">
        <v>-104.1</v>
      </c>
      <c r="BC138" t="s">
        <v>187</v>
      </c>
      <c r="BD138">
        <v>1</v>
      </c>
      <c r="BE138">
        <v>1.07</v>
      </c>
      <c r="BF138" t="s">
        <v>83</v>
      </c>
      <c r="BG138">
        <v>0</v>
      </c>
      <c r="BH138">
        <v>0</v>
      </c>
      <c r="BI138">
        <v>0</v>
      </c>
      <c r="BJ138">
        <v>0</v>
      </c>
      <c r="BK138">
        <v>0</v>
      </c>
      <c r="BL138" t="s">
        <v>478</v>
      </c>
    </row>
    <row r="139" spans="1:64" x14ac:dyDescent="0.2">
      <c r="A139">
        <v>824182</v>
      </c>
      <c r="B139" t="s">
        <v>479</v>
      </c>
      <c r="C139" s="3">
        <v>46189</v>
      </c>
      <c r="D139">
        <v>6.3</v>
      </c>
      <c r="E139">
        <v>2</v>
      </c>
      <c r="F139">
        <v>10</v>
      </c>
      <c r="G139" t="s">
        <v>97</v>
      </c>
      <c r="H139">
        <v>139</v>
      </c>
      <c r="I139">
        <v>0.42</v>
      </c>
      <c r="J139">
        <v>153</v>
      </c>
      <c r="K139">
        <v>0.39525700000000002</v>
      </c>
      <c r="L139">
        <v>0.38723162458056698</v>
      </c>
      <c r="M139">
        <v>664285</v>
      </c>
      <c r="N139" t="b">
        <v>0</v>
      </c>
      <c r="O139">
        <v>-100</v>
      </c>
      <c r="P139">
        <v>-101.4</v>
      </c>
      <c r="Q139">
        <v>-101.4</v>
      </c>
      <c r="R139" t="s">
        <v>73</v>
      </c>
      <c r="S139">
        <v>144.1</v>
      </c>
      <c r="T139">
        <v>144.1</v>
      </c>
      <c r="U139" t="s">
        <v>78</v>
      </c>
      <c r="V139">
        <v>12</v>
      </c>
      <c r="W139" t="s">
        <v>108</v>
      </c>
      <c r="X139">
        <v>-151</v>
      </c>
      <c r="Y139">
        <v>0.6</v>
      </c>
      <c r="Z139">
        <v>-167</v>
      </c>
      <c r="AA139">
        <v>0.62546800000000002</v>
      </c>
      <c r="AB139">
        <v>0.61276837541943197</v>
      </c>
      <c r="AC139">
        <v>686613</v>
      </c>
      <c r="AD139" t="b">
        <v>0</v>
      </c>
      <c r="AE139">
        <v>-100</v>
      </c>
      <c r="AF139">
        <v>104.8</v>
      </c>
      <c r="AG139">
        <v>104.8</v>
      </c>
      <c r="AH139" t="s">
        <v>73</v>
      </c>
      <c r="AI139">
        <v>-144.1</v>
      </c>
      <c r="AJ139" t="s">
        <v>480</v>
      </c>
      <c r="AK139" t="s">
        <v>81</v>
      </c>
      <c r="AL139" t="s">
        <v>899</v>
      </c>
      <c r="AM139" t="s">
        <v>75</v>
      </c>
      <c r="AN139">
        <v>15</v>
      </c>
      <c r="AO139">
        <v>0.8</v>
      </c>
      <c r="AP139">
        <v>0.55000000000000004</v>
      </c>
      <c r="AQ139">
        <v>-6.2770000000000006E-2</v>
      </c>
      <c r="AR139">
        <v>-122.2</v>
      </c>
      <c r="AS139" t="s">
        <v>75</v>
      </c>
      <c r="AT139">
        <v>0</v>
      </c>
      <c r="AU139">
        <v>0</v>
      </c>
      <c r="AV139" t="s">
        <v>900</v>
      </c>
      <c r="AW139" t="s">
        <v>75</v>
      </c>
      <c r="AX139">
        <v>41</v>
      </c>
      <c r="AY139">
        <v>0.8</v>
      </c>
      <c r="AZ139">
        <v>0.51</v>
      </c>
      <c r="BA139">
        <v>-0.10277</v>
      </c>
      <c r="BB139">
        <v>-104.1</v>
      </c>
      <c r="BC139" t="s">
        <v>75</v>
      </c>
      <c r="BD139">
        <v>0</v>
      </c>
      <c r="BE139">
        <v>0</v>
      </c>
      <c r="BF139" t="s">
        <v>83</v>
      </c>
      <c r="BG139">
        <v>0</v>
      </c>
      <c r="BH139">
        <v>0</v>
      </c>
      <c r="BI139">
        <v>0</v>
      </c>
      <c r="BJ139">
        <v>0</v>
      </c>
      <c r="BK139">
        <v>0</v>
      </c>
      <c r="BL139" t="s">
        <v>481</v>
      </c>
    </row>
    <row r="140" spans="1:64" x14ac:dyDescent="0.2">
      <c r="A140">
        <v>823939</v>
      </c>
      <c r="B140" t="s">
        <v>482</v>
      </c>
      <c r="C140" s="3">
        <v>46189</v>
      </c>
      <c r="D140">
        <v>6.3</v>
      </c>
      <c r="E140">
        <v>2</v>
      </c>
      <c r="F140">
        <v>27</v>
      </c>
      <c r="G140" t="s">
        <v>101</v>
      </c>
      <c r="H140">
        <v>136</v>
      </c>
      <c r="I140">
        <v>0.42</v>
      </c>
      <c r="J140">
        <v>133</v>
      </c>
      <c r="K140">
        <v>0.42918499999999998</v>
      </c>
      <c r="L140">
        <v>0.42103832936511398</v>
      </c>
      <c r="M140">
        <v>656876</v>
      </c>
      <c r="N140" t="b">
        <v>0</v>
      </c>
      <c r="O140">
        <v>185.7</v>
      </c>
      <c r="P140">
        <v>-101.7</v>
      </c>
      <c r="Q140">
        <v>-101.7</v>
      </c>
      <c r="R140" t="s">
        <v>73</v>
      </c>
      <c r="S140">
        <v>-121</v>
      </c>
      <c r="T140">
        <v>-121</v>
      </c>
      <c r="U140" t="s">
        <v>73</v>
      </c>
      <c r="V140">
        <v>14</v>
      </c>
      <c r="W140" t="s">
        <v>113</v>
      </c>
      <c r="X140">
        <v>-148</v>
      </c>
      <c r="Y140">
        <v>0.6</v>
      </c>
      <c r="Z140">
        <v>-144</v>
      </c>
      <c r="AA140">
        <v>0.59016400000000002</v>
      </c>
      <c r="AB140">
        <v>0.57896167063488502</v>
      </c>
      <c r="AC140">
        <v>680736</v>
      </c>
      <c r="AD140" t="b">
        <v>0</v>
      </c>
      <c r="AE140">
        <v>-185.7</v>
      </c>
      <c r="AF140">
        <v>-117.3</v>
      </c>
      <c r="AG140" t="s">
        <v>483</v>
      </c>
      <c r="AH140" t="s">
        <v>81</v>
      </c>
      <c r="AI140">
        <v>121</v>
      </c>
      <c r="AJ140">
        <v>121</v>
      </c>
      <c r="AK140" t="s">
        <v>73</v>
      </c>
      <c r="AL140" t="s">
        <v>484</v>
      </c>
      <c r="AM140" t="s">
        <v>75</v>
      </c>
      <c r="AN140">
        <v>15</v>
      </c>
      <c r="AO140">
        <v>1</v>
      </c>
      <c r="AP140">
        <v>0.57999999999999996</v>
      </c>
      <c r="AQ140">
        <v>1.0399999999999999E-3</v>
      </c>
      <c r="AR140">
        <v>-138.1</v>
      </c>
      <c r="AS140" t="s">
        <v>75</v>
      </c>
      <c r="AT140">
        <v>0</v>
      </c>
      <c r="AU140">
        <v>0</v>
      </c>
      <c r="AV140" t="s">
        <v>485</v>
      </c>
      <c r="AW140" t="s">
        <v>75</v>
      </c>
      <c r="AX140">
        <v>41</v>
      </c>
      <c r="AY140">
        <v>1</v>
      </c>
      <c r="AZ140">
        <v>0.54</v>
      </c>
      <c r="BA140">
        <v>-3.8960000000000002E-2</v>
      </c>
      <c r="BB140">
        <v>-117.4</v>
      </c>
      <c r="BC140" t="s">
        <v>75</v>
      </c>
      <c r="BD140">
        <v>0</v>
      </c>
      <c r="BE140">
        <v>0</v>
      </c>
      <c r="BF140" t="s">
        <v>83</v>
      </c>
      <c r="BG140">
        <v>0</v>
      </c>
      <c r="BH140">
        <v>0</v>
      </c>
      <c r="BI140">
        <v>0</v>
      </c>
      <c r="BJ140">
        <v>0</v>
      </c>
      <c r="BK140">
        <v>0</v>
      </c>
      <c r="BL140" t="s">
        <v>486</v>
      </c>
    </row>
    <row r="141" spans="1:64" x14ac:dyDescent="0.2">
      <c r="A141">
        <v>822723</v>
      </c>
      <c r="B141" t="s">
        <v>487</v>
      </c>
      <c r="C141" s="3">
        <v>46189</v>
      </c>
      <c r="D141">
        <v>6.3</v>
      </c>
      <c r="E141">
        <v>2</v>
      </c>
      <c r="F141">
        <v>13</v>
      </c>
      <c r="G141" t="s">
        <v>118</v>
      </c>
      <c r="H141">
        <v>124</v>
      </c>
      <c r="I141">
        <v>0.45</v>
      </c>
      <c r="J141">
        <v>121</v>
      </c>
      <c r="K141">
        <v>0.45248899999999997</v>
      </c>
      <c r="L141">
        <v>0.443795490143577</v>
      </c>
      <c r="M141">
        <v>608379</v>
      </c>
      <c r="N141" t="b">
        <v>0</v>
      </c>
      <c r="O141">
        <v>185.7</v>
      </c>
      <c r="P141">
        <v>100.5</v>
      </c>
      <c r="Q141">
        <v>100.5</v>
      </c>
      <c r="R141" t="s">
        <v>73</v>
      </c>
      <c r="S141">
        <v>121.6</v>
      </c>
      <c r="T141">
        <v>121.6</v>
      </c>
      <c r="U141" t="s">
        <v>73</v>
      </c>
      <c r="V141">
        <v>16</v>
      </c>
      <c r="W141" t="s">
        <v>77</v>
      </c>
      <c r="X141">
        <v>-135</v>
      </c>
      <c r="Y141">
        <v>0.56999999999999995</v>
      </c>
      <c r="Z141">
        <v>-131</v>
      </c>
      <c r="AA141">
        <v>0.56710000000000005</v>
      </c>
      <c r="AB141">
        <v>0.556204509856422</v>
      </c>
      <c r="AC141">
        <v>656492</v>
      </c>
      <c r="AD141" t="b">
        <v>0</v>
      </c>
      <c r="AE141">
        <v>-150</v>
      </c>
      <c r="AF141">
        <v>111.4</v>
      </c>
      <c r="AG141">
        <v>111.4</v>
      </c>
      <c r="AH141" t="s">
        <v>78</v>
      </c>
      <c r="AI141">
        <v>-121.6</v>
      </c>
      <c r="AJ141">
        <v>-121.6</v>
      </c>
      <c r="AK141" t="s">
        <v>73</v>
      </c>
      <c r="AL141" t="s">
        <v>488</v>
      </c>
      <c r="AM141" t="s">
        <v>75</v>
      </c>
      <c r="AN141">
        <v>15</v>
      </c>
      <c r="AO141">
        <v>0.93</v>
      </c>
      <c r="AP141">
        <v>0.55000000000000004</v>
      </c>
      <c r="AQ141">
        <v>-6.1999999999999998E-3</v>
      </c>
      <c r="AR141">
        <v>-122.2</v>
      </c>
      <c r="AS141" t="s">
        <v>75</v>
      </c>
      <c r="AT141">
        <v>0</v>
      </c>
      <c r="AU141">
        <v>0</v>
      </c>
      <c r="AV141" t="s">
        <v>489</v>
      </c>
      <c r="AW141" t="s">
        <v>75</v>
      </c>
      <c r="AX141">
        <v>41</v>
      </c>
      <c r="AY141">
        <v>0.93</v>
      </c>
      <c r="AZ141">
        <v>0.52</v>
      </c>
      <c r="BA141">
        <v>-3.6200000000000003E-2</v>
      </c>
      <c r="BB141">
        <v>-108.3</v>
      </c>
      <c r="BC141" t="s">
        <v>75</v>
      </c>
      <c r="BD141">
        <v>0</v>
      </c>
      <c r="BE141">
        <v>0</v>
      </c>
      <c r="BF141" t="s">
        <v>83</v>
      </c>
      <c r="BG141">
        <v>0</v>
      </c>
      <c r="BH141">
        <v>0</v>
      </c>
      <c r="BI141">
        <v>0</v>
      </c>
      <c r="BJ141">
        <v>0</v>
      </c>
      <c r="BK141">
        <v>0</v>
      </c>
      <c r="BL141" t="s">
        <v>490</v>
      </c>
    </row>
    <row r="142" spans="1:64" x14ac:dyDescent="0.2">
      <c r="A142">
        <v>823775</v>
      </c>
      <c r="B142" t="s">
        <v>491</v>
      </c>
      <c r="C142" s="3">
        <v>46189</v>
      </c>
      <c r="D142">
        <v>6.3</v>
      </c>
      <c r="E142">
        <v>2</v>
      </c>
      <c r="F142">
        <v>7</v>
      </c>
      <c r="G142" t="s">
        <v>137</v>
      </c>
      <c r="H142">
        <v>135</v>
      </c>
      <c r="I142">
        <v>0.43</v>
      </c>
      <c r="J142">
        <v>139</v>
      </c>
      <c r="K142">
        <v>0.41841</v>
      </c>
      <c r="L142">
        <v>0.41020427370873003</v>
      </c>
      <c r="M142">
        <v>677944</v>
      </c>
      <c r="N142" t="b">
        <v>0</v>
      </c>
      <c r="O142">
        <v>122.2</v>
      </c>
      <c r="P142">
        <v>-101.7</v>
      </c>
      <c r="Q142">
        <v>-101.7</v>
      </c>
      <c r="R142" t="s">
        <v>73</v>
      </c>
      <c r="S142">
        <v>-108.5</v>
      </c>
      <c r="T142">
        <v>-108.5</v>
      </c>
      <c r="U142" t="s">
        <v>73</v>
      </c>
      <c r="V142">
        <v>17</v>
      </c>
      <c r="W142" t="s">
        <v>89</v>
      </c>
      <c r="X142">
        <v>-146</v>
      </c>
      <c r="Y142">
        <v>0.59</v>
      </c>
      <c r="Z142">
        <v>-151</v>
      </c>
      <c r="AA142">
        <v>0.60159399999999996</v>
      </c>
      <c r="AB142">
        <v>0.58979572629126897</v>
      </c>
      <c r="AC142">
        <v>688107</v>
      </c>
      <c r="AD142" t="b">
        <v>0</v>
      </c>
      <c r="AE142">
        <v>-185.7</v>
      </c>
      <c r="AF142">
        <v>-119.8</v>
      </c>
      <c r="AG142" t="s">
        <v>492</v>
      </c>
      <c r="AH142" t="s">
        <v>116</v>
      </c>
      <c r="AI142">
        <v>108.5</v>
      </c>
      <c r="AJ142">
        <v>108.5</v>
      </c>
      <c r="AK142" t="s">
        <v>73</v>
      </c>
      <c r="AL142" t="s">
        <v>901</v>
      </c>
      <c r="AM142" t="s">
        <v>109</v>
      </c>
      <c r="AN142">
        <v>15</v>
      </c>
      <c r="AO142">
        <v>0.6</v>
      </c>
      <c r="AP142">
        <v>0.46</v>
      </c>
      <c r="AQ142">
        <v>-0.1298</v>
      </c>
      <c r="AR142">
        <v>117.4</v>
      </c>
      <c r="AS142" t="s">
        <v>109</v>
      </c>
      <c r="AT142">
        <v>0</v>
      </c>
      <c r="AU142">
        <v>0</v>
      </c>
      <c r="AV142" t="s">
        <v>902</v>
      </c>
      <c r="AW142" t="s">
        <v>75</v>
      </c>
      <c r="AX142">
        <v>41</v>
      </c>
      <c r="AY142">
        <v>0.88</v>
      </c>
      <c r="AZ142">
        <v>0.52</v>
      </c>
      <c r="BA142">
        <v>-6.9800000000000001E-2</v>
      </c>
      <c r="BB142">
        <v>-108.3</v>
      </c>
      <c r="BC142" t="s">
        <v>75</v>
      </c>
      <c r="BD142">
        <v>0</v>
      </c>
      <c r="BE142">
        <v>0</v>
      </c>
      <c r="BF142" t="s">
        <v>83</v>
      </c>
      <c r="BG142">
        <v>0</v>
      </c>
      <c r="BH142">
        <v>0</v>
      </c>
      <c r="BI142">
        <v>0</v>
      </c>
      <c r="BJ142">
        <v>0</v>
      </c>
      <c r="BK142">
        <v>0</v>
      </c>
      <c r="BL142" t="s">
        <v>493</v>
      </c>
    </row>
    <row r="143" spans="1:64" x14ac:dyDescent="0.2">
      <c r="A143">
        <v>823535</v>
      </c>
      <c r="B143" t="s">
        <v>494</v>
      </c>
      <c r="C143" s="3">
        <v>46189</v>
      </c>
      <c r="D143">
        <v>6.3</v>
      </c>
      <c r="E143">
        <v>2</v>
      </c>
      <c r="F143">
        <v>9</v>
      </c>
      <c r="G143" t="s">
        <v>125</v>
      </c>
      <c r="H143">
        <v>126</v>
      </c>
      <c r="I143">
        <v>0.44</v>
      </c>
      <c r="J143">
        <v>127</v>
      </c>
      <c r="K143">
        <v>0.440529</v>
      </c>
      <c r="L143">
        <v>0.43173837494769002</v>
      </c>
      <c r="M143">
        <v>663436</v>
      </c>
      <c r="N143" t="b">
        <v>0</v>
      </c>
      <c r="O143">
        <v>-150</v>
      </c>
      <c r="P143">
        <v>103.5</v>
      </c>
      <c r="Q143">
        <v>103.5</v>
      </c>
      <c r="R143" t="s">
        <v>73</v>
      </c>
      <c r="S143">
        <v>-115.6</v>
      </c>
      <c r="T143">
        <v>-115.6</v>
      </c>
      <c r="U143" t="s">
        <v>73</v>
      </c>
      <c r="V143">
        <v>19</v>
      </c>
      <c r="W143" t="s">
        <v>123</v>
      </c>
      <c r="X143">
        <v>-137</v>
      </c>
      <c r="Y143">
        <v>0.57999999999999996</v>
      </c>
      <c r="Z143">
        <v>-138</v>
      </c>
      <c r="AA143">
        <v>0.57983200000000001</v>
      </c>
      <c r="AB143">
        <v>0.56826162505230904</v>
      </c>
      <c r="AC143">
        <v>543037</v>
      </c>
      <c r="AD143" t="b">
        <v>0</v>
      </c>
      <c r="AE143">
        <v>-185.7</v>
      </c>
      <c r="AF143">
        <v>-112.4</v>
      </c>
      <c r="AG143" t="s">
        <v>227</v>
      </c>
      <c r="AH143" t="s">
        <v>81</v>
      </c>
      <c r="AI143">
        <v>115.6</v>
      </c>
      <c r="AJ143">
        <v>115.6</v>
      </c>
      <c r="AK143" t="s">
        <v>73</v>
      </c>
      <c r="AL143" t="s">
        <v>495</v>
      </c>
      <c r="AM143" t="s">
        <v>75</v>
      </c>
      <c r="AN143">
        <v>15</v>
      </c>
      <c r="AO143">
        <v>0.67</v>
      </c>
      <c r="AP143">
        <v>0.53</v>
      </c>
      <c r="AQ143">
        <v>-3.8260000000000002E-2</v>
      </c>
      <c r="AR143">
        <v>-112.8</v>
      </c>
      <c r="AS143" t="s">
        <v>75</v>
      </c>
      <c r="AT143">
        <v>0</v>
      </c>
      <c r="AU143">
        <v>0</v>
      </c>
      <c r="AV143" t="s">
        <v>496</v>
      </c>
      <c r="AW143" t="s">
        <v>75</v>
      </c>
      <c r="AX143">
        <v>41</v>
      </c>
      <c r="AY143">
        <v>1</v>
      </c>
      <c r="AZ143">
        <v>0.54</v>
      </c>
      <c r="BA143">
        <v>-2.826E-2</v>
      </c>
      <c r="BB143">
        <v>-117.4</v>
      </c>
      <c r="BC143" t="s">
        <v>75</v>
      </c>
      <c r="BD143">
        <v>0</v>
      </c>
      <c r="BE143">
        <v>0</v>
      </c>
      <c r="BF143" t="s">
        <v>83</v>
      </c>
      <c r="BG143">
        <v>0</v>
      </c>
      <c r="BH143">
        <v>0</v>
      </c>
      <c r="BI143">
        <v>0</v>
      </c>
      <c r="BJ143">
        <v>0</v>
      </c>
      <c r="BK143">
        <v>0</v>
      </c>
      <c r="BL143" t="s">
        <v>497</v>
      </c>
    </row>
    <row r="144" spans="1:64" x14ac:dyDescent="0.2">
      <c r="A144">
        <v>824991</v>
      </c>
      <c r="B144" t="s">
        <v>498</v>
      </c>
      <c r="C144" s="3">
        <v>46189</v>
      </c>
      <c r="D144">
        <v>6.3</v>
      </c>
      <c r="E144">
        <v>2</v>
      </c>
      <c r="F144">
        <v>22</v>
      </c>
      <c r="G144" t="s">
        <v>72</v>
      </c>
      <c r="H144">
        <v>123</v>
      </c>
      <c r="I144">
        <v>0.45</v>
      </c>
      <c r="J144">
        <v>126</v>
      </c>
      <c r="K144">
        <v>0.44247799999999998</v>
      </c>
      <c r="L144">
        <v>0.43357369698501802</v>
      </c>
      <c r="M144">
        <v>656605</v>
      </c>
      <c r="N144" t="b">
        <v>0</v>
      </c>
      <c r="O144">
        <v>122.2</v>
      </c>
      <c r="P144">
        <v>100.9</v>
      </c>
      <c r="Q144">
        <v>100.9</v>
      </c>
      <c r="R144" t="s">
        <v>73</v>
      </c>
      <c r="S144">
        <v>103.3</v>
      </c>
      <c r="T144">
        <v>103.3</v>
      </c>
      <c r="U144" t="s">
        <v>73</v>
      </c>
      <c r="V144">
        <v>20</v>
      </c>
      <c r="W144" t="s">
        <v>107</v>
      </c>
      <c r="X144">
        <v>-133</v>
      </c>
      <c r="Y144">
        <v>0.56999999999999995</v>
      </c>
      <c r="Z144">
        <v>-137</v>
      </c>
      <c r="AA144">
        <v>0.57805899999999999</v>
      </c>
      <c r="AB144">
        <v>0.56642630301498098</v>
      </c>
      <c r="AC144">
        <v>678022</v>
      </c>
      <c r="AD144" t="b">
        <v>0</v>
      </c>
      <c r="AE144">
        <v>-100</v>
      </c>
      <c r="AF144">
        <v>-100.2</v>
      </c>
      <c r="AG144">
        <v>-100.2</v>
      </c>
      <c r="AH144" t="s">
        <v>73</v>
      </c>
      <c r="AI144">
        <v>-103.3</v>
      </c>
      <c r="AJ144">
        <v>-103.3</v>
      </c>
      <c r="AK144" t="s">
        <v>73</v>
      </c>
      <c r="AL144" t="s">
        <v>499</v>
      </c>
      <c r="AM144" t="s">
        <v>75</v>
      </c>
      <c r="AN144">
        <v>15</v>
      </c>
      <c r="AO144">
        <v>0.93</v>
      </c>
      <c r="AP144">
        <v>0.56000000000000005</v>
      </c>
      <c r="AQ144">
        <v>-6.43E-3</v>
      </c>
      <c r="AR144">
        <v>-127.3</v>
      </c>
      <c r="AS144" t="s">
        <v>75</v>
      </c>
      <c r="AT144">
        <v>0</v>
      </c>
      <c r="AU144">
        <v>0</v>
      </c>
      <c r="AV144" t="s">
        <v>500</v>
      </c>
      <c r="AW144" t="s">
        <v>75</v>
      </c>
      <c r="AX144">
        <v>41</v>
      </c>
      <c r="AY144">
        <v>1</v>
      </c>
      <c r="AZ144">
        <v>0.55000000000000004</v>
      </c>
      <c r="BA144">
        <v>-1.643E-2</v>
      </c>
      <c r="BB144">
        <v>-122.2</v>
      </c>
      <c r="BC144" t="s">
        <v>75</v>
      </c>
      <c r="BD144">
        <v>0</v>
      </c>
      <c r="BE144">
        <v>0</v>
      </c>
      <c r="BF144" t="s">
        <v>83</v>
      </c>
      <c r="BG144">
        <v>0</v>
      </c>
      <c r="BH144">
        <v>0</v>
      </c>
      <c r="BI144">
        <v>0</v>
      </c>
      <c r="BJ144">
        <v>0</v>
      </c>
      <c r="BK144">
        <v>0</v>
      </c>
      <c r="BL144" t="s">
        <v>501</v>
      </c>
    </row>
    <row r="145" spans="1:64" x14ac:dyDescent="0.2">
      <c r="A145">
        <v>823451</v>
      </c>
      <c r="B145" t="s">
        <v>502</v>
      </c>
      <c r="C145" s="3">
        <v>46189</v>
      </c>
      <c r="D145">
        <v>6.3</v>
      </c>
      <c r="E145">
        <v>2</v>
      </c>
      <c r="F145">
        <v>11</v>
      </c>
      <c r="G145" t="s">
        <v>103</v>
      </c>
      <c r="H145">
        <v>149</v>
      </c>
      <c r="I145">
        <v>0.4</v>
      </c>
      <c r="J145">
        <v>152</v>
      </c>
      <c r="K145">
        <v>0.39682499999999998</v>
      </c>
      <c r="L145">
        <v>0.38924751855626499</v>
      </c>
      <c r="M145">
        <v>663969</v>
      </c>
      <c r="N145" t="b">
        <v>0</v>
      </c>
      <c r="O145">
        <v>-150</v>
      </c>
      <c r="P145">
        <v>-101.7</v>
      </c>
      <c r="Q145">
        <v>-101.7</v>
      </c>
      <c r="R145" t="s">
        <v>73</v>
      </c>
      <c r="S145">
        <v>187.1</v>
      </c>
      <c r="T145">
        <v>187.1</v>
      </c>
      <c r="U145" t="s">
        <v>78</v>
      </c>
      <c r="V145">
        <v>21</v>
      </c>
      <c r="W145" t="s">
        <v>127</v>
      </c>
      <c r="X145">
        <v>-163</v>
      </c>
      <c r="Y145">
        <v>0.62</v>
      </c>
      <c r="Z145">
        <v>-165</v>
      </c>
      <c r="AA145">
        <v>0.62264200000000003</v>
      </c>
      <c r="AB145">
        <v>0.61075248144373395</v>
      </c>
      <c r="AC145">
        <v>666200</v>
      </c>
      <c r="AD145" t="b">
        <v>0</v>
      </c>
      <c r="AE145">
        <v>-185.7</v>
      </c>
      <c r="AF145">
        <v>-105.8</v>
      </c>
      <c r="AG145">
        <v>-105.8</v>
      </c>
      <c r="AH145" t="s">
        <v>73</v>
      </c>
      <c r="AI145">
        <v>-187.1</v>
      </c>
      <c r="AJ145" t="s">
        <v>503</v>
      </c>
      <c r="AK145" t="s">
        <v>81</v>
      </c>
      <c r="AL145" t="s">
        <v>504</v>
      </c>
      <c r="AM145" t="s">
        <v>75</v>
      </c>
      <c r="AN145">
        <v>15</v>
      </c>
      <c r="AO145">
        <v>1</v>
      </c>
      <c r="AP145">
        <v>0.57999999999999996</v>
      </c>
      <c r="AQ145">
        <v>-3.075E-2</v>
      </c>
      <c r="AR145">
        <v>-138.1</v>
      </c>
      <c r="AS145" t="s">
        <v>75</v>
      </c>
      <c r="AT145">
        <v>0</v>
      </c>
      <c r="AU145">
        <v>0</v>
      </c>
      <c r="AV145" t="s">
        <v>505</v>
      </c>
      <c r="AW145" t="s">
        <v>75</v>
      </c>
      <c r="AX145">
        <v>41</v>
      </c>
      <c r="AY145">
        <v>1</v>
      </c>
      <c r="AZ145">
        <v>0.55000000000000004</v>
      </c>
      <c r="BA145">
        <v>-6.0749999999999998E-2</v>
      </c>
      <c r="BB145">
        <v>-122.2</v>
      </c>
      <c r="BC145" t="s">
        <v>75</v>
      </c>
      <c r="BD145">
        <v>0</v>
      </c>
      <c r="BE145">
        <v>0</v>
      </c>
      <c r="BF145" t="s">
        <v>83</v>
      </c>
      <c r="BG145">
        <v>0</v>
      </c>
      <c r="BH145">
        <v>0</v>
      </c>
      <c r="BI145">
        <v>0</v>
      </c>
      <c r="BJ145">
        <v>0</v>
      </c>
      <c r="BK145">
        <v>0</v>
      </c>
      <c r="BL145" t="s">
        <v>506</v>
      </c>
    </row>
    <row r="146" spans="1:64" x14ac:dyDescent="0.2">
      <c r="A146">
        <v>823128</v>
      </c>
      <c r="B146" t="s">
        <v>507</v>
      </c>
      <c r="C146" s="3">
        <v>46189</v>
      </c>
      <c r="D146">
        <v>6.3</v>
      </c>
      <c r="E146">
        <v>2</v>
      </c>
      <c r="F146">
        <v>2</v>
      </c>
      <c r="G146" t="s">
        <v>141</v>
      </c>
      <c r="H146">
        <v>137</v>
      </c>
      <c r="I146">
        <v>0.42</v>
      </c>
      <c r="J146">
        <v>139</v>
      </c>
      <c r="K146">
        <v>0.41841</v>
      </c>
      <c r="L146">
        <v>0.41020427370873003</v>
      </c>
      <c r="M146">
        <v>687064</v>
      </c>
      <c r="N146" t="b">
        <v>0</v>
      </c>
      <c r="O146">
        <v>-122.2</v>
      </c>
      <c r="P146">
        <v>103.8</v>
      </c>
      <c r="Q146">
        <v>103.8</v>
      </c>
      <c r="R146" t="s">
        <v>73</v>
      </c>
      <c r="S146">
        <v>159.1</v>
      </c>
      <c r="T146">
        <v>159.1</v>
      </c>
      <c r="U146" t="s">
        <v>78</v>
      </c>
      <c r="V146">
        <v>24</v>
      </c>
      <c r="W146" t="s">
        <v>96</v>
      </c>
      <c r="X146">
        <v>-149</v>
      </c>
      <c r="Y146">
        <v>0.6</v>
      </c>
      <c r="Z146">
        <v>-151</v>
      </c>
      <c r="AA146">
        <v>0.60159399999999996</v>
      </c>
      <c r="AB146">
        <v>0.58979572629126897</v>
      </c>
      <c r="AC146">
        <v>669302</v>
      </c>
      <c r="AD146" t="b">
        <v>0</v>
      </c>
      <c r="AE146">
        <v>-150</v>
      </c>
      <c r="AF146">
        <v>-108.6</v>
      </c>
      <c r="AG146" t="s">
        <v>508</v>
      </c>
      <c r="AH146" t="s">
        <v>81</v>
      </c>
      <c r="AI146">
        <v>-159.1</v>
      </c>
      <c r="AJ146" t="s">
        <v>509</v>
      </c>
      <c r="AK146" t="s">
        <v>81</v>
      </c>
      <c r="AL146" t="s">
        <v>510</v>
      </c>
      <c r="AM146" t="s">
        <v>75</v>
      </c>
      <c r="AN146">
        <v>15</v>
      </c>
      <c r="AO146">
        <v>1</v>
      </c>
      <c r="AP146">
        <v>0.56999999999999995</v>
      </c>
      <c r="AQ146">
        <v>-1.9800000000000002E-2</v>
      </c>
      <c r="AR146">
        <v>-132.6</v>
      </c>
      <c r="AS146" t="s">
        <v>75</v>
      </c>
      <c r="AT146">
        <v>0</v>
      </c>
      <c r="AU146">
        <v>0</v>
      </c>
      <c r="AV146" t="s">
        <v>511</v>
      </c>
      <c r="AW146" t="s">
        <v>75</v>
      </c>
      <c r="AX146">
        <v>41</v>
      </c>
      <c r="AY146">
        <v>0.98</v>
      </c>
      <c r="AZ146">
        <v>0.55000000000000004</v>
      </c>
      <c r="BA146">
        <v>-3.9800000000000002E-2</v>
      </c>
      <c r="BB146">
        <v>-122.2</v>
      </c>
      <c r="BC146" t="s">
        <v>75</v>
      </c>
      <c r="BD146">
        <v>0</v>
      </c>
      <c r="BE146">
        <v>0</v>
      </c>
      <c r="BF146" t="s">
        <v>83</v>
      </c>
      <c r="BG146">
        <v>0</v>
      </c>
      <c r="BH146">
        <v>0</v>
      </c>
      <c r="BI146">
        <v>0</v>
      </c>
      <c r="BJ146">
        <v>0</v>
      </c>
      <c r="BK146">
        <v>0</v>
      </c>
      <c r="BL146" t="s">
        <v>512</v>
      </c>
    </row>
    <row r="147" spans="1:64" x14ac:dyDescent="0.2">
      <c r="A147">
        <v>823045</v>
      </c>
      <c r="B147" t="s">
        <v>513</v>
      </c>
      <c r="C147" s="3">
        <v>46189</v>
      </c>
      <c r="D147">
        <v>6.3</v>
      </c>
      <c r="E147">
        <v>2</v>
      </c>
      <c r="F147">
        <v>23</v>
      </c>
      <c r="G147" t="s">
        <v>130</v>
      </c>
      <c r="H147">
        <v>101</v>
      </c>
      <c r="I147">
        <v>0.5</v>
      </c>
      <c r="J147">
        <v>105</v>
      </c>
      <c r="K147">
        <v>0.48780499999999999</v>
      </c>
      <c r="L147">
        <v>0.47902871491405902</v>
      </c>
      <c r="M147">
        <v>650633</v>
      </c>
      <c r="N147" t="b">
        <v>0</v>
      </c>
      <c r="O147">
        <v>233.3</v>
      </c>
      <c r="P147">
        <v>-100.2</v>
      </c>
      <c r="Q147">
        <v>-100.2</v>
      </c>
      <c r="R147" t="s">
        <v>73</v>
      </c>
      <c r="S147">
        <v>-117.2</v>
      </c>
      <c r="T147">
        <v>-117.2</v>
      </c>
      <c r="U147" t="s">
        <v>73</v>
      </c>
      <c r="V147">
        <v>26</v>
      </c>
      <c r="W147" t="s">
        <v>134</v>
      </c>
      <c r="X147">
        <v>-109</v>
      </c>
      <c r="Y147">
        <v>0.52</v>
      </c>
      <c r="Z147">
        <v>-113</v>
      </c>
      <c r="AA147">
        <v>0.53051599999999999</v>
      </c>
      <c r="AB147">
        <v>0.52097128508594004</v>
      </c>
      <c r="AC147">
        <v>669467</v>
      </c>
      <c r="AD147" t="b">
        <v>0</v>
      </c>
      <c r="AE147">
        <v>-122.2</v>
      </c>
      <c r="AF147">
        <v>106.5</v>
      </c>
      <c r="AG147">
        <v>106.5</v>
      </c>
      <c r="AH147" t="s">
        <v>73</v>
      </c>
      <c r="AI147">
        <v>117.2</v>
      </c>
      <c r="AJ147">
        <v>117.2</v>
      </c>
      <c r="AK147" t="s">
        <v>73</v>
      </c>
      <c r="AL147" t="s">
        <v>514</v>
      </c>
      <c r="AM147" t="s">
        <v>75</v>
      </c>
      <c r="AN147">
        <v>15</v>
      </c>
      <c r="AO147">
        <v>0.93</v>
      </c>
      <c r="AP147">
        <v>0.54</v>
      </c>
      <c r="AQ147">
        <v>1.9029999999999998E-2</v>
      </c>
      <c r="AR147">
        <v>-117.4</v>
      </c>
      <c r="AS147" t="s">
        <v>75</v>
      </c>
      <c r="AT147">
        <v>1</v>
      </c>
      <c r="AU147">
        <v>0.88500000000000001</v>
      </c>
      <c r="AV147" t="s">
        <v>515</v>
      </c>
      <c r="AW147" t="s">
        <v>75</v>
      </c>
      <c r="AX147">
        <v>41</v>
      </c>
      <c r="AY147">
        <v>0.88</v>
      </c>
      <c r="AZ147">
        <v>0.52</v>
      </c>
      <c r="BA147">
        <v>-9.7000000000000005E-4</v>
      </c>
      <c r="BB147">
        <v>-108.3</v>
      </c>
      <c r="BC147" t="s">
        <v>75</v>
      </c>
      <c r="BD147">
        <v>0</v>
      </c>
      <c r="BE147">
        <v>0</v>
      </c>
      <c r="BF147" t="s">
        <v>75</v>
      </c>
      <c r="BG147">
        <v>1.9029999999999998E-2</v>
      </c>
      <c r="BH147">
        <v>0</v>
      </c>
      <c r="BI147">
        <v>0</v>
      </c>
      <c r="BJ147">
        <v>3</v>
      </c>
      <c r="BK147">
        <v>0.93</v>
      </c>
      <c r="BL147" t="s">
        <v>516</v>
      </c>
    </row>
    <row r="148" spans="1:64" x14ac:dyDescent="0.2">
      <c r="A148">
        <v>822888</v>
      </c>
      <c r="B148" t="s">
        <v>517</v>
      </c>
      <c r="C148" s="3">
        <v>46189</v>
      </c>
      <c r="D148">
        <v>6.3</v>
      </c>
      <c r="E148">
        <v>2</v>
      </c>
      <c r="F148">
        <v>15</v>
      </c>
      <c r="G148" t="s">
        <v>119</v>
      </c>
      <c r="H148">
        <v>119</v>
      </c>
      <c r="I148">
        <v>0.46</v>
      </c>
      <c r="J148">
        <v>111</v>
      </c>
      <c r="K148">
        <v>0.47393400000000002</v>
      </c>
      <c r="L148">
        <v>0.46491967247047</v>
      </c>
      <c r="M148">
        <v>805673</v>
      </c>
      <c r="N148" t="b">
        <v>0</v>
      </c>
      <c r="O148">
        <v>150</v>
      </c>
      <c r="P148">
        <v>108.6</v>
      </c>
      <c r="Q148">
        <v>108.6</v>
      </c>
      <c r="R148" t="s">
        <v>78</v>
      </c>
      <c r="S148">
        <v>-132.9</v>
      </c>
      <c r="T148">
        <v>-132.9</v>
      </c>
      <c r="U148" t="s">
        <v>73</v>
      </c>
      <c r="V148">
        <v>28</v>
      </c>
      <c r="W148" t="s">
        <v>138</v>
      </c>
      <c r="X148">
        <v>-129</v>
      </c>
      <c r="Y148">
        <v>0.56000000000000005</v>
      </c>
      <c r="Z148">
        <v>-120</v>
      </c>
      <c r="AA148">
        <v>0.54545500000000002</v>
      </c>
      <c r="AB148">
        <v>0.53508032752952905</v>
      </c>
      <c r="AC148">
        <v>677958</v>
      </c>
      <c r="AD148" t="b">
        <v>0</v>
      </c>
      <c r="AE148">
        <v>-122.2</v>
      </c>
      <c r="AF148">
        <v>-102.7</v>
      </c>
      <c r="AG148">
        <v>-102.7</v>
      </c>
      <c r="AH148" t="s">
        <v>73</v>
      </c>
      <c r="AI148">
        <v>132.9</v>
      </c>
      <c r="AJ148">
        <v>132.9</v>
      </c>
      <c r="AK148" t="s">
        <v>73</v>
      </c>
      <c r="AL148" t="s">
        <v>903</v>
      </c>
      <c r="AM148" t="s">
        <v>75</v>
      </c>
      <c r="AN148">
        <v>15</v>
      </c>
      <c r="AO148">
        <v>0.8</v>
      </c>
      <c r="AP148">
        <v>0.53</v>
      </c>
      <c r="AQ148">
        <v>-5.0800000000000003E-3</v>
      </c>
      <c r="AR148">
        <v>-112.8</v>
      </c>
      <c r="AS148" t="s">
        <v>75</v>
      </c>
      <c r="AT148">
        <v>0</v>
      </c>
      <c r="AU148">
        <v>0</v>
      </c>
      <c r="AV148" t="s">
        <v>904</v>
      </c>
      <c r="AW148" t="s">
        <v>75</v>
      </c>
      <c r="AX148">
        <v>41</v>
      </c>
      <c r="AY148">
        <v>0.98</v>
      </c>
      <c r="AZ148">
        <v>0.54</v>
      </c>
      <c r="BA148">
        <v>4.9199999999999999E-3</v>
      </c>
      <c r="BB148">
        <v>-117.4</v>
      </c>
      <c r="BC148" t="s">
        <v>75</v>
      </c>
      <c r="BD148">
        <v>0</v>
      </c>
      <c r="BE148">
        <v>0</v>
      </c>
      <c r="BF148" t="s">
        <v>83</v>
      </c>
      <c r="BG148">
        <v>0</v>
      </c>
      <c r="BH148">
        <v>0</v>
      </c>
      <c r="BI148">
        <v>0</v>
      </c>
      <c r="BJ148">
        <v>0</v>
      </c>
      <c r="BK148">
        <v>0</v>
      </c>
      <c r="BL148" t="s">
        <v>706</v>
      </c>
    </row>
    <row r="149" spans="1:64" x14ac:dyDescent="0.2">
      <c r="A149">
        <v>824912</v>
      </c>
      <c r="B149" t="s">
        <v>518</v>
      </c>
      <c r="C149" s="3">
        <v>46190</v>
      </c>
      <c r="D149">
        <v>6.3</v>
      </c>
      <c r="E149">
        <v>2</v>
      </c>
      <c r="F149">
        <v>25</v>
      </c>
      <c r="G149" t="s">
        <v>84</v>
      </c>
      <c r="H149">
        <v>146</v>
      </c>
      <c r="I149">
        <v>0.41</v>
      </c>
      <c r="J149">
        <v>154</v>
      </c>
      <c r="K149">
        <v>0.39370100000000002</v>
      </c>
      <c r="L149">
        <v>0.385243367118285</v>
      </c>
      <c r="M149">
        <v>605288</v>
      </c>
      <c r="N149" t="b">
        <v>0</v>
      </c>
      <c r="O149">
        <v>150</v>
      </c>
      <c r="P149">
        <v>105.7</v>
      </c>
      <c r="Q149">
        <v>105.7</v>
      </c>
      <c r="R149" t="s">
        <v>73</v>
      </c>
      <c r="S149">
        <v>123.7</v>
      </c>
      <c r="T149">
        <v>123.7</v>
      </c>
      <c r="U149" t="s">
        <v>73</v>
      </c>
      <c r="V149">
        <v>0</v>
      </c>
      <c r="W149" t="s">
        <v>74</v>
      </c>
      <c r="X149">
        <v>-159</v>
      </c>
      <c r="Y149">
        <v>0.61</v>
      </c>
      <c r="Z149">
        <v>-169</v>
      </c>
      <c r="AA149">
        <v>0.62825299999999995</v>
      </c>
      <c r="AB149">
        <v>0.614756632881714</v>
      </c>
      <c r="AC149">
        <v>656550</v>
      </c>
      <c r="AD149" t="b">
        <v>0</v>
      </c>
      <c r="AE149">
        <v>-100</v>
      </c>
      <c r="AF149">
        <v>-104.8</v>
      </c>
      <c r="AG149">
        <v>-104.8</v>
      </c>
      <c r="AH149" t="s">
        <v>73</v>
      </c>
      <c r="AI149">
        <v>-123.7</v>
      </c>
      <c r="AJ149">
        <v>-123.7</v>
      </c>
      <c r="AK149" t="s">
        <v>73</v>
      </c>
      <c r="AL149" t="s">
        <v>519</v>
      </c>
      <c r="AM149" t="s">
        <v>75</v>
      </c>
      <c r="AN149">
        <v>15</v>
      </c>
      <c r="AO149">
        <v>1</v>
      </c>
      <c r="AP149">
        <v>0.57999999999999996</v>
      </c>
      <c r="AQ149">
        <v>-3.4759999999999999E-2</v>
      </c>
      <c r="AR149">
        <v>-138.1</v>
      </c>
      <c r="AS149" t="s">
        <v>75</v>
      </c>
      <c r="AT149">
        <v>0</v>
      </c>
      <c r="AU149">
        <v>0</v>
      </c>
      <c r="AV149" t="s">
        <v>520</v>
      </c>
      <c r="AW149" t="s">
        <v>75</v>
      </c>
      <c r="AX149">
        <v>41</v>
      </c>
      <c r="AY149">
        <v>1</v>
      </c>
      <c r="AZ149">
        <v>0.56000000000000005</v>
      </c>
      <c r="BA149">
        <v>-5.4760000000000003E-2</v>
      </c>
      <c r="BB149">
        <v>-127.3</v>
      </c>
      <c r="BC149" t="s">
        <v>75</v>
      </c>
      <c r="BD149">
        <v>0</v>
      </c>
      <c r="BE149">
        <v>0</v>
      </c>
      <c r="BF149" t="s">
        <v>83</v>
      </c>
      <c r="BG149">
        <v>0</v>
      </c>
      <c r="BH149">
        <v>0</v>
      </c>
      <c r="BI149">
        <v>0</v>
      </c>
      <c r="BJ149">
        <v>0</v>
      </c>
      <c r="BK149">
        <v>0</v>
      </c>
      <c r="BL149" t="s">
        <v>461</v>
      </c>
    </row>
    <row r="150" spans="1:64" x14ac:dyDescent="0.2">
      <c r="A150">
        <v>824913</v>
      </c>
      <c r="B150" t="s">
        <v>521</v>
      </c>
      <c r="C150" s="3">
        <v>46190</v>
      </c>
      <c r="D150">
        <v>6.3</v>
      </c>
      <c r="E150">
        <v>2</v>
      </c>
      <c r="F150">
        <v>25</v>
      </c>
      <c r="G150" t="s">
        <v>84</v>
      </c>
      <c r="H150">
        <v>126</v>
      </c>
      <c r="I150">
        <v>0.44</v>
      </c>
      <c r="J150">
        <v>124</v>
      </c>
      <c r="K150">
        <v>0.44642900000000002</v>
      </c>
      <c r="L150">
        <v>0.43575815431708298</v>
      </c>
      <c r="M150">
        <v>687931</v>
      </c>
      <c r="N150" t="b">
        <v>0</v>
      </c>
      <c r="O150">
        <v>150</v>
      </c>
      <c r="P150">
        <v>105.7</v>
      </c>
      <c r="Q150">
        <v>105.7</v>
      </c>
      <c r="R150" t="s">
        <v>73</v>
      </c>
      <c r="S150">
        <v>131.19999999999999</v>
      </c>
      <c r="T150">
        <v>131.19999999999999</v>
      </c>
      <c r="U150" t="s">
        <v>73</v>
      </c>
      <c r="V150">
        <v>0</v>
      </c>
      <c r="W150" t="s">
        <v>74</v>
      </c>
      <c r="X150">
        <v>-137</v>
      </c>
      <c r="Y150">
        <v>0.57999999999999996</v>
      </c>
      <c r="Z150">
        <v>-137</v>
      </c>
      <c r="AA150">
        <v>0.57805899999999999</v>
      </c>
      <c r="AB150">
        <v>0.56424184568291602</v>
      </c>
      <c r="AC150">
        <v>702275</v>
      </c>
      <c r="AD150" t="b">
        <v>0</v>
      </c>
      <c r="AE150">
        <v>-100</v>
      </c>
      <c r="AF150">
        <v>-104.8</v>
      </c>
      <c r="AG150">
        <v>-104.8</v>
      </c>
      <c r="AH150" t="s">
        <v>73</v>
      </c>
      <c r="AI150">
        <v>-131.19999999999999</v>
      </c>
      <c r="AJ150">
        <v>-131.19999999999999</v>
      </c>
      <c r="AK150" t="s">
        <v>73</v>
      </c>
      <c r="AL150" t="s">
        <v>522</v>
      </c>
      <c r="AM150" t="s">
        <v>75</v>
      </c>
      <c r="AN150">
        <v>15</v>
      </c>
      <c r="AO150">
        <v>1</v>
      </c>
      <c r="AP150">
        <v>0.57999999999999996</v>
      </c>
      <c r="AQ150">
        <v>1.576E-2</v>
      </c>
      <c r="AR150">
        <v>-138.1</v>
      </c>
      <c r="AS150" t="s">
        <v>75</v>
      </c>
      <c r="AT150">
        <v>1</v>
      </c>
      <c r="AU150">
        <v>0.73</v>
      </c>
      <c r="AV150" t="s">
        <v>523</v>
      </c>
      <c r="AW150" t="s">
        <v>75</v>
      </c>
      <c r="AX150">
        <v>41</v>
      </c>
      <c r="AY150">
        <v>1</v>
      </c>
      <c r="AZ150">
        <v>0.56000000000000005</v>
      </c>
      <c r="BA150">
        <v>-4.2399999999999998E-3</v>
      </c>
      <c r="BB150">
        <v>-127.3</v>
      </c>
      <c r="BC150" t="s">
        <v>75</v>
      </c>
      <c r="BD150">
        <v>0</v>
      </c>
      <c r="BE150">
        <v>0</v>
      </c>
      <c r="BF150" t="s">
        <v>75</v>
      </c>
      <c r="BG150">
        <v>1.576E-2</v>
      </c>
      <c r="BH150">
        <v>0</v>
      </c>
      <c r="BI150">
        <v>0</v>
      </c>
      <c r="BJ150">
        <v>3</v>
      </c>
      <c r="BK150">
        <v>1</v>
      </c>
      <c r="BL150" t="s">
        <v>524</v>
      </c>
    </row>
    <row r="151" spans="1:64" x14ac:dyDescent="0.2">
      <c r="A151">
        <v>825072</v>
      </c>
      <c r="B151" t="s">
        <v>525</v>
      </c>
      <c r="C151" s="3">
        <v>46190</v>
      </c>
      <c r="D151">
        <v>6.3</v>
      </c>
      <c r="E151">
        <v>3</v>
      </c>
      <c r="F151">
        <v>4</v>
      </c>
      <c r="G151" t="s">
        <v>111</v>
      </c>
      <c r="H151">
        <v>156</v>
      </c>
      <c r="I151">
        <v>0.39</v>
      </c>
      <c r="J151">
        <v>146</v>
      </c>
      <c r="K151">
        <v>0.40650399999999998</v>
      </c>
      <c r="L151">
        <v>0.39609617685690701</v>
      </c>
      <c r="M151">
        <v>691951</v>
      </c>
      <c r="N151" t="b">
        <v>0</v>
      </c>
      <c r="O151">
        <v>-100</v>
      </c>
      <c r="P151">
        <v>107.8</v>
      </c>
      <c r="Q151">
        <v>107.8</v>
      </c>
      <c r="R151" t="s">
        <v>78</v>
      </c>
      <c r="S151">
        <v>149</v>
      </c>
      <c r="T151">
        <v>149</v>
      </c>
      <c r="U151" t="s">
        <v>78</v>
      </c>
      <c r="V151">
        <v>1</v>
      </c>
      <c r="W151" t="s">
        <v>79</v>
      </c>
      <c r="X151">
        <v>-170</v>
      </c>
      <c r="Y151">
        <v>0.63</v>
      </c>
      <c r="Z151">
        <v>-163</v>
      </c>
      <c r="AA151">
        <v>0.61977199999999999</v>
      </c>
      <c r="AB151">
        <v>0.60390382314309199</v>
      </c>
      <c r="AC151">
        <v>593958</v>
      </c>
      <c r="AD151" t="b">
        <v>0</v>
      </c>
      <c r="AE151">
        <v>150</v>
      </c>
      <c r="AF151">
        <v>102.5</v>
      </c>
      <c r="AG151">
        <v>102.5</v>
      </c>
      <c r="AH151" t="s">
        <v>73</v>
      </c>
      <c r="AI151">
        <v>-149</v>
      </c>
      <c r="AJ151" t="s">
        <v>526</v>
      </c>
      <c r="AK151" t="s">
        <v>81</v>
      </c>
      <c r="AL151" t="s">
        <v>905</v>
      </c>
      <c r="AM151" t="s">
        <v>75</v>
      </c>
      <c r="AN151">
        <v>15</v>
      </c>
      <c r="AO151">
        <v>0.87</v>
      </c>
      <c r="AP151">
        <v>0.53</v>
      </c>
      <c r="AQ151">
        <v>-7.3899999999999993E-2</v>
      </c>
      <c r="AR151">
        <v>-112.8</v>
      </c>
      <c r="AS151" t="s">
        <v>75</v>
      </c>
      <c r="AT151">
        <v>0</v>
      </c>
      <c r="AU151">
        <v>0</v>
      </c>
      <c r="AV151" t="s">
        <v>906</v>
      </c>
      <c r="AW151" t="s">
        <v>75</v>
      </c>
      <c r="AX151">
        <v>41</v>
      </c>
      <c r="AY151">
        <v>0.85</v>
      </c>
      <c r="AZ151">
        <v>0.52</v>
      </c>
      <c r="BA151">
        <v>-8.3900000000000002E-2</v>
      </c>
      <c r="BB151">
        <v>-108.3</v>
      </c>
      <c r="BC151" t="s">
        <v>75</v>
      </c>
      <c r="BD151">
        <v>0</v>
      </c>
      <c r="BE151">
        <v>0</v>
      </c>
      <c r="BF151" t="s">
        <v>83</v>
      </c>
      <c r="BG151">
        <v>0</v>
      </c>
      <c r="BH151">
        <v>0</v>
      </c>
      <c r="BI151">
        <v>0</v>
      </c>
      <c r="BJ151">
        <v>0</v>
      </c>
      <c r="BK151">
        <v>0</v>
      </c>
      <c r="BL151" t="s">
        <v>527</v>
      </c>
    </row>
    <row r="152" spans="1:64" x14ac:dyDescent="0.2">
      <c r="A152">
        <v>824746</v>
      </c>
      <c r="B152" t="s">
        <v>528</v>
      </c>
      <c r="C152" s="3">
        <v>46190</v>
      </c>
      <c r="D152">
        <v>6.3</v>
      </c>
      <c r="E152">
        <v>2</v>
      </c>
      <c r="F152">
        <v>29</v>
      </c>
      <c r="G152" t="s">
        <v>144</v>
      </c>
      <c r="H152">
        <v>113</v>
      </c>
      <c r="I152">
        <v>0.47</v>
      </c>
      <c r="J152">
        <v>112</v>
      </c>
      <c r="K152">
        <v>0.47169800000000001</v>
      </c>
      <c r="L152">
        <v>0.46007242977208901</v>
      </c>
      <c r="M152">
        <v>680755</v>
      </c>
      <c r="N152" t="b">
        <v>0</v>
      </c>
      <c r="O152">
        <v>-100</v>
      </c>
      <c r="P152">
        <v>-107.3</v>
      </c>
      <c r="Q152">
        <v>-107.3</v>
      </c>
      <c r="R152" t="s">
        <v>73</v>
      </c>
      <c r="S152">
        <v>152.6</v>
      </c>
      <c r="T152">
        <v>152.6</v>
      </c>
      <c r="U152" t="s">
        <v>78</v>
      </c>
      <c r="V152">
        <v>3</v>
      </c>
      <c r="W152" t="s">
        <v>122</v>
      </c>
      <c r="X152">
        <v>-123</v>
      </c>
      <c r="Y152">
        <v>0.55000000000000004</v>
      </c>
      <c r="Z152">
        <v>-124</v>
      </c>
      <c r="AA152">
        <v>0.55357100000000004</v>
      </c>
      <c r="AB152">
        <v>0.53992757022791005</v>
      </c>
      <c r="AC152">
        <v>687562</v>
      </c>
      <c r="AD152" t="b">
        <v>0</v>
      </c>
      <c r="AE152">
        <v>185.7</v>
      </c>
      <c r="AF152">
        <v>-103.4</v>
      </c>
      <c r="AG152">
        <v>-103.4</v>
      </c>
      <c r="AH152" t="s">
        <v>73</v>
      </c>
      <c r="AI152">
        <v>-152.6</v>
      </c>
      <c r="AJ152" t="s">
        <v>529</v>
      </c>
      <c r="AK152" t="s">
        <v>81</v>
      </c>
      <c r="AL152" t="s">
        <v>530</v>
      </c>
      <c r="AM152" t="s">
        <v>75</v>
      </c>
      <c r="AN152">
        <v>15</v>
      </c>
      <c r="AO152">
        <v>0.93</v>
      </c>
      <c r="AP152">
        <v>0.54</v>
      </c>
      <c r="AQ152">
        <v>6.9999999999999994E-5</v>
      </c>
      <c r="AR152">
        <v>-117.4</v>
      </c>
      <c r="AS152" t="s">
        <v>75</v>
      </c>
      <c r="AT152">
        <v>0</v>
      </c>
      <c r="AU152">
        <v>0</v>
      </c>
      <c r="AV152" t="s">
        <v>531</v>
      </c>
      <c r="AW152" t="s">
        <v>109</v>
      </c>
      <c r="AX152">
        <v>41</v>
      </c>
      <c r="AY152">
        <v>0.59</v>
      </c>
      <c r="AZ152">
        <v>0.49</v>
      </c>
      <c r="BA152">
        <v>-4.9930000000000002E-2</v>
      </c>
      <c r="BB152">
        <v>104.1</v>
      </c>
      <c r="BC152" t="s">
        <v>109</v>
      </c>
      <c r="BD152">
        <v>1</v>
      </c>
      <c r="BE152">
        <v>1.1200000000000001</v>
      </c>
      <c r="BF152" t="s">
        <v>83</v>
      </c>
      <c r="BG152">
        <v>0</v>
      </c>
      <c r="BH152">
        <v>0</v>
      </c>
      <c r="BI152">
        <v>0</v>
      </c>
      <c r="BJ152">
        <v>0</v>
      </c>
      <c r="BK152">
        <v>0</v>
      </c>
      <c r="BL152" t="s">
        <v>532</v>
      </c>
    </row>
    <row r="153" spans="1:64" x14ac:dyDescent="0.2">
      <c r="A153">
        <v>824668</v>
      </c>
      <c r="B153" t="s">
        <v>533</v>
      </c>
      <c r="C153" s="3">
        <v>46190</v>
      </c>
      <c r="D153">
        <v>6.3</v>
      </c>
      <c r="E153">
        <v>3</v>
      </c>
      <c r="F153">
        <v>8</v>
      </c>
      <c r="G153" t="s">
        <v>92</v>
      </c>
      <c r="H153">
        <v>168</v>
      </c>
      <c r="I153">
        <v>0.37</v>
      </c>
      <c r="J153">
        <v>161</v>
      </c>
      <c r="K153">
        <v>0.38314199999999998</v>
      </c>
      <c r="L153">
        <v>0.37343311250790601</v>
      </c>
      <c r="M153">
        <v>807743</v>
      </c>
      <c r="N153" t="b">
        <v>0</v>
      </c>
      <c r="O153">
        <v>150</v>
      </c>
      <c r="P153">
        <v>128.80000000000001</v>
      </c>
      <c r="Q153">
        <v>128.80000000000001</v>
      </c>
      <c r="R153" t="s">
        <v>126</v>
      </c>
      <c r="S153">
        <v>163.5</v>
      </c>
      <c r="T153">
        <v>163.5</v>
      </c>
      <c r="U153" t="s">
        <v>78</v>
      </c>
      <c r="V153">
        <v>5</v>
      </c>
      <c r="W153" t="s">
        <v>85</v>
      </c>
      <c r="X153">
        <v>-184</v>
      </c>
      <c r="Y153">
        <v>0.65</v>
      </c>
      <c r="Z153">
        <v>-180</v>
      </c>
      <c r="AA153">
        <v>0.64285700000000001</v>
      </c>
      <c r="AB153">
        <v>0.62656688749209299</v>
      </c>
      <c r="AC153">
        <v>665871</v>
      </c>
      <c r="AD153" t="b">
        <v>0</v>
      </c>
      <c r="AE153">
        <v>122.2</v>
      </c>
      <c r="AF153">
        <v>-110.6</v>
      </c>
      <c r="AG153" t="s">
        <v>436</v>
      </c>
      <c r="AH153" t="s">
        <v>81</v>
      </c>
      <c r="AI153">
        <v>-163.5</v>
      </c>
      <c r="AJ153" t="s">
        <v>534</v>
      </c>
      <c r="AK153" t="s">
        <v>81</v>
      </c>
      <c r="AL153" t="s">
        <v>535</v>
      </c>
      <c r="AM153" t="s">
        <v>75</v>
      </c>
      <c r="AN153">
        <v>15</v>
      </c>
      <c r="AO153">
        <v>1</v>
      </c>
      <c r="AP153">
        <v>0.57999999999999996</v>
      </c>
      <c r="AQ153">
        <v>-4.657E-2</v>
      </c>
      <c r="AR153">
        <v>-138.1</v>
      </c>
      <c r="AS153" t="s">
        <v>75</v>
      </c>
      <c r="AT153">
        <v>0</v>
      </c>
      <c r="AU153">
        <v>0</v>
      </c>
      <c r="AV153" t="s">
        <v>536</v>
      </c>
      <c r="AW153" t="s">
        <v>75</v>
      </c>
      <c r="AX153">
        <v>41</v>
      </c>
      <c r="AY153">
        <v>0.98</v>
      </c>
      <c r="AZ153">
        <v>0.56000000000000005</v>
      </c>
      <c r="BA153">
        <v>-6.6570000000000004E-2</v>
      </c>
      <c r="BB153">
        <v>-127.3</v>
      </c>
      <c r="BC153" t="s">
        <v>75</v>
      </c>
      <c r="BD153">
        <v>0</v>
      </c>
      <c r="BE153">
        <v>0</v>
      </c>
      <c r="BF153" t="s">
        <v>83</v>
      </c>
      <c r="BG153">
        <v>0</v>
      </c>
      <c r="BH153">
        <v>0</v>
      </c>
      <c r="BI153">
        <v>0</v>
      </c>
      <c r="BJ153">
        <v>0</v>
      </c>
      <c r="BK153">
        <v>0</v>
      </c>
      <c r="BL153" t="s">
        <v>537</v>
      </c>
    </row>
    <row r="154" spans="1:64" x14ac:dyDescent="0.2">
      <c r="A154">
        <v>824503</v>
      </c>
      <c r="B154" t="s">
        <v>538</v>
      </c>
      <c r="C154" s="3">
        <v>46190</v>
      </c>
      <c r="D154">
        <v>6.3</v>
      </c>
      <c r="E154">
        <v>2</v>
      </c>
      <c r="F154">
        <v>18</v>
      </c>
      <c r="G154" t="s">
        <v>129</v>
      </c>
      <c r="H154">
        <v>-125</v>
      </c>
      <c r="I154">
        <v>0.56000000000000005</v>
      </c>
      <c r="J154">
        <v>-125</v>
      </c>
      <c r="K154">
        <v>0.55555600000000005</v>
      </c>
      <c r="L154">
        <v>0.54198470303597901</v>
      </c>
      <c r="M154">
        <v>690997</v>
      </c>
      <c r="N154" t="b">
        <v>0</v>
      </c>
      <c r="O154">
        <v>-100</v>
      </c>
      <c r="P154">
        <v>106.3</v>
      </c>
      <c r="Q154">
        <v>106.3</v>
      </c>
      <c r="R154" t="s">
        <v>73</v>
      </c>
      <c r="S154">
        <v>-119</v>
      </c>
      <c r="T154">
        <v>-119</v>
      </c>
      <c r="U154" t="s">
        <v>73</v>
      </c>
      <c r="V154">
        <v>6</v>
      </c>
      <c r="W154" t="s">
        <v>133</v>
      </c>
      <c r="X154">
        <v>115</v>
      </c>
      <c r="Y154">
        <v>0.47</v>
      </c>
      <c r="Z154">
        <v>113</v>
      </c>
      <c r="AA154">
        <v>0.46948400000000001</v>
      </c>
      <c r="AB154">
        <v>0.45801529696401999</v>
      </c>
      <c r="AC154">
        <v>666157</v>
      </c>
      <c r="AD154" t="b">
        <v>0</v>
      </c>
      <c r="AE154">
        <v>150</v>
      </c>
      <c r="AF154">
        <v>108.9</v>
      </c>
      <c r="AG154">
        <v>108.9</v>
      </c>
      <c r="AH154" t="s">
        <v>73</v>
      </c>
      <c r="AI154">
        <v>119</v>
      </c>
      <c r="AJ154">
        <v>119</v>
      </c>
      <c r="AK154" t="s">
        <v>73</v>
      </c>
      <c r="AL154" t="s">
        <v>539</v>
      </c>
      <c r="AM154" t="s">
        <v>94</v>
      </c>
      <c r="AN154">
        <v>15</v>
      </c>
      <c r="AO154">
        <v>1</v>
      </c>
      <c r="AP154">
        <v>0.44</v>
      </c>
      <c r="AQ154">
        <v>-1.8020000000000001E-2</v>
      </c>
      <c r="AR154">
        <v>127.3</v>
      </c>
      <c r="AS154" t="s">
        <v>94</v>
      </c>
      <c r="AT154">
        <v>0</v>
      </c>
      <c r="AU154">
        <v>0</v>
      </c>
      <c r="AV154" t="s">
        <v>540</v>
      </c>
      <c r="AW154" t="s">
        <v>94</v>
      </c>
      <c r="AX154">
        <v>41</v>
      </c>
      <c r="AY154">
        <v>0.85</v>
      </c>
      <c r="AZ154">
        <v>0.47</v>
      </c>
      <c r="BA154">
        <v>1.1979999999999999E-2</v>
      </c>
      <c r="BB154">
        <v>112.8</v>
      </c>
      <c r="BC154" t="s">
        <v>94</v>
      </c>
      <c r="BD154">
        <v>0</v>
      </c>
      <c r="BE154">
        <v>0</v>
      </c>
      <c r="BF154" t="s">
        <v>83</v>
      </c>
      <c r="BG154">
        <v>0</v>
      </c>
      <c r="BH154">
        <v>0</v>
      </c>
      <c r="BI154">
        <v>0</v>
      </c>
      <c r="BJ154">
        <v>0</v>
      </c>
      <c r="BK154">
        <v>0</v>
      </c>
      <c r="BL154" t="s">
        <v>541</v>
      </c>
    </row>
    <row r="155" spans="1:64" x14ac:dyDescent="0.2">
      <c r="A155">
        <v>824178</v>
      </c>
      <c r="B155" t="s">
        <v>542</v>
      </c>
      <c r="C155" s="3">
        <v>46190</v>
      </c>
      <c r="D155">
        <v>6.3</v>
      </c>
      <c r="E155">
        <v>2</v>
      </c>
      <c r="F155">
        <v>10</v>
      </c>
      <c r="G155" t="s">
        <v>97</v>
      </c>
      <c r="H155">
        <v>-106</v>
      </c>
      <c r="I155">
        <v>0.51</v>
      </c>
      <c r="J155">
        <v>-107</v>
      </c>
      <c r="K155">
        <v>0.51690800000000003</v>
      </c>
      <c r="L155">
        <v>0.50464660152280005</v>
      </c>
      <c r="M155">
        <v>663554</v>
      </c>
      <c r="N155" t="b">
        <v>0</v>
      </c>
      <c r="O155">
        <v>-100</v>
      </c>
      <c r="P155">
        <v>-101.1</v>
      </c>
      <c r="Q155">
        <v>-101.1</v>
      </c>
      <c r="R155" t="s">
        <v>73</v>
      </c>
      <c r="S155">
        <v>111.2</v>
      </c>
      <c r="T155">
        <v>111.2</v>
      </c>
      <c r="U155" t="s">
        <v>73</v>
      </c>
      <c r="V155">
        <v>12</v>
      </c>
      <c r="W155" t="s">
        <v>108</v>
      </c>
      <c r="X155">
        <v>-102</v>
      </c>
      <c r="Y155">
        <v>0.5</v>
      </c>
      <c r="Z155">
        <v>-103</v>
      </c>
      <c r="AA155">
        <v>0.50738899999999998</v>
      </c>
      <c r="AB155">
        <v>0.495353398477199</v>
      </c>
      <c r="AC155">
        <v>663567</v>
      </c>
      <c r="AD155" t="b">
        <v>0</v>
      </c>
      <c r="AE155">
        <v>-100</v>
      </c>
      <c r="AF155">
        <v>104.8</v>
      </c>
      <c r="AG155">
        <v>104.8</v>
      </c>
      <c r="AH155" t="s">
        <v>73</v>
      </c>
      <c r="AI155">
        <v>-111.2</v>
      </c>
      <c r="AJ155">
        <v>-111.2</v>
      </c>
      <c r="AK155" t="s">
        <v>73</v>
      </c>
      <c r="AL155" t="s">
        <v>907</v>
      </c>
      <c r="AM155" t="s">
        <v>94</v>
      </c>
      <c r="AN155">
        <v>15</v>
      </c>
      <c r="AO155">
        <v>0.67</v>
      </c>
      <c r="AP155">
        <v>0.49</v>
      </c>
      <c r="AQ155">
        <v>-5.3499999999999997E-3</v>
      </c>
      <c r="AR155">
        <v>104.1</v>
      </c>
      <c r="AS155" t="s">
        <v>94</v>
      </c>
      <c r="AT155">
        <v>0</v>
      </c>
      <c r="AU155">
        <v>0</v>
      </c>
      <c r="AV155" t="s">
        <v>908</v>
      </c>
      <c r="AW155" t="s">
        <v>187</v>
      </c>
      <c r="AX155">
        <v>41</v>
      </c>
      <c r="AY155">
        <v>0.68</v>
      </c>
      <c r="AZ155">
        <v>0.51</v>
      </c>
      <c r="BA155">
        <v>1.465E-2</v>
      </c>
      <c r="BB155">
        <v>-104.1</v>
      </c>
      <c r="BC155" t="s">
        <v>187</v>
      </c>
      <c r="BD155">
        <v>1</v>
      </c>
      <c r="BE155">
        <v>0.97099999999999997</v>
      </c>
      <c r="BF155" t="s">
        <v>83</v>
      </c>
      <c r="BG155">
        <v>0</v>
      </c>
      <c r="BH155">
        <v>0</v>
      </c>
      <c r="BI155">
        <v>0</v>
      </c>
      <c r="BJ155">
        <v>0</v>
      </c>
      <c r="BK155">
        <v>0</v>
      </c>
      <c r="BL155" t="s">
        <v>543</v>
      </c>
    </row>
    <row r="156" spans="1:64" x14ac:dyDescent="0.2">
      <c r="A156">
        <v>823940</v>
      </c>
      <c r="B156" t="s">
        <v>544</v>
      </c>
      <c r="C156" s="3">
        <v>46190</v>
      </c>
      <c r="D156">
        <v>6.3</v>
      </c>
      <c r="E156">
        <v>3</v>
      </c>
      <c r="F156">
        <v>27</v>
      </c>
      <c r="G156" t="s">
        <v>101</v>
      </c>
      <c r="H156">
        <v>156</v>
      </c>
      <c r="I156">
        <v>0.39</v>
      </c>
      <c r="J156">
        <v>162</v>
      </c>
      <c r="K156">
        <v>0.38167899999999999</v>
      </c>
      <c r="L156">
        <v>0.37207681366962703</v>
      </c>
      <c r="M156">
        <v>663556</v>
      </c>
      <c r="N156" t="b">
        <v>0</v>
      </c>
      <c r="O156">
        <v>185.7</v>
      </c>
      <c r="P156">
        <v>-100.8</v>
      </c>
      <c r="Q156">
        <v>-100.8</v>
      </c>
      <c r="R156" t="s">
        <v>73</v>
      </c>
      <c r="S156">
        <v>114.6</v>
      </c>
      <c r="T156">
        <v>114.6</v>
      </c>
      <c r="U156" t="s">
        <v>73</v>
      </c>
      <c r="V156">
        <v>14</v>
      </c>
      <c r="W156" t="s">
        <v>113</v>
      </c>
      <c r="X156">
        <v>-171</v>
      </c>
      <c r="Y156">
        <v>0.63</v>
      </c>
      <c r="Z156">
        <v>-181</v>
      </c>
      <c r="AA156">
        <v>0.64412800000000003</v>
      </c>
      <c r="AB156">
        <v>0.62792318633037203</v>
      </c>
      <c r="AC156">
        <v>660271</v>
      </c>
      <c r="AD156" t="b">
        <v>0</v>
      </c>
      <c r="AE156">
        <v>-185.7</v>
      </c>
      <c r="AF156">
        <v>-117.4</v>
      </c>
      <c r="AG156" t="s">
        <v>545</v>
      </c>
      <c r="AH156" t="s">
        <v>116</v>
      </c>
      <c r="AI156">
        <v>-114.6</v>
      </c>
      <c r="AJ156">
        <v>-114.6</v>
      </c>
      <c r="AK156" t="s">
        <v>73</v>
      </c>
      <c r="AL156" t="s">
        <v>909</v>
      </c>
      <c r="AM156" t="s">
        <v>75</v>
      </c>
      <c r="AN156">
        <v>15</v>
      </c>
      <c r="AO156">
        <v>1</v>
      </c>
      <c r="AP156">
        <v>0.56999999999999995</v>
      </c>
      <c r="AQ156">
        <v>-5.7919999999999999E-2</v>
      </c>
      <c r="AR156">
        <v>-132.6</v>
      </c>
      <c r="AS156" t="s">
        <v>75</v>
      </c>
      <c r="AT156">
        <v>0</v>
      </c>
      <c r="AU156">
        <v>0</v>
      </c>
      <c r="AV156" t="s">
        <v>910</v>
      </c>
      <c r="AW156" t="s">
        <v>75</v>
      </c>
      <c r="AX156">
        <v>41</v>
      </c>
      <c r="AY156">
        <v>0.85</v>
      </c>
      <c r="AZ156">
        <v>0.52</v>
      </c>
      <c r="BA156">
        <v>-0.10792</v>
      </c>
      <c r="BB156">
        <v>-108.3</v>
      </c>
      <c r="BC156" t="s">
        <v>75</v>
      </c>
      <c r="BD156">
        <v>0</v>
      </c>
      <c r="BE156">
        <v>0</v>
      </c>
      <c r="BF156" t="s">
        <v>83</v>
      </c>
      <c r="BG156">
        <v>0</v>
      </c>
      <c r="BH156">
        <v>0</v>
      </c>
      <c r="BI156">
        <v>0</v>
      </c>
      <c r="BJ156">
        <v>0</v>
      </c>
      <c r="BK156">
        <v>0</v>
      </c>
      <c r="BL156" t="s">
        <v>546</v>
      </c>
    </row>
    <row r="157" spans="1:64" x14ac:dyDescent="0.2">
      <c r="A157">
        <v>822721</v>
      </c>
      <c r="B157" t="s">
        <v>547</v>
      </c>
      <c r="C157" s="3">
        <v>46190</v>
      </c>
      <c r="D157">
        <v>6.3</v>
      </c>
      <c r="E157">
        <v>2</v>
      </c>
      <c r="F157">
        <v>13</v>
      </c>
      <c r="G157" t="s">
        <v>118</v>
      </c>
      <c r="H157">
        <v>122</v>
      </c>
      <c r="I157">
        <v>0.45</v>
      </c>
      <c r="J157">
        <v>113</v>
      </c>
      <c r="K157">
        <v>0.46948400000000001</v>
      </c>
      <c r="L157">
        <v>0.45801529696401999</v>
      </c>
      <c r="M157">
        <v>679883</v>
      </c>
      <c r="N157" t="b">
        <v>0</v>
      </c>
      <c r="O157">
        <v>185.7</v>
      </c>
      <c r="P157">
        <v>100.6</v>
      </c>
      <c r="Q157">
        <v>100.6</v>
      </c>
      <c r="R157" t="s">
        <v>73</v>
      </c>
      <c r="S157">
        <v>112.4</v>
      </c>
      <c r="T157">
        <v>112.4</v>
      </c>
      <c r="U157" t="s">
        <v>73</v>
      </c>
      <c r="V157">
        <v>16</v>
      </c>
      <c r="W157" t="s">
        <v>77</v>
      </c>
      <c r="X157">
        <v>-133</v>
      </c>
      <c r="Y157">
        <v>0.56999999999999995</v>
      </c>
      <c r="Z157">
        <v>-125</v>
      </c>
      <c r="AA157">
        <v>0.55555600000000005</v>
      </c>
      <c r="AB157">
        <v>0.54198470303597901</v>
      </c>
      <c r="AC157">
        <v>641793</v>
      </c>
      <c r="AD157" t="b">
        <v>0</v>
      </c>
      <c r="AE157">
        <v>-150</v>
      </c>
      <c r="AF157">
        <v>111.3</v>
      </c>
      <c r="AG157">
        <v>111.3</v>
      </c>
      <c r="AH157" t="s">
        <v>78</v>
      </c>
      <c r="AI157">
        <v>-112.4</v>
      </c>
      <c r="AJ157">
        <v>-112.4</v>
      </c>
      <c r="AK157" t="s">
        <v>73</v>
      </c>
      <c r="AL157" t="s">
        <v>548</v>
      </c>
      <c r="AM157" t="s">
        <v>75</v>
      </c>
      <c r="AN157">
        <v>15</v>
      </c>
      <c r="AO157">
        <v>0.93</v>
      </c>
      <c r="AP157">
        <v>0.54</v>
      </c>
      <c r="AQ157">
        <v>-1.98E-3</v>
      </c>
      <c r="AR157">
        <v>-117.4</v>
      </c>
      <c r="AS157" t="s">
        <v>75</v>
      </c>
      <c r="AT157">
        <v>0</v>
      </c>
      <c r="AU157">
        <v>0</v>
      </c>
      <c r="AV157" t="s">
        <v>549</v>
      </c>
      <c r="AW157" t="s">
        <v>75</v>
      </c>
      <c r="AX157">
        <v>41</v>
      </c>
      <c r="AY157">
        <v>0.83</v>
      </c>
      <c r="AZ157">
        <v>0.52</v>
      </c>
      <c r="BA157">
        <v>-2.198E-2</v>
      </c>
      <c r="BB157">
        <v>-108.3</v>
      </c>
      <c r="BC157" t="s">
        <v>75</v>
      </c>
      <c r="BD157">
        <v>0</v>
      </c>
      <c r="BE157">
        <v>0</v>
      </c>
      <c r="BF157" t="s">
        <v>83</v>
      </c>
      <c r="BG157">
        <v>0</v>
      </c>
      <c r="BH157">
        <v>0</v>
      </c>
      <c r="BI157">
        <v>0</v>
      </c>
      <c r="BJ157">
        <v>0</v>
      </c>
      <c r="BK157">
        <v>0</v>
      </c>
      <c r="BL157" t="s">
        <v>550</v>
      </c>
    </row>
    <row r="158" spans="1:64" x14ac:dyDescent="0.2">
      <c r="A158">
        <v>823774</v>
      </c>
      <c r="B158" t="s">
        <v>551</v>
      </c>
      <c r="C158" s="3">
        <v>46190</v>
      </c>
      <c r="D158">
        <v>6.3</v>
      </c>
      <c r="E158">
        <v>2</v>
      </c>
      <c r="F158">
        <v>7</v>
      </c>
      <c r="G158" t="s">
        <v>137</v>
      </c>
      <c r="H158">
        <v>113</v>
      </c>
      <c r="I158">
        <v>0.47</v>
      </c>
      <c r="J158">
        <v>107</v>
      </c>
      <c r="K158">
        <v>0.48309200000000002</v>
      </c>
      <c r="L158">
        <v>0.47159636695900697</v>
      </c>
      <c r="M158">
        <v>668909</v>
      </c>
      <c r="N158" t="b">
        <v>0</v>
      </c>
      <c r="O158">
        <v>150</v>
      </c>
      <c r="P158">
        <v>-101.5</v>
      </c>
      <c r="Q158">
        <v>-101.5</v>
      </c>
      <c r="R158" t="s">
        <v>73</v>
      </c>
      <c r="S158">
        <v>-144</v>
      </c>
      <c r="T158">
        <v>-144</v>
      </c>
      <c r="U158" t="s">
        <v>73</v>
      </c>
      <c r="V158">
        <v>17</v>
      </c>
      <c r="W158" t="s">
        <v>89</v>
      </c>
      <c r="X158">
        <v>-122</v>
      </c>
      <c r="Y158">
        <v>0.55000000000000004</v>
      </c>
      <c r="Z158">
        <v>-118</v>
      </c>
      <c r="AA158">
        <v>0.54128399999999999</v>
      </c>
      <c r="AB158">
        <v>0.52840363304099203</v>
      </c>
      <c r="AC158">
        <v>687075</v>
      </c>
      <c r="AD158" t="b">
        <v>0</v>
      </c>
      <c r="AE158">
        <v>-233.3</v>
      </c>
      <c r="AF158">
        <v>-119.7</v>
      </c>
      <c r="AG158" t="s">
        <v>552</v>
      </c>
      <c r="AH158" t="s">
        <v>116</v>
      </c>
      <c r="AI158">
        <v>144</v>
      </c>
      <c r="AJ158">
        <v>144</v>
      </c>
      <c r="AK158" t="s">
        <v>73</v>
      </c>
      <c r="AL158" t="s">
        <v>553</v>
      </c>
      <c r="AM158" t="s">
        <v>75</v>
      </c>
      <c r="AN158">
        <v>15</v>
      </c>
      <c r="AO158">
        <v>1</v>
      </c>
      <c r="AP158">
        <v>0.52</v>
      </c>
      <c r="AQ158">
        <v>-8.3999999999999995E-3</v>
      </c>
      <c r="AR158">
        <v>-108.3</v>
      </c>
      <c r="AS158" t="s">
        <v>75</v>
      </c>
      <c r="AT158">
        <v>0</v>
      </c>
      <c r="AU158">
        <v>0</v>
      </c>
      <c r="AV158" t="s">
        <v>554</v>
      </c>
      <c r="AW158" t="s">
        <v>109</v>
      </c>
      <c r="AX158">
        <v>41</v>
      </c>
      <c r="AY158">
        <v>0.68</v>
      </c>
      <c r="AZ158">
        <v>0.49</v>
      </c>
      <c r="BA158">
        <v>-3.8399999999999997E-2</v>
      </c>
      <c r="BB158">
        <v>104.1</v>
      </c>
      <c r="BC158" t="s">
        <v>109</v>
      </c>
      <c r="BD158">
        <v>1</v>
      </c>
      <c r="BE158">
        <v>1.07</v>
      </c>
      <c r="BF158" t="s">
        <v>83</v>
      </c>
      <c r="BG158">
        <v>0</v>
      </c>
      <c r="BH158">
        <v>0</v>
      </c>
      <c r="BI158">
        <v>0</v>
      </c>
      <c r="BJ158">
        <v>0</v>
      </c>
      <c r="BK158">
        <v>0</v>
      </c>
      <c r="BL158" t="s">
        <v>555</v>
      </c>
    </row>
    <row r="159" spans="1:64" x14ac:dyDescent="0.2">
      <c r="A159">
        <v>823536</v>
      </c>
      <c r="B159" t="s">
        <v>556</v>
      </c>
      <c r="C159" s="3">
        <v>46190</v>
      </c>
      <c r="D159">
        <v>6.3</v>
      </c>
      <c r="E159">
        <v>2</v>
      </c>
      <c r="F159">
        <v>9</v>
      </c>
      <c r="G159" t="s">
        <v>125</v>
      </c>
      <c r="H159">
        <v>160</v>
      </c>
      <c r="I159">
        <v>0.38</v>
      </c>
      <c r="J159">
        <v>153</v>
      </c>
      <c r="K159">
        <v>0.39525700000000002</v>
      </c>
      <c r="L159">
        <v>0.38565910193026098</v>
      </c>
      <c r="M159">
        <v>641743</v>
      </c>
      <c r="N159" t="b">
        <v>0</v>
      </c>
      <c r="O159">
        <v>-150</v>
      </c>
      <c r="P159">
        <v>104.3</v>
      </c>
      <c r="Q159">
        <v>104.3</v>
      </c>
      <c r="R159" t="s">
        <v>73</v>
      </c>
      <c r="S159">
        <v>122.6</v>
      </c>
      <c r="T159">
        <v>122.6</v>
      </c>
      <c r="U159" t="s">
        <v>73</v>
      </c>
      <c r="V159">
        <v>19</v>
      </c>
      <c r="W159" t="s">
        <v>123</v>
      </c>
      <c r="X159">
        <v>-175</v>
      </c>
      <c r="Y159">
        <v>0.64</v>
      </c>
      <c r="Z159">
        <v>-170</v>
      </c>
      <c r="AA159">
        <v>0.62963000000000002</v>
      </c>
      <c r="AB159">
        <v>0.61434089806973802</v>
      </c>
      <c r="AC159">
        <v>607074</v>
      </c>
      <c r="AD159" t="b">
        <v>0</v>
      </c>
      <c r="AE159">
        <v>-233.3</v>
      </c>
      <c r="AF159">
        <v>-113.1</v>
      </c>
      <c r="AG159" t="s">
        <v>557</v>
      </c>
      <c r="AH159" t="s">
        <v>81</v>
      </c>
      <c r="AI159">
        <v>-122.6</v>
      </c>
      <c r="AJ159">
        <v>-122.6</v>
      </c>
      <c r="AK159" t="s">
        <v>73</v>
      </c>
      <c r="AL159" t="s">
        <v>558</v>
      </c>
      <c r="AM159" t="s">
        <v>75</v>
      </c>
      <c r="AN159">
        <v>15</v>
      </c>
      <c r="AO159">
        <v>0.8</v>
      </c>
      <c r="AP159">
        <v>0.56000000000000005</v>
      </c>
      <c r="AQ159">
        <v>-5.4339999999999999E-2</v>
      </c>
      <c r="AR159">
        <v>-127.3</v>
      </c>
      <c r="AS159" t="s">
        <v>75</v>
      </c>
      <c r="AT159">
        <v>0</v>
      </c>
      <c r="AU159">
        <v>0</v>
      </c>
      <c r="AV159" t="s">
        <v>559</v>
      </c>
      <c r="AW159" t="s">
        <v>75</v>
      </c>
      <c r="AX159">
        <v>41</v>
      </c>
      <c r="AY159">
        <v>0.93</v>
      </c>
      <c r="AZ159">
        <v>0.56999999999999995</v>
      </c>
      <c r="BA159">
        <v>-4.4339999999999997E-2</v>
      </c>
      <c r="BB159">
        <v>-132.6</v>
      </c>
      <c r="BC159" t="s">
        <v>75</v>
      </c>
      <c r="BD159">
        <v>0</v>
      </c>
      <c r="BE159">
        <v>0</v>
      </c>
      <c r="BF159" t="s">
        <v>83</v>
      </c>
      <c r="BG159">
        <v>0</v>
      </c>
      <c r="BH159">
        <v>0</v>
      </c>
      <c r="BI159">
        <v>0</v>
      </c>
      <c r="BJ159">
        <v>0</v>
      </c>
      <c r="BK159">
        <v>0</v>
      </c>
      <c r="BL159" t="s">
        <v>560</v>
      </c>
    </row>
    <row r="160" spans="1:64" x14ac:dyDescent="0.2">
      <c r="A160">
        <v>824992</v>
      </c>
      <c r="B160" t="s">
        <v>561</v>
      </c>
      <c r="C160" s="3">
        <v>46190</v>
      </c>
      <c r="D160">
        <v>6.3</v>
      </c>
      <c r="E160">
        <v>2</v>
      </c>
      <c r="F160">
        <v>22</v>
      </c>
      <c r="G160" t="s">
        <v>72</v>
      </c>
      <c r="H160">
        <v>-116</v>
      </c>
      <c r="I160">
        <v>0.54</v>
      </c>
      <c r="J160">
        <v>-114</v>
      </c>
      <c r="K160">
        <v>0.53271000000000002</v>
      </c>
      <c r="L160">
        <v>0.52078099062865901</v>
      </c>
      <c r="M160">
        <v>677952</v>
      </c>
      <c r="N160" t="b">
        <v>0</v>
      </c>
      <c r="O160">
        <v>122.2</v>
      </c>
      <c r="P160">
        <v>100.6</v>
      </c>
      <c r="Q160">
        <v>100.6</v>
      </c>
      <c r="R160" t="s">
        <v>73</v>
      </c>
      <c r="S160">
        <v>-160</v>
      </c>
      <c r="T160">
        <v>-160</v>
      </c>
      <c r="U160" t="s">
        <v>73</v>
      </c>
      <c r="V160">
        <v>20</v>
      </c>
      <c r="W160" t="s">
        <v>107</v>
      </c>
      <c r="X160">
        <v>107</v>
      </c>
      <c r="Y160">
        <v>0.48</v>
      </c>
      <c r="Z160">
        <v>104</v>
      </c>
      <c r="AA160">
        <v>0.49019600000000002</v>
      </c>
      <c r="AB160">
        <v>0.47921900937133999</v>
      </c>
      <c r="AC160">
        <v>650644</v>
      </c>
      <c r="AD160" t="b">
        <v>0</v>
      </c>
      <c r="AE160">
        <v>122.2</v>
      </c>
      <c r="AF160">
        <v>-100.1</v>
      </c>
      <c r="AG160">
        <v>-100.1</v>
      </c>
      <c r="AH160" t="s">
        <v>73</v>
      </c>
      <c r="AI160">
        <v>160</v>
      </c>
      <c r="AJ160">
        <v>160</v>
      </c>
      <c r="AK160" t="s">
        <v>73</v>
      </c>
      <c r="AL160" t="s">
        <v>562</v>
      </c>
      <c r="AM160" t="s">
        <v>187</v>
      </c>
      <c r="AN160">
        <v>15</v>
      </c>
      <c r="AO160">
        <v>0.53</v>
      </c>
      <c r="AP160">
        <v>0.5</v>
      </c>
      <c r="AQ160">
        <v>2.078E-2</v>
      </c>
      <c r="AR160">
        <v>-100</v>
      </c>
      <c r="AS160" t="s">
        <v>187</v>
      </c>
      <c r="AT160">
        <v>1</v>
      </c>
      <c r="AU160">
        <v>1.04</v>
      </c>
      <c r="AV160" t="s">
        <v>563</v>
      </c>
      <c r="AW160" t="s">
        <v>187</v>
      </c>
      <c r="AX160">
        <v>41</v>
      </c>
      <c r="AY160">
        <v>0.9</v>
      </c>
      <c r="AZ160">
        <v>0.52</v>
      </c>
      <c r="BA160">
        <v>4.0779999999999997E-2</v>
      </c>
      <c r="BB160">
        <v>-108.3</v>
      </c>
      <c r="BC160" t="s">
        <v>187</v>
      </c>
      <c r="BD160">
        <v>1</v>
      </c>
      <c r="BE160">
        <v>1.04</v>
      </c>
      <c r="BF160" t="s">
        <v>187</v>
      </c>
      <c r="BG160">
        <v>2.078E-2</v>
      </c>
      <c r="BH160">
        <v>0</v>
      </c>
      <c r="BI160">
        <v>0</v>
      </c>
      <c r="BJ160">
        <v>5</v>
      </c>
      <c r="BK160">
        <v>0.53</v>
      </c>
      <c r="BL160" t="s">
        <v>564</v>
      </c>
    </row>
    <row r="161" spans="1:64" x14ac:dyDescent="0.2">
      <c r="A161">
        <v>823450</v>
      </c>
      <c r="B161" t="s">
        <v>565</v>
      </c>
      <c r="C161" s="3">
        <v>46190</v>
      </c>
      <c r="D161">
        <v>6.3</v>
      </c>
      <c r="E161">
        <v>3</v>
      </c>
      <c r="F161">
        <v>11</v>
      </c>
      <c r="G161" t="s">
        <v>103</v>
      </c>
      <c r="H161">
        <v>104</v>
      </c>
      <c r="I161">
        <v>0.49</v>
      </c>
      <c r="J161">
        <v>100</v>
      </c>
      <c r="K161">
        <v>0.5</v>
      </c>
      <c r="L161">
        <v>0.48729808803722102</v>
      </c>
      <c r="M161">
        <v>645261</v>
      </c>
      <c r="N161" t="b">
        <v>0</v>
      </c>
      <c r="O161">
        <v>-122.2</v>
      </c>
      <c r="P161">
        <v>-102.3</v>
      </c>
      <c r="Q161">
        <v>-102.3</v>
      </c>
      <c r="R161" t="s">
        <v>73</v>
      </c>
      <c r="S161">
        <v>-136.5</v>
      </c>
      <c r="T161">
        <v>-136.5</v>
      </c>
      <c r="U161" t="s">
        <v>73</v>
      </c>
      <c r="V161">
        <v>21</v>
      </c>
      <c r="W161" t="s">
        <v>127</v>
      </c>
      <c r="X161">
        <v>-113</v>
      </c>
      <c r="Y161">
        <v>0.53</v>
      </c>
      <c r="Z161">
        <v>-111</v>
      </c>
      <c r="AA161">
        <v>0.52606600000000003</v>
      </c>
      <c r="AB161">
        <v>0.51270191196277803</v>
      </c>
      <c r="AC161">
        <v>691725</v>
      </c>
      <c r="AD161" t="b">
        <v>0</v>
      </c>
      <c r="AE161">
        <v>-233.3</v>
      </c>
      <c r="AF161">
        <v>-105.3</v>
      </c>
      <c r="AG161">
        <v>-105.3</v>
      </c>
      <c r="AH161" t="s">
        <v>73</v>
      </c>
      <c r="AI161">
        <v>136.5</v>
      </c>
      <c r="AJ161">
        <v>136.5</v>
      </c>
      <c r="AK161" t="s">
        <v>73</v>
      </c>
      <c r="AL161" t="s">
        <v>566</v>
      </c>
      <c r="AM161" t="s">
        <v>75</v>
      </c>
      <c r="AN161">
        <v>15</v>
      </c>
      <c r="AO161">
        <v>0.93</v>
      </c>
      <c r="AP161">
        <v>0.52</v>
      </c>
      <c r="AQ161">
        <v>7.3000000000000001E-3</v>
      </c>
      <c r="AR161">
        <v>-108.3</v>
      </c>
      <c r="AS161" t="s">
        <v>75</v>
      </c>
      <c r="AT161">
        <v>1</v>
      </c>
      <c r="AU161">
        <v>0.90100000000000002</v>
      </c>
      <c r="AV161" t="s">
        <v>911</v>
      </c>
      <c r="AW161" t="s">
        <v>75</v>
      </c>
      <c r="AX161">
        <v>41</v>
      </c>
      <c r="AY161">
        <v>0.8</v>
      </c>
      <c r="AZ161">
        <v>0.51</v>
      </c>
      <c r="BA161">
        <v>-2.7000000000000001E-3</v>
      </c>
      <c r="BB161">
        <v>-104.1</v>
      </c>
      <c r="BC161" t="s">
        <v>75</v>
      </c>
      <c r="BD161">
        <v>0</v>
      </c>
      <c r="BE161">
        <v>0</v>
      </c>
      <c r="BF161" t="s">
        <v>75</v>
      </c>
      <c r="BG161">
        <v>7.3000000000000001E-3</v>
      </c>
      <c r="BH161">
        <v>0</v>
      </c>
      <c r="BI161">
        <v>0</v>
      </c>
      <c r="BJ161">
        <v>3</v>
      </c>
      <c r="BK161">
        <v>0.93</v>
      </c>
      <c r="BL161" t="s">
        <v>567</v>
      </c>
    </row>
    <row r="162" spans="1:64" x14ac:dyDescent="0.2">
      <c r="A162">
        <v>823127</v>
      </c>
      <c r="B162" t="s">
        <v>568</v>
      </c>
      <c r="C162" s="3">
        <v>46190</v>
      </c>
      <c r="D162">
        <v>6.3</v>
      </c>
      <c r="E162">
        <v>2</v>
      </c>
      <c r="F162">
        <v>2</v>
      </c>
      <c r="G162" t="s">
        <v>141</v>
      </c>
      <c r="H162">
        <v>126</v>
      </c>
      <c r="I162">
        <v>0.44</v>
      </c>
      <c r="J162">
        <v>126</v>
      </c>
      <c r="K162">
        <v>0.44247799999999998</v>
      </c>
      <c r="L162">
        <v>0.43207872914689199</v>
      </c>
      <c r="M162">
        <v>680694</v>
      </c>
      <c r="N162" t="b">
        <v>0</v>
      </c>
      <c r="O162">
        <v>-100</v>
      </c>
      <c r="P162">
        <v>103.3</v>
      </c>
      <c r="Q162">
        <v>103.3</v>
      </c>
      <c r="R162" t="s">
        <v>73</v>
      </c>
      <c r="S162">
        <v>-107</v>
      </c>
      <c r="T162">
        <v>-107</v>
      </c>
      <c r="U162" t="s">
        <v>73</v>
      </c>
      <c r="V162">
        <v>24</v>
      </c>
      <c r="W162" t="s">
        <v>96</v>
      </c>
      <c r="X162">
        <v>-137</v>
      </c>
      <c r="Y162">
        <v>0.57999999999999996</v>
      </c>
      <c r="Z162">
        <v>-139</v>
      </c>
      <c r="AA162">
        <v>0.58159000000000005</v>
      </c>
      <c r="AB162">
        <v>0.56792127085310695</v>
      </c>
      <c r="AC162">
        <v>669923</v>
      </c>
      <c r="AD162" t="b">
        <v>0</v>
      </c>
      <c r="AE162">
        <v>-185.7</v>
      </c>
      <c r="AF162">
        <v>-109</v>
      </c>
      <c r="AG162" t="s">
        <v>569</v>
      </c>
      <c r="AH162" t="s">
        <v>81</v>
      </c>
      <c r="AI162">
        <v>107</v>
      </c>
      <c r="AJ162">
        <v>107</v>
      </c>
      <c r="AK162" t="s">
        <v>73</v>
      </c>
      <c r="AL162" t="s">
        <v>570</v>
      </c>
      <c r="AM162" t="s">
        <v>75</v>
      </c>
      <c r="AN162">
        <v>15</v>
      </c>
      <c r="AO162">
        <v>0.73</v>
      </c>
      <c r="AP162">
        <v>0.56000000000000005</v>
      </c>
      <c r="AQ162">
        <v>-7.92E-3</v>
      </c>
      <c r="AR162">
        <v>-127.3</v>
      </c>
      <c r="AS162" t="s">
        <v>75</v>
      </c>
      <c r="AT162">
        <v>0</v>
      </c>
      <c r="AU162">
        <v>0</v>
      </c>
      <c r="AV162" t="s">
        <v>571</v>
      </c>
      <c r="AW162" t="s">
        <v>75</v>
      </c>
      <c r="AX162">
        <v>41</v>
      </c>
      <c r="AY162">
        <v>0.98</v>
      </c>
      <c r="AZ162">
        <v>0.55000000000000004</v>
      </c>
      <c r="BA162">
        <v>-1.7919999999999998E-2</v>
      </c>
      <c r="BB162">
        <v>-122.2</v>
      </c>
      <c r="BC162" t="s">
        <v>75</v>
      </c>
      <c r="BD162">
        <v>0</v>
      </c>
      <c r="BE162">
        <v>0</v>
      </c>
      <c r="BF162" t="s">
        <v>83</v>
      </c>
      <c r="BG162">
        <v>0</v>
      </c>
      <c r="BH162">
        <v>0</v>
      </c>
      <c r="BI162">
        <v>0</v>
      </c>
      <c r="BJ162">
        <v>0</v>
      </c>
      <c r="BK162">
        <v>0</v>
      </c>
      <c r="BL162" t="s">
        <v>572</v>
      </c>
    </row>
    <row r="163" spans="1:64" x14ac:dyDescent="0.2">
      <c r="A163">
        <v>823044</v>
      </c>
      <c r="B163" t="s">
        <v>573</v>
      </c>
      <c r="C163" s="3">
        <v>46190</v>
      </c>
      <c r="D163">
        <v>6.3</v>
      </c>
      <c r="E163">
        <v>2</v>
      </c>
      <c r="F163">
        <v>23</v>
      </c>
      <c r="G163" t="s">
        <v>130</v>
      </c>
      <c r="H163">
        <v>112</v>
      </c>
      <c r="I163">
        <v>0.47</v>
      </c>
      <c r="J163">
        <v>112</v>
      </c>
      <c r="K163">
        <v>0.47169800000000001</v>
      </c>
      <c r="L163">
        <v>0.46007242977208901</v>
      </c>
      <c r="M163">
        <v>699134</v>
      </c>
      <c r="N163" t="b">
        <v>0</v>
      </c>
      <c r="O163">
        <v>233.3</v>
      </c>
      <c r="P163">
        <v>100.1</v>
      </c>
      <c r="Q163">
        <v>100.1</v>
      </c>
      <c r="R163" t="s">
        <v>73</v>
      </c>
      <c r="S163">
        <v>692</v>
      </c>
      <c r="T163">
        <v>692</v>
      </c>
      <c r="U163" t="s">
        <v>126</v>
      </c>
      <c r="V163">
        <v>26</v>
      </c>
      <c r="W163" t="s">
        <v>134</v>
      </c>
      <c r="X163">
        <v>-124</v>
      </c>
      <c r="Y163">
        <v>0.55000000000000004</v>
      </c>
      <c r="Z163">
        <v>-124</v>
      </c>
      <c r="AA163">
        <v>0.55357100000000004</v>
      </c>
      <c r="AB163">
        <v>0.53992757022791005</v>
      </c>
      <c r="AC163">
        <v>681517</v>
      </c>
      <c r="AD163" t="b">
        <v>0</v>
      </c>
      <c r="AE163">
        <v>-122.2</v>
      </c>
      <c r="AF163">
        <v>105.9</v>
      </c>
      <c r="AG163">
        <v>105.9</v>
      </c>
      <c r="AH163" t="s">
        <v>73</v>
      </c>
      <c r="AI163">
        <v>-692</v>
      </c>
      <c r="AJ163">
        <v>-692</v>
      </c>
      <c r="AK163" t="s">
        <v>128</v>
      </c>
      <c r="AL163" t="s">
        <v>574</v>
      </c>
      <c r="AM163" t="s">
        <v>75</v>
      </c>
      <c r="AN163">
        <v>15</v>
      </c>
      <c r="AO163">
        <v>0.67</v>
      </c>
      <c r="AP163">
        <v>0.5</v>
      </c>
      <c r="AQ163">
        <v>-3.993E-2</v>
      </c>
      <c r="AR163">
        <v>-100</v>
      </c>
      <c r="AS163" t="s">
        <v>75</v>
      </c>
      <c r="AT163">
        <v>0</v>
      </c>
      <c r="AU163">
        <v>0</v>
      </c>
      <c r="AV163" t="s">
        <v>575</v>
      </c>
      <c r="AW163" t="s">
        <v>75</v>
      </c>
      <c r="AX163">
        <v>41</v>
      </c>
      <c r="AY163">
        <v>0.61</v>
      </c>
      <c r="AZ163">
        <v>0.5</v>
      </c>
      <c r="BA163">
        <v>-3.993E-2</v>
      </c>
      <c r="BB163">
        <v>-100</v>
      </c>
      <c r="BC163" t="s">
        <v>75</v>
      </c>
      <c r="BD163">
        <v>0</v>
      </c>
      <c r="BE163">
        <v>0</v>
      </c>
      <c r="BF163" t="s">
        <v>83</v>
      </c>
      <c r="BG163">
        <v>0</v>
      </c>
      <c r="BH163">
        <v>0</v>
      </c>
      <c r="BI163">
        <v>0</v>
      </c>
      <c r="BJ163">
        <v>0</v>
      </c>
      <c r="BK163">
        <v>0</v>
      </c>
      <c r="BL163" t="s">
        <v>576</v>
      </c>
    </row>
    <row r="164" spans="1:64" x14ac:dyDescent="0.2">
      <c r="A164">
        <v>824911</v>
      </c>
      <c r="B164" t="s">
        <v>1060</v>
      </c>
      <c r="C164" s="3">
        <v>46191</v>
      </c>
      <c r="D164">
        <v>6.3</v>
      </c>
      <c r="E164">
        <v>2</v>
      </c>
      <c r="F164">
        <v>25</v>
      </c>
      <c r="G164" t="s">
        <v>84</v>
      </c>
      <c r="H164">
        <v>129</v>
      </c>
      <c r="I164">
        <v>0.44</v>
      </c>
      <c r="J164">
        <v>120</v>
      </c>
      <c r="K164">
        <v>0.45454499999999998</v>
      </c>
      <c r="L164">
        <v>0.445736358091397</v>
      </c>
      <c r="M164">
        <v>694738</v>
      </c>
      <c r="N164" t="b">
        <v>0</v>
      </c>
      <c r="O164">
        <v>122.2</v>
      </c>
      <c r="P164">
        <v>106.2</v>
      </c>
      <c r="Q164">
        <v>106.2</v>
      </c>
      <c r="R164" t="s">
        <v>73</v>
      </c>
      <c r="S164">
        <v>-137.5</v>
      </c>
      <c r="T164">
        <v>-137.5</v>
      </c>
      <c r="U164" t="s">
        <v>73</v>
      </c>
      <c r="V164">
        <v>0</v>
      </c>
      <c r="W164" t="s">
        <v>74</v>
      </c>
      <c r="X164">
        <v>-140</v>
      </c>
      <c r="Y164">
        <v>0.57999999999999996</v>
      </c>
      <c r="Z164">
        <v>-130</v>
      </c>
      <c r="AA164">
        <v>0.56521699999999997</v>
      </c>
      <c r="AB164">
        <v>0.554263641908602</v>
      </c>
      <c r="AC164">
        <v>527048</v>
      </c>
      <c r="AD164" t="b">
        <v>0</v>
      </c>
      <c r="AE164">
        <v>-100</v>
      </c>
      <c r="AF164">
        <v>-104.8</v>
      </c>
      <c r="AG164">
        <v>-104.8</v>
      </c>
      <c r="AH164" t="s">
        <v>73</v>
      </c>
      <c r="AI164">
        <v>137.5</v>
      </c>
      <c r="AJ164">
        <v>137.5</v>
      </c>
      <c r="AK164" t="s">
        <v>73</v>
      </c>
      <c r="AL164" t="s">
        <v>912</v>
      </c>
      <c r="AM164" t="s">
        <v>75</v>
      </c>
      <c r="AN164">
        <v>15</v>
      </c>
      <c r="AO164">
        <v>1</v>
      </c>
      <c r="AP164">
        <v>0.55000000000000004</v>
      </c>
      <c r="AQ164">
        <v>-4.2599999999999999E-3</v>
      </c>
      <c r="AR164">
        <v>-122.2</v>
      </c>
      <c r="AS164" t="s">
        <v>75</v>
      </c>
      <c r="AT164">
        <v>0</v>
      </c>
      <c r="AU164">
        <v>0</v>
      </c>
      <c r="AV164" t="s">
        <v>913</v>
      </c>
      <c r="AW164" t="s">
        <v>75</v>
      </c>
      <c r="AX164">
        <v>41</v>
      </c>
      <c r="AY164">
        <v>0.98</v>
      </c>
      <c r="AZ164">
        <v>0.53</v>
      </c>
      <c r="BA164">
        <v>-2.426E-2</v>
      </c>
      <c r="BB164">
        <v>-112.8</v>
      </c>
      <c r="BC164" t="s">
        <v>75</v>
      </c>
      <c r="BD164">
        <v>0</v>
      </c>
      <c r="BE164">
        <v>0</v>
      </c>
      <c r="BF164" t="s">
        <v>83</v>
      </c>
      <c r="BG164">
        <v>0</v>
      </c>
      <c r="BH164">
        <v>0</v>
      </c>
      <c r="BI164">
        <v>0</v>
      </c>
      <c r="BJ164">
        <v>0</v>
      </c>
      <c r="BK164">
        <v>0</v>
      </c>
      <c r="BL164" t="s">
        <v>577</v>
      </c>
    </row>
    <row r="165" spans="1:64" x14ac:dyDescent="0.2">
      <c r="A165">
        <v>824748</v>
      </c>
      <c r="B165" t="s">
        <v>1061</v>
      </c>
      <c r="C165" s="3">
        <v>46191</v>
      </c>
      <c r="D165">
        <v>6.3</v>
      </c>
      <c r="E165">
        <v>2</v>
      </c>
      <c r="F165">
        <v>29</v>
      </c>
      <c r="G165" t="s">
        <v>144</v>
      </c>
      <c r="H165">
        <v>111</v>
      </c>
      <c r="I165">
        <v>0.47</v>
      </c>
      <c r="J165">
        <v>120</v>
      </c>
      <c r="K165">
        <v>0.45454499999999998</v>
      </c>
      <c r="L165">
        <v>0.444914818748195</v>
      </c>
      <c r="M165">
        <v>702056</v>
      </c>
      <c r="N165" t="b">
        <v>0</v>
      </c>
      <c r="O165">
        <v>-122.2</v>
      </c>
      <c r="P165">
        <v>-107.1</v>
      </c>
      <c r="Q165">
        <v>-107.1</v>
      </c>
      <c r="R165" t="s">
        <v>73</v>
      </c>
      <c r="S165">
        <v>-141.19999999999999</v>
      </c>
      <c r="T165">
        <v>-141.19999999999999</v>
      </c>
      <c r="U165" t="s">
        <v>73</v>
      </c>
      <c r="V165">
        <v>3</v>
      </c>
      <c r="W165" t="s">
        <v>122</v>
      </c>
      <c r="X165">
        <v>-120</v>
      </c>
      <c r="Y165">
        <v>0.55000000000000004</v>
      </c>
      <c r="Z165">
        <v>-131</v>
      </c>
      <c r="AA165">
        <v>0.56710000000000005</v>
      </c>
      <c r="AB165">
        <v>0.55508518125180395</v>
      </c>
      <c r="AC165">
        <v>543243</v>
      </c>
      <c r="AD165" t="b">
        <v>0</v>
      </c>
      <c r="AE165">
        <v>185.7</v>
      </c>
      <c r="AF165">
        <v>-104.3</v>
      </c>
      <c r="AG165">
        <v>-104.3</v>
      </c>
      <c r="AH165" t="s">
        <v>73</v>
      </c>
      <c r="AI165">
        <v>141.19999999999999</v>
      </c>
      <c r="AJ165">
        <v>141.19999999999999</v>
      </c>
      <c r="AK165" t="s">
        <v>73</v>
      </c>
      <c r="AL165" t="s">
        <v>914</v>
      </c>
      <c r="AM165" t="s">
        <v>75</v>
      </c>
      <c r="AN165">
        <v>15</v>
      </c>
      <c r="AO165">
        <v>1</v>
      </c>
      <c r="AP165">
        <v>0.54</v>
      </c>
      <c r="AQ165">
        <v>-1.5089999999999999E-2</v>
      </c>
      <c r="AR165">
        <v>-117.4</v>
      </c>
      <c r="AS165" t="s">
        <v>75</v>
      </c>
      <c r="AT165">
        <v>0</v>
      </c>
      <c r="AU165">
        <v>0</v>
      </c>
      <c r="AV165" t="s">
        <v>578</v>
      </c>
      <c r="AW165" t="s">
        <v>109</v>
      </c>
      <c r="AX165">
        <v>41</v>
      </c>
      <c r="AY165">
        <v>0.78</v>
      </c>
      <c r="AZ165">
        <v>0.48</v>
      </c>
      <c r="BA165">
        <v>-7.5090000000000004E-2</v>
      </c>
      <c r="BB165">
        <v>108.3</v>
      </c>
      <c r="BC165" t="s">
        <v>109</v>
      </c>
      <c r="BD165">
        <v>1</v>
      </c>
      <c r="BE165">
        <v>1.2</v>
      </c>
      <c r="BF165" t="s">
        <v>83</v>
      </c>
      <c r="BG165">
        <v>0</v>
      </c>
      <c r="BH165">
        <v>0</v>
      </c>
      <c r="BI165">
        <v>0</v>
      </c>
      <c r="BJ165">
        <v>0</v>
      </c>
      <c r="BK165">
        <v>0</v>
      </c>
      <c r="BL165" t="s">
        <v>579</v>
      </c>
    </row>
    <row r="166" spans="1:64" x14ac:dyDescent="0.2">
      <c r="A166">
        <v>824098</v>
      </c>
      <c r="B166" t="s">
        <v>1062</v>
      </c>
      <c r="C166" s="3">
        <v>46191</v>
      </c>
      <c r="D166">
        <v>6.3</v>
      </c>
      <c r="E166">
        <v>2</v>
      </c>
      <c r="F166">
        <v>26</v>
      </c>
      <c r="G166" t="s">
        <v>134</v>
      </c>
      <c r="H166">
        <v>103</v>
      </c>
      <c r="I166">
        <v>0.49</v>
      </c>
      <c r="J166">
        <v>103</v>
      </c>
      <c r="K166">
        <v>0.49261100000000002</v>
      </c>
      <c r="L166">
        <v>0.48357919144144801</v>
      </c>
      <c r="M166">
        <v>669461</v>
      </c>
      <c r="N166" t="b">
        <v>0</v>
      </c>
      <c r="O166">
        <v>-122.2</v>
      </c>
      <c r="P166">
        <v>107.2</v>
      </c>
      <c r="Q166">
        <v>107.2</v>
      </c>
      <c r="R166" t="s">
        <v>78</v>
      </c>
      <c r="S166">
        <v>116.8</v>
      </c>
      <c r="T166">
        <v>116.8</v>
      </c>
      <c r="U166" t="s">
        <v>73</v>
      </c>
      <c r="V166">
        <v>13</v>
      </c>
      <c r="W166" t="s">
        <v>118</v>
      </c>
      <c r="X166">
        <v>-112</v>
      </c>
      <c r="Y166">
        <v>0.53</v>
      </c>
      <c r="Z166">
        <v>-111</v>
      </c>
      <c r="AA166">
        <v>0.52606600000000003</v>
      </c>
      <c r="AB166">
        <v>0.51642080855855099</v>
      </c>
      <c r="AC166">
        <v>702070</v>
      </c>
      <c r="AD166" t="b">
        <v>0</v>
      </c>
      <c r="AE166">
        <v>150</v>
      </c>
      <c r="AF166">
        <v>100.3</v>
      </c>
      <c r="AG166">
        <v>100.3</v>
      </c>
      <c r="AH166" t="s">
        <v>73</v>
      </c>
      <c r="AI166">
        <v>-116.8</v>
      </c>
      <c r="AJ166">
        <v>-116.8</v>
      </c>
      <c r="AK166" t="s">
        <v>73</v>
      </c>
      <c r="AL166" t="s">
        <v>915</v>
      </c>
      <c r="AM166" t="s">
        <v>75</v>
      </c>
      <c r="AN166">
        <v>15</v>
      </c>
      <c r="AO166">
        <v>0.73</v>
      </c>
      <c r="AP166">
        <v>0.52</v>
      </c>
      <c r="AQ166">
        <v>3.5799999999999998E-3</v>
      </c>
      <c r="AR166">
        <v>-108.3</v>
      </c>
      <c r="AS166" t="s">
        <v>75</v>
      </c>
      <c r="AT166">
        <v>0</v>
      </c>
      <c r="AU166">
        <v>0</v>
      </c>
      <c r="AV166" t="s">
        <v>916</v>
      </c>
      <c r="AW166" t="s">
        <v>75</v>
      </c>
      <c r="AX166">
        <v>41</v>
      </c>
      <c r="AY166">
        <v>1</v>
      </c>
      <c r="AZ166">
        <v>0.55000000000000004</v>
      </c>
      <c r="BA166">
        <v>3.3579999999999999E-2</v>
      </c>
      <c r="BB166">
        <v>-122.2</v>
      </c>
      <c r="BC166" t="s">
        <v>75</v>
      </c>
      <c r="BD166">
        <v>1</v>
      </c>
      <c r="BE166">
        <v>0.90100000000000002</v>
      </c>
      <c r="BF166" t="s">
        <v>83</v>
      </c>
      <c r="BG166">
        <v>0</v>
      </c>
      <c r="BH166">
        <v>0</v>
      </c>
      <c r="BI166">
        <v>0</v>
      </c>
      <c r="BJ166">
        <v>0</v>
      </c>
      <c r="BK166">
        <v>0</v>
      </c>
      <c r="BL166" t="s">
        <v>580</v>
      </c>
    </row>
    <row r="167" spans="1:64" x14ac:dyDescent="0.2">
      <c r="A167">
        <v>823772</v>
      </c>
      <c r="B167" t="s">
        <v>1063</v>
      </c>
      <c r="C167" s="3">
        <v>46191</v>
      </c>
      <c r="D167">
        <v>6.3</v>
      </c>
      <c r="E167">
        <v>2</v>
      </c>
      <c r="F167">
        <v>7</v>
      </c>
      <c r="G167" t="s">
        <v>137</v>
      </c>
      <c r="H167">
        <v>134</v>
      </c>
      <c r="I167">
        <v>0.43</v>
      </c>
      <c r="J167">
        <v>127</v>
      </c>
      <c r="K167">
        <v>0.440529</v>
      </c>
      <c r="L167">
        <v>0.43173837494769002</v>
      </c>
      <c r="M167">
        <v>800048</v>
      </c>
      <c r="N167" t="b">
        <v>0</v>
      </c>
      <c r="O167">
        <v>150</v>
      </c>
      <c r="P167">
        <v>-101.4</v>
      </c>
      <c r="Q167">
        <v>-101.4</v>
      </c>
      <c r="R167" t="s">
        <v>73</v>
      </c>
      <c r="S167">
        <v>-126.9</v>
      </c>
      <c r="T167">
        <v>-126.9</v>
      </c>
      <c r="U167" t="s">
        <v>73</v>
      </c>
      <c r="V167">
        <v>17</v>
      </c>
      <c r="W167" t="s">
        <v>89</v>
      </c>
      <c r="X167">
        <v>-146</v>
      </c>
      <c r="Y167">
        <v>0.59</v>
      </c>
      <c r="Z167">
        <v>-138</v>
      </c>
      <c r="AA167">
        <v>0.57983200000000001</v>
      </c>
      <c r="AB167">
        <v>0.56826162505230904</v>
      </c>
      <c r="AC167">
        <v>675660</v>
      </c>
      <c r="AD167" t="b">
        <v>0</v>
      </c>
      <c r="AE167">
        <v>-233.3</v>
      </c>
      <c r="AF167">
        <v>-120.2</v>
      </c>
      <c r="AG167" t="s">
        <v>581</v>
      </c>
      <c r="AH167" t="s">
        <v>116</v>
      </c>
      <c r="AI167">
        <v>126.9</v>
      </c>
      <c r="AJ167">
        <v>126.9</v>
      </c>
      <c r="AK167" t="s">
        <v>73</v>
      </c>
      <c r="AL167" t="s">
        <v>917</v>
      </c>
      <c r="AM167" t="s">
        <v>75</v>
      </c>
      <c r="AN167">
        <v>15</v>
      </c>
      <c r="AO167">
        <v>1</v>
      </c>
      <c r="AP167">
        <v>0.56999999999999995</v>
      </c>
      <c r="AQ167">
        <v>1.74E-3</v>
      </c>
      <c r="AR167">
        <v>-132.6</v>
      </c>
      <c r="AS167" t="s">
        <v>75</v>
      </c>
      <c r="AT167">
        <v>0</v>
      </c>
      <c r="AU167">
        <v>0</v>
      </c>
      <c r="AV167" t="s">
        <v>918</v>
      </c>
      <c r="AW167" t="s">
        <v>75</v>
      </c>
      <c r="AX167">
        <v>41</v>
      </c>
      <c r="AY167">
        <v>0.76</v>
      </c>
      <c r="AZ167">
        <v>0.51</v>
      </c>
      <c r="BA167">
        <v>-5.8259999999999999E-2</v>
      </c>
      <c r="BB167">
        <v>-104.1</v>
      </c>
      <c r="BC167" t="s">
        <v>75</v>
      </c>
      <c r="BD167">
        <v>0</v>
      </c>
      <c r="BE167">
        <v>0</v>
      </c>
      <c r="BF167" t="s">
        <v>83</v>
      </c>
      <c r="BG167">
        <v>0</v>
      </c>
      <c r="BH167">
        <v>0</v>
      </c>
      <c r="BI167">
        <v>0</v>
      </c>
      <c r="BJ167">
        <v>0</v>
      </c>
      <c r="BK167">
        <v>0</v>
      </c>
      <c r="BL167" t="s">
        <v>707</v>
      </c>
    </row>
    <row r="168" spans="1:64" x14ac:dyDescent="0.2">
      <c r="A168">
        <v>823533</v>
      </c>
      <c r="B168" t="s">
        <v>1064</v>
      </c>
      <c r="C168" s="3">
        <v>46191</v>
      </c>
      <c r="D168">
        <v>6.3</v>
      </c>
      <c r="E168">
        <v>2</v>
      </c>
      <c r="F168">
        <v>9</v>
      </c>
      <c r="G168" t="s">
        <v>125</v>
      </c>
      <c r="H168">
        <v>140</v>
      </c>
      <c r="I168">
        <v>0.42</v>
      </c>
      <c r="J168">
        <v>144</v>
      </c>
      <c r="K168">
        <v>0.40983599999999998</v>
      </c>
      <c r="L168">
        <v>0.401512249554485</v>
      </c>
      <c r="M168">
        <v>663542</v>
      </c>
      <c r="N168" t="b">
        <v>0</v>
      </c>
      <c r="O168">
        <v>-150</v>
      </c>
      <c r="P168">
        <v>103.7</v>
      </c>
      <c r="Q168">
        <v>103.7</v>
      </c>
      <c r="R168" t="s">
        <v>73</v>
      </c>
      <c r="S168">
        <v>830.7</v>
      </c>
      <c r="T168">
        <v>830.7</v>
      </c>
      <c r="U168" t="s">
        <v>126</v>
      </c>
      <c r="V168">
        <v>19</v>
      </c>
      <c r="W168" t="s">
        <v>123</v>
      </c>
      <c r="X168">
        <v>-153</v>
      </c>
      <c r="Y168">
        <v>0.6</v>
      </c>
      <c r="Z168">
        <v>-157</v>
      </c>
      <c r="AA168">
        <v>0.61089499999999997</v>
      </c>
      <c r="AB168">
        <v>0.59848775044551294</v>
      </c>
      <c r="AC168">
        <v>677960</v>
      </c>
      <c r="AD168" t="b">
        <v>0</v>
      </c>
      <c r="AE168">
        <v>-300</v>
      </c>
      <c r="AF168">
        <v>-113.3</v>
      </c>
      <c r="AG168" t="s">
        <v>582</v>
      </c>
      <c r="AH168" t="s">
        <v>81</v>
      </c>
      <c r="AI168">
        <v>-830.7</v>
      </c>
      <c r="AJ168">
        <v>-830.7</v>
      </c>
      <c r="AK168" t="s">
        <v>128</v>
      </c>
      <c r="AL168" t="s">
        <v>919</v>
      </c>
      <c r="AM168" t="s">
        <v>75</v>
      </c>
      <c r="AN168">
        <v>15</v>
      </c>
      <c r="AO168">
        <v>1</v>
      </c>
      <c r="AP168">
        <v>0.55000000000000004</v>
      </c>
      <c r="AQ168">
        <v>-4.8489999999999998E-2</v>
      </c>
      <c r="AR168">
        <v>-122.2</v>
      </c>
      <c r="AS168" t="s">
        <v>75</v>
      </c>
      <c r="AT168">
        <v>0</v>
      </c>
      <c r="AU168">
        <v>0</v>
      </c>
      <c r="AV168" t="s">
        <v>920</v>
      </c>
      <c r="AW168" t="s">
        <v>75</v>
      </c>
      <c r="AX168">
        <v>41</v>
      </c>
      <c r="AY168">
        <v>0.95</v>
      </c>
      <c r="AZ168">
        <v>0.55000000000000004</v>
      </c>
      <c r="BA168">
        <v>-4.8489999999999998E-2</v>
      </c>
      <c r="BB168">
        <v>-122.2</v>
      </c>
      <c r="BC168" t="s">
        <v>75</v>
      </c>
      <c r="BD168">
        <v>0</v>
      </c>
      <c r="BE168">
        <v>0</v>
      </c>
      <c r="BF168" t="s">
        <v>83</v>
      </c>
      <c r="BG168">
        <v>0</v>
      </c>
      <c r="BH168">
        <v>0</v>
      </c>
      <c r="BI168">
        <v>0</v>
      </c>
      <c r="BJ168">
        <v>0</v>
      </c>
      <c r="BK168">
        <v>0</v>
      </c>
      <c r="BL168" t="s">
        <v>583</v>
      </c>
    </row>
    <row r="169" spans="1:64" x14ac:dyDescent="0.2">
      <c r="A169">
        <v>824989</v>
      </c>
      <c r="B169" t="s">
        <v>1065</v>
      </c>
      <c r="C169" s="3">
        <v>46191</v>
      </c>
      <c r="D169">
        <v>6.3</v>
      </c>
      <c r="E169">
        <v>2</v>
      </c>
      <c r="F169">
        <v>4</v>
      </c>
      <c r="G169" t="s">
        <v>111</v>
      </c>
      <c r="H169">
        <v>124</v>
      </c>
      <c r="I169">
        <v>0.45</v>
      </c>
      <c r="J169">
        <v>123</v>
      </c>
      <c r="K169">
        <v>0.44843</v>
      </c>
      <c r="L169">
        <v>0.43996291372535501</v>
      </c>
      <c r="M169">
        <v>696270</v>
      </c>
      <c r="N169" t="b">
        <v>0</v>
      </c>
      <c r="O169">
        <v>122.2</v>
      </c>
      <c r="P169">
        <v>108.4</v>
      </c>
      <c r="Q169">
        <v>108.4</v>
      </c>
      <c r="R169" t="s">
        <v>78</v>
      </c>
      <c r="S169">
        <v>237.5</v>
      </c>
      <c r="T169">
        <v>237.5</v>
      </c>
      <c r="U169" t="s">
        <v>112</v>
      </c>
      <c r="V169">
        <v>20</v>
      </c>
      <c r="W169" t="s">
        <v>107</v>
      </c>
      <c r="X169">
        <v>-134</v>
      </c>
      <c r="Y169">
        <v>0.56999999999999995</v>
      </c>
      <c r="Z169">
        <v>-133</v>
      </c>
      <c r="AA169">
        <v>0.57081499999999996</v>
      </c>
      <c r="AB169">
        <v>0.56003708627464399</v>
      </c>
      <c r="AC169">
        <v>695611</v>
      </c>
      <c r="AD169" t="b">
        <v>0</v>
      </c>
      <c r="AE169">
        <v>122.2</v>
      </c>
      <c r="AF169">
        <v>-100.4</v>
      </c>
      <c r="AG169">
        <v>-100.4</v>
      </c>
      <c r="AH169" t="s">
        <v>73</v>
      </c>
      <c r="AI169">
        <v>-237.5</v>
      </c>
      <c r="AJ169" t="s">
        <v>584</v>
      </c>
      <c r="AK169" t="s">
        <v>116</v>
      </c>
      <c r="AL169" t="s">
        <v>921</v>
      </c>
      <c r="AM169" t="s">
        <v>75</v>
      </c>
      <c r="AN169">
        <v>15</v>
      </c>
      <c r="AO169">
        <v>1</v>
      </c>
      <c r="AP169">
        <v>0.56000000000000005</v>
      </c>
      <c r="AQ169">
        <v>-4.0000000000000003E-5</v>
      </c>
      <c r="AR169">
        <v>-127.3</v>
      </c>
      <c r="AS169" t="s">
        <v>75</v>
      </c>
      <c r="AT169">
        <v>0</v>
      </c>
      <c r="AU169">
        <v>0</v>
      </c>
      <c r="AV169" t="s">
        <v>585</v>
      </c>
      <c r="AW169" t="s">
        <v>75</v>
      </c>
      <c r="AX169">
        <v>41</v>
      </c>
      <c r="AY169">
        <v>1</v>
      </c>
      <c r="AZ169">
        <v>0.56999999999999995</v>
      </c>
      <c r="BA169">
        <v>9.9600000000000001E-3</v>
      </c>
      <c r="BB169">
        <v>-132.6</v>
      </c>
      <c r="BC169" t="s">
        <v>75</v>
      </c>
      <c r="BD169">
        <v>1</v>
      </c>
      <c r="BE169">
        <v>0.752</v>
      </c>
      <c r="BF169" t="s">
        <v>83</v>
      </c>
      <c r="BG169">
        <v>0</v>
      </c>
      <c r="BH169">
        <v>0</v>
      </c>
      <c r="BI169">
        <v>0</v>
      </c>
      <c r="BJ169">
        <v>0</v>
      </c>
      <c r="BK169">
        <v>0</v>
      </c>
      <c r="BL169" t="s">
        <v>708</v>
      </c>
    </row>
    <row r="170" spans="1:64" x14ac:dyDescent="0.2">
      <c r="A170">
        <v>823448</v>
      </c>
      <c r="B170" t="s">
        <v>1066</v>
      </c>
      <c r="C170" s="3">
        <v>46191</v>
      </c>
      <c r="D170">
        <v>6.3</v>
      </c>
      <c r="E170">
        <v>2</v>
      </c>
      <c r="F170">
        <v>18</v>
      </c>
      <c r="G170" t="s">
        <v>129</v>
      </c>
      <c r="H170">
        <v>108</v>
      </c>
      <c r="I170">
        <v>0.48</v>
      </c>
      <c r="J170">
        <v>105</v>
      </c>
      <c r="K170">
        <v>0.48780499999999999</v>
      </c>
      <c r="L170">
        <v>0.47799885352003602</v>
      </c>
      <c r="M170">
        <v>640455</v>
      </c>
      <c r="N170" t="b">
        <v>0</v>
      </c>
      <c r="O170">
        <v>-122.2</v>
      </c>
      <c r="P170">
        <v>106</v>
      </c>
      <c r="Q170">
        <v>106</v>
      </c>
      <c r="R170" t="s">
        <v>73</v>
      </c>
      <c r="S170">
        <v>-102.7</v>
      </c>
      <c r="T170">
        <v>-102.7</v>
      </c>
      <c r="U170" t="s">
        <v>73</v>
      </c>
      <c r="V170">
        <v>21</v>
      </c>
      <c r="W170" t="s">
        <v>127</v>
      </c>
      <c r="X170">
        <v>-117</v>
      </c>
      <c r="Y170">
        <v>0.54</v>
      </c>
      <c r="Z170">
        <v>-114</v>
      </c>
      <c r="AA170">
        <v>0.53271000000000002</v>
      </c>
      <c r="AB170">
        <v>0.52200114647996299</v>
      </c>
      <c r="AC170">
        <v>605400</v>
      </c>
      <c r="AD170" t="b">
        <v>0</v>
      </c>
      <c r="AE170">
        <v>-185.7</v>
      </c>
      <c r="AF170">
        <v>-104.9</v>
      </c>
      <c r="AG170">
        <v>-104.9</v>
      </c>
      <c r="AH170" t="s">
        <v>73</v>
      </c>
      <c r="AI170">
        <v>102.7</v>
      </c>
      <c r="AJ170">
        <v>102.7</v>
      </c>
      <c r="AK170" t="s">
        <v>73</v>
      </c>
      <c r="AL170" t="s">
        <v>922</v>
      </c>
      <c r="AM170" t="s">
        <v>109</v>
      </c>
      <c r="AN170">
        <v>15</v>
      </c>
      <c r="AO170">
        <v>0.67</v>
      </c>
      <c r="AP170">
        <v>0.48</v>
      </c>
      <c r="AQ170">
        <v>-4.2000000000000003E-2</v>
      </c>
      <c r="AR170">
        <v>108.3</v>
      </c>
      <c r="AS170" t="s">
        <v>109</v>
      </c>
      <c r="AT170">
        <v>1</v>
      </c>
      <c r="AU170">
        <v>1.05</v>
      </c>
      <c r="AV170" t="s">
        <v>923</v>
      </c>
      <c r="AW170" t="s">
        <v>75</v>
      </c>
      <c r="AX170">
        <v>41</v>
      </c>
      <c r="AY170">
        <v>0.8</v>
      </c>
      <c r="AZ170">
        <v>0.51</v>
      </c>
      <c r="BA170">
        <v>-1.2E-2</v>
      </c>
      <c r="BB170">
        <v>-104.1</v>
      </c>
      <c r="BC170" t="s">
        <v>75</v>
      </c>
      <c r="BD170">
        <v>0</v>
      </c>
      <c r="BE170">
        <v>0</v>
      </c>
      <c r="BF170" t="s">
        <v>109</v>
      </c>
      <c r="BG170">
        <v>-4.2000000000000003E-2</v>
      </c>
      <c r="BH170">
        <v>0</v>
      </c>
      <c r="BI170">
        <v>0</v>
      </c>
      <c r="BJ170">
        <v>3</v>
      </c>
      <c r="BK170">
        <v>0.67</v>
      </c>
      <c r="BL170" t="s">
        <v>586</v>
      </c>
    </row>
    <row r="171" spans="1:64" x14ac:dyDescent="0.2">
      <c r="A171">
        <v>823125</v>
      </c>
      <c r="B171" t="s">
        <v>1067</v>
      </c>
      <c r="C171" s="3">
        <v>46191</v>
      </c>
      <c r="D171">
        <v>6.3</v>
      </c>
      <c r="E171">
        <v>2</v>
      </c>
      <c r="F171">
        <v>2</v>
      </c>
      <c r="G171" t="s">
        <v>141</v>
      </c>
      <c r="H171">
        <v>127</v>
      </c>
      <c r="I171">
        <v>0.44</v>
      </c>
      <c r="J171">
        <v>122</v>
      </c>
      <c r="K171">
        <v>0.45045000000000002</v>
      </c>
      <c r="L171">
        <v>0.44107063298947802</v>
      </c>
      <c r="M171">
        <v>669358</v>
      </c>
      <c r="N171" t="b">
        <v>0</v>
      </c>
      <c r="O171">
        <v>-100</v>
      </c>
      <c r="P171">
        <v>103.4</v>
      </c>
      <c r="Q171">
        <v>103.4</v>
      </c>
      <c r="R171" t="s">
        <v>73</v>
      </c>
      <c r="S171">
        <v>138.4</v>
      </c>
      <c r="T171">
        <v>138.4</v>
      </c>
      <c r="U171" t="s">
        <v>78</v>
      </c>
      <c r="V171">
        <v>24</v>
      </c>
      <c r="W171" t="s">
        <v>96</v>
      </c>
      <c r="X171">
        <v>-138</v>
      </c>
      <c r="Y171">
        <v>0.57999999999999996</v>
      </c>
      <c r="Z171">
        <v>-133</v>
      </c>
      <c r="AA171">
        <v>0.57081499999999996</v>
      </c>
      <c r="AB171">
        <v>0.55892936701052098</v>
      </c>
      <c r="AC171">
        <v>693433</v>
      </c>
      <c r="AD171" t="b">
        <v>0</v>
      </c>
      <c r="AE171">
        <v>-150</v>
      </c>
      <c r="AF171">
        <v>-108.1</v>
      </c>
      <c r="AG171" t="s">
        <v>587</v>
      </c>
      <c r="AH171" t="s">
        <v>81</v>
      </c>
      <c r="AI171">
        <v>-138.4</v>
      </c>
      <c r="AJ171" t="s">
        <v>588</v>
      </c>
      <c r="AK171" t="s">
        <v>81</v>
      </c>
      <c r="AL171" t="s">
        <v>924</v>
      </c>
      <c r="AM171" t="s">
        <v>75</v>
      </c>
      <c r="AN171">
        <v>15</v>
      </c>
      <c r="AO171">
        <v>0.87</v>
      </c>
      <c r="AP171">
        <v>0.55000000000000004</v>
      </c>
      <c r="AQ171">
        <v>-8.9300000000000004E-3</v>
      </c>
      <c r="AR171">
        <v>-122.2</v>
      </c>
      <c r="AS171" t="s">
        <v>75</v>
      </c>
      <c r="AT171">
        <v>0</v>
      </c>
      <c r="AU171">
        <v>0</v>
      </c>
      <c r="AV171" t="s">
        <v>589</v>
      </c>
      <c r="AW171" t="s">
        <v>75</v>
      </c>
      <c r="AX171">
        <v>41</v>
      </c>
      <c r="AY171">
        <v>0.93</v>
      </c>
      <c r="AZ171">
        <v>0.56000000000000005</v>
      </c>
      <c r="BA171">
        <v>1.07E-3</v>
      </c>
      <c r="BB171">
        <v>-127.3</v>
      </c>
      <c r="BC171" t="s">
        <v>75</v>
      </c>
      <c r="BD171">
        <v>0</v>
      </c>
      <c r="BE171">
        <v>0</v>
      </c>
      <c r="BF171" t="s">
        <v>83</v>
      </c>
      <c r="BG171">
        <v>0</v>
      </c>
      <c r="BH171">
        <v>0</v>
      </c>
      <c r="BI171">
        <v>0</v>
      </c>
      <c r="BJ171">
        <v>0</v>
      </c>
      <c r="BK171">
        <v>0</v>
      </c>
      <c r="BL171" t="s">
        <v>590</v>
      </c>
    </row>
    <row r="172" spans="1:64" x14ac:dyDescent="0.2">
      <c r="A172">
        <v>822889</v>
      </c>
      <c r="B172" t="s">
        <v>1068</v>
      </c>
      <c r="C172" s="3">
        <v>46191</v>
      </c>
      <c r="D172">
        <v>6.3</v>
      </c>
      <c r="E172">
        <v>2</v>
      </c>
      <c r="F172">
        <v>15</v>
      </c>
      <c r="G172" t="s">
        <v>119</v>
      </c>
      <c r="H172">
        <v>-123</v>
      </c>
      <c r="I172">
        <v>0.55000000000000004</v>
      </c>
      <c r="J172">
        <v>-117</v>
      </c>
      <c r="K172">
        <v>0.53917099999999996</v>
      </c>
      <c r="L172">
        <v>0.52863011549698902</v>
      </c>
      <c r="M172">
        <v>657746</v>
      </c>
      <c r="N172" t="b">
        <v>0</v>
      </c>
      <c r="O172">
        <v>150</v>
      </c>
      <c r="P172">
        <v>107.7</v>
      </c>
      <c r="Q172">
        <v>107.7</v>
      </c>
      <c r="R172" t="s">
        <v>78</v>
      </c>
      <c r="S172">
        <v>-107.3</v>
      </c>
      <c r="T172">
        <v>-107.3</v>
      </c>
      <c r="U172" t="s">
        <v>73</v>
      </c>
      <c r="V172">
        <v>28</v>
      </c>
      <c r="W172" t="s">
        <v>138</v>
      </c>
      <c r="X172">
        <v>114</v>
      </c>
      <c r="Y172">
        <v>0.47</v>
      </c>
      <c r="Z172">
        <v>108</v>
      </c>
      <c r="AA172">
        <v>0.480769</v>
      </c>
      <c r="AB172">
        <v>0.47136988450300898</v>
      </c>
      <c r="AC172">
        <v>683004</v>
      </c>
      <c r="AD172" t="b">
        <v>0</v>
      </c>
      <c r="AE172">
        <v>-122.2</v>
      </c>
      <c r="AF172">
        <v>-102.2</v>
      </c>
      <c r="AG172">
        <v>-102.2</v>
      </c>
      <c r="AH172" t="s">
        <v>73</v>
      </c>
      <c r="AI172">
        <v>107.3</v>
      </c>
      <c r="AJ172">
        <v>107.3</v>
      </c>
      <c r="AK172" t="s">
        <v>73</v>
      </c>
      <c r="AL172" t="s">
        <v>925</v>
      </c>
      <c r="AM172" t="s">
        <v>94</v>
      </c>
      <c r="AN172">
        <v>15</v>
      </c>
      <c r="AO172">
        <v>0.87</v>
      </c>
      <c r="AP172">
        <v>0.44</v>
      </c>
      <c r="AQ172">
        <v>-3.1370000000000002E-2</v>
      </c>
      <c r="AR172">
        <v>127.3</v>
      </c>
      <c r="AS172" t="s">
        <v>94</v>
      </c>
      <c r="AT172">
        <v>0</v>
      </c>
      <c r="AU172">
        <v>0</v>
      </c>
      <c r="AV172" t="s">
        <v>926</v>
      </c>
      <c r="AW172" t="s">
        <v>187</v>
      </c>
      <c r="AX172">
        <v>41</v>
      </c>
      <c r="AY172">
        <v>0.9</v>
      </c>
      <c r="AZ172">
        <v>0.52</v>
      </c>
      <c r="BA172">
        <v>4.863E-2</v>
      </c>
      <c r="BB172">
        <v>-108.3</v>
      </c>
      <c r="BC172" t="s">
        <v>187</v>
      </c>
      <c r="BD172">
        <v>1</v>
      </c>
      <c r="BE172">
        <v>1.08</v>
      </c>
      <c r="BF172" t="s">
        <v>83</v>
      </c>
      <c r="BG172">
        <v>0</v>
      </c>
      <c r="BH172">
        <v>0</v>
      </c>
      <c r="BI172">
        <v>0</v>
      </c>
      <c r="BJ172">
        <v>0</v>
      </c>
      <c r="BK172">
        <v>0</v>
      </c>
      <c r="BL172" t="s">
        <v>709</v>
      </c>
    </row>
    <row r="173" spans="1:64" x14ac:dyDescent="0.2">
      <c r="A173">
        <v>824910</v>
      </c>
      <c r="B173" t="s">
        <v>591</v>
      </c>
      <c r="C173" s="3">
        <v>46192</v>
      </c>
      <c r="D173">
        <v>6.3</v>
      </c>
      <c r="E173">
        <v>2</v>
      </c>
      <c r="F173">
        <v>17</v>
      </c>
      <c r="G173" t="s">
        <v>89</v>
      </c>
      <c r="H173">
        <v>-157</v>
      </c>
      <c r="I173">
        <v>0.61</v>
      </c>
      <c r="J173">
        <v>-156</v>
      </c>
      <c r="K173">
        <v>0.609375</v>
      </c>
      <c r="L173">
        <v>0.59690096366140299</v>
      </c>
      <c r="M173">
        <v>694819</v>
      </c>
      <c r="N173" t="b">
        <v>0</v>
      </c>
      <c r="O173">
        <v>-185.7</v>
      </c>
      <c r="P173">
        <v>-119.9</v>
      </c>
      <c r="Q173" t="s">
        <v>592</v>
      </c>
      <c r="R173" t="s">
        <v>81</v>
      </c>
      <c r="S173">
        <v>-200</v>
      </c>
      <c r="T173" t="s">
        <v>593</v>
      </c>
      <c r="U173" t="s">
        <v>81</v>
      </c>
      <c r="V173">
        <v>0</v>
      </c>
      <c r="W173" t="s">
        <v>74</v>
      </c>
      <c r="X173">
        <v>144</v>
      </c>
      <c r="Y173">
        <v>0.41</v>
      </c>
      <c r="Z173">
        <v>143</v>
      </c>
      <c r="AA173">
        <v>0.41152300000000003</v>
      </c>
      <c r="AB173">
        <v>0.40309903633859601</v>
      </c>
      <c r="AC173">
        <v>527048</v>
      </c>
      <c r="AD173" t="b">
        <v>0</v>
      </c>
      <c r="AE173">
        <v>-100</v>
      </c>
      <c r="AF173">
        <v>-104.4</v>
      </c>
      <c r="AG173">
        <v>-104.4</v>
      </c>
      <c r="AH173" t="s">
        <v>73</v>
      </c>
      <c r="AI173">
        <v>200</v>
      </c>
      <c r="AJ173">
        <v>200</v>
      </c>
      <c r="AK173" t="s">
        <v>78</v>
      </c>
      <c r="AL173" t="s">
        <v>594</v>
      </c>
      <c r="AM173" t="s">
        <v>94</v>
      </c>
      <c r="AN173">
        <v>15</v>
      </c>
      <c r="AO173">
        <v>1</v>
      </c>
      <c r="AP173">
        <v>0.44</v>
      </c>
      <c r="AQ173">
        <v>3.6900000000000002E-2</v>
      </c>
      <c r="AR173">
        <v>127.3</v>
      </c>
      <c r="AS173" t="s">
        <v>94</v>
      </c>
      <c r="AT173">
        <v>0</v>
      </c>
      <c r="AU173">
        <v>0</v>
      </c>
      <c r="AV173" t="s">
        <v>595</v>
      </c>
      <c r="AW173" t="s">
        <v>94</v>
      </c>
      <c r="AX173">
        <v>41</v>
      </c>
      <c r="AY173">
        <v>0.95</v>
      </c>
      <c r="AZ173">
        <v>0.44</v>
      </c>
      <c r="BA173">
        <v>3.6900000000000002E-2</v>
      </c>
      <c r="BB173">
        <v>127.3</v>
      </c>
      <c r="BC173" t="s">
        <v>94</v>
      </c>
      <c r="BD173">
        <v>0</v>
      </c>
      <c r="BE173">
        <v>0</v>
      </c>
      <c r="BF173" t="s">
        <v>83</v>
      </c>
      <c r="BG173">
        <v>0</v>
      </c>
      <c r="BH173">
        <v>0</v>
      </c>
      <c r="BI173">
        <v>0</v>
      </c>
      <c r="BJ173">
        <v>0</v>
      </c>
      <c r="BK173">
        <v>0</v>
      </c>
      <c r="BL173" t="s">
        <v>596</v>
      </c>
    </row>
    <row r="174" spans="1:64" x14ac:dyDescent="0.2">
      <c r="A174">
        <v>825069</v>
      </c>
      <c r="B174" t="s">
        <v>597</v>
      </c>
      <c r="C174" s="3">
        <v>46192</v>
      </c>
      <c r="D174">
        <v>6.3</v>
      </c>
      <c r="E174">
        <v>2</v>
      </c>
      <c r="F174">
        <v>15</v>
      </c>
      <c r="G174" t="s">
        <v>119</v>
      </c>
      <c r="H174">
        <v>150</v>
      </c>
      <c r="I174">
        <v>0.4</v>
      </c>
      <c r="J174">
        <v>152</v>
      </c>
      <c r="K174">
        <v>0.39682499999999998</v>
      </c>
      <c r="L174">
        <v>0.38924751855626499</v>
      </c>
      <c r="M174">
        <v>687570</v>
      </c>
      <c r="N174" t="b">
        <v>0</v>
      </c>
      <c r="O174">
        <v>122.2</v>
      </c>
      <c r="P174">
        <v>107.5</v>
      </c>
      <c r="Q174">
        <v>107.5</v>
      </c>
      <c r="R174" t="s">
        <v>78</v>
      </c>
      <c r="S174">
        <v>110.6</v>
      </c>
      <c r="T174">
        <v>110.6</v>
      </c>
      <c r="U174" t="s">
        <v>73</v>
      </c>
      <c r="V174">
        <v>1</v>
      </c>
      <c r="W174" t="s">
        <v>79</v>
      </c>
      <c r="X174">
        <v>-163</v>
      </c>
      <c r="Y174">
        <v>0.62</v>
      </c>
      <c r="Z174">
        <v>-165</v>
      </c>
      <c r="AA174">
        <v>0.62264200000000003</v>
      </c>
      <c r="AB174">
        <v>0.61075248144373395</v>
      </c>
      <c r="AC174">
        <v>647336</v>
      </c>
      <c r="AD174" t="b">
        <v>0</v>
      </c>
      <c r="AE174">
        <v>150</v>
      </c>
      <c r="AF174">
        <v>101.4</v>
      </c>
      <c r="AG174">
        <v>101.4</v>
      </c>
      <c r="AH174" t="s">
        <v>73</v>
      </c>
      <c r="AI174">
        <v>-110.6</v>
      </c>
      <c r="AJ174">
        <v>-110.6</v>
      </c>
      <c r="AK174" t="s">
        <v>73</v>
      </c>
      <c r="AL174" t="s">
        <v>927</v>
      </c>
      <c r="AM174" t="s">
        <v>75</v>
      </c>
      <c r="AN174">
        <v>15</v>
      </c>
      <c r="AO174">
        <v>0.8</v>
      </c>
      <c r="AP174">
        <v>0.51</v>
      </c>
      <c r="AQ174">
        <v>-0.10075000000000001</v>
      </c>
      <c r="AR174">
        <v>-104.1</v>
      </c>
      <c r="AS174" t="s">
        <v>75</v>
      </c>
      <c r="AT174">
        <v>0</v>
      </c>
      <c r="AU174">
        <v>0</v>
      </c>
      <c r="AV174" t="s">
        <v>928</v>
      </c>
      <c r="AW174" t="s">
        <v>75</v>
      </c>
      <c r="AX174">
        <v>41</v>
      </c>
      <c r="AY174">
        <v>0.98</v>
      </c>
      <c r="AZ174">
        <v>0.54</v>
      </c>
      <c r="BA174">
        <v>-7.0749999999999993E-2</v>
      </c>
      <c r="BB174">
        <v>-117.4</v>
      </c>
      <c r="BC174" t="s">
        <v>75</v>
      </c>
      <c r="BD174">
        <v>0</v>
      </c>
      <c r="BE174">
        <v>0</v>
      </c>
      <c r="BF174" t="s">
        <v>83</v>
      </c>
      <c r="BG174">
        <v>0</v>
      </c>
      <c r="BH174">
        <v>0</v>
      </c>
      <c r="BI174">
        <v>0</v>
      </c>
      <c r="BJ174">
        <v>0</v>
      </c>
      <c r="BK174">
        <v>0</v>
      </c>
      <c r="BL174" t="s">
        <v>598</v>
      </c>
    </row>
    <row r="175" spans="1:64" x14ac:dyDescent="0.2">
      <c r="A175">
        <v>824663</v>
      </c>
      <c r="B175" t="s">
        <v>599</v>
      </c>
      <c r="C175" s="3">
        <v>46192</v>
      </c>
      <c r="D175">
        <v>6.3</v>
      </c>
      <c r="E175">
        <v>2</v>
      </c>
      <c r="F175">
        <v>29</v>
      </c>
      <c r="G175" t="s">
        <v>144</v>
      </c>
      <c r="H175">
        <v>108</v>
      </c>
      <c r="I175">
        <v>0.48</v>
      </c>
      <c r="J175">
        <v>111</v>
      </c>
      <c r="K175">
        <v>0.47393400000000002</v>
      </c>
      <c r="L175">
        <v>0.46491967247047</v>
      </c>
      <c r="M175">
        <v>592332</v>
      </c>
      <c r="N175" t="b">
        <v>0</v>
      </c>
      <c r="O175">
        <v>-122.2</v>
      </c>
      <c r="P175">
        <v>-106.9</v>
      </c>
      <c r="Q175">
        <v>-106.9</v>
      </c>
      <c r="R175" t="s">
        <v>73</v>
      </c>
      <c r="S175">
        <v>-119</v>
      </c>
      <c r="T175">
        <v>-119</v>
      </c>
      <c r="U175" t="s">
        <v>73</v>
      </c>
      <c r="V175">
        <v>5</v>
      </c>
      <c r="W175" t="s">
        <v>85</v>
      </c>
      <c r="X175">
        <v>-117</v>
      </c>
      <c r="Y175">
        <v>0.54</v>
      </c>
      <c r="Z175">
        <v>-120</v>
      </c>
      <c r="AA175">
        <v>0.54545500000000002</v>
      </c>
      <c r="AB175">
        <v>0.53508032752952905</v>
      </c>
      <c r="AC175">
        <v>676962</v>
      </c>
      <c r="AD175" t="b">
        <v>0</v>
      </c>
      <c r="AE175">
        <v>-100</v>
      </c>
      <c r="AF175">
        <v>-111</v>
      </c>
      <c r="AG175" t="s">
        <v>264</v>
      </c>
      <c r="AH175" t="s">
        <v>81</v>
      </c>
      <c r="AI175">
        <v>119</v>
      </c>
      <c r="AJ175">
        <v>119</v>
      </c>
      <c r="AK175" t="s">
        <v>73</v>
      </c>
      <c r="AL175" t="s">
        <v>929</v>
      </c>
      <c r="AM175" t="s">
        <v>75</v>
      </c>
      <c r="AN175">
        <v>15</v>
      </c>
      <c r="AO175">
        <v>0.6</v>
      </c>
      <c r="AP175">
        <v>0.51</v>
      </c>
      <c r="AQ175">
        <v>-2.5080000000000002E-2</v>
      </c>
      <c r="AR175">
        <v>-104.1</v>
      </c>
      <c r="AS175" t="s">
        <v>75</v>
      </c>
      <c r="AT175">
        <v>0</v>
      </c>
      <c r="AU175">
        <v>0</v>
      </c>
      <c r="AV175" t="s">
        <v>930</v>
      </c>
      <c r="AW175" t="s">
        <v>75</v>
      </c>
      <c r="AX175">
        <v>41</v>
      </c>
      <c r="AY175">
        <v>0.85</v>
      </c>
      <c r="AZ175">
        <v>0.51</v>
      </c>
      <c r="BA175">
        <v>-2.5080000000000002E-2</v>
      </c>
      <c r="BB175">
        <v>-104.1</v>
      </c>
      <c r="BC175" t="s">
        <v>75</v>
      </c>
      <c r="BD175">
        <v>0</v>
      </c>
      <c r="BE175">
        <v>0</v>
      </c>
      <c r="BF175" t="s">
        <v>83</v>
      </c>
      <c r="BG175">
        <v>0</v>
      </c>
      <c r="BH175">
        <v>0</v>
      </c>
      <c r="BI175">
        <v>0</v>
      </c>
      <c r="BJ175">
        <v>0</v>
      </c>
      <c r="BK175">
        <v>0</v>
      </c>
      <c r="BL175" t="s">
        <v>600</v>
      </c>
    </row>
    <row r="176" spans="1:64" x14ac:dyDescent="0.2">
      <c r="A176">
        <v>824345</v>
      </c>
      <c r="B176" t="s">
        <v>601</v>
      </c>
      <c r="C176" s="3">
        <v>46192</v>
      </c>
      <c r="D176">
        <v>6.3</v>
      </c>
      <c r="E176">
        <v>2</v>
      </c>
      <c r="F176">
        <v>22</v>
      </c>
      <c r="G176" t="s">
        <v>72</v>
      </c>
      <c r="H176">
        <v>-131</v>
      </c>
      <c r="I176">
        <v>0.56999999999999995</v>
      </c>
      <c r="J176">
        <v>-132</v>
      </c>
      <c r="K176">
        <v>0.56896599999999997</v>
      </c>
      <c r="L176">
        <v>0.558129360339645</v>
      </c>
      <c r="M176">
        <v>696149</v>
      </c>
      <c r="N176" t="b">
        <v>0</v>
      </c>
      <c r="O176">
        <v>122.2</v>
      </c>
      <c r="P176">
        <v>-101</v>
      </c>
      <c r="Q176">
        <v>-101</v>
      </c>
      <c r="R176" t="s">
        <v>73</v>
      </c>
      <c r="S176">
        <v>-126.1</v>
      </c>
      <c r="T176">
        <v>-126.1</v>
      </c>
      <c r="U176" t="s">
        <v>73</v>
      </c>
      <c r="V176">
        <v>8</v>
      </c>
      <c r="W176" t="s">
        <v>92</v>
      </c>
      <c r="X176">
        <v>121</v>
      </c>
      <c r="Y176">
        <v>0.45</v>
      </c>
      <c r="Z176">
        <v>122</v>
      </c>
      <c r="AA176">
        <v>0.45045000000000002</v>
      </c>
      <c r="AB176">
        <v>0.441870639660354</v>
      </c>
      <c r="AC176">
        <v>607536</v>
      </c>
      <c r="AD176" t="b">
        <v>0</v>
      </c>
      <c r="AE176">
        <v>150</v>
      </c>
      <c r="AF176">
        <v>129.4</v>
      </c>
      <c r="AG176">
        <v>129.4</v>
      </c>
      <c r="AH176" t="s">
        <v>93</v>
      </c>
      <c r="AI176">
        <v>126.1</v>
      </c>
      <c r="AJ176">
        <v>126.1</v>
      </c>
      <c r="AK176" t="s">
        <v>73</v>
      </c>
      <c r="AL176" t="s">
        <v>931</v>
      </c>
      <c r="AM176" t="s">
        <v>94</v>
      </c>
      <c r="AN176">
        <v>15</v>
      </c>
      <c r="AO176">
        <v>1</v>
      </c>
      <c r="AP176">
        <v>0.43</v>
      </c>
      <c r="AQ176">
        <v>-1.187E-2</v>
      </c>
      <c r="AR176">
        <v>132.6</v>
      </c>
      <c r="AS176" t="s">
        <v>94</v>
      </c>
      <c r="AT176">
        <v>0</v>
      </c>
      <c r="AU176">
        <v>0</v>
      </c>
      <c r="AV176" t="s">
        <v>932</v>
      </c>
      <c r="AW176" t="s">
        <v>94</v>
      </c>
      <c r="AX176">
        <v>41</v>
      </c>
      <c r="AY176">
        <v>0.93</v>
      </c>
      <c r="AZ176">
        <v>0.45</v>
      </c>
      <c r="BA176">
        <v>8.1300000000000001E-3</v>
      </c>
      <c r="BB176">
        <v>122.2</v>
      </c>
      <c r="BC176" t="s">
        <v>94</v>
      </c>
      <c r="BD176">
        <v>0</v>
      </c>
      <c r="BE176">
        <v>0</v>
      </c>
      <c r="BF176" t="s">
        <v>83</v>
      </c>
      <c r="BG176">
        <v>0</v>
      </c>
      <c r="BH176">
        <v>0</v>
      </c>
      <c r="BI176">
        <v>0</v>
      </c>
      <c r="BJ176">
        <v>0</v>
      </c>
      <c r="BK176">
        <v>0</v>
      </c>
      <c r="BL176" t="s">
        <v>602</v>
      </c>
    </row>
    <row r="177" spans="1:64" x14ac:dyDescent="0.2">
      <c r="A177">
        <v>824264</v>
      </c>
      <c r="B177" t="s">
        <v>603</v>
      </c>
      <c r="C177" s="3">
        <v>46192</v>
      </c>
      <c r="D177">
        <v>6.3</v>
      </c>
      <c r="E177">
        <v>2</v>
      </c>
      <c r="F177">
        <v>9</v>
      </c>
      <c r="G177" t="s">
        <v>125</v>
      </c>
      <c r="H177">
        <v>193</v>
      </c>
      <c r="I177">
        <v>0.34</v>
      </c>
      <c r="J177">
        <v>166</v>
      </c>
      <c r="K177">
        <v>0.37594</v>
      </c>
      <c r="L177">
        <v>0.36808866869669898</v>
      </c>
      <c r="M177">
        <v>685126</v>
      </c>
      <c r="N177" t="b">
        <v>0</v>
      </c>
      <c r="O177">
        <v>-150</v>
      </c>
      <c r="P177">
        <v>103.5</v>
      </c>
      <c r="Q177">
        <v>103.5</v>
      </c>
      <c r="R177" t="s">
        <v>73</v>
      </c>
      <c r="S177">
        <v>774</v>
      </c>
      <c r="T177">
        <v>774</v>
      </c>
      <c r="U177" t="s">
        <v>126</v>
      </c>
      <c r="V177">
        <v>10</v>
      </c>
      <c r="W177" t="s">
        <v>97</v>
      </c>
      <c r="X177">
        <v>-213</v>
      </c>
      <c r="Y177">
        <v>0.68</v>
      </c>
      <c r="Z177">
        <v>-182</v>
      </c>
      <c r="AA177">
        <v>0.64539000000000002</v>
      </c>
      <c r="AB177">
        <v>0.63191133130330002</v>
      </c>
      <c r="AC177">
        <v>669373</v>
      </c>
      <c r="AD177" t="b">
        <v>0</v>
      </c>
      <c r="AE177">
        <v>122.2</v>
      </c>
      <c r="AF177">
        <v>-100.1</v>
      </c>
      <c r="AG177">
        <v>-100.1</v>
      </c>
      <c r="AH177" t="s">
        <v>73</v>
      </c>
      <c r="AI177">
        <v>-774</v>
      </c>
      <c r="AJ177">
        <v>-774</v>
      </c>
      <c r="AK177" t="s">
        <v>128</v>
      </c>
      <c r="AL177" t="s">
        <v>933</v>
      </c>
      <c r="AM177" t="s">
        <v>109</v>
      </c>
      <c r="AN177">
        <v>15</v>
      </c>
      <c r="AO177">
        <v>0.53</v>
      </c>
      <c r="AP177">
        <v>0.49</v>
      </c>
      <c r="AQ177">
        <v>-0.14191000000000001</v>
      </c>
      <c r="AR177">
        <v>104.1</v>
      </c>
      <c r="AS177" t="s">
        <v>109</v>
      </c>
      <c r="AT177">
        <v>0</v>
      </c>
      <c r="AU177">
        <v>0</v>
      </c>
      <c r="AV177" t="s">
        <v>934</v>
      </c>
      <c r="AW177" t="s">
        <v>75</v>
      </c>
      <c r="AX177">
        <v>41</v>
      </c>
      <c r="AY177">
        <v>0.98</v>
      </c>
      <c r="AZ177">
        <v>0.56000000000000005</v>
      </c>
      <c r="BA177">
        <v>-7.1910000000000002E-2</v>
      </c>
      <c r="BB177">
        <v>-127.3</v>
      </c>
      <c r="BC177" t="s">
        <v>75</v>
      </c>
      <c r="BD177">
        <v>0</v>
      </c>
      <c r="BE177">
        <v>0</v>
      </c>
      <c r="BF177" t="s">
        <v>83</v>
      </c>
      <c r="BG177">
        <v>0</v>
      </c>
      <c r="BH177">
        <v>0</v>
      </c>
      <c r="BI177">
        <v>0</v>
      </c>
      <c r="BJ177">
        <v>0</v>
      </c>
      <c r="BK177">
        <v>0</v>
      </c>
      <c r="BL177" t="s">
        <v>604</v>
      </c>
    </row>
    <row r="178" spans="1:64" x14ac:dyDescent="0.2">
      <c r="A178">
        <v>823853</v>
      </c>
      <c r="B178" t="s">
        <v>605</v>
      </c>
      <c r="C178" s="3">
        <v>46192</v>
      </c>
      <c r="D178">
        <v>6.3</v>
      </c>
      <c r="E178">
        <v>2</v>
      </c>
      <c r="F178">
        <v>25</v>
      </c>
      <c r="G178" t="s">
        <v>84</v>
      </c>
      <c r="H178">
        <v>101</v>
      </c>
      <c r="I178">
        <v>0.5</v>
      </c>
      <c r="J178">
        <v>103</v>
      </c>
      <c r="K178">
        <v>0.49261100000000002</v>
      </c>
      <c r="L178">
        <v>0.48357919144144801</v>
      </c>
      <c r="M178">
        <v>694738</v>
      </c>
      <c r="N178" t="b">
        <v>0</v>
      </c>
      <c r="O178">
        <v>122.2</v>
      </c>
      <c r="P178">
        <v>106.1</v>
      </c>
      <c r="Q178">
        <v>106.1</v>
      </c>
      <c r="R178" t="s">
        <v>73</v>
      </c>
      <c r="S178">
        <v>-183.3</v>
      </c>
      <c r="T178" t="s">
        <v>606</v>
      </c>
      <c r="U178" t="s">
        <v>81</v>
      </c>
      <c r="V178">
        <v>11</v>
      </c>
      <c r="W178" t="s">
        <v>103</v>
      </c>
      <c r="X178">
        <v>-112</v>
      </c>
      <c r="Y178">
        <v>0.53</v>
      </c>
      <c r="Z178">
        <v>-111</v>
      </c>
      <c r="AA178">
        <v>0.52606600000000003</v>
      </c>
      <c r="AB178">
        <v>0.51642080855855099</v>
      </c>
      <c r="AC178">
        <v>669199</v>
      </c>
      <c r="AD178" t="b">
        <v>0</v>
      </c>
      <c r="AE178">
        <v>-122.2</v>
      </c>
      <c r="AF178">
        <v>-102.8</v>
      </c>
      <c r="AG178">
        <v>-102.8</v>
      </c>
      <c r="AH178" t="s">
        <v>73</v>
      </c>
      <c r="AI178">
        <v>183.3</v>
      </c>
      <c r="AJ178">
        <v>183.3</v>
      </c>
      <c r="AK178" t="s">
        <v>78</v>
      </c>
      <c r="AL178" t="s">
        <v>935</v>
      </c>
      <c r="AM178" t="s">
        <v>75</v>
      </c>
      <c r="AN178">
        <v>15</v>
      </c>
      <c r="AO178">
        <v>0.8</v>
      </c>
      <c r="AP178">
        <v>0.52</v>
      </c>
      <c r="AQ178">
        <v>3.5799999999999998E-3</v>
      </c>
      <c r="AR178">
        <v>-108.3</v>
      </c>
      <c r="AS178" t="s">
        <v>75</v>
      </c>
      <c r="AT178">
        <v>0</v>
      </c>
      <c r="AU178">
        <v>0</v>
      </c>
      <c r="AV178" t="s">
        <v>936</v>
      </c>
      <c r="AW178" t="s">
        <v>75</v>
      </c>
      <c r="AX178">
        <v>41</v>
      </c>
      <c r="AY178">
        <v>0.68</v>
      </c>
      <c r="AZ178">
        <v>0.5</v>
      </c>
      <c r="BA178">
        <v>-1.6420000000000001E-2</v>
      </c>
      <c r="BB178">
        <v>-100</v>
      </c>
      <c r="BC178" t="s">
        <v>75</v>
      </c>
      <c r="BD178">
        <v>0</v>
      </c>
      <c r="BE178">
        <v>0</v>
      </c>
      <c r="BF178" t="s">
        <v>83</v>
      </c>
      <c r="BG178">
        <v>0</v>
      </c>
      <c r="BH178">
        <v>0</v>
      </c>
      <c r="BI178">
        <v>0</v>
      </c>
      <c r="BJ178">
        <v>0</v>
      </c>
      <c r="BK178">
        <v>0</v>
      </c>
      <c r="BL178" t="s">
        <v>710</v>
      </c>
    </row>
    <row r="179" spans="1:64" x14ac:dyDescent="0.2">
      <c r="A179">
        <v>824179</v>
      </c>
      <c r="B179" t="s">
        <v>607</v>
      </c>
      <c r="C179" s="3">
        <v>46192</v>
      </c>
      <c r="D179">
        <v>6.3</v>
      </c>
      <c r="E179">
        <v>2</v>
      </c>
      <c r="F179">
        <v>7</v>
      </c>
      <c r="G179" t="s">
        <v>137</v>
      </c>
      <c r="H179">
        <v>108</v>
      </c>
      <c r="I179">
        <v>0.48</v>
      </c>
      <c r="J179">
        <v>111</v>
      </c>
      <c r="K179">
        <v>0.47393400000000002</v>
      </c>
      <c r="L179">
        <v>0.46398386599376301</v>
      </c>
      <c r="M179">
        <v>676440</v>
      </c>
      <c r="N179" t="b">
        <v>0</v>
      </c>
      <c r="O179">
        <v>150</v>
      </c>
      <c r="P179">
        <v>-101.6</v>
      </c>
      <c r="Q179">
        <v>-101.6</v>
      </c>
      <c r="R179" t="s">
        <v>73</v>
      </c>
      <c r="S179">
        <v>-126.3</v>
      </c>
      <c r="T179">
        <v>-126.3</v>
      </c>
      <c r="U179" t="s">
        <v>73</v>
      </c>
      <c r="V179">
        <v>12</v>
      </c>
      <c r="W179" t="s">
        <v>108</v>
      </c>
      <c r="X179">
        <v>-117</v>
      </c>
      <c r="Y179">
        <v>0.54</v>
      </c>
      <c r="Z179">
        <v>-121</v>
      </c>
      <c r="AA179">
        <v>0.54751099999999997</v>
      </c>
      <c r="AB179">
        <v>0.53601613400623604</v>
      </c>
      <c r="AC179">
        <v>837227</v>
      </c>
      <c r="AD179" t="b">
        <v>0</v>
      </c>
      <c r="AE179">
        <v>-122.2</v>
      </c>
      <c r="AF179">
        <v>105.9</v>
      </c>
      <c r="AG179">
        <v>105.9</v>
      </c>
      <c r="AH179" t="s">
        <v>73</v>
      </c>
      <c r="AI179">
        <v>126.3</v>
      </c>
      <c r="AJ179">
        <v>126.3</v>
      </c>
      <c r="AK179" t="s">
        <v>73</v>
      </c>
      <c r="AL179" t="s">
        <v>937</v>
      </c>
      <c r="AM179" t="s">
        <v>109</v>
      </c>
      <c r="AN179">
        <v>15</v>
      </c>
      <c r="AO179">
        <v>0.67</v>
      </c>
      <c r="AP179">
        <v>0.48</v>
      </c>
      <c r="AQ179">
        <v>-5.602E-2</v>
      </c>
      <c r="AR179">
        <v>108.3</v>
      </c>
      <c r="AS179" t="s">
        <v>109</v>
      </c>
      <c r="AT179">
        <v>1</v>
      </c>
      <c r="AU179">
        <v>1.1100000000000001</v>
      </c>
      <c r="AV179" t="s">
        <v>938</v>
      </c>
      <c r="AW179" t="s">
        <v>109</v>
      </c>
      <c r="AX179">
        <v>41</v>
      </c>
      <c r="AY179">
        <v>0.51</v>
      </c>
      <c r="AZ179">
        <v>0.49</v>
      </c>
      <c r="BA179">
        <v>-4.6019999999999998E-2</v>
      </c>
      <c r="BB179">
        <v>104.1</v>
      </c>
      <c r="BC179" t="s">
        <v>109</v>
      </c>
      <c r="BD179">
        <v>1</v>
      </c>
      <c r="BE179">
        <v>1.1100000000000001</v>
      </c>
      <c r="BF179" t="s">
        <v>109</v>
      </c>
      <c r="BG179">
        <v>-5.602E-2</v>
      </c>
      <c r="BH179">
        <v>0</v>
      </c>
      <c r="BI179">
        <v>0</v>
      </c>
      <c r="BJ179">
        <v>5</v>
      </c>
      <c r="BK179">
        <v>0.67</v>
      </c>
      <c r="BL179" t="s">
        <v>711</v>
      </c>
    </row>
    <row r="180" spans="1:64" x14ac:dyDescent="0.2">
      <c r="A180">
        <v>824097</v>
      </c>
      <c r="B180" t="s">
        <v>608</v>
      </c>
      <c r="C180" s="3">
        <v>46192</v>
      </c>
      <c r="D180">
        <v>6.3</v>
      </c>
      <c r="E180">
        <v>2</v>
      </c>
      <c r="F180">
        <v>26</v>
      </c>
      <c r="G180" t="s">
        <v>134</v>
      </c>
      <c r="H180">
        <v>-115</v>
      </c>
      <c r="I180">
        <v>0.53</v>
      </c>
      <c r="J180">
        <v>-114</v>
      </c>
      <c r="K180">
        <v>0.53271000000000002</v>
      </c>
      <c r="L180">
        <v>0.52200114647996299</v>
      </c>
      <c r="M180">
        <v>700241</v>
      </c>
      <c r="N180" t="b">
        <v>0</v>
      </c>
      <c r="O180">
        <v>-122.2</v>
      </c>
      <c r="P180">
        <v>107.4</v>
      </c>
      <c r="Q180">
        <v>107.4</v>
      </c>
      <c r="R180" t="s">
        <v>78</v>
      </c>
      <c r="S180">
        <v>141.1</v>
      </c>
      <c r="T180">
        <v>141.1</v>
      </c>
      <c r="U180" t="s">
        <v>78</v>
      </c>
      <c r="V180">
        <v>13</v>
      </c>
      <c r="W180" t="s">
        <v>118</v>
      </c>
      <c r="X180">
        <v>106</v>
      </c>
      <c r="Y180">
        <v>0.49</v>
      </c>
      <c r="Z180">
        <v>105</v>
      </c>
      <c r="AA180">
        <v>0.48780499999999999</v>
      </c>
      <c r="AB180">
        <v>0.47799885352003602</v>
      </c>
      <c r="AC180">
        <v>607625</v>
      </c>
      <c r="AD180" t="b">
        <v>0</v>
      </c>
      <c r="AE180">
        <v>122.2</v>
      </c>
      <c r="AF180">
        <v>-100.1</v>
      </c>
      <c r="AG180">
        <v>-100.1</v>
      </c>
      <c r="AH180" t="s">
        <v>73</v>
      </c>
      <c r="AI180">
        <v>-141.1</v>
      </c>
      <c r="AJ180" t="s">
        <v>609</v>
      </c>
      <c r="AK180" t="s">
        <v>81</v>
      </c>
      <c r="AL180" t="s">
        <v>939</v>
      </c>
      <c r="AM180" t="s">
        <v>94</v>
      </c>
      <c r="AN180">
        <v>15</v>
      </c>
      <c r="AO180">
        <v>0.67</v>
      </c>
      <c r="AP180">
        <v>0.49</v>
      </c>
      <c r="AQ180">
        <v>1.2E-2</v>
      </c>
      <c r="AR180">
        <v>104.1</v>
      </c>
      <c r="AS180" t="s">
        <v>94</v>
      </c>
      <c r="AT180">
        <v>0</v>
      </c>
      <c r="AU180">
        <v>0</v>
      </c>
      <c r="AV180" t="s">
        <v>940</v>
      </c>
      <c r="AW180" t="s">
        <v>187</v>
      </c>
      <c r="AX180">
        <v>41</v>
      </c>
      <c r="AY180">
        <v>1</v>
      </c>
      <c r="AZ180">
        <v>0.56999999999999995</v>
      </c>
      <c r="BA180">
        <v>9.1999999999999998E-2</v>
      </c>
      <c r="BB180">
        <v>-132.6</v>
      </c>
      <c r="BC180" t="s">
        <v>187</v>
      </c>
      <c r="BD180">
        <v>1</v>
      </c>
      <c r="BE180">
        <v>1.05</v>
      </c>
      <c r="BF180" t="s">
        <v>83</v>
      </c>
      <c r="BG180">
        <v>0</v>
      </c>
      <c r="BH180">
        <v>0</v>
      </c>
      <c r="BI180">
        <v>0</v>
      </c>
      <c r="BJ180">
        <v>0</v>
      </c>
      <c r="BK180">
        <v>0</v>
      </c>
      <c r="BL180" t="s">
        <v>610</v>
      </c>
    </row>
    <row r="181" spans="1:64" x14ac:dyDescent="0.2">
      <c r="A181">
        <v>823936</v>
      </c>
      <c r="B181" t="s">
        <v>611</v>
      </c>
      <c r="C181" s="3">
        <v>46192</v>
      </c>
      <c r="D181">
        <v>6.3</v>
      </c>
      <c r="E181">
        <v>2</v>
      </c>
      <c r="F181">
        <v>2</v>
      </c>
      <c r="G181" t="s">
        <v>141</v>
      </c>
      <c r="H181">
        <v>184</v>
      </c>
      <c r="I181">
        <v>0.35</v>
      </c>
      <c r="J181">
        <v>187</v>
      </c>
      <c r="K181">
        <v>0.34843200000000002</v>
      </c>
      <c r="L181">
        <v>0.34105331160345898</v>
      </c>
      <c r="M181">
        <v>694346</v>
      </c>
      <c r="N181" t="b">
        <v>0</v>
      </c>
      <c r="O181">
        <v>122.2</v>
      </c>
      <c r="P181">
        <v>103</v>
      </c>
      <c r="Q181">
        <v>103</v>
      </c>
      <c r="R181" t="s">
        <v>73</v>
      </c>
      <c r="S181">
        <v>213.2</v>
      </c>
      <c r="T181">
        <v>213.2</v>
      </c>
      <c r="U181" t="s">
        <v>112</v>
      </c>
      <c r="V181">
        <v>14</v>
      </c>
      <c r="W181" t="s">
        <v>113</v>
      </c>
      <c r="X181">
        <v>-202</v>
      </c>
      <c r="Y181">
        <v>0.67</v>
      </c>
      <c r="Z181">
        <v>-206</v>
      </c>
      <c r="AA181">
        <v>0.673203</v>
      </c>
      <c r="AB181">
        <v>0.65894668839654003</v>
      </c>
      <c r="AC181">
        <v>808963</v>
      </c>
      <c r="AD181" t="b">
        <v>0</v>
      </c>
      <c r="AE181">
        <v>-185.7</v>
      </c>
      <c r="AF181">
        <v>-117.6</v>
      </c>
      <c r="AG181" t="s">
        <v>612</v>
      </c>
      <c r="AH181" t="s">
        <v>116</v>
      </c>
      <c r="AI181">
        <v>-213.2</v>
      </c>
      <c r="AJ181" t="s">
        <v>613</v>
      </c>
      <c r="AK181" t="s">
        <v>116</v>
      </c>
      <c r="AL181" t="s">
        <v>941</v>
      </c>
      <c r="AM181" t="s">
        <v>75</v>
      </c>
      <c r="AN181">
        <v>15</v>
      </c>
      <c r="AO181">
        <v>0.87</v>
      </c>
      <c r="AP181">
        <v>0.54</v>
      </c>
      <c r="AQ181">
        <v>-0.11895</v>
      </c>
      <c r="AR181">
        <v>-117.4</v>
      </c>
      <c r="AS181" t="s">
        <v>75</v>
      </c>
      <c r="AT181">
        <v>0</v>
      </c>
      <c r="AU181">
        <v>0</v>
      </c>
      <c r="AV181" t="s">
        <v>942</v>
      </c>
      <c r="AW181" t="s">
        <v>75</v>
      </c>
      <c r="AX181">
        <v>41</v>
      </c>
      <c r="AY181">
        <v>1</v>
      </c>
      <c r="AZ181">
        <v>0.57999999999999996</v>
      </c>
      <c r="BA181">
        <v>-7.8950000000000006E-2</v>
      </c>
      <c r="BB181">
        <v>-138.1</v>
      </c>
      <c r="BC181" t="s">
        <v>75</v>
      </c>
      <c r="BD181">
        <v>0</v>
      </c>
      <c r="BE181">
        <v>0</v>
      </c>
      <c r="BF181" t="s">
        <v>83</v>
      </c>
      <c r="BG181">
        <v>0</v>
      </c>
      <c r="BH181">
        <v>0</v>
      </c>
      <c r="BI181">
        <v>0</v>
      </c>
      <c r="BJ181">
        <v>0</v>
      </c>
      <c r="BK181">
        <v>0</v>
      </c>
      <c r="BL181" t="s">
        <v>614</v>
      </c>
    </row>
    <row r="182" spans="1:64" x14ac:dyDescent="0.2">
      <c r="A182">
        <v>823534</v>
      </c>
      <c r="B182" t="s">
        <v>615</v>
      </c>
      <c r="C182" s="3">
        <v>46192</v>
      </c>
      <c r="D182">
        <v>6.3</v>
      </c>
      <c r="E182">
        <v>2</v>
      </c>
      <c r="F182">
        <v>6</v>
      </c>
      <c r="G182" t="s">
        <v>133</v>
      </c>
      <c r="H182">
        <v>229</v>
      </c>
      <c r="I182">
        <v>0.3</v>
      </c>
      <c r="J182">
        <v>240</v>
      </c>
      <c r="K182">
        <v>0.29411799999999999</v>
      </c>
      <c r="L182">
        <v>0.28747306021317198</v>
      </c>
      <c r="M182">
        <v>695076</v>
      </c>
      <c r="N182" t="b">
        <v>0</v>
      </c>
      <c r="O182">
        <v>185.7</v>
      </c>
      <c r="P182">
        <v>109.6</v>
      </c>
      <c r="Q182">
        <v>109.6</v>
      </c>
      <c r="R182" t="s">
        <v>78</v>
      </c>
      <c r="S182">
        <v>169.2</v>
      </c>
      <c r="T182">
        <v>169.2</v>
      </c>
      <c r="U182" t="s">
        <v>78</v>
      </c>
      <c r="V182">
        <v>19</v>
      </c>
      <c r="W182" t="s">
        <v>123</v>
      </c>
      <c r="X182">
        <v>-256</v>
      </c>
      <c r="Y182">
        <v>0.72</v>
      </c>
      <c r="Z182">
        <v>-269</v>
      </c>
      <c r="AA182">
        <v>0.72899700000000001</v>
      </c>
      <c r="AB182">
        <v>0.71252693978682702</v>
      </c>
      <c r="AC182">
        <v>693645</v>
      </c>
      <c r="AD182" t="b">
        <v>0</v>
      </c>
      <c r="AE182">
        <v>-233.3</v>
      </c>
      <c r="AF182">
        <v>-113.5</v>
      </c>
      <c r="AG182" t="s">
        <v>616</v>
      </c>
      <c r="AH182" t="s">
        <v>81</v>
      </c>
      <c r="AI182">
        <v>-169.2</v>
      </c>
      <c r="AJ182" t="s">
        <v>617</v>
      </c>
      <c r="AK182" t="s">
        <v>81</v>
      </c>
      <c r="AL182" t="s">
        <v>943</v>
      </c>
      <c r="AM182" t="s">
        <v>75</v>
      </c>
      <c r="AN182">
        <v>15</v>
      </c>
      <c r="AO182">
        <v>0.93</v>
      </c>
      <c r="AP182">
        <v>0.54</v>
      </c>
      <c r="AQ182">
        <v>-0.17252999999999999</v>
      </c>
      <c r="AR182">
        <v>-117.4</v>
      </c>
      <c r="AS182" t="s">
        <v>75</v>
      </c>
      <c r="AT182">
        <v>0</v>
      </c>
      <c r="AU182">
        <v>0</v>
      </c>
      <c r="AV182" t="s">
        <v>944</v>
      </c>
      <c r="AW182" t="s">
        <v>75</v>
      </c>
      <c r="AX182">
        <v>41</v>
      </c>
      <c r="AY182">
        <v>1</v>
      </c>
      <c r="AZ182">
        <v>0.56999999999999995</v>
      </c>
      <c r="BA182">
        <v>-0.14252999999999999</v>
      </c>
      <c r="BB182">
        <v>-132.6</v>
      </c>
      <c r="BC182" t="s">
        <v>75</v>
      </c>
      <c r="BD182">
        <v>0</v>
      </c>
      <c r="BE182">
        <v>0</v>
      </c>
      <c r="BF182" t="s">
        <v>83</v>
      </c>
      <c r="BG182">
        <v>0</v>
      </c>
      <c r="BH182">
        <v>0</v>
      </c>
      <c r="BI182">
        <v>0</v>
      </c>
      <c r="BJ182">
        <v>0</v>
      </c>
      <c r="BK182">
        <v>0</v>
      </c>
      <c r="BL182" t="s">
        <v>618</v>
      </c>
    </row>
    <row r="183" spans="1:64" x14ac:dyDescent="0.2">
      <c r="A183">
        <v>824990</v>
      </c>
      <c r="B183" t="s">
        <v>619</v>
      </c>
      <c r="C183" s="3">
        <v>46192</v>
      </c>
      <c r="D183">
        <v>6.3</v>
      </c>
      <c r="E183">
        <v>2</v>
      </c>
      <c r="F183">
        <v>4</v>
      </c>
      <c r="G183" t="s">
        <v>111</v>
      </c>
      <c r="H183">
        <v>141</v>
      </c>
      <c r="I183">
        <v>0.41</v>
      </c>
      <c r="J183">
        <v>141</v>
      </c>
      <c r="K183">
        <v>0.41493799999999997</v>
      </c>
      <c r="L183">
        <v>0.406929225904964</v>
      </c>
      <c r="M183">
        <v>667755</v>
      </c>
      <c r="N183" t="b">
        <v>0</v>
      </c>
      <c r="O183">
        <v>122.2</v>
      </c>
      <c r="P183">
        <v>108.8</v>
      </c>
      <c r="Q183">
        <v>108.8</v>
      </c>
      <c r="R183" t="s">
        <v>78</v>
      </c>
      <c r="S183">
        <v>-128.1</v>
      </c>
      <c r="T183">
        <v>-128.1</v>
      </c>
      <c r="U183" t="s">
        <v>73</v>
      </c>
      <c r="V183">
        <v>20</v>
      </c>
      <c r="W183" t="s">
        <v>107</v>
      </c>
      <c r="X183">
        <v>-154</v>
      </c>
      <c r="Y183">
        <v>0.61</v>
      </c>
      <c r="Z183">
        <v>-153</v>
      </c>
      <c r="AA183">
        <v>0.60474300000000003</v>
      </c>
      <c r="AB183">
        <v>0.59307077409503495</v>
      </c>
      <c r="AC183">
        <v>605488</v>
      </c>
      <c r="AD183" t="b">
        <v>0</v>
      </c>
      <c r="AE183">
        <v>-100</v>
      </c>
      <c r="AF183">
        <v>-101.1</v>
      </c>
      <c r="AG183">
        <v>-101.1</v>
      </c>
      <c r="AH183" t="s">
        <v>73</v>
      </c>
      <c r="AI183">
        <v>128.1</v>
      </c>
      <c r="AJ183">
        <v>128.1</v>
      </c>
      <c r="AK183" t="s">
        <v>73</v>
      </c>
      <c r="AL183" t="s">
        <v>945</v>
      </c>
      <c r="AM183" t="s">
        <v>75</v>
      </c>
      <c r="AN183">
        <v>15</v>
      </c>
      <c r="AO183">
        <v>1</v>
      </c>
      <c r="AP183">
        <v>0.55000000000000004</v>
      </c>
      <c r="AQ183">
        <v>-4.3069999999999997E-2</v>
      </c>
      <c r="AR183">
        <v>-122.2</v>
      </c>
      <c r="AS183" t="s">
        <v>75</v>
      </c>
      <c r="AT183">
        <v>0</v>
      </c>
      <c r="AU183">
        <v>0</v>
      </c>
      <c r="AV183" t="s">
        <v>946</v>
      </c>
      <c r="AW183" t="s">
        <v>75</v>
      </c>
      <c r="AX183">
        <v>41</v>
      </c>
      <c r="AY183">
        <v>0.93</v>
      </c>
      <c r="AZ183">
        <v>0.53</v>
      </c>
      <c r="BA183">
        <v>-6.3070000000000001E-2</v>
      </c>
      <c r="BB183">
        <v>-112.8</v>
      </c>
      <c r="BC183" t="s">
        <v>75</v>
      </c>
      <c r="BD183">
        <v>0</v>
      </c>
      <c r="BE183">
        <v>0</v>
      </c>
      <c r="BF183" t="s">
        <v>83</v>
      </c>
      <c r="BG183">
        <v>0</v>
      </c>
      <c r="BH183">
        <v>0</v>
      </c>
      <c r="BI183">
        <v>0</v>
      </c>
      <c r="BJ183">
        <v>0</v>
      </c>
      <c r="BK183">
        <v>0</v>
      </c>
      <c r="BL183" t="s">
        <v>620</v>
      </c>
    </row>
    <row r="184" spans="1:64" x14ac:dyDescent="0.2">
      <c r="A184">
        <v>823124</v>
      </c>
      <c r="B184" t="s">
        <v>621</v>
      </c>
      <c r="C184" s="3">
        <v>46192</v>
      </c>
      <c r="D184">
        <v>6.3</v>
      </c>
      <c r="E184">
        <v>2</v>
      </c>
      <c r="F184">
        <v>3</v>
      </c>
      <c r="G184" t="s">
        <v>122</v>
      </c>
      <c r="H184">
        <v>115</v>
      </c>
      <c r="I184">
        <v>0.47</v>
      </c>
      <c r="J184">
        <v>100</v>
      </c>
      <c r="K184">
        <v>0.5</v>
      </c>
      <c r="L184">
        <v>0.49056592666431798</v>
      </c>
      <c r="M184">
        <v>624133</v>
      </c>
      <c r="N184" t="b">
        <v>0</v>
      </c>
      <c r="O184">
        <v>185.7</v>
      </c>
      <c r="P184">
        <v>-103.9</v>
      </c>
      <c r="Q184">
        <v>-103.9</v>
      </c>
      <c r="R184" t="s">
        <v>73</v>
      </c>
      <c r="S184">
        <v>-113.3</v>
      </c>
      <c r="T184">
        <v>-113.3</v>
      </c>
      <c r="U184" t="s">
        <v>73</v>
      </c>
      <c r="V184">
        <v>24</v>
      </c>
      <c r="W184" t="s">
        <v>96</v>
      </c>
      <c r="X184">
        <v>-124</v>
      </c>
      <c r="Y184">
        <v>0.55000000000000004</v>
      </c>
      <c r="Z184">
        <v>-108</v>
      </c>
      <c r="AA184">
        <v>0.519231</v>
      </c>
      <c r="AB184">
        <v>0.50943407333568103</v>
      </c>
      <c r="AC184">
        <v>682243</v>
      </c>
      <c r="AD184" t="b">
        <v>0</v>
      </c>
      <c r="AE184">
        <v>-150</v>
      </c>
      <c r="AF184">
        <v>-108.1</v>
      </c>
      <c r="AG184" t="s">
        <v>587</v>
      </c>
      <c r="AH184" t="s">
        <v>81</v>
      </c>
      <c r="AI184">
        <v>113.3</v>
      </c>
      <c r="AJ184">
        <v>113.3</v>
      </c>
      <c r="AK184" t="s">
        <v>73</v>
      </c>
      <c r="AL184" t="s">
        <v>947</v>
      </c>
      <c r="AM184" t="s">
        <v>109</v>
      </c>
      <c r="AN184">
        <v>15</v>
      </c>
      <c r="AO184">
        <v>0.53</v>
      </c>
      <c r="AP184">
        <v>0.49</v>
      </c>
      <c r="AQ184">
        <v>-1.9429999999999999E-2</v>
      </c>
      <c r="AR184">
        <v>104.1</v>
      </c>
      <c r="AS184" t="s">
        <v>109</v>
      </c>
      <c r="AT184">
        <v>1</v>
      </c>
      <c r="AU184">
        <v>1</v>
      </c>
      <c r="AV184" t="s">
        <v>948</v>
      </c>
      <c r="AW184" t="s">
        <v>75</v>
      </c>
      <c r="AX184">
        <v>41</v>
      </c>
      <c r="AY184">
        <v>0.98</v>
      </c>
      <c r="AZ184">
        <v>0.54</v>
      </c>
      <c r="BA184">
        <v>3.057E-2</v>
      </c>
      <c r="BB184">
        <v>-117.4</v>
      </c>
      <c r="BC184" t="s">
        <v>75</v>
      </c>
      <c r="BD184">
        <v>1</v>
      </c>
      <c r="BE184">
        <v>0.92600000000000005</v>
      </c>
      <c r="BF184" t="s">
        <v>75</v>
      </c>
      <c r="BG184">
        <v>3.057E-2</v>
      </c>
      <c r="BH184">
        <v>0</v>
      </c>
      <c r="BI184">
        <v>0</v>
      </c>
      <c r="BJ184">
        <v>5</v>
      </c>
      <c r="BK184">
        <v>0.98</v>
      </c>
      <c r="BL184" t="s">
        <v>622</v>
      </c>
    </row>
    <row r="185" spans="1:64" x14ac:dyDescent="0.2">
      <c r="A185">
        <v>822966</v>
      </c>
      <c r="B185" t="s">
        <v>623</v>
      </c>
      <c r="C185" s="3">
        <v>46192</v>
      </c>
      <c r="D185">
        <v>6.3</v>
      </c>
      <c r="E185">
        <v>2</v>
      </c>
      <c r="F185">
        <v>16</v>
      </c>
      <c r="G185" t="s">
        <v>77</v>
      </c>
      <c r="H185">
        <v>111</v>
      </c>
      <c r="I185">
        <v>0.47</v>
      </c>
      <c r="J185">
        <v>110</v>
      </c>
      <c r="K185">
        <v>0.47619</v>
      </c>
      <c r="L185">
        <v>0.46705029281980898</v>
      </c>
      <c r="M185">
        <v>676571</v>
      </c>
      <c r="N185" t="b">
        <v>0</v>
      </c>
      <c r="O185">
        <v>-122.2</v>
      </c>
      <c r="P185">
        <v>111.8</v>
      </c>
      <c r="Q185">
        <v>111.8</v>
      </c>
      <c r="R185" t="s">
        <v>78</v>
      </c>
      <c r="S185">
        <v>400</v>
      </c>
      <c r="T185">
        <v>400</v>
      </c>
      <c r="U185" t="s">
        <v>126</v>
      </c>
      <c r="V185">
        <v>27</v>
      </c>
      <c r="W185" t="s">
        <v>101</v>
      </c>
      <c r="X185">
        <v>-120</v>
      </c>
      <c r="Y185">
        <v>0.55000000000000004</v>
      </c>
      <c r="Z185">
        <v>-119</v>
      </c>
      <c r="AA185">
        <v>0.54337899999999995</v>
      </c>
      <c r="AB185">
        <v>0.53294970718018997</v>
      </c>
      <c r="AC185">
        <v>643377</v>
      </c>
      <c r="AD185" t="b">
        <v>0</v>
      </c>
      <c r="AE185">
        <v>185.7</v>
      </c>
      <c r="AF185">
        <v>-100</v>
      </c>
      <c r="AG185">
        <v>-100</v>
      </c>
      <c r="AH185" t="s">
        <v>73</v>
      </c>
      <c r="AI185">
        <v>-400</v>
      </c>
      <c r="AJ185">
        <v>-400</v>
      </c>
      <c r="AK185" t="s">
        <v>128</v>
      </c>
      <c r="AL185" t="s">
        <v>949</v>
      </c>
      <c r="AM185" t="s">
        <v>75</v>
      </c>
      <c r="AN185">
        <v>15</v>
      </c>
      <c r="AO185">
        <v>0.67</v>
      </c>
      <c r="AP185">
        <v>0.52</v>
      </c>
      <c r="AQ185">
        <v>-1.295E-2</v>
      </c>
      <c r="AR185">
        <v>-108.3</v>
      </c>
      <c r="AS185" t="s">
        <v>75</v>
      </c>
      <c r="AT185">
        <v>0</v>
      </c>
      <c r="AU185">
        <v>0</v>
      </c>
      <c r="AV185" t="s">
        <v>950</v>
      </c>
      <c r="AW185" t="s">
        <v>75</v>
      </c>
      <c r="AX185">
        <v>41</v>
      </c>
      <c r="AY185">
        <v>0.88</v>
      </c>
      <c r="AZ185">
        <v>0.54</v>
      </c>
      <c r="BA185">
        <v>7.0499999999999998E-3</v>
      </c>
      <c r="BB185">
        <v>-117.4</v>
      </c>
      <c r="BC185" t="s">
        <v>75</v>
      </c>
      <c r="BD185">
        <v>0</v>
      </c>
      <c r="BE185">
        <v>0</v>
      </c>
      <c r="BF185" t="s">
        <v>83</v>
      </c>
      <c r="BG185">
        <v>0</v>
      </c>
      <c r="BH185">
        <v>0</v>
      </c>
      <c r="BI185">
        <v>0</v>
      </c>
      <c r="BJ185">
        <v>0</v>
      </c>
      <c r="BK185">
        <v>0</v>
      </c>
      <c r="BL185" t="s">
        <v>624</v>
      </c>
    </row>
    <row r="186" spans="1:64" x14ac:dyDescent="0.2">
      <c r="A186">
        <v>822886</v>
      </c>
      <c r="B186" t="s">
        <v>625</v>
      </c>
      <c r="C186" s="3">
        <v>46192</v>
      </c>
      <c r="D186">
        <v>6.3</v>
      </c>
      <c r="E186">
        <v>2</v>
      </c>
      <c r="F186">
        <v>23</v>
      </c>
      <c r="G186" t="s">
        <v>130</v>
      </c>
      <c r="H186">
        <v>140</v>
      </c>
      <c r="I186">
        <v>0.42</v>
      </c>
      <c r="J186">
        <v>142</v>
      </c>
      <c r="K186">
        <v>0.41322300000000001</v>
      </c>
      <c r="L186">
        <v>0.40531052787482702</v>
      </c>
      <c r="M186">
        <v>681190</v>
      </c>
      <c r="N186" t="b">
        <v>0</v>
      </c>
      <c r="O186">
        <v>185.7</v>
      </c>
      <c r="P186">
        <v>-100.9</v>
      </c>
      <c r="Q186">
        <v>-100.9</v>
      </c>
      <c r="R186" t="s">
        <v>73</v>
      </c>
      <c r="S186">
        <v>183.8</v>
      </c>
      <c r="T186">
        <v>183.8</v>
      </c>
      <c r="U186" t="s">
        <v>78</v>
      </c>
      <c r="V186">
        <v>28</v>
      </c>
      <c r="W186" t="s">
        <v>138</v>
      </c>
      <c r="X186">
        <v>-153</v>
      </c>
      <c r="Y186">
        <v>0.6</v>
      </c>
      <c r="Z186">
        <v>-154</v>
      </c>
      <c r="AA186">
        <v>0.60629900000000003</v>
      </c>
      <c r="AB186">
        <v>0.59468947212517198</v>
      </c>
      <c r="AC186">
        <v>594798</v>
      </c>
      <c r="AD186" t="b">
        <v>0</v>
      </c>
      <c r="AE186">
        <v>-100</v>
      </c>
      <c r="AF186">
        <v>-101.9</v>
      </c>
      <c r="AG186">
        <v>-101.9</v>
      </c>
      <c r="AH186" t="s">
        <v>73</v>
      </c>
      <c r="AI186">
        <v>-183.8</v>
      </c>
      <c r="AJ186" t="s">
        <v>327</v>
      </c>
      <c r="AK186" t="s">
        <v>81</v>
      </c>
      <c r="AL186" t="s">
        <v>951</v>
      </c>
      <c r="AM186" t="s">
        <v>75</v>
      </c>
      <c r="AN186">
        <v>15</v>
      </c>
      <c r="AO186">
        <v>0.87</v>
      </c>
      <c r="AP186">
        <v>0.54</v>
      </c>
      <c r="AQ186">
        <v>-5.4690000000000003E-2</v>
      </c>
      <c r="AR186">
        <v>-117.4</v>
      </c>
      <c r="AS186" t="s">
        <v>75</v>
      </c>
      <c r="AT186">
        <v>0</v>
      </c>
      <c r="AU186">
        <v>0</v>
      </c>
      <c r="AV186" t="s">
        <v>952</v>
      </c>
      <c r="AW186" t="s">
        <v>75</v>
      </c>
      <c r="AX186">
        <v>41</v>
      </c>
      <c r="AY186">
        <v>1</v>
      </c>
      <c r="AZ186">
        <v>0.56000000000000005</v>
      </c>
      <c r="BA186">
        <v>-3.4689999999999999E-2</v>
      </c>
      <c r="BB186">
        <v>-127.3</v>
      </c>
      <c r="BC186" t="s">
        <v>75</v>
      </c>
      <c r="BD186">
        <v>0</v>
      </c>
      <c r="BE186">
        <v>0</v>
      </c>
      <c r="BF186" t="s">
        <v>83</v>
      </c>
      <c r="BG186">
        <v>0</v>
      </c>
      <c r="BH186">
        <v>0</v>
      </c>
      <c r="BI186">
        <v>0</v>
      </c>
      <c r="BJ186">
        <v>0</v>
      </c>
      <c r="BK186">
        <v>0</v>
      </c>
      <c r="BL186" t="s">
        <v>626</v>
      </c>
    </row>
    <row r="187" spans="1:64" x14ac:dyDescent="0.2">
      <c r="A187">
        <v>824909</v>
      </c>
      <c r="B187" t="s">
        <v>1069</v>
      </c>
      <c r="C187" s="3">
        <v>46193</v>
      </c>
      <c r="D187">
        <v>6.3</v>
      </c>
      <c r="E187">
        <v>2</v>
      </c>
      <c r="F187">
        <v>17</v>
      </c>
      <c r="G187" t="s">
        <v>89</v>
      </c>
      <c r="H187">
        <v>118</v>
      </c>
      <c r="I187">
        <v>0.46</v>
      </c>
      <c r="J187">
        <v>118</v>
      </c>
      <c r="K187">
        <v>0.45871600000000001</v>
      </c>
      <c r="L187">
        <v>0.44966866643140002</v>
      </c>
      <c r="M187">
        <v>690986</v>
      </c>
      <c r="N187" t="b">
        <v>0</v>
      </c>
      <c r="O187">
        <v>-150</v>
      </c>
      <c r="P187">
        <v>-120</v>
      </c>
      <c r="Q187" t="s">
        <v>627</v>
      </c>
      <c r="R187" t="s">
        <v>81</v>
      </c>
      <c r="S187">
        <v>119.5</v>
      </c>
      <c r="T187">
        <v>119.5</v>
      </c>
      <c r="U187" t="s">
        <v>73</v>
      </c>
      <c r="V187">
        <v>0</v>
      </c>
      <c r="W187" t="s">
        <v>74</v>
      </c>
      <c r="X187">
        <v>-128</v>
      </c>
      <c r="Y187">
        <v>0.56000000000000005</v>
      </c>
      <c r="Z187">
        <v>-128</v>
      </c>
      <c r="AA187">
        <v>0.56140400000000001</v>
      </c>
      <c r="AB187">
        <v>0.55033133356859898</v>
      </c>
      <c r="AC187">
        <v>519242</v>
      </c>
      <c r="AD187" t="b">
        <v>0</v>
      </c>
      <c r="AE187">
        <v>-122.2</v>
      </c>
      <c r="AF187">
        <v>-103.5</v>
      </c>
      <c r="AG187">
        <v>-103.5</v>
      </c>
      <c r="AH187" t="s">
        <v>73</v>
      </c>
      <c r="AI187">
        <v>-119.5</v>
      </c>
      <c r="AJ187">
        <v>-119.5</v>
      </c>
      <c r="AK187" t="s">
        <v>73</v>
      </c>
      <c r="AL187" t="s">
        <v>953</v>
      </c>
      <c r="AM187" t="s">
        <v>75</v>
      </c>
      <c r="AN187">
        <v>15</v>
      </c>
      <c r="AO187">
        <v>1</v>
      </c>
      <c r="AP187">
        <v>0.54</v>
      </c>
      <c r="AQ187">
        <v>-1.0330000000000001E-2</v>
      </c>
      <c r="AR187">
        <v>-117.4</v>
      </c>
      <c r="AS187" t="s">
        <v>75</v>
      </c>
      <c r="AT187">
        <v>0</v>
      </c>
      <c r="AU187">
        <v>0</v>
      </c>
      <c r="AV187" t="s">
        <v>954</v>
      </c>
      <c r="AW187" t="s">
        <v>75</v>
      </c>
      <c r="AX187">
        <v>41</v>
      </c>
      <c r="AY187">
        <v>0.8</v>
      </c>
      <c r="AZ187">
        <v>0.51</v>
      </c>
      <c r="BA187">
        <v>-4.0329999999999998E-2</v>
      </c>
      <c r="BB187">
        <v>-104.1</v>
      </c>
      <c r="BC187" t="s">
        <v>75</v>
      </c>
      <c r="BD187">
        <v>0</v>
      </c>
      <c r="BE187">
        <v>0</v>
      </c>
      <c r="BF187" t="s">
        <v>83</v>
      </c>
      <c r="BG187">
        <v>0</v>
      </c>
      <c r="BH187">
        <v>0</v>
      </c>
      <c r="BI187">
        <v>0</v>
      </c>
      <c r="BJ187">
        <v>0</v>
      </c>
      <c r="BK187">
        <v>0</v>
      </c>
      <c r="BL187" t="s">
        <v>712</v>
      </c>
    </row>
    <row r="188" spans="1:64" x14ac:dyDescent="0.2">
      <c r="A188">
        <v>825068</v>
      </c>
      <c r="B188" t="s">
        <v>1070</v>
      </c>
      <c r="C188" s="3">
        <v>46193</v>
      </c>
      <c r="D188">
        <v>6.3</v>
      </c>
      <c r="E188">
        <v>2</v>
      </c>
      <c r="F188">
        <v>15</v>
      </c>
      <c r="G188" t="s">
        <v>119</v>
      </c>
      <c r="H188">
        <v>115</v>
      </c>
      <c r="I188">
        <v>0.47</v>
      </c>
      <c r="J188">
        <v>115</v>
      </c>
      <c r="K188">
        <v>0.46511599999999997</v>
      </c>
      <c r="L188">
        <v>0.455695855279658</v>
      </c>
      <c r="M188">
        <v>671737</v>
      </c>
      <c r="N188" t="b">
        <v>0</v>
      </c>
      <c r="O188">
        <v>122.2</v>
      </c>
      <c r="P188">
        <v>108.7</v>
      </c>
      <c r="Q188">
        <v>108.7</v>
      </c>
      <c r="R188" t="s">
        <v>78</v>
      </c>
      <c r="S188">
        <v>-135.1</v>
      </c>
      <c r="T188">
        <v>-135.1</v>
      </c>
      <c r="U188" t="s">
        <v>73</v>
      </c>
      <c r="V188">
        <v>1</v>
      </c>
      <c r="W188" t="s">
        <v>79</v>
      </c>
      <c r="X188">
        <v>-125</v>
      </c>
      <c r="Y188">
        <v>0.56000000000000005</v>
      </c>
      <c r="Z188">
        <v>-125</v>
      </c>
      <c r="AA188">
        <v>0.55555600000000005</v>
      </c>
      <c r="AB188">
        <v>0.54430414472034105</v>
      </c>
      <c r="AC188">
        <v>668678</v>
      </c>
      <c r="AD188" t="b">
        <v>0</v>
      </c>
      <c r="AE188">
        <v>150</v>
      </c>
      <c r="AF188">
        <v>101.7</v>
      </c>
      <c r="AG188">
        <v>101.7</v>
      </c>
      <c r="AH188" t="s">
        <v>73</v>
      </c>
      <c r="AI188">
        <v>135.1</v>
      </c>
      <c r="AJ188">
        <v>135.1</v>
      </c>
      <c r="AK188" t="s">
        <v>73</v>
      </c>
      <c r="AL188" t="s">
        <v>955</v>
      </c>
      <c r="AM188" t="s">
        <v>75</v>
      </c>
      <c r="AN188">
        <v>15</v>
      </c>
      <c r="AO188">
        <v>1</v>
      </c>
      <c r="AP188">
        <v>0.52</v>
      </c>
      <c r="AQ188">
        <v>-2.4299999999999999E-2</v>
      </c>
      <c r="AR188">
        <v>-108.3</v>
      </c>
      <c r="AS188" t="s">
        <v>75</v>
      </c>
      <c r="AT188">
        <v>0</v>
      </c>
      <c r="AU188">
        <v>0</v>
      </c>
      <c r="AV188" t="s">
        <v>956</v>
      </c>
      <c r="AW188" t="s">
        <v>75</v>
      </c>
      <c r="AX188">
        <v>41</v>
      </c>
      <c r="AY188">
        <v>0.95</v>
      </c>
      <c r="AZ188">
        <v>0.53</v>
      </c>
      <c r="BA188">
        <v>-1.43E-2</v>
      </c>
      <c r="BB188">
        <v>-112.8</v>
      </c>
      <c r="BC188" t="s">
        <v>75</v>
      </c>
      <c r="BD188">
        <v>0</v>
      </c>
      <c r="BE188">
        <v>0</v>
      </c>
      <c r="BF188" t="s">
        <v>83</v>
      </c>
      <c r="BG188">
        <v>0</v>
      </c>
      <c r="BH188">
        <v>0</v>
      </c>
      <c r="BI188">
        <v>0</v>
      </c>
      <c r="BJ188">
        <v>0</v>
      </c>
      <c r="BK188">
        <v>0</v>
      </c>
      <c r="BL188" t="s">
        <v>628</v>
      </c>
    </row>
    <row r="189" spans="1:64" x14ac:dyDescent="0.2">
      <c r="A189">
        <v>824665</v>
      </c>
      <c r="B189" t="s">
        <v>629</v>
      </c>
      <c r="C189" s="3">
        <v>46193</v>
      </c>
      <c r="D189">
        <v>6.3</v>
      </c>
      <c r="E189">
        <v>2</v>
      </c>
      <c r="F189">
        <v>29</v>
      </c>
      <c r="G189" t="s">
        <v>144</v>
      </c>
      <c r="H189">
        <v>116</v>
      </c>
      <c r="I189">
        <v>0.46</v>
      </c>
      <c r="J189">
        <v>116</v>
      </c>
      <c r="K189">
        <v>0.46296300000000001</v>
      </c>
      <c r="L189">
        <v>0.45366957868072499</v>
      </c>
      <c r="M189">
        <v>571578</v>
      </c>
      <c r="N189" t="b">
        <v>0</v>
      </c>
      <c r="O189">
        <v>-100</v>
      </c>
      <c r="P189">
        <v>-106.2</v>
      </c>
      <c r="Q189">
        <v>-106.2</v>
      </c>
      <c r="R189" t="s">
        <v>73</v>
      </c>
      <c r="S189">
        <v>123</v>
      </c>
      <c r="T189">
        <v>123</v>
      </c>
      <c r="U189" t="s">
        <v>73</v>
      </c>
      <c r="V189">
        <v>5</v>
      </c>
      <c r="W189" t="s">
        <v>85</v>
      </c>
      <c r="X189">
        <v>-126</v>
      </c>
      <c r="Y189">
        <v>0.56000000000000005</v>
      </c>
      <c r="Z189">
        <v>-126</v>
      </c>
      <c r="AA189">
        <v>0.55752199999999996</v>
      </c>
      <c r="AB189">
        <v>0.54633042131927401</v>
      </c>
      <c r="AC189">
        <v>607067</v>
      </c>
      <c r="AD189" t="b">
        <v>0</v>
      </c>
      <c r="AE189">
        <v>-100</v>
      </c>
      <c r="AF189">
        <v>-112.2</v>
      </c>
      <c r="AG189" t="s">
        <v>337</v>
      </c>
      <c r="AH189" t="s">
        <v>81</v>
      </c>
      <c r="AI189">
        <v>-123</v>
      </c>
      <c r="AJ189">
        <v>-123</v>
      </c>
      <c r="AK189" t="s">
        <v>73</v>
      </c>
      <c r="AL189" t="s">
        <v>630</v>
      </c>
      <c r="AM189" t="s">
        <v>75</v>
      </c>
      <c r="AN189">
        <v>15</v>
      </c>
      <c r="AO189">
        <v>0.87</v>
      </c>
      <c r="AP189">
        <v>0.56000000000000005</v>
      </c>
      <c r="AQ189">
        <v>1.367E-2</v>
      </c>
      <c r="AR189">
        <v>-127.3</v>
      </c>
      <c r="AS189" t="s">
        <v>75</v>
      </c>
      <c r="AT189">
        <v>1</v>
      </c>
      <c r="AU189">
        <v>0.79400000000000004</v>
      </c>
      <c r="AV189" t="s">
        <v>957</v>
      </c>
      <c r="AW189" t="s">
        <v>75</v>
      </c>
      <c r="AX189">
        <v>41</v>
      </c>
      <c r="AY189">
        <v>1</v>
      </c>
      <c r="AZ189">
        <v>0.56000000000000005</v>
      </c>
      <c r="BA189">
        <v>1.367E-2</v>
      </c>
      <c r="BB189">
        <v>-127.3</v>
      </c>
      <c r="BC189" t="s">
        <v>75</v>
      </c>
      <c r="BD189">
        <v>1</v>
      </c>
      <c r="BE189">
        <v>0.79400000000000004</v>
      </c>
      <c r="BF189" t="s">
        <v>75</v>
      </c>
      <c r="BG189">
        <v>1.367E-2</v>
      </c>
      <c r="BH189">
        <v>0</v>
      </c>
      <c r="BI189">
        <v>0</v>
      </c>
      <c r="BJ189">
        <v>1</v>
      </c>
      <c r="BK189">
        <v>0.87</v>
      </c>
      <c r="BL189" t="s">
        <v>631</v>
      </c>
    </row>
    <row r="190" spans="1:64" x14ac:dyDescent="0.2">
      <c r="A190">
        <v>824342</v>
      </c>
      <c r="B190" t="s">
        <v>1071</v>
      </c>
      <c r="C190" s="3">
        <v>46193</v>
      </c>
      <c r="D190">
        <v>6.3</v>
      </c>
      <c r="E190">
        <v>2</v>
      </c>
      <c r="F190">
        <v>22</v>
      </c>
      <c r="G190" t="s">
        <v>72</v>
      </c>
      <c r="H190">
        <v>-201</v>
      </c>
      <c r="I190">
        <v>0.67</v>
      </c>
      <c r="J190">
        <v>-201</v>
      </c>
      <c r="K190">
        <v>0.66777399999999998</v>
      </c>
      <c r="L190">
        <v>0.65395527116501195</v>
      </c>
      <c r="M190">
        <v>694973</v>
      </c>
      <c r="N190" t="b">
        <v>0</v>
      </c>
      <c r="O190">
        <v>122.2</v>
      </c>
      <c r="P190">
        <v>-100.5</v>
      </c>
      <c r="Q190">
        <v>-100.5</v>
      </c>
      <c r="R190" t="s">
        <v>73</v>
      </c>
      <c r="S190">
        <v>-230</v>
      </c>
      <c r="T190" t="s">
        <v>632</v>
      </c>
      <c r="U190" t="s">
        <v>81</v>
      </c>
      <c r="V190">
        <v>8</v>
      </c>
      <c r="W190" t="s">
        <v>92</v>
      </c>
      <c r="X190">
        <v>182</v>
      </c>
      <c r="Y190">
        <v>0.35</v>
      </c>
      <c r="Z190">
        <v>183</v>
      </c>
      <c r="AA190">
        <v>0.35335699999999998</v>
      </c>
      <c r="AB190">
        <v>0.34604472883498699</v>
      </c>
      <c r="AC190">
        <v>608372</v>
      </c>
      <c r="AD190" t="b">
        <v>0</v>
      </c>
      <c r="AE190">
        <v>122.2</v>
      </c>
      <c r="AF190">
        <v>129.30000000000001</v>
      </c>
      <c r="AG190">
        <v>129.30000000000001</v>
      </c>
      <c r="AH190" t="s">
        <v>93</v>
      </c>
      <c r="AI190">
        <v>230</v>
      </c>
      <c r="AJ190">
        <v>230</v>
      </c>
      <c r="AK190" t="s">
        <v>78</v>
      </c>
      <c r="AL190" t="s">
        <v>958</v>
      </c>
      <c r="AM190" t="s">
        <v>94</v>
      </c>
      <c r="AN190">
        <v>15</v>
      </c>
      <c r="AO190">
        <v>1</v>
      </c>
      <c r="AP190">
        <v>0.42</v>
      </c>
      <c r="AQ190">
        <v>7.3959999999999998E-2</v>
      </c>
      <c r="AR190">
        <v>138.1</v>
      </c>
      <c r="AS190" t="s">
        <v>94</v>
      </c>
      <c r="AT190">
        <v>0</v>
      </c>
      <c r="AU190">
        <v>0</v>
      </c>
      <c r="AV190" t="s">
        <v>633</v>
      </c>
      <c r="AW190" t="s">
        <v>94</v>
      </c>
      <c r="AX190">
        <v>41</v>
      </c>
      <c r="AY190">
        <v>0.98</v>
      </c>
      <c r="AZ190">
        <v>0.44</v>
      </c>
      <c r="BA190">
        <v>9.3960000000000002E-2</v>
      </c>
      <c r="BB190">
        <v>127.3</v>
      </c>
      <c r="BC190" t="s">
        <v>94</v>
      </c>
      <c r="BD190">
        <v>0</v>
      </c>
      <c r="BE190">
        <v>0</v>
      </c>
      <c r="BF190" t="s">
        <v>83</v>
      </c>
      <c r="BG190">
        <v>0</v>
      </c>
      <c r="BH190">
        <v>0</v>
      </c>
      <c r="BI190">
        <v>0</v>
      </c>
      <c r="BJ190">
        <v>0</v>
      </c>
      <c r="BK190">
        <v>0</v>
      </c>
      <c r="BL190" t="s">
        <v>634</v>
      </c>
    </row>
    <row r="191" spans="1:64" x14ac:dyDescent="0.2">
      <c r="A191">
        <v>824263</v>
      </c>
      <c r="B191" t="s">
        <v>1072</v>
      </c>
      <c r="C191" s="3">
        <v>46193</v>
      </c>
      <c r="D191">
        <v>6.3</v>
      </c>
      <c r="E191">
        <v>2</v>
      </c>
      <c r="F191">
        <v>9</v>
      </c>
      <c r="G191" t="s">
        <v>125</v>
      </c>
      <c r="H191">
        <v>109</v>
      </c>
      <c r="I191">
        <v>0.48</v>
      </c>
      <c r="J191">
        <v>106</v>
      </c>
      <c r="K191">
        <v>0.48543700000000001</v>
      </c>
      <c r="L191">
        <v>0.475768900179453</v>
      </c>
      <c r="M191">
        <v>656794</v>
      </c>
      <c r="N191" t="b">
        <v>1</v>
      </c>
      <c r="O191">
        <v>-150</v>
      </c>
      <c r="P191">
        <v>103.5</v>
      </c>
      <c r="Q191">
        <v>103.5</v>
      </c>
      <c r="R191" t="s">
        <v>73</v>
      </c>
      <c r="S191">
        <v>-116</v>
      </c>
      <c r="T191">
        <v>-116</v>
      </c>
      <c r="U191" t="s">
        <v>73</v>
      </c>
      <c r="V191">
        <v>10</v>
      </c>
      <c r="W191" t="s">
        <v>97</v>
      </c>
      <c r="X191">
        <v>-118</v>
      </c>
      <c r="Y191">
        <v>0.54</v>
      </c>
      <c r="Z191">
        <v>-115</v>
      </c>
      <c r="AA191">
        <v>0.53488400000000003</v>
      </c>
      <c r="AB191">
        <v>0.52423109982054605</v>
      </c>
      <c r="AC191">
        <v>675512</v>
      </c>
      <c r="AD191" t="b">
        <v>0</v>
      </c>
      <c r="AE191">
        <v>-100</v>
      </c>
      <c r="AF191">
        <v>-100.2</v>
      </c>
      <c r="AG191">
        <v>-100.2</v>
      </c>
      <c r="AH191" t="s">
        <v>73</v>
      </c>
      <c r="AI191">
        <v>116</v>
      </c>
      <c r="AJ191">
        <v>116</v>
      </c>
      <c r="AK191" t="s">
        <v>73</v>
      </c>
      <c r="AL191" t="s">
        <v>959</v>
      </c>
      <c r="AM191" t="s">
        <v>75</v>
      </c>
      <c r="AN191">
        <v>15</v>
      </c>
      <c r="AO191">
        <v>0.53</v>
      </c>
      <c r="AP191">
        <v>0.5</v>
      </c>
      <c r="AQ191">
        <v>-2.4230000000000002E-2</v>
      </c>
      <c r="AR191">
        <v>-100</v>
      </c>
      <c r="AS191" t="s">
        <v>75</v>
      </c>
      <c r="AT191">
        <v>0</v>
      </c>
      <c r="AU191">
        <v>0</v>
      </c>
      <c r="AV191" t="s">
        <v>960</v>
      </c>
      <c r="AW191" t="s">
        <v>75</v>
      </c>
      <c r="AX191">
        <v>41</v>
      </c>
      <c r="AY191">
        <v>1</v>
      </c>
      <c r="AZ191">
        <v>0.54</v>
      </c>
      <c r="BA191">
        <v>1.5769999999999999E-2</v>
      </c>
      <c r="BB191">
        <v>-117.4</v>
      </c>
      <c r="BC191" t="s">
        <v>75</v>
      </c>
      <c r="BD191">
        <v>0</v>
      </c>
      <c r="BE191">
        <v>0</v>
      </c>
      <c r="BF191" t="s">
        <v>83</v>
      </c>
      <c r="BG191">
        <v>0</v>
      </c>
      <c r="BH191">
        <v>0</v>
      </c>
      <c r="BI191">
        <v>0</v>
      </c>
      <c r="BJ191">
        <v>0</v>
      </c>
      <c r="BK191">
        <v>0</v>
      </c>
      <c r="BL191" t="s">
        <v>635</v>
      </c>
    </row>
    <row r="192" spans="1:64" x14ac:dyDescent="0.2">
      <c r="A192">
        <v>823854</v>
      </c>
      <c r="B192" t="s">
        <v>1073</v>
      </c>
      <c r="C192" s="3">
        <v>46193</v>
      </c>
      <c r="D192">
        <v>6.3</v>
      </c>
      <c r="E192">
        <v>2</v>
      </c>
      <c r="F192">
        <v>25</v>
      </c>
      <c r="G192" t="s">
        <v>84</v>
      </c>
      <c r="H192">
        <v>123</v>
      </c>
      <c r="I192">
        <v>0.45</v>
      </c>
      <c r="J192">
        <v>126</v>
      </c>
      <c r="K192">
        <v>0.44247799999999998</v>
      </c>
      <c r="L192">
        <v>0.43357369698501802</v>
      </c>
      <c r="M192">
        <v>686790</v>
      </c>
      <c r="N192" t="b">
        <v>0</v>
      </c>
      <c r="O192">
        <v>122.2</v>
      </c>
      <c r="P192">
        <v>106.2</v>
      </c>
      <c r="Q192">
        <v>106.2</v>
      </c>
      <c r="R192" t="s">
        <v>73</v>
      </c>
      <c r="S192">
        <v>117.2</v>
      </c>
      <c r="T192">
        <v>117.2</v>
      </c>
      <c r="U192" t="s">
        <v>73</v>
      </c>
      <c r="V192">
        <v>11</v>
      </c>
      <c r="W192" t="s">
        <v>103</v>
      </c>
      <c r="X192">
        <v>-134</v>
      </c>
      <c r="Y192">
        <v>0.56999999999999995</v>
      </c>
      <c r="Z192">
        <v>-137</v>
      </c>
      <c r="AA192">
        <v>0.57805899999999999</v>
      </c>
      <c r="AB192">
        <v>0.56642630301498098</v>
      </c>
      <c r="AC192">
        <v>676974</v>
      </c>
      <c r="AD192" t="b">
        <v>0</v>
      </c>
      <c r="AE192">
        <v>-150</v>
      </c>
      <c r="AF192">
        <v>-103.6</v>
      </c>
      <c r="AG192">
        <v>-103.6</v>
      </c>
      <c r="AH192" t="s">
        <v>73</v>
      </c>
      <c r="AI192">
        <v>-117.2</v>
      </c>
      <c r="AJ192">
        <v>-117.2</v>
      </c>
      <c r="AK192" t="s">
        <v>73</v>
      </c>
      <c r="AL192" t="s">
        <v>961</v>
      </c>
      <c r="AM192" t="s">
        <v>75</v>
      </c>
      <c r="AN192">
        <v>15</v>
      </c>
      <c r="AO192">
        <v>1</v>
      </c>
      <c r="AP192">
        <v>0.56000000000000005</v>
      </c>
      <c r="AQ192">
        <v>-6.43E-3</v>
      </c>
      <c r="AR192">
        <v>-127.3</v>
      </c>
      <c r="AS192" t="s">
        <v>75</v>
      </c>
      <c r="AT192">
        <v>0</v>
      </c>
      <c r="AU192">
        <v>0</v>
      </c>
      <c r="AV192" t="s">
        <v>962</v>
      </c>
      <c r="AW192" t="s">
        <v>75</v>
      </c>
      <c r="AX192">
        <v>41</v>
      </c>
      <c r="AY192">
        <v>0.98</v>
      </c>
      <c r="AZ192">
        <v>0.54</v>
      </c>
      <c r="BA192">
        <v>-2.6429999999999999E-2</v>
      </c>
      <c r="BB192">
        <v>-117.4</v>
      </c>
      <c r="BC192" t="s">
        <v>75</v>
      </c>
      <c r="BD192">
        <v>0</v>
      </c>
      <c r="BE192">
        <v>0</v>
      </c>
      <c r="BF192" t="s">
        <v>83</v>
      </c>
      <c r="BG192">
        <v>0</v>
      </c>
      <c r="BH192">
        <v>0</v>
      </c>
      <c r="BI192">
        <v>0</v>
      </c>
      <c r="BJ192">
        <v>0</v>
      </c>
      <c r="BK192">
        <v>0</v>
      </c>
      <c r="BL192" t="s">
        <v>713</v>
      </c>
    </row>
    <row r="193" spans="1:64" x14ac:dyDescent="0.2">
      <c r="A193">
        <v>824180</v>
      </c>
      <c r="B193" t="s">
        <v>1074</v>
      </c>
      <c r="C193" s="3">
        <v>46193</v>
      </c>
      <c r="D193">
        <v>6.3</v>
      </c>
      <c r="E193">
        <v>2</v>
      </c>
      <c r="F193">
        <v>7</v>
      </c>
      <c r="G193" t="s">
        <v>137</v>
      </c>
      <c r="H193">
        <v>125</v>
      </c>
      <c r="I193">
        <v>0.44</v>
      </c>
      <c r="J193">
        <v>128</v>
      </c>
      <c r="K193">
        <v>0.43859599999999999</v>
      </c>
      <c r="L193">
        <v>0.42991768167765398</v>
      </c>
      <c r="M193">
        <v>676282</v>
      </c>
      <c r="N193" t="b">
        <v>0</v>
      </c>
      <c r="O193">
        <v>150</v>
      </c>
      <c r="P193">
        <v>-101</v>
      </c>
      <c r="Q193">
        <v>-101</v>
      </c>
      <c r="R193" t="s">
        <v>73</v>
      </c>
      <c r="S193">
        <v>104.6</v>
      </c>
      <c r="T193">
        <v>104.6</v>
      </c>
      <c r="U193" t="s">
        <v>73</v>
      </c>
      <c r="V193">
        <v>12</v>
      </c>
      <c r="W193" t="s">
        <v>108</v>
      </c>
      <c r="X193">
        <v>-136</v>
      </c>
      <c r="Y193">
        <v>0.57999999999999996</v>
      </c>
      <c r="Z193">
        <v>-139</v>
      </c>
      <c r="AA193">
        <v>0.58159000000000005</v>
      </c>
      <c r="AB193">
        <v>0.57008231832234502</v>
      </c>
      <c r="AC193">
        <v>681293</v>
      </c>
      <c r="AD193" t="b">
        <v>0</v>
      </c>
      <c r="AE193">
        <v>-122.2</v>
      </c>
      <c r="AF193">
        <v>105.2</v>
      </c>
      <c r="AG193">
        <v>105.2</v>
      </c>
      <c r="AH193" t="s">
        <v>73</v>
      </c>
      <c r="AI193">
        <v>-104.6</v>
      </c>
      <c r="AJ193">
        <v>-104.6</v>
      </c>
      <c r="AK193" t="s">
        <v>73</v>
      </c>
      <c r="AL193" t="s">
        <v>963</v>
      </c>
      <c r="AM193" t="s">
        <v>75</v>
      </c>
      <c r="AN193">
        <v>15</v>
      </c>
      <c r="AO193">
        <v>0.73</v>
      </c>
      <c r="AP193">
        <v>0.55000000000000004</v>
      </c>
      <c r="AQ193">
        <v>-2.0080000000000001E-2</v>
      </c>
      <c r="AR193">
        <v>-122.2</v>
      </c>
      <c r="AS193" t="s">
        <v>75</v>
      </c>
      <c r="AT193">
        <v>0</v>
      </c>
      <c r="AU193">
        <v>0</v>
      </c>
      <c r="AV193" t="s">
        <v>964</v>
      </c>
      <c r="AW193" t="s">
        <v>75</v>
      </c>
      <c r="AX193">
        <v>41</v>
      </c>
      <c r="AY193">
        <v>0.95</v>
      </c>
      <c r="AZ193">
        <v>0.53</v>
      </c>
      <c r="BA193">
        <v>-4.0079999999999998E-2</v>
      </c>
      <c r="BB193">
        <v>-112.8</v>
      </c>
      <c r="BC193" t="s">
        <v>75</v>
      </c>
      <c r="BD193">
        <v>0</v>
      </c>
      <c r="BE193">
        <v>0</v>
      </c>
      <c r="BF193" t="s">
        <v>83</v>
      </c>
      <c r="BG193">
        <v>0</v>
      </c>
      <c r="BH193">
        <v>0</v>
      </c>
      <c r="BI193">
        <v>0</v>
      </c>
      <c r="BJ193">
        <v>0</v>
      </c>
      <c r="BK193">
        <v>0</v>
      </c>
      <c r="BL193" t="s">
        <v>636</v>
      </c>
    </row>
    <row r="194" spans="1:64" x14ac:dyDescent="0.2">
      <c r="A194">
        <v>823937</v>
      </c>
      <c r="B194" t="s">
        <v>1075</v>
      </c>
      <c r="C194" s="3">
        <v>46193</v>
      </c>
      <c r="D194">
        <v>6.3</v>
      </c>
      <c r="E194">
        <v>2</v>
      </c>
      <c r="F194">
        <v>2</v>
      </c>
      <c r="G194" t="s">
        <v>141</v>
      </c>
      <c r="H194">
        <v>219</v>
      </c>
      <c r="I194">
        <v>0.31</v>
      </c>
      <c r="J194">
        <v>196</v>
      </c>
      <c r="K194">
        <v>0.33783800000000003</v>
      </c>
      <c r="L194">
        <v>0.33044236933198001</v>
      </c>
      <c r="M194">
        <v>669432</v>
      </c>
      <c r="N194" t="b">
        <v>0</v>
      </c>
      <c r="O194">
        <v>122.2</v>
      </c>
      <c r="P194">
        <v>103.6</v>
      </c>
      <c r="Q194">
        <v>103.6</v>
      </c>
      <c r="R194" t="s">
        <v>73</v>
      </c>
      <c r="S194">
        <v>134.9</v>
      </c>
      <c r="T194">
        <v>134.9</v>
      </c>
      <c r="U194" t="s">
        <v>73</v>
      </c>
      <c r="V194">
        <v>14</v>
      </c>
      <c r="W194" t="s">
        <v>113</v>
      </c>
      <c r="X194">
        <v>-244</v>
      </c>
      <c r="Y194">
        <v>0.71</v>
      </c>
      <c r="Z194">
        <v>-217</v>
      </c>
      <c r="AA194">
        <v>0.68454300000000001</v>
      </c>
      <c r="AB194">
        <v>0.66955763066801899</v>
      </c>
      <c r="AC194">
        <v>808967</v>
      </c>
      <c r="AD194" t="b">
        <v>0</v>
      </c>
      <c r="AE194">
        <v>-185.7</v>
      </c>
      <c r="AF194">
        <v>-118.3</v>
      </c>
      <c r="AG194" t="s">
        <v>637</v>
      </c>
      <c r="AH194" t="s">
        <v>116</v>
      </c>
      <c r="AI194">
        <v>-134.9</v>
      </c>
      <c r="AJ194">
        <v>-134.9</v>
      </c>
      <c r="AK194" t="s">
        <v>73</v>
      </c>
      <c r="AL194" t="s">
        <v>965</v>
      </c>
      <c r="AM194" t="s">
        <v>75</v>
      </c>
      <c r="AN194">
        <v>15</v>
      </c>
      <c r="AO194">
        <v>1</v>
      </c>
      <c r="AP194">
        <v>0.59</v>
      </c>
      <c r="AQ194">
        <v>-7.9560000000000006E-2</v>
      </c>
      <c r="AR194">
        <v>-143.9</v>
      </c>
      <c r="AS194" t="s">
        <v>75</v>
      </c>
      <c r="AT194">
        <v>0</v>
      </c>
      <c r="AU194">
        <v>0</v>
      </c>
      <c r="AV194" t="s">
        <v>966</v>
      </c>
      <c r="AW194" t="s">
        <v>75</v>
      </c>
      <c r="AX194">
        <v>41</v>
      </c>
      <c r="AY194">
        <v>0.98</v>
      </c>
      <c r="AZ194">
        <v>0.56999999999999995</v>
      </c>
      <c r="BA194">
        <v>-9.9559999999999996E-2</v>
      </c>
      <c r="BB194">
        <v>-132.6</v>
      </c>
      <c r="BC194" t="s">
        <v>75</v>
      </c>
      <c r="BD194">
        <v>0</v>
      </c>
      <c r="BE194">
        <v>0</v>
      </c>
      <c r="BF194" t="s">
        <v>83</v>
      </c>
      <c r="BG194">
        <v>0</v>
      </c>
      <c r="BH194">
        <v>0</v>
      </c>
      <c r="BI194">
        <v>0</v>
      </c>
      <c r="BJ194">
        <v>0</v>
      </c>
      <c r="BK194">
        <v>0</v>
      </c>
      <c r="BL194" t="s">
        <v>638</v>
      </c>
    </row>
    <row r="195" spans="1:64" x14ac:dyDescent="0.2">
      <c r="A195">
        <v>823532</v>
      </c>
      <c r="B195" t="s">
        <v>1076</v>
      </c>
      <c r="C195" s="3">
        <v>46193</v>
      </c>
      <c r="D195">
        <v>6.3</v>
      </c>
      <c r="E195">
        <v>2</v>
      </c>
      <c r="F195">
        <v>6</v>
      </c>
      <c r="G195" t="s">
        <v>133</v>
      </c>
      <c r="H195">
        <v>163</v>
      </c>
      <c r="I195">
        <v>0.38</v>
      </c>
      <c r="J195">
        <v>181</v>
      </c>
      <c r="K195">
        <v>0.35587200000000002</v>
      </c>
      <c r="L195">
        <v>0.34840771315340102</v>
      </c>
      <c r="M195">
        <v>671096</v>
      </c>
      <c r="N195" t="b">
        <v>0</v>
      </c>
      <c r="O195">
        <v>233.3</v>
      </c>
      <c r="P195">
        <v>109.1</v>
      </c>
      <c r="Q195">
        <v>109.1</v>
      </c>
      <c r="R195" t="s">
        <v>78</v>
      </c>
      <c r="S195">
        <v>113.9</v>
      </c>
      <c r="T195">
        <v>113.9</v>
      </c>
      <c r="U195" t="s">
        <v>73</v>
      </c>
      <c r="V195">
        <v>19</v>
      </c>
      <c r="W195" t="s">
        <v>123</v>
      </c>
      <c r="X195">
        <v>-179</v>
      </c>
      <c r="Y195">
        <v>0.64</v>
      </c>
      <c r="Z195">
        <v>-199</v>
      </c>
      <c r="AA195">
        <v>0.66555200000000003</v>
      </c>
      <c r="AB195">
        <v>0.65159228684659798</v>
      </c>
      <c r="AC195">
        <v>701542</v>
      </c>
      <c r="AD195" t="b">
        <v>0</v>
      </c>
      <c r="AE195">
        <v>-233.3</v>
      </c>
      <c r="AF195">
        <v>-113.6</v>
      </c>
      <c r="AG195" t="s">
        <v>639</v>
      </c>
      <c r="AH195" t="s">
        <v>81</v>
      </c>
      <c r="AI195">
        <v>-113.9</v>
      </c>
      <c r="AJ195">
        <v>-113.9</v>
      </c>
      <c r="AK195" t="s">
        <v>73</v>
      </c>
      <c r="AL195" t="s">
        <v>967</v>
      </c>
      <c r="AM195" t="s">
        <v>75</v>
      </c>
      <c r="AN195">
        <v>15</v>
      </c>
      <c r="AO195">
        <v>1</v>
      </c>
      <c r="AP195">
        <v>0.6</v>
      </c>
      <c r="AQ195">
        <v>-5.1589999999999997E-2</v>
      </c>
      <c r="AR195">
        <v>-150</v>
      </c>
      <c r="AS195" t="s">
        <v>75</v>
      </c>
      <c r="AT195">
        <v>0</v>
      </c>
      <c r="AU195">
        <v>0</v>
      </c>
      <c r="AV195" t="s">
        <v>640</v>
      </c>
      <c r="AW195" t="s">
        <v>75</v>
      </c>
      <c r="AX195">
        <v>41</v>
      </c>
      <c r="AY195">
        <v>1</v>
      </c>
      <c r="AZ195">
        <v>0.56999999999999995</v>
      </c>
      <c r="BA195">
        <v>-8.1589999999999996E-2</v>
      </c>
      <c r="BB195">
        <v>-132.6</v>
      </c>
      <c r="BC195" t="s">
        <v>75</v>
      </c>
      <c r="BD195">
        <v>0</v>
      </c>
      <c r="BE195">
        <v>0</v>
      </c>
      <c r="BF195" t="s">
        <v>83</v>
      </c>
      <c r="BG195">
        <v>0</v>
      </c>
      <c r="BH195">
        <v>0</v>
      </c>
      <c r="BI195">
        <v>0</v>
      </c>
      <c r="BJ195">
        <v>0</v>
      </c>
      <c r="BK195">
        <v>0</v>
      </c>
      <c r="BL195" t="s">
        <v>641</v>
      </c>
    </row>
    <row r="196" spans="1:64" x14ac:dyDescent="0.2">
      <c r="A196">
        <v>824988</v>
      </c>
      <c r="B196" t="s">
        <v>1077</v>
      </c>
      <c r="C196" s="3">
        <v>46193</v>
      </c>
      <c r="D196">
        <v>6.3</v>
      </c>
      <c r="E196">
        <v>2</v>
      </c>
      <c r="F196">
        <v>4</v>
      </c>
      <c r="G196" t="s">
        <v>111</v>
      </c>
      <c r="H196">
        <v>149</v>
      </c>
      <c r="I196">
        <v>0.4</v>
      </c>
      <c r="J196">
        <v>149</v>
      </c>
      <c r="K196">
        <v>0.40160600000000002</v>
      </c>
      <c r="L196">
        <v>0.39320016683343401</v>
      </c>
      <c r="M196">
        <v>700712</v>
      </c>
      <c r="N196" t="b">
        <v>0</v>
      </c>
      <c r="O196">
        <v>150</v>
      </c>
      <c r="P196">
        <v>108.7</v>
      </c>
      <c r="Q196">
        <v>108.7</v>
      </c>
      <c r="R196" t="s">
        <v>78</v>
      </c>
      <c r="S196">
        <v>-104.3</v>
      </c>
      <c r="T196">
        <v>-104.3</v>
      </c>
      <c r="U196" t="s">
        <v>73</v>
      </c>
      <c r="V196">
        <v>20</v>
      </c>
      <c r="W196" t="s">
        <v>107</v>
      </c>
      <c r="X196">
        <v>-162</v>
      </c>
      <c r="Y196">
        <v>0.62</v>
      </c>
      <c r="Z196">
        <v>-163</v>
      </c>
      <c r="AA196">
        <v>0.61977199999999999</v>
      </c>
      <c r="AB196">
        <v>0.60679983316656505</v>
      </c>
      <c r="AC196">
        <v>669372</v>
      </c>
      <c r="AD196" t="b">
        <v>0</v>
      </c>
      <c r="AE196">
        <v>-122.2</v>
      </c>
      <c r="AF196">
        <v>-101.1</v>
      </c>
      <c r="AG196">
        <v>-101.1</v>
      </c>
      <c r="AH196" t="s">
        <v>73</v>
      </c>
      <c r="AI196">
        <v>104.3</v>
      </c>
      <c r="AJ196">
        <v>104.3</v>
      </c>
      <c r="AK196" t="s">
        <v>73</v>
      </c>
      <c r="AL196" t="s">
        <v>968</v>
      </c>
      <c r="AM196" t="s">
        <v>75</v>
      </c>
      <c r="AN196">
        <v>15</v>
      </c>
      <c r="AO196">
        <v>0.93</v>
      </c>
      <c r="AP196">
        <v>0.55000000000000004</v>
      </c>
      <c r="AQ196">
        <v>-5.6800000000000003E-2</v>
      </c>
      <c r="AR196">
        <v>-122.2</v>
      </c>
      <c r="AS196" t="s">
        <v>75</v>
      </c>
      <c r="AT196">
        <v>0</v>
      </c>
      <c r="AU196">
        <v>0</v>
      </c>
      <c r="AV196" t="s">
        <v>969</v>
      </c>
      <c r="AW196" t="s">
        <v>75</v>
      </c>
      <c r="AX196">
        <v>41</v>
      </c>
      <c r="AY196">
        <v>0.93</v>
      </c>
      <c r="AZ196">
        <v>0.54</v>
      </c>
      <c r="BA196">
        <v>-6.6799999999999998E-2</v>
      </c>
      <c r="BB196">
        <v>-117.4</v>
      </c>
      <c r="BC196" t="s">
        <v>75</v>
      </c>
      <c r="BD196">
        <v>0</v>
      </c>
      <c r="BE196">
        <v>0</v>
      </c>
      <c r="BF196" t="s">
        <v>83</v>
      </c>
      <c r="BG196">
        <v>0</v>
      </c>
      <c r="BH196">
        <v>0</v>
      </c>
      <c r="BI196">
        <v>0</v>
      </c>
      <c r="BJ196">
        <v>0</v>
      </c>
      <c r="BK196">
        <v>0</v>
      </c>
      <c r="BL196" t="s">
        <v>642</v>
      </c>
    </row>
    <row r="197" spans="1:64" x14ac:dyDescent="0.2">
      <c r="A197">
        <v>823447</v>
      </c>
      <c r="B197" t="s">
        <v>1078</v>
      </c>
      <c r="C197" s="3">
        <v>46193</v>
      </c>
      <c r="D197">
        <v>6.3</v>
      </c>
      <c r="E197">
        <v>2</v>
      </c>
      <c r="F197">
        <v>18</v>
      </c>
      <c r="G197" t="s">
        <v>129</v>
      </c>
      <c r="H197">
        <v>170</v>
      </c>
      <c r="I197">
        <v>0.37</v>
      </c>
      <c r="J197">
        <v>167</v>
      </c>
      <c r="K197">
        <v>0.37453199999999998</v>
      </c>
      <c r="L197">
        <v>0.36676573554973402</v>
      </c>
      <c r="M197">
        <v>642547</v>
      </c>
      <c r="N197" t="b">
        <v>0</v>
      </c>
      <c r="O197">
        <v>-150</v>
      </c>
      <c r="P197">
        <v>105</v>
      </c>
      <c r="Q197">
        <v>105</v>
      </c>
      <c r="R197" t="s">
        <v>73</v>
      </c>
      <c r="S197">
        <v>135.6</v>
      </c>
      <c r="T197">
        <v>135.6</v>
      </c>
      <c r="U197" t="s">
        <v>73</v>
      </c>
      <c r="V197">
        <v>21</v>
      </c>
      <c r="W197" t="s">
        <v>127</v>
      </c>
      <c r="X197">
        <v>-186</v>
      </c>
      <c r="Y197">
        <v>0.65</v>
      </c>
      <c r="Z197">
        <v>-183</v>
      </c>
      <c r="AA197">
        <v>0.64664299999999997</v>
      </c>
      <c r="AB197">
        <v>0.63323426445026498</v>
      </c>
      <c r="AC197">
        <v>650911</v>
      </c>
      <c r="AD197" t="b">
        <v>0</v>
      </c>
      <c r="AE197">
        <v>-150</v>
      </c>
      <c r="AF197">
        <v>-103.9</v>
      </c>
      <c r="AG197">
        <v>-103.9</v>
      </c>
      <c r="AH197" t="s">
        <v>73</v>
      </c>
      <c r="AI197">
        <v>-135.6</v>
      </c>
      <c r="AJ197">
        <v>-135.6</v>
      </c>
      <c r="AK197" t="s">
        <v>73</v>
      </c>
      <c r="AL197" t="s">
        <v>970</v>
      </c>
      <c r="AM197" t="s">
        <v>75</v>
      </c>
      <c r="AN197">
        <v>15</v>
      </c>
      <c r="AO197">
        <v>0.87</v>
      </c>
      <c r="AP197">
        <v>0.54</v>
      </c>
      <c r="AQ197">
        <v>-9.3229999999999993E-2</v>
      </c>
      <c r="AR197">
        <v>-117.4</v>
      </c>
      <c r="AS197" t="s">
        <v>75</v>
      </c>
      <c r="AT197">
        <v>0</v>
      </c>
      <c r="AU197">
        <v>0</v>
      </c>
      <c r="AV197" t="s">
        <v>643</v>
      </c>
      <c r="AW197" t="s">
        <v>75</v>
      </c>
      <c r="AX197">
        <v>41</v>
      </c>
      <c r="AY197">
        <v>0.95</v>
      </c>
      <c r="AZ197">
        <v>0.54</v>
      </c>
      <c r="BA197">
        <v>-9.3229999999999993E-2</v>
      </c>
      <c r="BB197">
        <v>-117.4</v>
      </c>
      <c r="BC197" t="s">
        <v>75</v>
      </c>
      <c r="BD197">
        <v>0</v>
      </c>
      <c r="BE197">
        <v>0</v>
      </c>
      <c r="BF197" t="s">
        <v>83</v>
      </c>
      <c r="BG197">
        <v>0</v>
      </c>
      <c r="BH197">
        <v>0</v>
      </c>
      <c r="BI197">
        <v>0</v>
      </c>
      <c r="BJ197">
        <v>0</v>
      </c>
      <c r="BK197">
        <v>0</v>
      </c>
      <c r="BL197" t="s">
        <v>644</v>
      </c>
    </row>
    <row r="198" spans="1:64" x14ac:dyDescent="0.2">
      <c r="A198">
        <v>823126</v>
      </c>
      <c r="B198" t="s">
        <v>1079</v>
      </c>
      <c r="C198" s="3">
        <v>46193</v>
      </c>
      <c r="D198">
        <v>6.3</v>
      </c>
      <c r="E198">
        <v>2</v>
      </c>
      <c r="F198">
        <v>3</v>
      </c>
      <c r="G198" t="s">
        <v>122</v>
      </c>
      <c r="H198">
        <v>110</v>
      </c>
      <c r="I198">
        <v>0.48</v>
      </c>
      <c r="J198">
        <v>107</v>
      </c>
      <c r="K198">
        <v>0.48309200000000002</v>
      </c>
      <c r="L198">
        <v>0.473559716467231</v>
      </c>
      <c r="M198">
        <v>813349</v>
      </c>
      <c r="N198" t="b">
        <v>0</v>
      </c>
      <c r="O198">
        <v>150</v>
      </c>
      <c r="P198">
        <v>-104.1</v>
      </c>
      <c r="Q198">
        <v>-104.1</v>
      </c>
      <c r="R198" t="s">
        <v>73</v>
      </c>
      <c r="S198">
        <v>-112.6</v>
      </c>
      <c r="T198">
        <v>-112.6</v>
      </c>
      <c r="U198" t="s">
        <v>73</v>
      </c>
      <c r="V198">
        <v>24</v>
      </c>
      <c r="W198" t="s">
        <v>96</v>
      </c>
      <c r="X198">
        <v>-119</v>
      </c>
      <c r="Y198">
        <v>0.54</v>
      </c>
      <c r="Z198">
        <v>-116</v>
      </c>
      <c r="AA198">
        <v>0.53703699999999999</v>
      </c>
      <c r="AB198">
        <v>0.52644028353276795</v>
      </c>
      <c r="AC198">
        <v>676106</v>
      </c>
      <c r="AD198" t="b">
        <v>0</v>
      </c>
      <c r="AE198">
        <v>-122.2</v>
      </c>
      <c r="AF198">
        <v>-107.7</v>
      </c>
      <c r="AG198" t="s">
        <v>645</v>
      </c>
      <c r="AH198" t="s">
        <v>81</v>
      </c>
      <c r="AI198">
        <v>112.6</v>
      </c>
      <c r="AJ198">
        <v>112.6</v>
      </c>
      <c r="AK198" t="s">
        <v>73</v>
      </c>
      <c r="AL198" t="s">
        <v>971</v>
      </c>
      <c r="AM198" t="s">
        <v>75</v>
      </c>
      <c r="AN198">
        <v>15</v>
      </c>
      <c r="AO198">
        <v>0.73</v>
      </c>
      <c r="AP198">
        <v>0.5</v>
      </c>
      <c r="AQ198">
        <v>-2.6440000000000002E-2</v>
      </c>
      <c r="AR198">
        <v>-100</v>
      </c>
      <c r="AS198" t="s">
        <v>75</v>
      </c>
      <c r="AT198">
        <v>0</v>
      </c>
      <c r="AU198">
        <v>0</v>
      </c>
      <c r="AV198" t="s">
        <v>646</v>
      </c>
      <c r="AW198" t="s">
        <v>75</v>
      </c>
      <c r="AX198">
        <v>41</v>
      </c>
      <c r="AY198">
        <v>0.95</v>
      </c>
      <c r="AZ198">
        <v>0.53</v>
      </c>
      <c r="BA198">
        <v>3.5599999999999998E-3</v>
      </c>
      <c r="BB198">
        <v>-112.8</v>
      </c>
      <c r="BC198" t="s">
        <v>75</v>
      </c>
      <c r="BD198">
        <v>0</v>
      </c>
      <c r="BE198">
        <v>0</v>
      </c>
      <c r="BF198" t="s">
        <v>83</v>
      </c>
      <c r="BG198">
        <v>0</v>
      </c>
      <c r="BH198">
        <v>0</v>
      </c>
      <c r="BI198">
        <v>0</v>
      </c>
      <c r="BJ198">
        <v>0</v>
      </c>
      <c r="BK198">
        <v>0</v>
      </c>
      <c r="BL198" t="s">
        <v>647</v>
      </c>
    </row>
    <row r="199" spans="1:64" x14ac:dyDescent="0.2">
      <c r="A199">
        <v>822967</v>
      </c>
      <c r="B199" t="s">
        <v>1080</v>
      </c>
      <c r="C199" s="3">
        <v>46193</v>
      </c>
      <c r="D199">
        <v>6.3</v>
      </c>
      <c r="E199">
        <v>2</v>
      </c>
      <c r="F199">
        <v>16</v>
      </c>
      <c r="G199" t="s">
        <v>77</v>
      </c>
      <c r="H199">
        <v>108</v>
      </c>
      <c r="I199">
        <v>0.48</v>
      </c>
      <c r="J199">
        <v>108</v>
      </c>
      <c r="K199">
        <v>0.480769</v>
      </c>
      <c r="L199">
        <v>0.47136988450300898</v>
      </c>
      <c r="M199">
        <v>676917</v>
      </c>
      <c r="N199" t="b">
        <v>0</v>
      </c>
      <c r="O199">
        <v>-100</v>
      </c>
      <c r="P199">
        <v>112</v>
      </c>
      <c r="Q199">
        <v>112</v>
      </c>
      <c r="R199" t="s">
        <v>78</v>
      </c>
      <c r="S199">
        <v>112.2</v>
      </c>
      <c r="T199">
        <v>112.2</v>
      </c>
      <c r="U199" t="s">
        <v>73</v>
      </c>
      <c r="V199">
        <v>27</v>
      </c>
      <c r="W199" t="s">
        <v>101</v>
      </c>
      <c r="X199">
        <v>-117</v>
      </c>
      <c r="Y199">
        <v>0.54</v>
      </c>
      <c r="Z199">
        <v>-117</v>
      </c>
      <c r="AA199">
        <v>0.53917099999999996</v>
      </c>
      <c r="AB199">
        <v>0.52863011549698902</v>
      </c>
      <c r="AC199">
        <v>693855</v>
      </c>
      <c r="AD199" t="b">
        <v>0</v>
      </c>
      <c r="AE199">
        <v>150</v>
      </c>
      <c r="AF199">
        <v>-100.5</v>
      </c>
      <c r="AG199">
        <v>-100.5</v>
      </c>
      <c r="AH199" t="s">
        <v>73</v>
      </c>
      <c r="AI199">
        <v>-112.2</v>
      </c>
      <c r="AJ199">
        <v>-112.2</v>
      </c>
      <c r="AK199" t="s">
        <v>73</v>
      </c>
      <c r="AL199" t="s">
        <v>972</v>
      </c>
      <c r="AM199" t="s">
        <v>75</v>
      </c>
      <c r="AN199">
        <v>15</v>
      </c>
      <c r="AO199">
        <v>0.93</v>
      </c>
      <c r="AP199">
        <v>0.53</v>
      </c>
      <c r="AQ199">
        <v>1.3699999999999999E-3</v>
      </c>
      <c r="AR199">
        <v>-112.8</v>
      </c>
      <c r="AS199" t="s">
        <v>75</v>
      </c>
      <c r="AT199">
        <v>0</v>
      </c>
      <c r="AU199">
        <v>0</v>
      </c>
      <c r="AV199" t="s">
        <v>973</v>
      </c>
      <c r="AW199" t="s">
        <v>75</v>
      </c>
      <c r="AX199">
        <v>41</v>
      </c>
      <c r="AY199">
        <v>0.98</v>
      </c>
      <c r="AZ199">
        <v>0.54</v>
      </c>
      <c r="BA199">
        <v>1.137E-2</v>
      </c>
      <c r="BB199">
        <v>-117.4</v>
      </c>
      <c r="BC199" t="s">
        <v>75</v>
      </c>
      <c r="BD199">
        <v>1</v>
      </c>
      <c r="BE199">
        <v>0.85499999999999998</v>
      </c>
      <c r="BF199" t="s">
        <v>83</v>
      </c>
      <c r="BG199">
        <v>0</v>
      </c>
      <c r="BH199">
        <v>0</v>
      </c>
      <c r="BI199">
        <v>0</v>
      </c>
      <c r="BJ199">
        <v>0</v>
      </c>
      <c r="BK199">
        <v>0</v>
      </c>
      <c r="BL199" t="s">
        <v>714</v>
      </c>
    </row>
    <row r="200" spans="1:64" x14ac:dyDescent="0.2">
      <c r="A200">
        <v>822885</v>
      </c>
      <c r="B200" t="s">
        <v>1081</v>
      </c>
      <c r="C200" s="3">
        <v>46193</v>
      </c>
      <c r="D200">
        <v>6.3</v>
      </c>
      <c r="E200">
        <v>2</v>
      </c>
      <c r="F200">
        <v>23</v>
      </c>
      <c r="G200" t="s">
        <v>130</v>
      </c>
      <c r="H200">
        <v>115</v>
      </c>
      <c r="I200">
        <v>0.47</v>
      </c>
      <c r="J200">
        <v>114</v>
      </c>
      <c r="K200">
        <v>0.46728999999999998</v>
      </c>
      <c r="L200">
        <v>0.45864004868185998</v>
      </c>
      <c r="M200">
        <v>621111</v>
      </c>
      <c r="N200" t="b">
        <v>0</v>
      </c>
      <c r="O200">
        <v>185.7</v>
      </c>
      <c r="P200">
        <v>-100.3</v>
      </c>
      <c r="Q200">
        <v>-100.3</v>
      </c>
      <c r="R200" t="s">
        <v>73</v>
      </c>
      <c r="S200">
        <v>138.4</v>
      </c>
      <c r="T200">
        <v>138.4</v>
      </c>
      <c r="U200" t="s">
        <v>78</v>
      </c>
      <c r="V200">
        <v>28</v>
      </c>
      <c r="W200" t="s">
        <v>138</v>
      </c>
      <c r="X200">
        <v>-124</v>
      </c>
      <c r="Y200">
        <v>0.55000000000000004</v>
      </c>
      <c r="Z200">
        <v>-123</v>
      </c>
      <c r="AA200">
        <v>0.55157</v>
      </c>
      <c r="AB200">
        <v>0.54135995131813897</v>
      </c>
      <c r="AC200">
        <v>669022</v>
      </c>
      <c r="AD200" t="b">
        <v>0</v>
      </c>
      <c r="AE200">
        <v>-122.2</v>
      </c>
      <c r="AF200">
        <v>-102.7</v>
      </c>
      <c r="AG200">
        <v>-102.7</v>
      </c>
      <c r="AH200" t="s">
        <v>73</v>
      </c>
      <c r="AI200">
        <v>-138.4</v>
      </c>
      <c r="AJ200" t="s">
        <v>588</v>
      </c>
      <c r="AK200" t="s">
        <v>81</v>
      </c>
      <c r="AL200" t="s">
        <v>974</v>
      </c>
      <c r="AM200" t="s">
        <v>75</v>
      </c>
      <c r="AN200">
        <v>15</v>
      </c>
      <c r="AO200">
        <v>0.87</v>
      </c>
      <c r="AP200">
        <v>0.52</v>
      </c>
      <c r="AQ200">
        <v>-2.1360000000000001E-2</v>
      </c>
      <c r="AR200">
        <v>-108.3</v>
      </c>
      <c r="AS200" t="s">
        <v>75</v>
      </c>
      <c r="AT200">
        <v>0</v>
      </c>
      <c r="AU200">
        <v>0</v>
      </c>
      <c r="AV200" t="s">
        <v>975</v>
      </c>
      <c r="AW200" t="s">
        <v>75</v>
      </c>
      <c r="AX200">
        <v>41</v>
      </c>
      <c r="AY200">
        <v>1</v>
      </c>
      <c r="AZ200">
        <v>0.54</v>
      </c>
      <c r="BA200">
        <v>-1.3600000000000001E-3</v>
      </c>
      <c r="BB200">
        <v>-117.4</v>
      </c>
      <c r="BC200" t="s">
        <v>75</v>
      </c>
      <c r="BD200">
        <v>0</v>
      </c>
      <c r="BE200">
        <v>0</v>
      </c>
      <c r="BF200" t="s">
        <v>83</v>
      </c>
      <c r="BG200">
        <v>0</v>
      </c>
      <c r="BH200">
        <v>0</v>
      </c>
      <c r="BI200">
        <v>0</v>
      </c>
      <c r="BJ200">
        <v>0</v>
      </c>
      <c r="BK200">
        <v>0</v>
      </c>
      <c r="BL200" t="s">
        <v>715</v>
      </c>
    </row>
    <row r="201" spans="1:64" x14ac:dyDescent="0.2">
      <c r="A201">
        <v>824908</v>
      </c>
      <c r="B201" t="s">
        <v>1082</v>
      </c>
      <c r="C201" s="3">
        <v>46194</v>
      </c>
      <c r="D201">
        <v>6.3</v>
      </c>
      <c r="E201">
        <v>2</v>
      </c>
      <c r="F201">
        <v>17</v>
      </c>
      <c r="G201" t="s">
        <v>89</v>
      </c>
      <c r="H201">
        <v>114</v>
      </c>
      <c r="I201">
        <v>0.47</v>
      </c>
      <c r="J201">
        <v>105</v>
      </c>
      <c r="K201">
        <v>0.48780499999999999</v>
      </c>
      <c r="L201">
        <v>0.47902871491405902</v>
      </c>
      <c r="M201">
        <v>688107</v>
      </c>
      <c r="N201" t="b">
        <v>0</v>
      </c>
      <c r="O201">
        <v>-122.2</v>
      </c>
      <c r="P201">
        <v>-118.9</v>
      </c>
      <c r="Q201" t="s">
        <v>330</v>
      </c>
      <c r="R201" t="s">
        <v>81</v>
      </c>
      <c r="S201">
        <v>115.5</v>
      </c>
      <c r="T201">
        <v>115.5</v>
      </c>
      <c r="U201" t="s">
        <v>73</v>
      </c>
      <c r="V201">
        <v>0</v>
      </c>
      <c r="W201" t="s">
        <v>74</v>
      </c>
      <c r="X201">
        <v>-126</v>
      </c>
      <c r="Y201">
        <v>0.56000000000000005</v>
      </c>
      <c r="Z201">
        <v>-113</v>
      </c>
      <c r="AA201">
        <v>0.53051599999999999</v>
      </c>
      <c r="AB201">
        <v>0.52097128508594004</v>
      </c>
      <c r="AC201">
        <v>693821</v>
      </c>
      <c r="AD201" t="b">
        <v>0</v>
      </c>
      <c r="AE201">
        <v>-122.2</v>
      </c>
      <c r="AF201">
        <v>-104.1</v>
      </c>
      <c r="AG201">
        <v>-104.1</v>
      </c>
      <c r="AH201" t="s">
        <v>73</v>
      </c>
      <c r="AI201">
        <v>-115.5</v>
      </c>
      <c r="AJ201">
        <v>-115.5</v>
      </c>
      <c r="AK201" t="s">
        <v>73</v>
      </c>
      <c r="AL201" t="s">
        <v>976</v>
      </c>
      <c r="AM201" t="s">
        <v>75</v>
      </c>
      <c r="AN201">
        <v>15</v>
      </c>
      <c r="AO201">
        <v>1</v>
      </c>
      <c r="AP201">
        <v>0.56999999999999995</v>
      </c>
      <c r="AQ201">
        <v>4.9029999999999997E-2</v>
      </c>
      <c r="AR201">
        <v>-132.6</v>
      </c>
      <c r="AS201" t="s">
        <v>75</v>
      </c>
      <c r="AT201">
        <v>1</v>
      </c>
      <c r="AU201">
        <v>0.88500000000000001</v>
      </c>
      <c r="AV201" t="s">
        <v>977</v>
      </c>
      <c r="AW201" t="s">
        <v>75</v>
      </c>
      <c r="AX201">
        <v>41</v>
      </c>
      <c r="AY201">
        <v>0.8</v>
      </c>
      <c r="AZ201">
        <v>0.51</v>
      </c>
      <c r="BA201">
        <v>-1.0970000000000001E-2</v>
      </c>
      <c r="BB201">
        <v>-104.1</v>
      </c>
      <c r="BC201" t="s">
        <v>75</v>
      </c>
      <c r="BD201">
        <v>0</v>
      </c>
      <c r="BE201">
        <v>0</v>
      </c>
      <c r="BF201" t="s">
        <v>75</v>
      </c>
      <c r="BG201">
        <v>4.9029999999999997E-2</v>
      </c>
      <c r="BH201">
        <v>0</v>
      </c>
      <c r="BI201">
        <v>0</v>
      </c>
      <c r="BJ201">
        <v>3</v>
      </c>
      <c r="BK201">
        <v>1</v>
      </c>
      <c r="BL201" t="s">
        <v>716</v>
      </c>
    </row>
    <row r="202" spans="1:64" x14ac:dyDescent="0.2">
      <c r="A202">
        <v>825067</v>
      </c>
      <c r="B202" t="s">
        <v>1083</v>
      </c>
      <c r="C202" s="3">
        <v>46194</v>
      </c>
      <c r="D202">
        <v>6.3</v>
      </c>
      <c r="E202">
        <v>2</v>
      </c>
      <c r="F202">
        <v>15</v>
      </c>
      <c r="G202" t="s">
        <v>119</v>
      </c>
      <c r="H202">
        <v>117</v>
      </c>
      <c r="I202">
        <v>0.46</v>
      </c>
      <c r="J202">
        <v>117</v>
      </c>
      <c r="K202">
        <v>0.46082899999999999</v>
      </c>
      <c r="L202">
        <v>0.452524718883764</v>
      </c>
      <c r="M202">
        <v>702474</v>
      </c>
      <c r="N202" t="b">
        <v>0</v>
      </c>
      <c r="O202">
        <v>-100</v>
      </c>
      <c r="P202">
        <v>107.2</v>
      </c>
      <c r="Q202">
        <v>107.2</v>
      </c>
      <c r="R202" t="s">
        <v>78</v>
      </c>
      <c r="S202">
        <v>157.5</v>
      </c>
      <c r="T202">
        <v>157.5</v>
      </c>
      <c r="U202" t="s">
        <v>78</v>
      </c>
      <c r="V202">
        <v>1</v>
      </c>
      <c r="W202" t="s">
        <v>79</v>
      </c>
      <c r="X202">
        <v>-126</v>
      </c>
      <c r="Y202">
        <v>0.56000000000000005</v>
      </c>
      <c r="Z202">
        <v>-126</v>
      </c>
      <c r="AA202">
        <v>0.55752199999999996</v>
      </c>
      <c r="AB202">
        <v>0.547475281116235</v>
      </c>
      <c r="AC202">
        <v>703615</v>
      </c>
      <c r="AD202" t="b">
        <v>1</v>
      </c>
      <c r="AE202">
        <v>150</v>
      </c>
      <c r="AF202">
        <v>102.7</v>
      </c>
      <c r="AG202">
        <v>102.7</v>
      </c>
      <c r="AH202" t="s">
        <v>73</v>
      </c>
      <c r="AI202">
        <v>-157.5</v>
      </c>
      <c r="AJ202" t="s">
        <v>648</v>
      </c>
      <c r="AK202" t="s">
        <v>81</v>
      </c>
      <c r="AL202" t="s">
        <v>978</v>
      </c>
      <c r="AM202" t="s">
        <v>75</v>
      </c>
      <c r="AN202">
        <v>15</v>
      </c>
      <c r="AO202">
        <v>0.93</v>
      </c>
      <c r="AP202">
        <v>0.55000000000000004</v>
      </c>
      <c r="AQ202">
        <v>2.5200000000000001E-3</v>
      </c>
      <c r="AR202">
        <v>-122.2</v>
      </c>
      <c r="AS202" t="s">
        <v>75</v>
      </c>
      <c r="AT202">
        <v>0</v>
      </c>
      <c r="AU202">
        <v>0</v>
      </c>
      <c r="AV202" t="s">
        <v>979</v>
      </c>
      <c r="AW202" t="s">
        <v>75</v>
      </c>
      <c r="AX202">
        <v>41</v>
      </c>
      <c r="AY202">
        <v>0.95</v>
      </c>
      <c r="AZ202">
        <v>0.53</v>
      </c>
      <c r="BA202">
        <v>-1.7479999999999999E-2</v>
      </c>
      <c r="BB202">
        <v>-112.8</v>
      </c>
      <c r="BC202" t="s">
        <v>75</v>
      </c>
      <c r="BD202">
        <v>0</v>
      </c>
      <c r="BE202">
        <v>0</v>
      </c>
      <c r="BF202" t="s">
        <v>83</v>
      </c>
      <c r="BG202">
        <v>0</v>
      </c>
      <c r="BH202">
        <v>0</v>
      </c>
      <c r="BI202">
        <v>0</v>
      </c>
      <c r="BJ202">
        <v>0</v>
      </c>
      <c r="BK202">
        <v>0</v>
      </c>
      <c r="BL202" t="s">
        <v>649</v>
      </c>
    </row>
    <row r="203" spans="1:64" x14ac:dyDescent="0.2">
      <c r="A203">
        <v>824664</v>
      </c>
      <c r="B203" t="s">
        <v>650</v>
      </c>
      <c r="C203" s="3">
        <v>46194</v>
      </c>
      <c r="D203">
        <v>6.3</v>
      </c>
      <c r="E203">
        <v>2</v>
      </c>
      <c r="F203">
        <v>29</v>
      </c>
      <c r="G203" t="s">
        <v>144</v>
      </c>
      <c r="H203">
        <v>-114</v>
      </c>
      <c r="I203">
        <v>0.53</v>
      </c>
      <c r="J203">
        <v>-114</v>
      </c>
      <c r="K203">
        <v>0.53271000000000002</v>
      </c>
      <c r="L203">
        <v>0.52078099062865901</v>
      </c>
      <c r="M203">
        <v>656302</v>
      </c>
      <c r="N203" t="b">
        <v>0</v>
      </c>
      <c r="O203">
        <v>-100</v>
      </c>
      <c r="P203">
        <v>-106.6</v>
      </c>
      <c r="Q203">
        <v>-106.6</v>
      </c>
      <c r="R203" t="s">
        <v>73</v>
      </c>
      <c r="S203">
        <v>-164.3</v>
      </c>
      <c r="T203" t="s">
        <v>651</v>
      </c>
      <c r="U203" t="s">
        <v>81</v>
      </c>
      <c r="V203">
        <v>5</v>
      </c>
      <c r="W203" t="s">
        <v>85</v>
      </c>
      <c r="X203">
        <v>104</v>
      </c>
      <c r="Y203">
        <v>0.49</v>
      </c>
      <c r="Z203">
        <v>104</v>
      </c>
      <c r="AA203">
        <v>0.49019600000000002</v>
      </c>
      <c r="AB203">
        <v>0.47921900937133999</v>
      </c>
      <c r="AC203">
        <v>684007</v>
      </c>
      <c r="AD203" t="b">
        <v>0</v>
      </c>
      <c r="AE203">
        <v>122.2</v>
      </c>
      <c r="AF203">
        <v>-112.9</v>
      </c>
      <c r="AG203" t="s">
        <v>652</v>
      </c>
      <c r="AH203" t="s">
        <v>81</v>
      </c>
      <c r="AI203">
        <v>164.3</v>
      </c>
      <c r="AJ203">
        <v>164.3</v>
      </c>
      <c r="AK203" t="s">
        <v>78</v>
      </c>
      <c r="AL203" t="s">
        <v>980</v>
      </c>
      <c r="AM203" t="s">
        <v>94</v>
      </c>
      <c r="AN203">
        <v>15</v>
      </c>
      <c r="AO203">
        <v>0.73</v>
      </c>
      <c r="AP203">
        <v>0.48</v>
      </c>
      <c r="AQ203">
        <v>7.7999999999999999E-4</v>
      </c>
      <c r="AR203">
        <v>108.3</v>
      </c>
      <c r="AS203" t="s">
        <v>94</v>
      </c>
      <c r="AT203">
        <v>0</v>
      </c>
      <c r="AU203">
        <v>0</v>
      </c>
      <c r="AV203" t="s">
        <v>981</v>
      </c>
      <c r="AW203" t="s">
        <v>187</v>
      </c>
      <c r="AX203">
        <v>41</v>
      </c>
      <c r="AY203">
        <v>0.88</v>
      </c>
      <c r="AZ203">
        <v>0.52</v>
      </c>
      <c r="BA203">
        <v>4.0779999999999997E-2</v>
      </c>
      <c r="BB203">
        <v>-108.3</v>
      </c>
      <c r="BC203" t="s">
        <v>187</v>
      </c>
      <c r="BD203">
        <v>1</v>
      </c>
      <c r="BE203">
        <v>1.04</v>
      </c>
      <c r="BF203" t="s">
        <v>83</v>
      </c>
      <c r="BG203">
        <v>0</v>
      </c>
      <c r="BH203">
        <v>0</v>
      </c>
      <c r="BI203">
        <v>0</v>
      </c>
      <c r="BJ203">
        <v>0</v>
      </c>
      <c r="BK203">
        <v>0</v>
      </c>
      <c r="BL203" t="s">
        <v>653</v>
      </c>
    </row>
    <row r="204" spans="1:64" x14ac:dyDescent="0.2">
      <c r="A204">
        <v>824343</v>
      </c>
      <c r="B204" t="s">
        <v>1084</v>
      </c>
      <c r="C204" s="3">
        <v>46194</v>
      </c>
      <c r="D204">
        <v>6.3</v>
      </c>
      <c r="E204">
        <v>2</v>
      </c>
      <c r="F204">
        <v>22</v>
      </c>
      <c r="G204" t="s">
        <v>72</v>
      </c>
      <c r="H204">
        <v>-139</v>
      </c>
      <c r="I204">
        <v>0.57999999999999996</v>
      </c>
      <c r="J204">
        <v>-141</v>
      </c>
      <c r="K204">
        <v>0.58506199999999997</v>
      </c>
      <c r="L204">
        <v>0.57367737254190498</v>
      </c>
      <c r="M204">
        <v>683003</v>
      </c>
      <c r="N204" t="b">
        <v>0</v>
      </c>
      <c r="O204">
        <v>122.2</v>
      </c>
      <c r="P204">
        <v>-100.8</v>
      </c>
      <c r="Q204">
        <v>-100.8</v>
      </c>
      <c r="R204" t="s">
        <v>73</v>
      </c>
      <c r="S204">
        <v>-112.5</v>
      </c>
      <c r="T204">
        <v>-112.5</v>
      </c>
      <c r="U204" t="s">
        <v>73</v>
      </c>
      <c r="V204">
        <v>8</v>
      </c>
      <c r="W204" t="s">
        <v>92</v>
      </c>
      <c r="X204">
        <v>125</v>
      </c>
      <c r="Y204">
        <v>0.44</v>
      </c>
      <c r="Z204">
        <v>130</v>
      </c>
      <c r="AA204">
        <v>0.43478299999999998</v>
      </c>
      <c r="AB204">
        <v>0.42632262745809402</v>
      </c>
      <c r="AC204">
        <v>547179</v>
      </c>
      <c r="AD204" t="b">
        <v>0</v>
      </c>
      <c r="AE204">
        <v>-100</v>
      </c>
      <c r="AF204">
        <v>128.69999999999999</v>
      </c>
      <c r="AG204">
        <v>128.69999999999999</v>
      </c>
      <c r="AH204" t="s">
        <v>93</v>
      </c>
      <c r="AI204">
        <v>112.5</v>
      </c>
      <c r="AJ204">
        <v>112.5</v>
      </c>
      <c r="AK204" t="s">
        <v>73</v>
      </c>
      <c r="AL204" t="s">
        <v>982</v>
      </c>
      <c r="AM204" t="s">
        <v>94</v>
      </c>
      <c r="AN204">
        <v>15</v>
      </c>
      <c r="AO204">
        <v>1</v>
      </c>
      <c r="AP204">
        <v>0.41</v>
      </c>
      <c r="AQ204">
        <v>-1.6320000000000001E-2</v>
      </c>
      <c r="AR204">
        <v>143.9</v>
      </c>
      <c r="AS204" t="s">
        <v>94</v>
      </c>
      <c r="AT204">
        <v>0</v>
      </c>
      <c r="AU204">
        <v>0</v>
      </c>
      <c r="AV204" t="s">
        <v>983</v>
      </c>
      <c r="AW204" t="s">
        <v>94</v>
      </c>
      <c r="AX204">
        <v>41</v>
      </c>
      <c r="AY204">
        <v>0.98</v>
      </c>
      <c r="AZ204">
        <v>0.45</v>
      </c>
      <c r="BA204">
        <v>2.368E-2</v>
      </c>
      <c r="BB204">
        <v>122.2</v>
      </c>
      <c r="BC204" t="s">
        <v>94</v>
      </c>
      <c r="BD204">
        <v>0</v>
      </c>
      <c r="BE204">
        <v>0</v>
      </c>
      <c r="BF204" t="s">
        <v>83</v>
      </c>
      <c r="BG204">
        <v>0</v>
      </c>
      <c r="BH204">
        <v>0</v>
      </c>
      <c r="BI204">
        <v>0</v>
      </c>
      <c r="BJ204">
        <v>0</v>
      </c>
      <c r="BK204">
        <v>0</v>
      </c>
      <c r="BL204" t="s">
        <v>717</v>
      </c>
    </row>
    <row r="205" spans="1:64" x14ac:dyDescent="0.2">
      <c r="A205">
        <v>824260</v>
      </c>
      <c r="B205" t="s">
        <v>1085</v>
      </c>
      <c r="C205" s="3">
        <v>46194</v>
      </c>
      <c r="D205">
        <v>6.3</v>
      </c>
      <c r="E205">
        <v>2</v>
      </c>
      <c r="F205">
        <v>9</v>
      </c>
      <c r="G205" t="s">
        <v>125</v>
      </c>
      <c r="H205">
        <v>100</v>
      </c>
      <c r="I205">
        <v>0.5</v>
      </c>
      <c r="J205">
        <v>105</v>
      </c>
      <c r="K205">
        <v>0.48780499999999999</v>
      </c>
      <c r="L205">
        <v>0.47799885352003602</v>
      </c>
      <c r="M205">
        <v>663436</v>
      </c>
      <c r="N205" t="b">
        <v>0</v>
      </c>
      <c r="O205">
        <v>-122.2</v>
      </c>
      <c r="P205">
        <v>104.1</v>
      </c>
      <c r="Q205">
        <v>104.1</v>
      </c>
      <c r="R205" t="s">
        <v>73</v>
      </c>
      <c r="S205">
        <v>-132.4</v>
      </c>
      <c r="T205">
        <v>-132.4</v>
      </c>
      <c r="U205" t="s">
        <v>73</v>
      </c>
      <c r="V205">
        <v>10</v>
      </c>
      <c r="W205" t="s">
        <v>97</v>
      </c>
      <c r="X205">
        <v>-111</v>
      </c>
      <c r="Y205">
        <v>0.53</v>
      </c>
      <c r="Z205">
        <v>-114</v>
      </c>
      <c r="AA205">
        <v>0.53271000000000002</v>
      </c>
      <c r="AB205">
        <v>0.52200114647996299</v>
      </c>
      <c r="AC205">
        <v>672456</v>
      </c>
      <c r="AD205" t="b">
        <v>0</v>
      </c>
      <c r="AE205">
        <v>-100</v>
      </c>
      <c r="AF205">
        <v>-100.8</v>
      </c>
      <c r="AG205">
        <v>-100.8</v>
      </c>
      <c r="AH205" t="s">
        <v>73</v>
      </c>
      <c r="AI205">
        <v>132.4</v>
      </c>
      <c r="AJ205">
        <v>132.4</v>
      </c>
      <c r="AK205" t="s">
        <v>73</v>
      </c>
      <c r="AL205" t="s">
        <v>984</v>
      </c>
      <c r="AM205" t="s">
        <v>109</v>
      </c>
      <c r="AN205">
        <v>15</v>
      </c>
      <c r="AO205">
        <v>0.6</v>
      </c>
      <c r="AP205">
        <v>0.49</v>
      </c>
      <c r="AQ205">
        <v>-3.2000000000000001E-2</v>
      </c>
      <c r="AR205">
        <v>104.1</v>
      </c>
      <c r="AS205" t="s">
        <v>109</v>
      </c>
      <c r="AT205">
        <v>1</v>
      </c>
      <c r="AU205">
        <v>1.05</v>
      </c>
      <c r="AV205" t="s">
        <v>985</v>
      </c>
      <c r="AW205" t="s">
        <v>75</v>
      </c>
      <c r="AX205">
        <v>41</v>
      </c>
      <c r="AY205">
        <v>0.98</v>
      </c>
      <c r="AZ205">
        <v>0.54</v>
      </c>
      <c r="BA205">
        <v>1.7999999999999999E-2</v>
      </c>
      <c r="BB205">
        <v>-117.4</v>
      </c>
      <c r="BC205" t="s">
        <v>75</v>
      </c>
      <c r="BD205">
        <v>1</v>
      </c>
      <c r="BE205">
        <v>0.877</v>
      </c>
      <c r="BF205" t="s">
        <v>75</v>
      </c>
      <c r="BG205">
        <v>1.7999999999999999E-2</v>
      </c>
      <c r="BH205">
        <v>0</v>
      </c>
      <c r="BI205">
        <v>0</v>
      </c>
      <c r="BJ205">
        <v>5</v>
      </c>
      <c r="BK205">
        <v>0.98</v>
      </c>
      <c r="BL205" t="s">
        <v>718</v>
      </c>
    </row>
    <row r="206" spans="1:64" x14ac:dyDescent="0.2">
      <c r="A206">
        <v>823852</v>
      </c>
      <c r="B206" t="s">
        <v>1086</v>
      </c>
      <c r="C206" s="3">
        <v>46194</v>
      </c>
      <c r="D206">
        <v>6.3</v>
      </c>
      <c r="E206">
        <v>2</v>
      </c>
      <c r="F206">
        <v>25</v>
      </c>
      <c r="G206" t="s">
        <v>84</v>
      </c>
      <c r="H206">
        <v>-140</v>
      </c>
      <c r="I206">
        <v>0.57999999999999996</v>
      </c>
      <c r="J206">
        <v>-134</v>
      </c>
      <c r="K206">
        <v>0.57264999999999999</v>
      </c>
      <c r="L206">
        <v>0.56192895742135696</v>
      </c>
      <c r="M206">
        <v>657277</v>
      </c>
      <c r="N206" t="b">
        <v>0</v>
      </c>
      <c r="O206">
        <v>122.2</v>
      </c>
      <c r="P206">
        <v>105.6</v>
      </c>
      <c r="Q206">
        <v>105.6</v>
      </c>
      <c r="R206" t="s">
        <v>73</v>
      </c>
      <c r="S206">
        <v>-218.4</v>
      </c>
      <c r="T206" t="s">
        <v>654</v>
      </c>
      <c r="U206" t="s">
        <v>81</v>
      </c>
      <c r="V206">
        <v>11</v>
      </c>
      <c r="W206" t="s">
        <v>103</v>
      </c>
      <c r="X206">
        <v>126</v>
      </c>
      <c r="Y206">
        <v>0.44</v>
      </c>
      <c r="Z206">
        <v>124</v>
      </c>
      <c r="AA206">
        <v>0.44642900000000002</v>
      </c>
      <c r="AB206">
        <v>0.43807104257864199</v>
      </c>
      <c r="AC206">
        <v>687473</v>
      </c>
      <c r="AD206" t="b">
        <v>0</v>
      </c>
      <c r="AE206">
        <v>-185.7</v>
      </c>
      <c r="AF206">
        <v>-102.8</v>
      </c>
      <c r="AG206">
        <v>-102.8</v>
      </c>
      <c r="AH206" t="s">
        <v>73</v>
      </c>
      <c r="AI206">
        <v>218.4</v>
      </c>
      <c r="AJ206">
        <v>218.4</v>
      </c>
      <c r="AK206" t="s">
        <v>78</v>
      </c>
      <c r="AL206" t="s">
        <v>986</v>
      </c>
      <c r="AM206" t="s">
        <v>94</v>
      </c>
      <c r="AN206">
        <v>15</v>
      </c>
      <c r="AO206">
        <v>0.87</v>
      </c>
      <c r="AP206">
        <v>0.46</v>
      </c>
      <c r="AQ206">
        <v>2.1930000000000002E-2</v>
      </c>
      <c r="AR206">
        <v>117.4</v>
      </c>
      <c r="AS206" t="s">
        <v>94</v>
      </c>
      <c r="AT206">
        <v>0</v>
      </c>
      <c r="AU206">
        <v>0</v>
      </c>
      <c r="AV206" t="s">
        <v>987</v>
      </c>
      <c r="AW206" t="s">
        <v>94</v>
      </c>
      <c r="AX206">
        <v>41</v>
      </c>
      <c r="AY206">
        <v>0.63</v>
      </c>
      <c r="AZ206">
        <v>0.49</v>
      </c>
      <c r="BA206">
        <v>5.1929999999999997E-2</v>
      </c>
      <c r="BB206">
        <v>104.1</v>
      </c>
      <c r="BC206" t="s">
        <v>94</v>
      </c>
      <c r="BD206">
        <v>0</v>
      </c>
      <c r="BE206">
        <v>0</v>
      </c>
      <c r="BF206" t="s">
        <v>83</v>
      </c>
      <c r="BG206">
        <v>0</v>
      </c>
      <c r="BH206">
        <v>0</v>
      </c>
      <c r="BI206">
        <v>0</v>
      </c>
      <c r="BJ206">
        <v>0</v>
      </c>
      <c r="BK206">
        <v>0</v>
      </c>
      <c r="BL206" t="s">
        <v>719</v>
      </c>
    </row>
    <row r="207" spans="1:64" x14ac:dyDescent="0.2">
      <c r="A207">
        <v>824177</v>
      </c>
      <c r="B207" t="s">
        <v>1087</v>
      </c>
      <c r="C207" s="3">
        <v>46194</v>
      </c>
      <c r="D207">
        <v>6.3</v>
      </c>
      <c r="E207">
        <v>2</v>
      </c>
      <c r="F207">
        <v>7</v>
      </c>
      <c r="G207" t="s">
        <v>137</v>
      </c>
      <c r="H207">
        <v>114</v>
      </c>
      <c r="I207">
        <v>0.47</v>
      </c>
      <c r="J207">
        <v>119</v>
      </c>
      <c r="K207">
        <v>0.456621</v>
      </c>
      <c r="L207">
        <v>0.447693981998941</v>
      </c>
      <c r="M207">
        <v>677944</v>
      </c>
      <c r="N207" t="b">
        <v>0</v>
      </c>
      <c r="O207">
        <v>122.2</v>
      </c>
      <c r="P207">
        <v>-101.4</v>
      </c>
      <c r="Q207">
        <v>-101.4</v>
      </c>
      <c r="R207" t="s">
        <v>73</v>
      </c>
      <c r="S207">
        <v>111</v>
      </c>
      <c r="T207">
        <v>111</v>
      </c>
      <c r="U207" t="s">
        <v>73</v>
      </c>
      <c r="V207">
        <v>12</v>
      </c>
      <c r="W207" t="s">
        <v>108</v>
      </c>
      <c r="X207">
        <v>-125</v>
      </c>
      <c r="Y207">
        <v>0.56000000000000005</v>
      </c>
      <c r="Z207">
        <v>-129</v>
      </c>
      <c r="AA207">
        <v>0.56331900000000001</v>
      </c>
      <c r="AB207">
        <v>0.55230601800105805</v>
      </c>
      <c r="AC207">
        <v>678906</v>
      </c>
      <c r="AD207" t="b">
        <v>0</v>
      </c>
      <c r="AE207">
        <v>-100</v>
      </c>
      <c r="AF207">
        <v>105.6</v>
      </c>
      <c r="AG207">
        <v>105.6</v>
      </c>
      <c r="AH207" t="s">
        <v>73</v>
      </c>
      <c r="AI207">
        <v>-111</v>
      </c>
      <c r="AJ207">
        <v>-111</v>
      </c>
      <c r="AK207" t="s">
        <v>73</v>
      </c>
      <c r="AL207" t="s">
        <v>988</v>
      </c>
      <c r="AM207" t="s">
        <v>75</v>
      </c>
      <c r="AN207">
        <v>15</v>
      </c>
      <c r="AO207">
        <v>0.73</v>
      </c>
      <c r="AP207">
        <v>0.54</v>
      </c>
      <c r="AQ207">
        <v>-1.231E-2</v>
      </c>
      <c r="AR207">
        <v>-117.4</v>
      </c>
      <c r="AS207" t="s">
        <v>75</v>
      </c>
      <c r="AT207">
        <v>0</v>
      </c>
      <c r="AU207">
        <v>0</v>
      </c>
      <c r="AV207" t="s">
        <v>989</v>
      </c>
      <c r="AW207" t="s">
        <v>75</v>
      </c>
      <c r="AX207">
        <v>41</v>
      </c>
      <c r="AY207">
        <v>0.66</v>
      </c>
      <c r="AZ207">
        <v>0.5</v>
      </c>
      <c r="BA207">
        <v>-5.2310000000000002E-2</v>
      </c>
      <c r="BB207">
        <v>-100</v>
      </c>
      <c r="BC207" t="s">
        <v>75</v>
      </c>
      <c r="BD207">
        <v>0</v>
      </c>
      <c r="BE207">
        <v>0</v>
      </c>
      <c r="BF207" t="s">
        <v>83</v>
      </c>
      <c r="BG207">
        <v>0</v>
      </c>
      <c r="BH207">
        <v>0</v>
      </c>
      <c r="BI207">
        <v>0</v>
      </c>
      <c r="BJ207">
        <v>0</v>
      </c>
      <c r="BK207">
        <v>0</v>
      </c>
      <c r="BL207" t="s">
        <v>720</v>
      </c>
    </row>
    <row r="208" spans="1:64" x14ac:dyDescent="0.2">
      <c r="A208">
        <v>824095</v>
      </c>
      <c r="B208" t="s">
        <v>1088</v>
      </c>
      <c r="C208" s="3">
        <v>46194</v>
      </c>
      <c r="D208">
        <v>6.3</v>
      </c>
      <c r="E208">
        <v>2</v>
      </c>
      <c r="F208">
        <v>26</v>
      </c>
      <c r="G208" t="s">
        <v>134</v>
      </c>
      <c r="H208">
        <v>-122</v>
      </c>
      <c r="I208">
        <v>0.55000000000000004</v>
      </c>
      <c r="J208">
        <v>-121</v>
      </c>
      <c r="K208">
        <v>0.54751099999999997</v>
      </c>
      <c r="L208">
        <v>0.53719207738550101</v>
      </c>
      <c r="M208">
        <v>669160</v>
      </c>
      <c r="N208" t="b">
        <v>0</v>
      </c>
      <c r="O208">
        <v>-122.2</v>
      </c>
      <c r="P208">
        <v>108.5</v>
      </c>
      <c r="Q208">
        <v>108.5</v>
      </c>
      <c r="R208" t="s">
        <v>78</v>
      </c>
      <c r="S208">
        <v>-126.7</v>
      </c>
      <c r="T208">
        <v>-126.7</v>
      </c>
      <c r="U208" t="s">
        <v>73</v>
      </c>
      <c r="V208">
        <v>13</v>
      </c>
      <c r="W208" t="s">
        <v>118</v>
      </c>
      <c r="X208">
        <v>111</v>
      </c>
      <c r="Y208">
        <v>0.47</v>
      </c>
      <c r="Z208">
        <v>112</v>
      </c>
      <c r="AA208">
        <v>0.47169800000000001</v>
      </c>
      <c r="AB208">
        <v>0.46280792261449799</v>
      </c>
      <c r="AC208">
        <v>663568</v>
      </c>
      <c r="AD208" t="b">
        <v>0</v>
      </c>
      <c r="AE208">
        <v>-100</v>
      </c>
      <c r="AF208">
        <v>-100.1</v>
      </c>
      <c r="AG208">
        <v>-100.1</v>
      </c>
      <c r="AH208" t="s">
        <v>73</v>
      </c>
      <c r="AI208">
        <v>126.7</v>
      </c>
      <c r="AJ208">
        <v>126.7</v>
      </c>
      <c r="AK208" t="s">
        <v>73</v>
      </c>
      <c r="AL208" t="s">
        <v>990</v>
      </c>
      <c r="AM208" t="s">
        <v>94</v>
      </c>
      <c r="AN208">
        <v>15</v>
      </c>
      <c r="AO208">
        <v>0.8</v>
      </c>
      <c r="AP208">
        <v>0.47</v>
      </c>
      <c r="AQ208">
        <v>7.1900000000000002E-3</v>
      </c>
      <c r="AR208">
        <v>112.8</v>
      </c>
      <c r="AS208" t="s">
        <v>94</v>
      </c>
      <c r="AT208">
        <v>0</v>
      </c>
      <c r="AU208">
        <v>0</v>
      </c>
      <c r="AV208" t="s">
        <v>991</v>
      </c>
      <c r="AW208" t="s">
        <v>187</v>
      </c>
      <c r="AX208">
        <v>41</v>
      </c>
      <c r="AY208">
        <v>0.95</v>
      </c>
      <c r="AZ208">
        <v>0.53</v>
      </c>
      <c r="BA208">
        <v>6.719E-2</v>
      </c>
      <c r="BB208">
        <v>-112.8</v>
      </c>
      <c r="BC208" t="s">
        <v>187</v>
      </c>
      <c r="BD208">
        <v>1</v>
      </c>
      <c r="BE208">
        <v>1.1200000000000001</v>
      </c>
      <c r="BF208" t="s">
        <v>83</v>
      </c>
      <c r="BG208">
        <v>0</v>
      </c>
      <c r="BH208">
        <v>0</v>
      </c>
      <c r="BI208">
        <v>0</v>
      </c>
      <c r="BJ208">
        <v>0</v>
      </c>
      <c r="BK208">
        <v>0</v>
      </c>
      <c r="BL208" t="s">
        <v>721</v>
      </c>
    </row>
    <row r="209" spans="1:64" x14ac:dyDescent="0.2">
      <c r="A209">
        <v>823934</v>
      </c>
      <c r="B209" t="s">
        <v>655</v>
      </c>
      <c r="C209" s="3">
        <v>46194</v>
      </c>
      <c r="D209">
        <v>6.3</v>
      </c>
      <c r="E209">
        <v>2</v>
      </c>
      <c r="F209">
        <v>2</v>
      </c>
      <c r="G209" t="s">
        <v>141</v>
      </c>
      <c r="H209">
        <v>188</v>
      </c>
      <c r="I209">
        <v>0.35</v>
      </c>
      <c r="J209">
        <v>206</v>
      </c>
      <c r="K209">
        <v>0.326797</v>
      </c>
      <c r="L209">
        <v>0.31978757611904601</v>
      </c>
      <c r="M209">
        <v>687064</v>
      </c>
      <c r="N209" t="b">
        <v>0</v>
      </c>
      <c r="O209">
        <v>-100</v>
      </c>
      <c r="P209">
        <v>103.3</v>
      </c>
      <c r="Q209">
        <v>103.3</v>
      </c>
      <c r="R209" t="s">
        <v>73</v>
      </c>
      <c r="S209">
        <v>153.80000000000001</v>
      </c>
      <c r="T209">
        <v>153.80000000000001</v>
      </c>
      <c r="U209" t="s">
        <v>78</v>
      </c>
      <c r="V209">
        <v>14</v>
      </c>
      <c r="W209" t="s">
        <v>113</v>
      </c>
      <c r="X209">
        <v>-212</v>
      </c>
      <c r="Y209">
        <v>0.68</v>
      </c>
      <c r="Z209">
        <v>-228</v>
      </c>
      <c r="AA209">
        <v>0.69512200000000002</v>
      </c>
      <c r="AB209">
        <v>0.68021242388095304</v>
      </c>
      <c r="AC209">
        <v>686218</v>
      </c>
      <c r="AD209" t="b">
        <v>0</v>
      </c>
      <c r="AE209">
        <v>-150</v>
      </c>
      <c r="AF209">
        <v>-118.1</v>
      </c>
      <c r="AG209" t="s">
        <v>249</v>
      </c>
      <c r="AH209" t="s">
        <v>116</v>
      </c>
      <c r="AI209">
        <v>-153.80000000000001</v>
      </c>
      <c r="AJ209" t="s">
        <v>656</v>
      </c>
      <c r="AK209" t="s">
        <v>81</v>
      </c>
      <c r="AL209" t="s">
        <v>992</v>
      </c>
      <c r="AM209" t="s">
        <v>75</v>
      </c>
      <c r="AN209">
        <v>15</v>
      </c>
      <c r="AO209">
        <v>1</v>
      </c>
      <c r="AP209">
        <v>0.6</v>
      </c>
      <c r="AQ209">
        <v>-8.0210000000000004E-2</v>
      </c>
      <c r="AR209">
        <v>-150</v>
      </c>
      <c r="AS209" t="s">
        <v>75</v>
      </c>
      <c r="AT209">
        <v>0</v>
      </c>
      <c r="AU209">
        <v>0</v>
      </c>
      <c r="AV209" t="s">
        <v>993</v>
      </c>
      <c r="AW209" t="s">
        <v>75</v>
      </c>
      <c r="AX209">
        <v>41</v>
      </c>
      <c r="AY209">
        <v>1</v>
      </c>
      <c r="AZ209">
        <v>0.59</v>
      </c>
      <c r="BA209">
        <v>-9.0209999999999999E-2</v>
      </c>
      <c r="BB209">
        <v>-143.9</v>
      </c>
      <c r="BC209" t="s">
        <v>75</v>
      </c>
      <c r="BD209">
        <v>0</v>
      </c>
      <c r="BE209">
        <v>0</v>
      </c>
      <c r="BF209" t="s">
        <v>83</v>
      </c>
      <c r="BG209">
        <v>0</v>
      </c>
      <c r="BH209">
        <v>0</v>
      </c>
      <c r="BI209">
        <v>0</v>
      </c>
      <c r="BJ209">
        <v>0</v>
      </c>
      <c r="BK209">
        <v>0</v>
      </c>
      <c r="BL209" t="s">
        <v>657</v>
      </c>
    </row>
    <row r="210" spans="1:64" x14ac:dyDescent="0.2">
      <c r="A210">
        <v>823531</v>
      </c>
      <c r="B210" t="s">
        <v>1089</v>
      </c>
      <c r="C210" s="3">
        <v>46194</v>
      </c>
      <c r="D210">
        <v>6.3</v>
      </c>
      <c r="E210">
        <v>2</v>
      </c>
      <c r="F210">
        <v>6</v>
      </c>
      <c r="G210" t="s">
        <v>133</v>
      </c>
      <c r="H210">
        <v>-106</v>
      </c>
      <c r="I210">
        <v>0.51</v>
      </c>
      <c r="J210">
        <v>101</v>
      </c>
      <c r="K210">
        <v>0.49751200000000001</v>
      </c>
      <c r="L210">
        <v>0.487125509878373</v>
      </c>
      <c r="M210">
        <v>695505</v>
      </c>
      <c r="N210" t="b">
        <v>0</v>
      </c>
      <c r="O210">
        <v>185.7</v>
      </c>
      <c r="P210">
        <v>107.8</v>
      </c>
      <c r="Q210">
        <v>107.8</v>
      </c>
      <c r="R210" t="s">
        <v>78</v>
      </c>
      <c r="S210">
        <v>-345.5</v>
      </c>
      <c r="T210" t="s">
        <v>658</v>
      </c>
      <c r="U210" t="s">
        <v>143</v>
      </c>
      <c r="V210">
        <v>19</v>
      </c>
      <c r="W210" t="s">
        <v>123</v>
      </c>
      <c r="X210">
        <v>-104</v>
      </c>
      <c r="Y210">
        <v>0.51</v>
      </c>
      <c r="Z210">
        <v>-110</v>
      </c>
      <c r="AA210">
        <v>0.52381</v>
      </c>
      <c r="AB210">
        <v>0.512874490121626</v>
      </c>
      <c r="AC210">
        <v>695684</v>
      </c>
      <c r="AD210" t="b">
        <v>0</v>
      </c>
      <c r="AE210">
        <v>-185.7</v>
      </c>
      <c r="AF210">
        <v>-112.8</v>
      </c>
      <c r="AG210" t="s">
        <v>659</v>
      </c>
      <c r="AH210" t="s">
        <v>81</v>
      </c>
      <c r="AI210">
        <v>345.5</v>
      </c>
      <c r="AJ210">
        <v>345.5</v>
      </c>
      <c r="AK210" t="s">
        <v>93</v>
      </c>
      <c r="AL210" t="s">
        <v>994</v>
      </c>
      <c r="AM210" t="s">
        <v>75</v>
      </c>
      <c r="AN210">
        <v>15</v>
      </c>
      <c r="AO210">
        <v>0.93</v>
      </c>
      <c r="AP210">
        <v>0.52</v>
      </c>
      <c r="AQ210">
        <v>7.1300000000000001E-3</v>
      </c>
      <c r="AR210">
        <v>-108.3</v>
      </c>
      <c r="AS210" t="s">
        <v>75</v>
      </c>
      <c r="AT210">
        <v>1</v>
      </c>
      <c r="AU210">
        <v>0.90900000000000003</v>
      </c>
      <c r="AV210" t="s">
        <v>995</v>
      </c>
      <c r="AW210" t="s">
        <v>75</v>
      </c>
      <c r="AX210">
        <v>41</v>
      </c>
      <c r="AY210">
        <v>0.93</v>
      </c>
      <c r="AZ210">
        <v>0.51</v>
      </c>
      <c r="BA210">
        <v>-2.8700000000000002E-3</v>
      </c>
      <c r="BB210">
        <v>-104.1</v>
      </c>
      <c r="BC210" t="s">
        <v>75</v>
      </c>
      <c r="BD210">
        <v>0</v>
      </c>
      <c r="BE210">
        <v>0</v>
      </c>
      <c r="BF210" t="s">
        <v>75</v>
      </c>
      <c r="BG210">
        <v>7.1300000000000001E-3</v>
      </c>
      <c r="BH210">
        <v>0</v>
      </c>
      <c r="BI210">
        <v>0</v>
      </c>
      <c r="BJ210">
        <v>3</v>
      </c>
      <c r="BK210">
        <v>0.93</v>
      </c>
      <c r="BL210" t="s">
        <v>722</v>
      </c>
    </row>
    <row r="211" spans="1:64" x14ac:dyDescent="0.2">
      <c r="A211">
        <v>824987</v>
      </c>
      <c r="B211" t="s">
        <v>1090</v>
      </c>
      <c r="C211" s="3">
        <v>46194</v>
      </c>
      <c r="D211">
        <v>6.3</v>
      </c>
      <c r="E211">
        <v>2</v>
      </c>
      <c r="F211">
        <v>4</v>
      </c>
      <c r="G211" t="s">
        <v>111</v>
      </c>
      <c r="H211">
        <v>116</v>
      </c>
      <c r="I211">
        <v>0.46</v>
      </c>
      <c r="J211">
        <v>116</v>
      </c>
      <c r="K211">
        <v>0.46296300000000001</v>
      </c>
      <c r="L211">
        <v>0.45366957868072499</v>
      </c>
      <c r="M211">
        <v>672282</v>
      </c>
      <c r="N211" t="b">
        <v>0</v>
      </c>
      <c r="O211">
        <v>122.2</v>
      </c>
      <c r="P211">
        <v>108</v>
      </c>
      <c r="Q211">
        <v>108</v>
      </c>
      <c r="R211" t="s">
        <v>78</v>
      </c>
      <c r="S211">
        <v>-137.19999999999999</v>
      </c>
      <c r="T211">
        <v>-137.19999999999999</v>
      </c>
      <c r="U211" t="s">
        <v>73</v>
      </c>
      <c r="V211">
        <v>20</v>
      </c>
      <c r="W211" t="s">
        <v>107</v>
      </c>
      <c r="X211">
        <v>-126</v>
      </c>
      <c r="Y211">
        <v>0.56000000000000005</v>
      </c>
      <c r="Z211">
        <v>-126</v>
      </c>
      <c r="AA211">
        <v>0.55752199999999996</v>
      </c>
      <c r="AB211">
        <v>0.54633042131927401</v>
      </c>
      <c r="AC211">
        <v>678022</v>
      </c>
      <c r="AD211" t="b">
        <v>0</v>
      </c>
      <c r="AE211">
        <v>-122.2</v>
      </c>
      <c r="AF211">
        <v>-100.5</v>
      </c>
      <c r="AG211">
        <v>-100.5</v>
      </c>
      <c r="AH211" t="s">
        <v>73</v>
      </c>
      <c r="AI211">
        <v>137.19999999999999</v>
      </c>
      <c r="AJ211">
        <v>137.19999999999999</v>
      </c>
      <c r="AK211" t="s">
        <v>73</v>
      </c>
      <c r="AL211" t="s">
        <v>996</v>
      </c>
      <c r="AM211" t="s">
        <v>75</v>
      </c>
      <c r="AN211">
        <v>15</v>
      </c>
      <c r="AO211">
        <v>0.73</v>
      </c>
      <c r="AP211">
        <v>0.51</v>
      </c>
      <c r="AQ211">
        <v>-3.6330000000000001E-2</v>
      </c>
      <c r="AR211">
        <v>-104.1</v>
      </c>
      <c r="AS211" t="s">
        <v>75</v>
      </c>
      <c r="AT211">
        <v>0</v>
      </c>
      <c r="AU211">
        <v>0</v>
      </c>
      <c r="AV211" t="s">
        <v>997</v>
      </c>
      <c r="AW211" t="s">
        <v>109</v>
      </c>
      <c r="AX211">
        <v>41</v>
      </c>
      <c r="AY211">
        <v>0.71</v>
      </c>
      <c r="AZ211">
        <v>0.48</v>
      </c>
      <c r="BA211">
        <v>-6.633E-2</v>
      </c>
      <c r="BB211">
        <v>108.3</v>
      </c>
      <c r="BC211" t="s">
        <v>109</v>
      </c>
      <c r="BD211">
        <v>1</v>
      </c>
      <c r="BE211">
        <v>1.1599999999999999</v>
      </c>
      <c r="BF211" t="s">
        <v>83</v>
      </c>
      <c r="BG211">
        <v>0</v>
      </c>
      <c r="BH211">
        <v>0</v>
      </c>
      <c r="BI211">
        <v>0</v>
      </c>
      <c r="BJ211">
        <v>0</v>
      </c>
      <c r="BK211">
        <v>0</v>
      </c>
      <c r="BL211" t="s">
        <v>660</v>
      </c>
    </row>
    <row r="212" spans="1:64" x14ac:dyDescent="0.2">
      <c r="A212">
        <v>823449</v>
      </c>
      <c r="B212" t="s">
        <v>1091</v>
      </c>
      <c r="C212" s="3">
        <v>46194</v>
      </c>
      <c r="D212">
        <v>6.3</v>
      </c>
      <c r="E212">
        <v>2</v>
      </c>
      <c r="F212">
        <v>18</v>
      </c>
      <c r="G212" t="s">
        <v>129</v>
      </c>
      <c r="H212">
        <v>171</v>
      </c>
      <c r="I212">
        <v>0.37</v>
      </c>
      <c r="J212">
        <v>157</v>
      </c>
      <c r="K212">
        <v>0.38910499999999998</v>
      </c>
      <c r="L212">
        <v>0.38093098296748301</v>
      </c>
      <c r="M212">
        <v>656849</v>
      </c>
      <c r="N212" t="b">
        <v>0</v>
      </c>
      <c r="O212">
        <v>-122.2</v>
      </c>
      <c r="P212">
        <v>105.2</v>
      </c>
      <c r="Q212">
        <v>105.2</v>
      </c>
      <c r="R212" t="s">
        <v>73</v>
      </c>
      <c r="S212">
        <v>156.4</v>
      </c>
      <c r="T212">
        <v>156.4</v>
      </c>
      <c r="U212" t="s">
        <v>78</v>
      </c>
      <c r="V212">
        <v>21</v>
      </c>
      <c r="W212" t="s">
        <v>127</v>
      </c>
      <c r="X212">
        <v>-192</v>
      </c>
      <c r="Y212">
        <v>0.66</v>
      </c>
      <c r="Z212">
        <v>-172</v>
      </c>
      <c r="AA212">
        <v>0.63235300000000005</v>
      </c>
      <c r="AB212">
        <v>0.61906901703251604</v>
      </c>
      <c r="AC212">
        <v>554430</v>
      </c>
      <c r="AD212" t="b">
        <v>0</v>
      </c>
      <c r="AE212">
        <v>-150</v>
      </c>
      <c r="AF212">
        <v>-104.3</v>
      </c>
      <c r="AG212">
        <v>-104.3</v>
      </c>
      <c r="AH212" t="s">
        <v>73</v>
      </c>
      <c r="AI212">
        <v>-156.4</v>
      </c>
      <c r="AJ212" t="s">
        <v>661</v>
      </c>
      <c r="AK212" t="s">
        <v>81</v>
      </c>
      <c r="AL212" t="s">
        <v>998</v>
      </c>
      <c r="AM212" t="s">
        <v>75</v>
      </c>
      <c r="AN212">
        <v>15</v>
      </c>
      <c r="AO212">
        <v>0.87</v>
      </c>
      <c r="AP212">
        <v>0.55000000000000004</v>
      </c>
      <c r="AQ212">
        <v>-6.9070000000000006E-2</v>
      </c>
      <c r="AR212">
        <v>-122.2</v>
      </c>
      <c r="AS212" t="s">
        <v>75</v>
      </c>
      <c r="AT212">
        <v>0</v>
      </c>
      <c r="AU212">
        <v>0</v>
      </c>
      <c r="AV212" t="s">
        <v>662</v>
      </c>
      <c r="AW212" t="s">
        <v>75</v>
      </c>
      <c r="AX212">
        <v>41</v>
      </c>
      <c r="AY212">
        <v>0.98</v>
      </c>
      <c r="AZ212">
        <v>0.54</v>
      </c>
      <c r="BA212">
        <v>-7.9070000000000001E-2</v>
      </c>
      <c r="BB212">
        <v>-117.4</v>
      </c>
      <c r="BC212" t="s">
        <v>75</v>
      </c>
      <c r="BD212">
        <v>0</v>
      </c>
      <c r="BE212">
        <v>0</v>
      </c>
      <c r="BF212" t="s">
        <v>83</v>
      </c>
      <c r="BG212">
        <v>0</v>
      </c>
      <c r="BH212">
        <v>0</v>
      </c>
      <c r="BI212">
        <v>0</v>
      </c>
      <c r="BJ212">
        <v>0</v>
      </c>
      <c r="BK212">
        <v>0</v>
      </c>
      <c r="BL212" t="s">
        <v>663</v>
      </c>
    </row>
    <row r="213" spans="1:64" x14ac:dyDescent="0.2">
      <c r="A213">
        <v>823123</v>
      </c>
      <c r="B213" t="s">
        <v>1092</v>
      </c>
      <c r="C213" s="3">
        <v>46194</v>
      </c>
      <c r="D213">
        <v>6.3</v>
      </c>
      <c r="E213">
        <v>2</v>
      </c>
      <c r="F213">
        <v>3</v>
      </c>
      <c r="G213" t="s">
        <v>122</v>
      </c>
      <c r="H213">
        <v>119</v>
      </c>
      <c r="I213">
        <v>0.46</v>
      </c>
      <c r="J213">
        <v>109</v>
      </c>
      <c r="K213">
        <v>0.47846899999999998</v>
      </c>
      <c r="L213">
        <v>0.46920087511387498</v>
      </c>
      <c r="M213">
        <v>801139</v>
      </c>
      <c r="N213" t="b">
        <v>0</v>
      </c>
      <c r="O213">
        <v>150</v>
      </c>
      <c r="P213">
        <v>-104</v>
      </c>
      <c r="Q213">
        <v>-104</v>
      </c>
      <c r="R213" t="s">
        <v>73</v>
      </c>
      <c r="S213">
        <v>111.7</v>
      </c>
      <c r="T213">
        <v>111.7</v>
      </c>
      <c r="U213" t="s">
        <v>73</v>
      </c>
      <c r="V213">
        <v>24</v>
      </c>
      <c r="W213" t="s">
        <v>96</v>
      </c>
      <c r="X213">
        <v>-132</v>
      </c>
      <c r="Y213">
        <v>0.56999999999999995</v>
      </c>
      <c r="Z213">
        <v>-118</v>
      </c>
      <c r="AA213">
        <v>0.54128399999999999</v>
      </c>
      <c r="AB213">
        <v>0.53079912488612402</v>
      </c>
      <c r="AC213">
        <v>669302</v>
      </c>
      <c r="AD213" t="b">
        <v>0</v>
      </c>
      <c r="AE213">
        <v>-100</v>
      </c>
      <c r="AF213">
        <v>-107.5</v>
      </c>
      <c r="AG213" t="s">
        <v>664</v>
      </c>
      <c r="AH213" t="s">
        <v>81</v>
      </c>
      <c r="AI213">
        <v>-111.7</v>
      </c>
      <c r="AJ213">
        <v>-111.7</v>
      </c>
      <c r="AK213" t="s">
        <v>73</v>
      </c>
      <c r="AL213" t="s">
        <v>999</v>
      </c>
      <c r="AM213" t="s">
        <v>75</v>
      </c>
      <c r="AN213">
        <v>15</v>
      </c>
      <c r="AO213">
        <v>0.67</v>
      </c>
      <c r="AP213">
        <v>0.52</v>
      </c>
      <c r="AQ213">
        <v>-1.0800000000000001E-2</v>
      </c>
      <c r="AR213">
        <v>-108.3</v>
      </c>
      <c r="AS213" t="s">
        <v>75</v>
      </c>
      <c r="AT213">
        <v>0</v>
      </c>
      <c r="AU213">
        <v>0</v>
      </c>
      <c r="AV213" t="s">
        <v>665</v>
      </c>
      <c r="AW213" t="s">
        <v>75</v>
      </c>
      <c r="AX213">
        <v>41</v>
      </c>
      <c r="AY213">
        <v>0.93</v>
      </c>
      <c r="AZ213">
        <v>0.53</v>
      </c>
      <c r="BA213">
        <v>-8.0000000000000004E-4</v>
      </c>
      <c r="BB213">
        <v>-112.8</v>
      </c>
      <c r="BC213" t="s">
        <v>75</v>
      </c>
      <c r="BD213">
        <v>0</v>
      </c>
      <c r="BE213">
        <v>0</v>
      </c>
      <c r="BF213" t="s">
        <v>83</v>
      </c>
      <c r="BG213">
        <v>0</v>
      </c>
      <c r="BH213">
        <v>0</v>
      </c>
      <c r="BI213">
        <v>0</v>
      </c>
      <c r="BJ213">
        <v>0</v>
      </c>
      <c r="BK213">
        <v>0</v>
      </c>
      <c r="BL213" t="s">
        <v>666</v>
      </c>
    </row>
    <row r="214" spans="1:64" x14ac:dyDescent="0.2">
      <c r="A214">
        <v>822968</v>
      </c>
      <c r="B214" t="s">
        <v>1093</v>
      </c>
      <c r="C214" s="3">
        <v>46194</v>
      </c>
      <c r="D214">
        <v>6.3</v>
      </c>
      <c r="E214">
        <v>2</v>
      </c>
      <c r="F214">
        <v>16</v>
      </c>
      <c r="G214" t="s">
        <v>77</v>
      </c>
      <c r="H214">
        <v>117</v>
      </c>
      <c r="I214">
        <v>0.46</v>
      </c>
      <c r="J214">
        <v>117</v>
      </c>
      <c r="K214">
        <v>0.46082899999999999</v>
      </c>
      <c r="L214">
        <v>0.45166029599137503</v>
      </c>
      <c r="M214">
        <v>674841</v>
      </c>
      <c r="N214" t="b">
        <v>0</v>
      </c>
      <c r="O214">
        <v>-122.2</v>
      </c>
      <c r="P214">
        <v>111.7</v>
      </c>
      <c r="Q214">
        <v>111.7</v>
      </c>
      <c r="R214" t="s">
        <v>78</v>
      </c>
      <c r="S214">
        <v>-119</v>
      </c>
      <c r="T214">
        <v>-119</v>
      </c>
      <c r="U214" t="s">
        <v>73</v>
      </c>
      <c r="V214">
        <v>27</v>
      </c>
      <c r="W214" t="s">
        <v>101</v>
      </c>
      <c r="X214">
        <v>-129</v>
      </c>
      <c r="Y214">
        <v>0.56000000000000005</v>
      </c>
      <c r="Z214">
        <v>-127</v>
      </c>
      <c r="AA214">
        <v>0.55947100000000005</v>
      </c>
      <c r="AB214">
        <v>0.54833970400862497</v>
      </c>
      <c r="AC214">
        <v>607259</v>
      </c>
      <c r="AD214" t="b">
        <v>0</v>
      </c>
      <c r="AE214">
        <v>150</v>
      </c>
      <c r="AF214">
        <v>-100.2</v>
      </c>
      <c r="AG214">
        <v>-100.2</v>
      </c>
      <c r="AH214" t="s">
        <v>73</v>
      </c>
      <c r="AI214">
        <v>119</v>
      </c>
      <c r="AJ214">
        <v>119</v>
      </c>
      <c r="AK214" t="s">
        <v>73</v>
      </c>
      <c r="AL214" t="s">
        <v>1000</v>
      </c>
      <c r="AM214" t="s">
        <v>75</v>
      </c>
      <c r="AN214">
        <v>15</v>
      </c>
      <c r="AO214">
        <v>0.8</v>
      </c>
      <c r="AP214">
        <v>0.53</v>
      </c>
      <c r="AQ214">
        <v>-1.8339999999999999E-2</v>
      </c>
      <c r="AR214">
        <v>-112.8</v>
      </c>
      <c r="AS214" t="s">
        <v>75</v>
      </c>
      <c r="AT214">
        <v>0</v>
      </c>
      <c r="AU214">
        <v>0</v>
      </c>
      <c r="AV214" t="s">
        <v>1001</v>
      </c>
      <c r="AW214" t="s">
        <v>75</v>
      </c>
      <c r="AX214">
        <v>41</v>
      </c>
      <c r="AY214">
        <v>0.88</v>
      </c>
      <c r="AZ214">
        <v>0.52</v>
      </c>
      <c r="BA214">
        <v>-2.8340000000000001E-2</v>
      </c>
      <c r="BB214">
        <v>-108.3</v>
      </c>
      <c r="BC214" t="s">
        <v>75</v>
      </c>
      <c r="BD214">
        <v>0</v>
      </c>
      <c r="BE214">
        <v>0</v>
      </c>
      <c r="BF214" t="s">
        <v>83</v>
      </c>
      <c r="BG214">
        <v>0</v>
      </c>
      <c r="BH214">
        <v>0</v>
      </c>
      <c r="BI214">
        <v>0</v>
      </c>
      <c r="BJ214">
        <v>0</v>
      </c>
      <c r="BK214">
        <v>0</v>
      </c>
      <c r="BL214" t="s">
        <v>723</v>
      </c>
    </row>
    <row r="215" spans="1:64" x14ac:dyDescent="0.2">
      <c r="A215">
        <v>822883</v>
      </c>
      <c r="B215" t="s">
        <v>1094</v>
      </c>
      <c r="C215" s="3">
        <v>46194</v>
      </c>
      <c r="D215">
        <v>6.3</v>
      </c>
      <c r="E215">
        <v>2</v>
      </c>
      <c r="F215">
        <v>23</v>
      </c>
      <c r="G215" t="s">
        <v>130</v>
      </c>
      <c r="H215">
        <v>127</v>
      </c>
      <c r="I215">
        <v>0.44</v>
      </c>
      <c r="J215">
        <v>147</v>
      </c>
      <c r="K215">
        <v>0.404858</v>
      </c>
      <c r="L215">
        <v>0.396825070105847</v>
      </c>
      <c r="M215">
        <v>593974</v>
      </c>
      <c r="N215" t="b">
        <v>0</v>
      </c>
      <c r="O215">
        <v>150</v>
      </c>
      <c r="P215">
        <v>-100.6</v>
      </c>
      <c r="Q215">
        <v>-100.6</v>
      </c>
      <c r="R215" t="s">
        <v>73</v>
      </c>
      <c r="S215">
        <v>386</v>
      </c>
      <c r="T215">
        <v>386</v>
      </c>
      <c r="U215" t="s">
        <v>126</v>
      </c>
      <c r="V215">
        <v>28</v>
      </c>
      <c r="W215" t="s">
        <v>138</v>
      </c>
      <c r="X215">
        <v>-141</v>
      </c>
      <c r="Y215">
        <v>0.59</v>
      </c>
      <c r="Z215">
        <v>-160</v>
      </c>
      <c r="AA215">
        <v>0.61538499999999996</v>
      </c>
      <c r="AB215">
        <v>0.603174929894152</v>
      </c>
      <c r="AC215">
        <v>543135</v>
      </c>
      <c r="AD215" t="b">
        <v>0</v>
      </c>
      <c r="AE215">
        <v>-122.2</v>
      </c>
      <c r="AF215">
        <v>-102.1</v>
      </c>
      <c r="AG215">
        <v>-102.1</v>
      </c>
      <c r="AH215" t="s">
        <v>73</v>
      </c>
      <c r="AI215">
        <v>-386</v>
      </c>
      <c r="AJ215">
        <v>-386</v>
      </c>
      <c r="AK215" t="s">
        <v>128</v>
      </c>
      <c r="AL215" t="s">
        <v>1002</v>
      </c>
      <c r="AM215" t="s">
        <v>75</v>
      </c>
      <c r="AN215">
        <v>15</v>
      </c>
      <c r="AO215">
        <v>1</v>
      </c>
      <c r="AP215">
        <v>0.56000000000000005</v>
      </c>
      <c r="AQ215">
        <v>-4.317E-2</v>
      </c>
      <c r="AR215">
        <v>-127.3</v>
      </c>
      <c r="AS215" t="s">
        <v>75</v>
      </c>
      <c r="AT215">
        <v>0</v>
      </c>
      <c r="AU215">
        <v>0</v>
      </c>
      <c r="AV215" t="s">
        <v>1003</v>
      </c>
      <c r="AW215" t="s">
        <v>75</v>
      </c>
      <c r="AX215">
        <v>41</v>
      </c>
      <c r="AY215">
        <v>0.95</v>
      </c>
      <c r="AZ215">
        <v>0.53</v>
      </c>
      <c r="BA215">
        <v>-7.3169999999999999E-2</v>
      </c>
      <c r="BB215">
        <v>-112.8</v>
      </c>
      <c r="BC215" t="s">
        <v>75</v>
      </c>
      <c r="BD215">
        <v>0</v>
      </c>
      <c r="BE215">
        <v>0</v>
      </c>
      <c r="BF215" t="s">
        <v>83</v>
      </c>
      <c r="BG215">
        <v>0</v>
      </c>
      <c r="BH215">
        <v>0</v>
      </c>
      <c r="BI215">
        <v>0</v>
      </c>
      <c r="BJ215">
        <v>0</v>
      </c>
      <c r="BK215">
        <v>0</v>
      </c>
      <c r="BL215" t="s">
        <v>724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ED7B-2908-B044-8FA6-251B49E477B6}">
  <dimension ref="A1:I210"/>
  <sheetViews>
    <sheetView workbookViewId="0">
      <selection activeCell="B1" sqref="B1:B1048576"/>
    </sheetView>
  </sheetViews>
  <sheetFormatPr baseColWidth="10" defaultRowHeight="16" x14ac:dyDescent="0.2"/>
  <cols>
    <col min="1" max="1" width="11.83203125" bestFit="1" customWidth="1"/>
  </cols>
  <sheetData>
    <row r="1" spans="1:9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">
      <c r="A2" t="s">
        <v>1096</v>
      </c>
      <c r="B2" t="s">
        <v>0</v>
      </c>
      <c r="C2" t="s">
        <v>1</v>
      </c>
      <c r="D2" t="s">
        <v>3</v>
      </c>
      <c r="E2" t="s">
        <v>4</v>
      </c>
      <c r="F2" t="s">
        <v>6</v>
      </c>
      <c r="G2" t="s">
        <v>7</v>
      </c>
      <c r="H2" t="s">
        <v>8</v>
      </c>
      <c r="I2" t="s">
        <v>1095</v>
      </c>
    </row>
    <row r="3" spans="1:9" x14ac:dyDescent="0.2">
      <c r="A3" t="s">
        <v>1097</v>
      </c>
      <c r="B3">
        <v>822808</v>
      </c>
      <c r="C3">
        <v>20260606</v>
      </c>
      <c r="D3">
        <v>29</v>
      </c>
      <c r="E3">
        <v>2</v>
      </c>
      <c r="F3">
        <v>6</v>
      </c>
      <c r="G3">
        <v>4</v>
      </c>
      <c r="H3">
        <f>G3-F3</f>
        <v>-2</v>
      </c>
      <c r="I3">
        <v>10</v>
      </c>
    </row>
    <row r="4" spans="1:9" x14ac:dyDescent="0.2">
      <c r="A4" t="s">
        <v>1098</v>
      </c>
      <c r="B4">
        <v>822891</v>
      </c>
      <c r="C4">
        <v>20260606</v>
      </c>
      <c r="D4">
        <v>28</v>
      </c>
      <c r="E4">
        <v>7</v>
      </c>
      <c r="F4">
        <v>0</v>
      </c>
      <c r="G4">
        <v>6</v>
      </c>
      <c r="H4">
        <f t="shared" ref="H4:H67" si="0">G4-F4</f>
        <v>6</v>
      </c>
      <c r="I4">
        <v>6</v>
      </c>
    </row>
    <row r="5" spans="1:9" x14ac:dyDescent="0.2">
      <c r="A5" t="s">
        <v>1099</v>
      </c>
      <c r="B5">
        <v>823048</v>
      </c>
      <c r="C5">
        <v>20260606</v>
      </c>
      <c r="D5">
        <v>26</v>
      </c>
      <c r="E5">
        <v>6</v>
      </c>
      <c r="F5">
        <v>6</v>
      </c>
      <c r="G5">
        <v>5</v>
      </c>
      <c r="H5">
        <f t="shared" si="0"/>
        <v>-1</v>
      </c>
      <c r="I5">
        <v>11</v>
      </c>
    </row>
    <row r="6" spans="1:9" x14ac:dyDescent="0.2">
      <c r="A6" t="s">
        <v>1100</v>
      </c>
      <c r="B6">
        <v>823292</v>
      </c>
      <c r="C6">
        <v>20260606</v>
      </c>
      <c r="D6">
        <v>23</v>
      </c>
      <c r="E6">
        <v>18</v>
      </c>
      <c r="F6">
        <v>3</v>
      </c>
      <c r="G6">
        <v>2</v>
      </c>
      <c r="H6">
        <f t="shared" si="0"/>
        <v>-1</v>
      </c>
      <c r="I6">
        <v>5</v>
      </c>
    </row>
    <row r="7" spans="1:9" x14ac:dyDescent="0.2">
      <c r="A7" t="s">
        <v>1101</v>
      </c>
      <c r="B7">
        <v>823454</v>
      </c>
      <c r="C7">
        <v>20260606</v>
      </c>
      <c r="D7">
        <v>21</v>
      </c>
      <c r="E7">
        <v>9</v>
      </c>
      <c r="F7">
        <v>3</v>
      </c>
      <c r="G7">
        <v>6</v>
      </c>
      <c r="H7">
        <f t="shared" si="0"/>
        <v>3</v>
      </c>
      <c r="I7">
        <v>9</v>
      </c>
    </row>
    <row r="8" spans="1:9" x14ac:dyDescent="0.2">
      <c r="A8" t="s">
        <v>1102</v>
      </c>
      <c r="B8">
        <v>823697</v>
      </c>
      <c r="C8">
        <v>20260606</v>
      </c>
      <c r="D8">
        <v>15</v>
      </c>
      <c r="E8">
        <v>13</v>
      </c>
      <c r="F8">
        <v>2</v>
      </c>
      <c r="G8">
        <v>3</v>
      </c>
      <c r="H8">
        <f t="shared" si="0"/>
        <v>1</v>
      </c>
      <c r="I8">
        <v>5</v>
      </c>
    </row>
    <row r="9" spans="1:9" x14ac:dyDescent="0.2">
      <c r="A9" t="s">
        <v>1103</v>
      </c>
      <c r="B9">
        <v>823859</v>
      </c>
      <c r="C9">
        <v>20260606</v>
      </c>
      <c r="D9">
        <v>11</v>
      </c>
      <c r="E9">
        <v>27</v>
      </c>
      <c r="F9">
        <v>4</v>
      </c>
      <c r="G9">
        <v>3</v>
      </c>
      <c r="H9">
        <f t="shared" si="0"/>
        <v>-1</v>
      </c>
      <c r="I9">
        <v>7</v>
      </c>
    </row>
    <row r="10" spans="1:9" x14ac:dyDescent="0.2">
      <c r="A10" t="s">
        <v>1104</v>
      </c>
      <c r="B10">
        <v>823942</v>
      </c>
      <c r="C10">
        <v>20260606</v>
      </c>
      <c r="D10">
        <v>14</v>
      </c>
      <c r="E10">
        <v>4</v>
      </c>
      <c r="F10">
        <v>9</v>
      </c>
      <c r="G10">
        <v>2</v>
      </c>
      <c r="H10">
        <f t="shared" si="0"/>
        <v>-7</v>
      </c>
      <c r="I10">
        <v>11</v>
      </c>
    </row>
    <row r="11" spans="1:9" x14ac:dyDescent="0.2">
      <c r="A11" t="s">
        <v>1105</v>
      </c>
      <c r="B11">
        <v>824184</v>
      </c>
      <c r="C11">
        <v>20260606</v>
      </c>
      <c r="D11">
        <v>12</v>
      </c>
      <c r="E11">
        <v>20</v>
      </c>
      <c r="F11">
        <v>13</v>
      </c>
      <c r="G11">
        <v>2</v>
      </c>
      <c r="H11">
        <f t="shared" si="0"/>
        <v>-11</v>
      </c>
      <c r="I11">
        <v>15</v>
      </c>
    </row>
    <row r="12" spans="1:9" x14ac:dyDescent="0.2">
      <c r="A12" t="s">
        <v>1106</v>
      </c>
      <c r="B12">
        <v>824269</v>
      </c>
      <c r="C12">
        <v>20260606</v>
      </c>
      <c r="D12">
        <v>10</v>
      </c>
      <c r="E12">
        <v>24</v>
      </c>
      <c r="F12">
        <v>0</v>
      </c>
      <c r="G12">
        <v>4</v>
      </c>
      <c r="H12">
        <f t="shared" si="0"/>
        <v>4</v>
      </c>
      <c r="I12">
        <v>4</v>
      </c>
    </row>
    <row r="13" spans="1:9" x14ac:dyDescent="0.2">
      <c r="A13" t="s">
        <v>1107</v>
      </c>
      <c r="B13">
        <v>824351</v>
      </c>
      <c r="C13">
        <v>20260606</v>
      </c>
      <c r="D13">
        <v>8</v>
      </c>
      <c r="E13">
        <v>17</v>
      </c>
      <c r="F13">
        <v>1</v>
      </c>
      <c r="G13">
        <v>7</v>
      </c>
      <c r="H13">
        <f t="shared" si="0"/>
        <v>6</v>
      </c>
      <c r="I13">
        <v>8</v>
      </c>
    </row>
    <row r="14" spans="1:9" x14ac:dyDescent="0.2">
      <c r="A14" t="s">
        <v>1108</v>
      </c>
      <c r="B14">
        <v>824669</v>
      </c>
      <c r="C14">
        <v>20260606</v>
      </c>
      <c r="D14">
        <v>5</v>
      </c>
      <c r="E14">
        <v>25</v>
      </c>
      <c r="F14">
        <v>3</v>
      </c>
      <c r="G14">
        <v>2</v>
      </c>
      <c r="H14">
        <f t="shared" si="0"/>
        <v>-1</v>
      </c>
      <c r="I14">
        <v>5</v>
      </c>
    </row>
    <row r="15" spans="1:9" x14ac:dyDescent="0.2">
      <c r="A15" t="s">
        <v>1109</v>
      </c>
      <c r="B15">
        <v>824915</v>
      </c>
      <c r="C15">
        <v>20260606</v>
      </c>
      <c r="D15">
        <v>0</v>
      </c>
      <c r="E15">
        <v>22</v>
      </c>
      <c r="F15">
        <v>6</v>
      </c>
      <c r="G15">
        <v>3</v>
      </c>
      <c r="H15">
        <f t="shared" si="0"/>
        <v>-3</v>
      </c>
      <c r="I15">
        <v>9</v>
      </c>
    </row>
    <row r="16" spans="1:9" x14ac:dyDescent="0.2">
      <c r="A16" t="s">
        <v>1110</v>
      </c>
      <c r="B16">
        <v>825075</v>
      </c>
      <c r="C16">
        <v>20260606</v>
      </c>
      <c r="D16">
        <v>1</v>
      </c>
      <c r="E16">
        <v>16</v>
      </c>
      <c r="F16">
        <v>1</v>
      </c>
      <c r="G16">
        <v>6</v>
      </c>
      <c r="H16">
        <f t="shared" si="0"/>
        <v>5</v>
      </c>
      <c r="I16">
        <v>7</v>
      </c>
    </row>
    <row r="17" spans="1:9" x14ac:dyDescent="0.2">
      <c r="A17" t="s">
        <v>1111</v>
      </c>
      <c r="B17">
        <v>822807</v>
      </c>
      <c r="C17">
        <v>20260607</v>
      </c>
      <c r="D17">
        <v>29</v>
      </c>
      <c r="E17">
        <v>2</v>
      </c>
      <c r="F17">
        <v>6</v>
      </c>
      <c r="G17">
        <v>4</v>
      </c>
      <c r="H17">
        <f t="shared" si="0"/>
        <v>-2</v>
      </c>
      <c r="I17">
        <v>10</v>
      </c>
    </row>
    <row r="18" spans="1:9" x14ac:dyDescent="0.2">
      <c r="A18" t="s">
        <v>1112</v>
      </c>
      <c r="B18">
        <v>822890</v>
      </c>
      <c r="C18">
        <v>20260607</v>
      </c>
      <c r="D18">
        <v>28</v>
      </c>
      <c r="E18">
        <v>7</v>
      </c>
      <c r="F18">
        <v>10</v>
      </c>
      <c r="G18">
        <v>0</v>
      </c>
      <c r="H18">
        <f t="shared" si="0"/>
        <v>-10</v>
      </c>
      <c r="I18">
        <v>10</v>
      </c>
    </row>
    <row r="19" spans="1:9" x14ac:dyDescent="0.2">
      <c r="A19" t="s">
        <v>1113</v>
      </c>
      <c r="B19">
        <v>823047</v>
      </c>
      <c r="C19">
        <v>20260607</v>
      </c>
      <c r="D19">
        <v>26</v>
      </c>
      <c r="E19">
        <v>6</v>
      </c>
      <c r="F19">
        <v>5</v>
      </c>
      <c r="G19">
        <v>3</v>
      </c>
      <c r="H19">
        <f t="shared" si="0"/>
        <v>-2</v>
      </c>
      <c r="I19">
        <v>8</v>
      </c>
    </row>
    <row r="20" spans="1:9" x14ac:dyDescent="0.2">
      <c r="A20" t="s">
        <v>1114</v>
      </c>
      <c r="B20">
        <v>823291</v>
      </c>
      <c r="C20">
        <v>20260607</v>
      </c>
      <c r="D20">
        <v>23</v>
      </c>
      <c r="E20">
        <v>18</v>
      </c>
      <c r="F20">
        <v>3</v>
      </c>
      <c r="G20">
        <v>7</v>
      </c>
      <c r="H20">
        <f t="shared" si="0"/>
        <v>4</v>
      </c>
      <c r="I20">
        <v>10</v>
      </c>
    </row>
    <row r="21" spans="1:9" x14ac:dyDescent="0.2">
      <c r="A21" t="s">
        <v>1115</v>
      </c>
      <c r="B21">
        <v>823453</v>
      </c>
      <c r="C21">
        <v>20260607</v>
      </c>
      <c r="D21">
        <v>21</v>
      </c>
      <c r="E21">
        <v>9</v>
      </c>
      <c r="F21">
        <v>9</v>
      </c>
      <c r="G21">
        <v>5</v>
      </c>
      <c r="H21">
        <f t="shared" si="0"/>
        <v>-4</v>
      </c>
      <c r="I21">
        <v>14</v>
      </c>
    </row>
    <row r="22" spans="1:9" x14ac:dyDescent="0.2">
      <c r="A22" t="s">
        <v>1116</v>
      </c>
      <c r="B22">
        <v>823537</v>
      </c>
      <c r="C22">
        <v>20260607</v>
      </c>
      <c r="D22">
        <v>19</v>
      </c>
      <c r="E22">
        <v>3</v>
      </c>
      <c r="F22">
        <v>6</v>
      </c>
      <c r="G22">
        <v>1</v>
      </c>
      <c r="H22">
        <f t="shared" si="0"/>
        <v>-5</v>
      </c>
      <c r="I22">
        <v>7</v>
      </c>
    </row>
    <row r="23" spans="1:9" x14ac:dyDescent="0.2">
      <c r="A23" t="s">
        <v>1117</v>
      </c>
      <c r="B23">
        <v>823696</v>
      </c>
      <c r="C23">
        <v>20260607</v>
      </c>
      <c r="D23">
        <v>15</v>
      </c>
      <c r="E23">
        <v>13</v>
      </c>
      <c r="F23">
        <v>5</v>
      </c>
      <c r="G23">
        <v>6</v>
      </c>
      <c r="H23">
        <f t="shared" si="0"/>
        <v>1</v>
      </c>
      <c r="I23">
        <v>11</v>
      </c>
    </row>
    <row r="24" spans="1:9" x14ac:dyDescent="0.2">
      <c r="A24" t="s">
        <v>1118</v>
      </c>
      <c r="B24">
        <v>823857</v>
      </c>
      <c r="C24">
        <v>20260607</v>
      </c>
      <c r="D24">
        <v>11</v>
      </c>
      <c r="E24">
        <v>27</v>
      </c>
      <c r="F24">
        <v>4</v>
      </c>
      <c r="G24">
        <v>1</v>
      </c>
      <c r="H24">
        <f t="shared" si="0"/>
        <v>-3</v>
      </c>
      <c r="I24">
        <v>5</v>
      </c>
    </row>
    <row r="25" spans="1:9" x14ac:dyDescent="0.2">
      <c r="A25" t="s">
        <v>1119</v>
      </c>
      <c r="B25">
        <v>823941</v>
      </c>
      <c r="C25">
        <v>20260607</v>
      </c>
      <c r="D25">
        <v>14</v>
      </c>
      <c r="E25">
        <v>4</v>
      </c>
      <c r="F25">
        <v>5</v>
      </c>
      <c r="G25">
        <v>13</v>
      </c>
      <c r="H25">
        <f t="shared" si="0"/>
        <v>8</v>
      </c>
      <c r="I25">
        <v>18</v>
      </c>
    </row>
    <row r="26" spans="1:9" x14ac:dyDescent="0.2">
      <c r="A26" t="s">
        <v>1120</v>
      </c>
      <c r="B26">
        <v>824183</v>
      </c>
      <c r="C26">
        <v>20260607</v>
      </c>
      <c r="D26">
        <v>12</v>
      </c>
      <c r="E26">
        <v>20</v>
      </c>
      <c r="F26">
        <v>0</v>
      </c>
      <c r="G26">
        <v>5</v>
      </c>
      <c r="H26">
        <f t="shared" si="0"/>
        <v>5</v>
      </c>
      <c r="I26">
        <v>5</v>
      </c>
    </row>
    <row r="27" spans="1:9" x14ac:dyDescent="0.2">
      <c r="A27" t="s">
        <v>1121</v>
      </c>
      <c r="B27">
        <v>824268</v>
      </c>
      <c r="C27">
        <v>20260607</v>
      </c>
      <c r="D27">
        <v>10</v>
      </c>
      <c r="E27">
        <v>24</v>
      </c>
      <c r="F27">
        <v>5</v>
      </c>
      <c r="G27">
        <v>4</v>
      </c>
      <c r="H27">
        <f t="shared" si="0"/>
        <v>-1</v>
      </c>
      <c r="I27">
        <v>9</v>
      </c>
    </row>
    <row r="28" spans="1:9" x14ac:dyDescent="0.2">
      <c r="A28" t="s">
        <v>1122</v>
      </c>
      <c r="B28">
        <v>824349</v>
      </c>
      <c r="C28">
        <v>20260607</v>
      </c>
      <c r="D28">
        <v>8</v>
      </c>
      <c r="E28">
        <v>17</v>
      </c>
      <c r="F28">
        <v>4</v>
      </c>
      <c r="G28">
        <v>12</v>
      </c>
      <c r="H28">
        <f t="shared" si="0"/>
        <v>8</v>
      </c>
      <c r="I28">
        <v>16</v>
      </c>
    </row>
    <row r="29" spans="1:9" x14ac:dyDescent="0.2">
      <c r="A29" t="s">
        <v>1123</v>
      </c>
      <c r="B29">
        <v>824670</v>
      </c>
      <c r="C29">
        <v>20260607</v>
      </c>
      <c r="D29">
        <v>5</v>
      </c>
      <c r="E29">
        <v>25</v>
      </c>
      <c r="F29">
        <v>1</v>
      </c>
      <c r="G29">
        <v>2</v>
      </c>
      <c r="H29">
        <f t="shared" si="0"/>
        <v>1</v>
      </c>
      <c r="I29">
        <v>3</v>
      </c>
    </row>
    <row r="30" spans="1:9" x14ac:dyDescent="0.2">
      <c r="A30" t="s">
        <v>1124</v>
      </c>
      <c r="B30">
        <v>824916</v>
      </c>
      <c r="C30">
        <v>20260607</v>
      </c>
      <c r="D30">
        <v>0</v>
      </c>
      <c r="E30">
        <v>22</v>
      </c>
      <c r="F30">
        <v>3</v>
      </c>
      <c r="G30">
        <v>2</v>
      </c>
      <c r="H30">
        <f t="shared" si="0"/>
        <v>-1</v>
      </c>
      <c r="I30">
        <v>5</v>
      </c>
    </row>
    <row r="31" spans="1:9" x14ac:dyDescent="0.2">
      <c r="A31" t="s">
        <v>1125</v>
      </c>
      <c r="B31">
        <v>825074</v>
      </c>
      <c r="C31">
        <v>20260607</v>
      </c>
      <c r="D31">
        <v>1</v>
      </c>
      <c r="E31">
        <v>16</v>
      </c>
      <c r="F31">
        <v>5</v>
      </c>
      <c r="G31">
        <v>1</v>
      </c>
      <c r="H31">
        <f t="shared" si="0"/>
        <v>-4</v>
      </c>
      <c r="I31">
        <v>6</v>
      </c>
    </row>
    <row r="32" spans="1:9" x14ac:dyDescent="0.2">
      <c r="A32" t="s">
        <v>1126</v>
      </c>
      <c r="B32">
        <v>822806</v>
      </c>
      <c r="C32">
        <v>20260608</v>
      </c>
      <c r="D32">
        <v>29</v>
      </c>
      <c r="E32">
        <v>21</v>
      </c>
      <c r="F32">
        <v>2</v>
      </c>
      <c r="G32">
        <v>5</v>
      </c>
      <c r="H32">
        <f t="shared" si="0"/>
        <v>3</v>
      </c>
      <c r="I32">
        <v>7</v>
      </c>
    </row>
    <row r="33" spans="1:9" x14ac:dyDescent="0.2">
      <c r="A33" t="s">
        <v>1127</v>
      </c>
      <c r="B33">
        <v>822972</v>
      </c>
      <c r="C33">
        <v>20260608</v>
      </c>
      <c r="D33">
        <v>27</v>
      </c>
      <c r="E33">
        <v>3</v>
      </c>
      <c r="F33">
        <v>3</v>
      </c>
      <c r="G33">
        <v>1</v>
      </c>
      <c r="H33">
        <f t="shared" si="0"/>
        <v>-2</v>
      </c>
      <c r="I33">
        <v>4</v>
      </c>
    </row>
    <row r="34" spans="1:9" x14ac:dyDescent="0.2">
      <c r="A34" t="s">
        <v>1128</v>
      </c>
      <c r="B34">
        <v>823218</v>
      </c>
      <c r="C34">
        <v>20260608</v>
      </c>
      <c r="D34">
        <v>25</v>
      </c>
      <c r="E34">
        <v>16</v>
      </c>
      <c r="F34">
        <v>3</v>
      </c>
      <c r="G34">
        <v>4</v>
      </c>
      <c r="H34">
        <f t="shared" si="0"/>
        <v>1</v>
      </c>
      <c r="I34">
        <v>7</v>
      </c>
    </row>
    <row r="35" spans="1:9" x14ac:dyDescent="0.2">
      <c r="A35" t="s">
        <v>1129</v>
      </c>
      <c r="B35">
        <v>823289</v>
      </c>
      <c r="C35">
        <v>20260608</v>
      </c>
      <c r="D35">
        <v>23</v>
      </c>
      <c r="E35">
        <v>6</v>
      </c>
      <c r="F35">
        <v>6</v>
      </c>
      <c r="G35">
        <v>2</v>
      </c>
      <c r="H35">
        <f t="shared" si="0"/>
        <v>-4</v>
      </c>
      <c r="I35">
        <v>8</v>
      </c>
    </row>
    <row r="36" spans="1:9" x14ac:dyDescent="0.2">
      <c r="A36" t="s">
        <v>1130</v>
      </c>
      <c r="B36">
        <v>824025</v>
      </c>
      <c r="C36">
        <v>20260608</v>
      </c>
      <c r="D36">
        <v>4</v>
      </c>
      <c r="E36">
        <v>12</v>
      </c>
      <c r="F36">
        <v>4</v>
      </c>
      <c r="G36">
        <v>5</v>
      </c>
      <c r="H36">
        <f t="shared" si="0"/>
        <v>1</v>
      </c>
      <c r="I36">
        <v>9</v>
      </c>
    </row>
    <row r="37" spans="1:9" x14ac:dyDescent="0.2">
      <c r="A37" t="s">
        <v>1131</v>
      </c>
      <c r="B37">
        <v>824427</v>
      </c>
      <c r="C37">
        <v>20260608</v>
      </c>
      <c r="D37">
        <v>7</v>
      </c>
      <c r="E37">
        <v>19</v>
      </c>
      <c r="F37">
        <v>5</v>
      </c>
      <c r="G37">
        <v>7</v>
      </c>
      <c r="H37">
        <f t="shared" si="0"/>
        <v>2</v>
      </c>
      <c r="I37">
        <v>12</v>
      </c>
    </row>
    <row r="38" spans="1:9" x14ac:dyDescent="0.2">
      <c r="A38" t="s">
        <v>1132</v>
      </c>
      <c r="B38">
        <v>824829</v>
      </c>
      <c r="C38">
        <v>20260608</v>
      </c>
      <c r="D38">
        <v>2</v>
      </c>
      <c r="E38">
        <v>24</v>
      </c>
      <c r="F38">
        <v>3</v>
      </c>
      <c r="G38">
        <v>6</v>
      </c>
      <c r="H38">
        <f t="shared" si="0"/>
        <v>3</v>
      </c>
      <c r="I38">
        <v>9</v>
      </c>
    </row>
    <row r="39" spans="1:9" x14ac:dyDescent="0.2">
      <c r="A39" t="s">
        <v>1133</v>
      </c>
      <c r="B39">
        <v>824998</v>
      </c>
      <c r="C39">
        <v>20260608</v>
      </c>
      <c r="D39">
        <v>20</v>
      </c>
      <c r="E39">
        <v>17</v>
      </c>
      <c r="F39">
        <v>14</v>
      </c>
      <c r="G39">
        <v>15</v>
      </c>
      <c r="H39">
        <f t="shared" si="0"/>
        <v>1</v>
      </c>
      <c r="I39">
        <v>29</v>
      </c>
    </row>
    <row r="40" spans="1:9" x14ac:dyDescent="0.2">
      <c r="A40" t="s">
        <v>1134</v>
      </c>
      <c r="B40">
        <v>822805</v>
      </c>
      <c r="C40">
        <v>20260609</v>
      </c>
      <c r="D40">
        <v>29</v>
      </c>
      <c r="E40">
        <v>21</v>
      </c>
      <c r="F40">
        <v>3</v>
      </c>
      <c r="G40">
        <v>2</v>
      </c>
      <c r="H40">
        <f t="shared" si="0"/>
        <v>-1</v>
      </c>
      <c r="I40">
        <v>5</v>
      </c>
    </row>
    <row r="41" spans="1:9" x14ac:dyDescent="0.2">
      <c r="A41" t="s">
        <v>1135</v>
      </c>
      <c r="B41">
        <v>822969</v>
      </c>
      <c r="C41">
        <v>20260609</v>
      </c>
      <c r="D41">
        <v>27</v>
      </c>
      <c r="E41">
        <v>3</v>
      </c>
      <c r="F41">
        <v>4</v>
      </c>
      <c r="G41">
        <v>3</v>
      </c>
      <c r="H41">
        <f t="shared" si="0"/>
        <v>-1</v>
      </c>
      <c r="I41">
        <v>7</v>
      </c>
    </row>
    <row r="42" spans="1:9" x14ac:dyDescent="0.2">
      <c r="A42" t="s">
        <v>1136</v>
      </c>
      <c r="B42">
        <v>823214</v>
      </c>
      <c r="C42">
        <v>20260609</v>
      </c>
      <c r="D42">
        <v>25</v>
      </c>
      <c r="E42">
        <v>16</v>
      </c>
      <c r="F42">
        <v>3</v>
      </c>
      <c r="G42">
        <v>6</v>
      </c>
      <c r="H42">
        <f t="shared" si="0"/>
        <v>3</v>
      </c>
      <c r="I42">
        <v>9</v>
      </c>
    </row>
    <row r="43" spans="1:9" x14ac:dyDescent="0.2">
      <c r="A43" t="s">
        <v>1137</v>
      </c>
      <c r="B43">
        <v>823290</v>
      </c>
      <c r="C43">
        <v>20260609</v>
      </c>
      <c r="D43">
        <v>23</v>
      </c>
      <c r="E43">
        <v>6</v>
      </c>
      <c r="F43">
        <v>3</v>
      </c>
      <c r="G43">
        <v>5</v>
      </c>
      <c r="H43">
        <f t="shared" si="0"/>
        <v>2</v>
      </c>
      <c r="I43">
        <v>8</v>
      </c>
    </row>
    <row r="44" spans="1:9" x14ac:dyDescent="0.2">
      <c r="A44" t="s">
        <v>1138</v>
      </c>
      <c r="B44">
        <v>823374</v>
      </c>
      <c r="C44">
        <v>20260609</v>
      </c>
      <c r="D44">
        <v>22</v>
      </c>
      <c r="E44">
        <v>14</v>
      </c>
      <c r="F44">
        <v>3</v>
      </c>
      <c r="G44">
        <v>12</v>
      </c>
      <c r="H44">
        <f t="shared" si="0"/>
        <v>9</v>
      </c>
      <c r="I44">
        <v>15</v>
      </c>
    </row>
    <row r="45" spans="1:9" x14ac:dyDescent="0.2">
      <c r="A45" t="s">
        <v>1139</v>
      </c>
      <c r="B45">
        <v>823620</v>
      </c>
      <c r="C45">
        <v>20260609</v>
      </c>
      <c r="D45">
        <v>18</v>
      </c>
      <c r="E45">
        <v>26</v>
      </c>
      <c r="F45">
        <v>0</v>
      </c>
      <c r="G45">
        <v>7</v>
      </c>
      <c r="H45">
        <f t="shared" si="0"/>
        <v>7</v>
      </c>
      <c r="I45">
        <v>7</v>
      </c>
    </row>
    <row r="46" spans="1:9" x14ac:dyDescent="0.2">
      <c r="A46" t="s">
        <v>1140</v>
      </c>
      <c r="B46">
        <v>823858</v>
      </c>
      <c r="C46">
        <v>20260609</v>
      </c>
      <c r="D46">
        <v>11</v>
      </c>
      <c r="E46">
        <v>1</v>
      </c>
      <c r="F46">
        <v>10</v>
      </c>
      <c r="G46">
        <v>6</v>
      </c>
      <c r="H46">
        <f t="shared" si="0"/>
        <v>-4</v>
      </c>
      <c r="I46">
        <v>16</v>
      </c>
    </row>
    <row r="47" spans="1:9" x14ac:dyDescent="0.2">
      <c r="A47" t="s">
        <v>1141</v>
      </c>
      <c r="B47">
        <v>824023</v>
      </c>
      <c r="C47">
        <v>20260609</v>
      </c>
      <c r="D47">
        <v>4</v>
      </c>
      <c r="E47">
        <v>12</v>
      </c>
      <c r="F47">
        <v>10</v>
      </c>
      <c r="G47">
        <v>1</v>
      </c>
      <c r="H47">
        <f t="shared" si="0"/>
        <v>-9</v>
      </c>
      <c r="I47">
        <v>11</v>
      </c>
    </row>
    <row r="48" spans="1:9" x14ac:dyDescent="0.2">
      <c r="A48" t="s">
        <v>1142</v>
      </c>
      <c r="B48">
        <v>824105</v>
      </c>
      <c r="C48">
        <v>20260609</v>
      </c>
      <c r="D48">
        <v>13</v>
      </c>
      <c r="E48">
        <v>28</v>
      </c>
      <c r="F48">
        <v>5</v>
      </c>
      <c r="G48">
        <v>3</v>
      </c>
      <c r="H48">
        <f t="shared" si="0"/>
        <v>-2</v>
      </c>
      <c r="I48">
        <v>8</v>
      </c>
    </row>
    <row r="49" spans="1:9" x14ac:dyDescent="0.2">
      <c r="A49" t="s">
        <v>1143</v>
      </c>
      <c r="B49">
        <v>824267</v>
      </c>
      <c r="C49">
        <v>20260609</v>
      </c>
      <c r="D49">
        <v>10</v>
      </c>
      <c r="E49">
        <v>15</v>
      </c>
      <c r="F49">
        <v>10</v>
      </c>
      <c r="G49">
        <v>4</v>
      </c>
      <c r="H49">
        <f t="shared" si="0"/>
        <v>-6</v>
      </c>
      <c r="I49">
        <v>14</v>
      </c>
    </row>
    <row r="50" spans="1:9" x14ac:dyDescent="0.2">
      <c r="A50" t="s">
        <v>1144</v>
      </c>
      <c r="B50">
        <v>824347</v>
      </c>
      <c r="C50">
        <v>20260609</v>
      </c>
      <c r="D50">
        <v>8</v>
      </c>
      <c r="E50">
        <v>5</v>
      </c>
      <c r="F50">
        <v>7</v>
      </c>
      <c r="G50">
        <v>3</v>
      </c>
      <c r="H50">
        <f t="shared" si="0"/>
        <v>-4</v>
      </c>
      <c r="I50">
        <v>10</v>
      </c>
    </row>
    <row r="51" spans="1:9" x14ac:dyDescent="0.2">
      <c r="A51" t="s">
        <v>1145</v>
      </c>
      <c r="B51">
        <v>824429</v>
      </c>
      <c r="C51">
        <v>20260609</v>
      </c>
      <c r="D51">
        <v>7</v>
      </c>
      <c r="E51">
        <v>19</v>
      </c>
      <c r="F51">
        <v>2</v>
      </c>
      <c r="G51">
        <v>3</v>
      </c>
      <c r="H51">
        <f t="shared" si="0"/>
        <v>1</v>
      </c>
      <c r="I51">
        <v>5</v>
      </c>
    </row>
    <row r="52" spans="1:9" x14ac:dyDescent="0.2">
      <c r="A52" t="s">
        <v>1146</v>
      </c>
      <c r="B52">
        <v>824591</v>
      </c>
      <c r="C52">
        <v>20260609</v>
      </c>
      <c r="D52">
        <v>9</v>
      </c>
      <c r="E52">
        <v>0</v>
      </c>
      <c r="F52">
        <v>6</v>
      </c>
      <c r="G52">
        <v>5</v>
      </c>
      <c r="H52">
        <f t="shared" si="0"/>
        <v>-1</v>
      </c>
      <c r="I52">
        <v>11</v>
      </c>
    </row>
    <row r="53" spans="1:9" x14ac:dyDescent="0.2">
      <c r="A53" t="s">
        <v>1147</v>
      </c>
      <c r="B53">
        <v>824830</v>
      </c>
      <c r="C53">
        <v>20260609</v>
      </c>
      <c r="D53">
        <v>2</v>
      </c>
      <c r="E53">
        <v>24</v>
      </c>
      <c r="F53">
        <v>5</v>
      </c>
      <c r="G53">
        <v>6</v>
      </c>
      <c r="H53">
        <f t="shared" si="0"/>
        <v>1</v>
      </c>
      <c r="I53">
        <v>11</v>
      </c>
    </row>
    <row r="54" spans="1:9" x14ac:dyDescent="0.2">
      <c r="A54" t="s">
        <v>1148</v>
      </c>
      <c r="B54">
        <v>824999</v>
      </c>
      <c r="C54">
        <v>20260609</v>
      </c>
      <c r="D54">
        <v>20</v>
      </c>
      <c r="E54">
        <v>17</v>
      </c>
      <c r="F54">
        <v>7</v>
      </c>
      <c r="G54">
        <v>5</v>
      </c>
      <c r="H54">
        <f t="shared" si="0"/>
        <v>-2</v>
      </c>
      <c r="I54">
        <v>12</v>
      </c>
    </row>
    <row r="55" spans="1:9" x14ac:dyDescent="0.2">
      <c r="A55" t="s">
        <v>1149</v>
      </c>
      <c r="B55">
        <v>822804</v>
      </c>
      <c r="C55">
        <v>20260610</v>
      </c>
      <c r="D55">
        <v>29</v>
      </c>
      <c r="E55">
        <v>21</v>
      </c>
      <c r="F55">
        <v>4</v>
      </c>
      <c r="G55">
        <v>7</v>
      </c>
      <c r="H55">
        <f t="shared" si="0"/>
        <v>3</v>
      </c>
      <c r="I55">
        <v>11</v>
      </c>
    </row>
    <row r="56" spans="1:9" x14ac:dyDescent="0.2">
      <c r="A56" t="s">
        <v>1150</v>
      </c>
      <c r="B56">
        <v>822970</v>
      </c>
      <c r="C56">
        <v>20260610</v>
      </c>
      <c r="D56">
        <v>27</v>
      </c>
      <c r="E56">
        <v>3</v>
      </c>
      <c r="F56">
        <v>7</v>
      </c>
      <c r="G56">
        <v>5</v>
      </c>
      <c r="H56">
        <f t="shared" si="0"/>
        <v>-2</v>
      </c>
      <c r="I56">
        <v>12</v>
      </c>
    </row>
    <row r="57" spans="1:9" x14ac:dyDescent="0.2">
      <c r="A57" t="s">
        <v>1151</v>
      </c>
      <c r="B57">
        <v>823215</v>
      </c>
      <c r="C57">
        <v>20260610</v>
      </c>
      <c r="D57">
        <v>25</v>
      </c>
      <c r="E57">
        <v>16</v>
      </c>
      <c r="F57">
        <v>11</v>
      </c>
      <c r="G57">
        <v>10</v>
      </c>
      <c r="H57">
        <f t="shared" si="0"/>
        <v>-1</v>
      </c>
      <c r="I57">
        <v>21</v>
      </c>
    </row>
    <row r="58" spans="1:9" x14ac:dyDescent="0.2">
      <c r="A58" t="s">
        <v>1152</v>
      </c>
      <c r="B58">
        <v>823287</v>
      </c>
      <c r="C58">
        <v>20260610</v>
      </c>
      <c r="D58">
        <v>23</v>
      </c>
      <c r="E58">
        <v>6</v>
      </c>
      <c r="F58">
        <v>5</v>
      </c>
      <c r="G58">
        <v>4</v>
      </c>
      <c r="H58">
        <f t="shared" si="0"/>
        <v>-1</v>
      </c>
      <c r="I58">
        <v>9</v>
      </c>
    </row>
    <row r="59" spans="1:9" x14ac:dyDescent="0.2">
      <c r="A59" t="s">
        <v>1153</v>
      </c>
      <c r="B59">
        <v>823372</v>
      </c>
      <c r="C59">
        <v>20260610</v>
      </c>
      <c r="D59">
        <v>22</v>
      </c>
      <c r="E59">
        <v>14</v>
      </c>
      <c r="F59">
        <v>9</v>
      </c>
      <c r="G59">
        <v>8</v>
      </c>
      <c r="H59">
        <f t="shared" si="0"/>
        <v>-1</v>
      </c>
      <c r="I59">
        <v>17</v>
      </c>
    </row>
    <row r="60" spans="1:9" x14ac:dyDescent="0.2">
      <c r="A60" t="s">
        <v>1154</v>
      </c>
      <c r="B60">
        <v>823618</v>
      </c>
      <c r="C60">
        <v>20260610</v>
      </c>
      <c r="D60">
        <v>18</v>
      </c>
      <c r="E60">
        <v>26</v>
      </c>
      <c r="F60">
        <v>2</v>
      </c>
      <c r="G60">
        <v>9</v>
      </c>
      <c r="H60">
        <f t="shared" si="0"/>
        <v>7</v>
      </c>
      <c r="I60">
        <v>11</v>
      </c>
    </row>
    <row r="61" spans="1:9" x14ac:dyDescent="0.2">
      <c r="A61" t="s">
        <v>1155</v>
      </c>
      <c r="B61">
        <v>823856</v>
      </c>
      <c r="C61">
        <v>20260610</v>
      </c>
      <c r="D61">
        <v>11</v>
      </c>
      <c r="E61">
        <v>1</v>
      </c>
      <c r="F61">
        <v>8</v>
      </c>
      <c r="G61">
        <v>0</v>
      </c>
      <c r="H61">
        <f t="shared" si="0"/>
        <v>-8</v>
      </c>
      <c r="I61">
        <v>8</v>
      </c>
    </row>
    <row r="62" spans="1:9" x14ac:dyDescent="0.2">
      <c r="A62" t="s">
        <v>1156</v>
      </c>
      <c r="B62">
        <v>824022</v>
      </c>
      <c r="C62">
        <v>20260610</v>
      </c>
      <c r="D62">
        <v>4</v>
      </c>
      <c r="E62">
        <v>12</v>
      </c>
      <c r="F62">
        <v>3</v>
      </c>
      <c r="G62">
        <v>2</v>
      </c>
      <c r="H62">
        <f t="shared" si="0"/>
        <v>-1</v>
      </c>
      <c r="I62">
        <v>5</v>
      </c>
    </row>
    <row r="63" spans="1:9" x14ac:dyDescent="0.2">
      <c r="A63" t="s">
        <v>1157</v>
      </c>
      <c r="B63">
        <v>824103</v>
      </c>
      <c r="C63">
        <v>20260610</v>
      </c>
      <c r="D63">
        <v>13</v>
      </c>
      <c r="E63">
        <v>28</v>
      </c>
      <c r="F63">
        <v>4</v>
      </c>
      <c r="G63">
        <v>6</v>
      </c>
      <c r="H63">
        <f t="shared" si="0"/>
        <v>2</v>
      </c>
      <c r="I63">
        <v>10</v>
      </c>
    </row>
    <row r="64" spans="1:9" x14ac:dyDescent="0.2">
      <c r="A64" t="s">
        <v>1158</v>
      </c>
      <c r="B64">
        <v>824266</v>
      </c>
      <c r="C64">
        <v>20260610</v>
      </c>
      <c r="D64">
        <v>10</v>
      </c>
      <c r="E64">
        <v>15</v>
      </c>
      <c r="F64">
        <v>4</v>
      </c>
      <c r="G64">
        <v>6</v>
      </c>
      <c r="H64">
        <f t="shared" si="0"/>
        <v>2</v>
      </c>
      <c r="I64">
        <v>10</v>
      </c>
    </row>
    <row r="65" spans="1:9" x14ac:dyDescent="0.2">
      <c r="A65" t="s">
        <v>1159</v>
      </c>
      <c r="B65">
        <v>824348</v>
      </c>
      <c r="C65">
        <v>20260610</v>
      </c>
      <c r="D65">
        <v>8</v>
      </c>
      <c r="E65">
        <v>5</v>
      </c>
      <c r="F65">
        <v>3</v>
      </c>
      <c r="G65">
        <v>2</v>
      </c>
      <c r="H65">
        <f t="shared" si="0"/>
        <v>-1</v>
      </c>
      <c r="I65">
        <v>5</v>
      </c>
    </row>
    <row r="66" spans="1:9" x14ac:dyDescent="0.2">
      <c r="A66" t="s">
        <v>1160</v>
      </c>
      <c r="B66">
        <v>824428</v>
      </c>
      <c r="C66">
        <v>20260610</v>
      </c>
      <c r="D66">
        <v>7</v>
      </c>
      <c r="E66">
        <v>19</v>
      </c>
      <c r="F66">
        <v>4</v>
      </c>
      <c r="G66">
        <v>8</v>
      </c>
      <c r="H66">
        <f t="shared" si="0"/>
        <v>4</v>
      </c>
      <c r="I66">
        <v>12</v>
      </c>
    </row>
    <row r="67" spans="1:9" x14ac:dyDescent="0.2">
      <c r="A67" t="s">
        <v>1161</v>
      </c>
      <c r="B67">
        <v>824590</v>
      </c>
      <c r="C67">
        <v>20260610</v>
      </c>
      <c r="D67">
        <v>9</v>
      </c>
      <c r="E67">
        <v>0</v>
      </c>
      <c r="F67">
        <v>2</v>
      </c>
      <c r="G67">
        <v>1</v>
      </c>
      <c r="H67">
        <f t="shared" si="0"/>
        <v>-1</v>
      </c>
      <c r="I67">
        <v>3</v>
      </c>
    </row>
    <row r="68" spans="1:9" x14ac:dyDescent="0.2">
      <c r="A68" t="s">
        <v>1162</v>
      </c>
      <c r="B68">
        <v>824831</v>
      </c>
      <c r="C68">
        <v>20260610</v>
      </c>
      <c r="D68">
        <v>2</v>
      </c>
      <c r="E68">
        <v>24</v>
      </c>
      <c r="F68">
        <v>7</v>
      </c>
      <c r="G68">
        <v>2</v>
      </c>
      <c r="H68">
        <f t="shared" ref="H68:H131" si="1">G68-F68</f>
        <v>-5</v>
      </c>
      <c r="I68">
        <v>9</v>
      </c>
    </row>
    <row r="69" spans="1:9" x14ac:dyDescent="0.2">
      <c r="A69" t="s">
        <v>1163</v>
      </c>
      <c r="B69">
        <v>824996</v>
      </c>
      <c r="C69">
        <v>20260610</v>
      </c>
      <c r="D69">
        <v>20</v>
      </c>
      <c r="E69">
        <v>17</v>
      </c>
      <c r="F69">
        <v>4</v>
      </c>
      <c r="G69">
        <v>3</v>
      </c>
      <c r="H69">
        <f t="shared" si="1"/>
        <v>-1</v>
      </c>
      <c r="I69">
        <v>7</v>
      </c>
    </row>
    <row r="70" spans="1:9" x14ac:dyDescent="0.2">
      <c r="A70" t="s">
        <v>1164</v>
      </c>
      <c r="B70">
        <v>823371</v>
      </c>
      <c r="C70">
        <v>20260611</v>
      </c>
      <c r="D70">
        <v>22</v>
      </c>
      <c r="E70">
        <v>14</v>
      </c>
      <c r="F70">
        <v>6</v>
      </c>
      <c r="G70">
        <v>8</v>
      </c>
      <c r="H70">
        <f t="shared" si="1"/>
        <v>2</v>
      </c>
      <c r="I70">
        <v>14</v>
      </c>
    </row>
    <row r="71" spans="1:9" x14ac:dyDescent="0.2">
      <c r="A71" t="s">
        <v>1165</v>
      </c>
      <c r="B71">
        <v>823619</v>
      </c>
      <c r="C71">
        <v>20260611</v>
      </c>
      <c r="D71">
        <v>18</v>
      </c>
      <c r="E71">
        <v>26</v>
      </c>
      <c r="F71">
        <v>5</v>
      </c>
      <c r="G71">
        <v>4</v>
      </c>
      <c r="H71">
        <f t="shared" si="1"/>
        <v>-1</v>
      </c>
      <c r="I71">
        <v>9</v>
      </c>
    </row>
    <row r="72" spans="1:9" x14ac:dyDescent="0.2">
      <c r="A72" t="s">
        <v>1166</v>
      </c>
      <c r="B72">
        <v>823855</v>
      </c>
      <c r="C72">
        <v>20260611</v>
      </c>
      <c r="D72">
        <v>11</v>
      </c>
      <c r="E72">
        <v>1</v>
      </c>
      <c r="F72">
        <v>2</v>
      </c>
      <c r="G72">
        <v>0</v>
      </c>
      <c r="H72">
        <f t="shared" si="1"/>
        <v>-2</v>
      </c>
      <c r="I72">
        <v>2</v>
      </c>
    </row>
    <row r="73" spans="1:9" x14ac:dyDescent="0.2">
      <c r="A73" t="s">
        <v>1167</v>
      </c>
      <c r="B73">
        <v>824101</v>
      </c>
      <c r="C73">
        <v>20260611</v>
      </c>
      <c r="D73">
        <v>13</v>
      </c>
      <c r="E73">
        <v>28</v>
      </c>
      <c r="F73">
        <v>2</v>
      </c>
      <c r="G73">
        <v>4</v>
      </c>
      <c r="H73">
        <f t="shared" si="1"/>
        <v>2</v>
      </c>
      <c r="I73">
        <v>6</v>
      </c>
    </row>
    <row r="74" spans="1:9" x14ac:dyDescent="0.2">
      <c r="A74" t="s">
        <v>1168</v>
      </c>
      <c r="B74">
        <v>824265</v>
      </c>
      <c r="C74">
        <v>20260611</v>
      </c>
      <c r="D74">
        <v>10</v>
      </c>
      <c r="E74">
        <v>15</v>
      </c>
      <c r="F74">
        <v>11</v>
      </c>
      <c r="G74">
        <v>0</v>
      </c>
      <c r="H74">
        <f t="shared" si="1"/>
        <v>-11</v>
      </c>
      <c r="I74">
        <v>11</v>
      </c>
    </row>
    <row r="75" spans="1:9" x14ac:dyDescent="0.2">
      <c r="A75" t="s">
        <v>1169</v>
      </c>
      <c r="B75">
        <v>824346</v>
      </c>
      <c r="C75">
        <v>20260611</v>
      </c>
      <c r="D75">
        <v>8</v>
      </c>
      <c r="E75">
        <v>5</v>
      </c>
      <c r="F75">
        <v>3</v>
      </c>
      <c r="G75">
        <v>9</v>
      </c>
      <c r="H75">
        <f t="shared" si="1"/>
        <v>6</v>
      </c>
      <c r="I75">
        <v>12</v>
      </c>
    </row>
    <row r="76" spans="1:9" x14ac:dyDescent="0.2">
      <c r="A76" t="s">
        <v>1170</v>
      </c>
      <c r="B76">
        <v>824827</v>
      </c>
      <c r="C76">
        <v>20260611</v>
      </c>
      <c r="D76">
        <v>2</v>
      </c>
      <c r="E76">
        <v>24</v>
      </c>
      <c r="F76">
        <v>7</v>
      </c>
      <c r="G76">
        <v>5</v>
      </c>
      <c r="H76">
        <f t="shared" si="1"/>
        <v>-2</v>
      </c>
      <c r="I76">
        <v>12</v>
      </c>
    </row>
    <row r="77" spans="1:9" x14ac:dyDescent="0.2">
      <c r="A77" t="s">
        <v>1171</v>
      </c>
      <c r="B77">
        <v>822726</v>
      </c>
      <c r="C77">
        <v>20260612</v>
      </c>
      <c r="D77">
        <v>16</v>
      </c>
      <c r="E77">
        <v>24</v>
      </c>
      <c r="F77">
        <v>2</v>
      </c>
      <c r="G77">
        <v>10</v>
      </c>
      <c r="H77">
        <f t="shared" si="1"/>
        <v>8</v>
      </c>
      <c r="I77">
        <v>12</v>
      </c>
    </row>
    <row r="78" spans="1:9" x14ac:dyDescent="0.2">
      <c r="A78" t="s">
        <v>1172</v>
      </c>
      <c r="B78">
        <v>822803</v>
      </c>
      <c r="C78">
        <v>20260612</v>
      </c>
      <c r="D78">
        <v>29</v>
      </c>
      <c r="E78">
        <v>19</v>
      </c>
      <c r="F78">
        <v>8</v>
      </c>
      <c r="G78">
        <v>5</v>
      </c>
      <c r="H78">
        <f t="shared" si="1"/>
        <v>-3</v>
      </c>
      <c r="I78">
        <v>13</v>
      </c>
    </row>
    <row r="79" spans="1:9" x14ac:dyDescent="0.2">
      <c r="A79" t="s">
        <v>1173</v>
      </c>
      <c r="B79">
        <v>823211</v>
      </c>
      <c r="C79">
        <v>20260612</v>
      </c>
      <c r="D79">
        <v>25</v>
      </c>
      <c r="E79">
        <v>5</v>
      </c>
      <c r="F79">
        <v>1</v>
      </c>
      <c r="G79">
        <v>5</v>
      </c>
      <c r="H79">
        <f t="shared" si="1"/>
        <v>4</v>
      </c>
      <c r="I79">
        <v>6</v>
      </c>
    </row>
    <row r="80" spans="1:9" x14ac:dyDescent="0.2">
      <c r="A80" t="s">
        <v>1174</v>
      </c>
      <c r="B80">
        <v>823370</v>
      </c>
      <c r="C80">
        <v>20260612</v>
      </c>
      <c r="D80">
        <v>22</v>
      </c>
      <c r="E80">
        <v>11</v>
      </c>
      <c r="F80">
        <v>3</v>
      </c>
      <c r="G80">
        <v>8</v>
      </c>
      <c r="H80">
        <f t="shared" si="1"/>
        <v>5</v>
      </c>
      <c r="I80">
        <v>11</v>
      </c>
    </row>
    <row r="81" spans="1:9" x14ac:dyDescent="0.2">
      <c r="A81" t="s">
        <v>1175</v>
      </c>
      <c r="B81">
        <v>823617</v>
      </c>
      <c r="C81">
        <v>20260612</v>
      </c>
      <c r="D81">
        <v>18</v>
      </c>
      <c r="E81">
        <v>0</v>
      </c>
      <c r="F81">
        <v>7</v>
      </c>
      <c r="G81">
        <v>5</v>
      </c>
      <c r="H81">
        <f t="shared" si="1"/>
        <v>-2</v>
      </c>
      <c r="I81">
        <v>12</v>
      </c>
    </row>
    <row r="82" spans="1:9" x14ac:dyDescent="0.2">
      <c r="A82" t="s">
        <v>1176</v>
      </c>
      <c r="B82">
        <v>823695</v>
      </c>
      <c r="C82">
        <v>20260612</v>
      </c>
      <c r="D82">
        <v>15</v>
      </c>
      <c r="E82">
        <v>26</v>
      </c>
      <c r="F82">
        <v>9</v>
      </c>
      <c r="G82">
        <v>8</v>
      </c>
      <c r="H82">
        <f t="shared" si="1"/>
        <v>-1</v>
      </c>
      <c r="I82">
        <v>17</v>
      </c>
    </row>
    <row r="83" spans="1:9" x14ac:dyDescent="0.2">
      <c r="A83" t="s">
        <v>1177</v>
      </c>
      <c r="B83">
        <v>823778</v>
      </c>
      <c r="C83">
        <v>20260612</v>
      </c>
      <c r="D83">
        <v>17</v>
      </c>
      <c r="E83">
        <v>21</v>
      </c>
      <c r="F83">
        <v>6</v>
      </c>
      <c r="G83">
        <v>0</v>
      </c>
      <c r="H83">
        <f t="shared" si="1"/>
        <v>-6</v>
      </c>
      <c r="I83">
        <v>6</v>
      </c>
    </row>
    <row r="84" spans="1:9" x14ac:dyDescent="0.2">
      <c r="A84" t="s">
        <v>1178</v>
      </c>
      <c r="B84">
        <v>824020</v>
      </c>
      <c r="C84">
        <v>20260612</v>
      </c>
      <c r="D84">
        <v>4</v>
      </c>
      <c r="E84">
        <v>27</v>
      </c>
      <c r="F84">
        <v>4</v>
      </c>
      <c r="G84">
        <v>3</v>
      </c>
      <c r="H84">
        <f t="shared" si="1"/>
        <v>-1</v>
      </c>
      <c r="I84">
        <v>7</v>
      </c>
    </row>
    <row r="85" spans="1:9" x14ac:dyDescent="0.2">
      <c r="A85" t="s">
        <v>1179</v>
      </c>
      <c r="B85">
        <v>824102</v>
      </c>
      <c r="C85">
        <v>20260612</v>
      </c>
      <c r="D85">
        <v>13</v>
      </c>
      <c r="E85">
        <v>12</v>
      </c>
      <c r="F85">
        <v>8</v>
      </c>
      <c r="G85">
        <v>10</v>
      </c>
      <c r="H85">
        <f t="shared" si="1"/>
        <v>2</v>
      </c>
      <c r="I85">
        <v>18</v>
      </c>
    </row>
    <row r="86" spans="1:9" x14ac:dyDescent="0.2">
      <c r="A86" t="s">
        <v>1180</v>
      </c>
      <c r="B86">
        <v>824425</v>
      </c>
      <c r="C86">
        <v>20260612</v>
      </c>
      <c r="D86">
        <v>7</v>
      </c>
      <c r="E86">
        <v>10</v>
      </c>
      <c r="F86">
        <v>3</v>
      </c>
      <c r="G86">
        <v>2</v>
      </c>
      <c r="H86">
        <f t="shared" si="1"/>
        <v>-1</v>
      </c>
      <c r="I86">
        <v>5</v>
      </c>
    </row>
    <row r="87" spans="1:9" x14ac:dyDescent="0.2">
      <c r="A87" t="s">
        <v>1181</v>
      </c>
      <c r="B87">
        <v>824507</v>
      </c>
      <c r="C87">
        <v>20260612</v>
      </c>
      <c r="D87">
        <v>6</v>
      </c>
      <c r="E87">
        <v>1</v>
      </c>
      <c r="F87">
        <v>2</v>
      </c>
      <c r="G87">
        <v>5</v>
      </c>
      <c r="H87">
        <f t="shared" si="1"/>
        <v>3</v>
      </c>
      <c r="I87">
        <v>7</v>
      </c>
    </row>
    <row r="88" spans="1:9" x14ac:dyDescent="0.2">
      <c r="A88" t="s">
        <v>1182</v>
      </c>
      <c r="B88">
        <v>824588</v>
      </c>
      <c r="C88">
        <v>20260612</v>
      </c>
      <c r="D88">
        <v>9</v>
      </c>
      <c r="E88">
        <v>14</v>
      </c>
      <c r="F88">
        <v>8</v>
      </c>
      <c r="G88">
        <v>2</v>
      </c>
      <c r="H88">
        <f t="shared" si="1"/>
        <v>-6</v>
      </c>
      <c r="I88">
        <v>10</v>
      </c>
    </row>
    <row r="89" spans="1:9" x14ac:dyDescent="0.2">
      <c r="A89" t="s">
        <v>1183</v>
      </c>
      <c r="B89">
        <v>824752</v>
      </c>
      <c r="C89">
        <v>20260612</v>
      </c>
      <c r="D89">
        <v>3</v>
      </c>
      <c r="E89">
        <v>28</v>
      </c>
      <c r="F89">
        <v>10</v>
      </c>
      <c r="G89">
        <v>1</v>
      </c>
      <c r="H89">
        <f t="shared" si="1"/>
        <v>-9</v>
      </c>
      <c r="I89">
        <v>11</v>
      </c>
    </row>
    <row r="90" spans="1:9" x14ac:dyDescent="0.2">
      <c r="A90" t="s">
        <v>1184</v>
      </c>
      <c r="B90">
        <v>824826</v>
      </c>
      <c r="C90">
        <v>20260612</v>
      </c>
      <c r="D90">
        <v>2</v>
      </c>
      <c r="E90">
        <v>23</v>
      </c>
      <c r="F90">
        <v>7</v>
      </c>
      <c r="G90">
        <v>3</v>
      </c>
      <c r="H90">
        <f t="shared" si="1"/>
        <v>-4</v>
      </c>
      <c r="I90">
        <v>10</v>
      </c>
    </row>
    <row r="91" spans="1:9" x14ac:dyDescent="0.2">
      <c r="A91" t="s">
        <v>1185</v>
      </c>
      <c r="B91">
        <v>824997</v>
      </c>
      <c r="C91">
        <v>20260612</v>
      </c>
      <c r="D91">
        <v>20</v>
      </c>
      <c r="E91">
        <v>8</v>
      </c>
      <c r="F91">
        <v>6</v>
      </c>
      <c r="G91">
        <v>4</v>
      </c>
      <c r="H91">
        <f t="shared" si="1"/>
        <v>-2</v>
      </c>
      <c r="I91">
        <v>10</v>
      </c>
    </row>
    <row r="92" spans="1:9" x14ac:dyDescent="0.2">
      <c r="A92" t="s">
        <v>1186</v>
      </c>
      <c r="B92">
        <v>822725</v>
      </c>
      <c r="C92">
        <v>20260613</v>
      </c>
      <c r="D92">
        <v>16</v>
      </c>
      <c r="E92">
        <v>24</v>
      </c>
      <c r="F92">
        <v>8</v>
      </c>
      <c r="G92">
        <v>3</v>
      </c>
      <c r="H92">
        <f t="shared" si="1"/>
        <v>-5</v>
      </c>
      <c r="I92">
        <v>11</v>
      </c>
    </row>
    <row r="93" spans="1:9" x14ac:dyDescent="0.2">
      <c r="A93" t="s">
        <v>1187</v>
      </c>
      <c r="B93">
        <v>822802</v>
      </c>
      <c r="C93">
        <v>20260613</v>
      </c>
      <c r="D93">
        <v>29</v>
      </c>
      <c r="E93">
        <v>19</v>
      </c>
      <c r="F93">
        <v>1</v>
      </c>
      <c r="G93">
        <v>3</v>
      </c>
      <c r="H93">
        <f t="shared" si="1"/>
        <v>2</v>
      </c>
      <c r="I93">
        <v>4</v>
      </c>
    </row>
    <row r="94" spans="1:9" x14ac:dyDescent="0.2">
      <c r="A94" t="s">
        <v>1188</v>
      </c>
      <c r="B94">
        <v>823213</v>
      </c>
      <c r="C94">
        <v>20260613</v>
      </c>
      <c r="D94">
        <v>25</v>
      </c>
      <c r="E94">
        <v>5</v>
      </c>
      <c r="F94">
        <v>1</v>
      </c>
      <c r="G94">
        <v>6</v>
      </c>
      <c r="H94">
        <f t="shared" si="1"/>
        <v>5</v>
      </c>
      <c r="I94">
        <v>7</v>
      </c>
    </row>
    <row r="95" spans="1:9" x14ac:dyDescent="0.2">
      <c r="A95" t="s">
        <v>1189</v>
      </c>
      <c r="B95">
        <v>823369</v>
      </c>
      <c r="C95">
        <v>20260613</v>
      </c>
      <c r="D95">
        <v>22</v>
      </c>
      <c r="E95">
        <v>11</v>
      </c>
      <c r="F95">
        <v>3</v>
      </c>
      <c r="G95">
        <v>2</v>
      </c>
      <c r="H95">
        <f t="shared" si="1"/>
        <v>-1</v>
      </c>
      <c r="I95">
        <v>5</v>
      </c>
    </row>
    <row r="96" spans="1:9" x14ac:dyDescent="0.2">
      <c r="A96" t="s">
        <v>1190</v>
      </c>
      <c r="B96">
        <v>823616</v>
      </c>
      <c r="C96">
        <v>20260613</v>
      </c>
      <c r="D96">
        <v>18</v>
      </c>
      <c r="E96">
        <v>0</v>
      </c>
      <c r="F96">
        <v>1</v>
      </c>
      <c r="G96">
        <v>3</v>
      </c>
      <c r="H96">
        <f t="shared" si="1"/>
        <v>2</v>
      </c>
      <c r="I96">
        <v>4</v>
      </c>
    </row>
    <row r="97" spans="1:9" x14ac:dyDescent="0.2">
      <c r="A97" t="s">
        <v>1191</v>
      </c>
      <c r="B97">
        <v>823694</v>
      </c>
      <c r="C97">
        <v>20260613</v>
      </c>
      <c r="D97">
        <v>15</v>
      </c>
      <c r="E97">
        <v>26</v>
      </c>
      <c r="F97">
        <v>6</v>
      </c>
      <c r="G97">
        <v>9</v>
      </c>
      <c r="H97">
        <f t="shared" si="1"/>
        <v>3</v>
      </c>
      <c r="I97">
        <v>15</v>
      </c>
    </row>
    <row r="98" spans="1:9" x14ac:dyDescent="0.2">
      <c r="A98" t="s">
        <v>1192</v>
      </c>
      <c r="B98">
        <v>823776</v>
      </c>
      <c r="C98">
        <v>20260613</v>
      </c>
      <c r="D98">
        <v>17</v>
      </c>
      <c r="E98">
        <v>21</v>
      </c>
      <c r="F98">
        <v>8</v>
      </c>
      <c r="G98">
        <v>9</v>
      </c>
      <c r="H98">
        <f t="shared" si="1"/>
        <v>1</v>
      </c>
      <c r="I98">
        <v>17</v>
      </c>
    </row>
    <row r="99" spans="1:9" x14ac:dyDescent="0.2">
      <c r="A99" t="s">
        <v>1193</v>
      </c>
      <c r="B99">
        <v>824019</v>
      </c>
      <c r="C99">
        <v>20260613</v>
      </c>
      <c r="D99">
        <v>4</v>
      </c>
      <c r="E99">
        <v>27</v>
      </c>
      <c r="F99">
        <v>8</v>
      </c>
      <c r="G99">
        <v>0</v>
      </c>
      <c r="H99">
        <f t="shared" si="1"/>
        <v>-8</v>
      </c>
      <c r="I99">
        <v>8</v>
      </c>
    </row>
    <row r="100" spans="1:9" x14ac:dyDescent="0.2">
      <c r="A100" t="s">
        <v>1194</v>
      </c>
      <c r="B100">
        <v>824100</v>
      </c>
      <c r="C100">
        <v>20260613</v>
      </c>
      <c r="D100">
        <v>13</v>
      </c>
      <c r="E100">
        <v>12</v>
      </c>
      <c r="F100">
        <v>7</v>
      </c>
      <c r="G100">
        <v>8</v>
      </c>
      <c r="H100">
        <f t="shared" si="1"/>
        <v>1</v>
      </c>
      <c r="I100">
        <v>15</v>
      </c>
    </row>
    <row r="101" spans="1:9" x14ac:dyDescent="0.2">
      <c r="A101" t="s">
        <v>1195</v>
      </c>
      <c r="B101">
        <v>824426</v>
      </c>
      <c r="C101">
        <v>20260613</v>
      </c>
      <c r="D101">
        <v>7</v>
      </c>
      <c r="E101">
        <v>10</v>
      </c>
      <c r="F101">
        <v>3</v>
      </c>
      <c r="G101">
        <v>1</v>
      </c>
      <c r="H101">
        <f t="shared" si="1"/>
        <v>-2</v>
      </c>
      <c r="I101">
        <v>4</v>
      </c>
    </row>
    <row r="102" spans="1:9" x14ac:dyDescent="0.2">
      <c r="A102" t="s">
        <v>1196</v>
      </c>
      <c r="B102">
        <v>824508</v>
      </c>
      <c r="C102">
        <v>20260613</v>
      </c>
      <c r="D102">
        <v>6</v>
      </c>
      <c r="E102">
        <v>1</v>
      </c>
      <c r="F102">
        <v>2</v>
      </c>
      <c r="G102">
        <v>1</v>
      </c>
      <c r="H102">
        <f t="shared" si="1"/>
        <v>-1</v>
      </c>
      <c r="I102">
        <v>3</v>
      </c>
    </row>
    <row r="103" spans="1:9" x14ac:dyDescent="0.2">
      <c r="A103" t="s">
        <v>1197</v>
      </c>
      <c r="B103">
        <v>824587</v>
      </c>
      <c r="C103">
        <v>20260613</v>
      </c>
      <c r="D103">
        <v>9</v>
      </c>
      <c r="E103">
        <v>14</v>
      </c>
      <c r="F103">
        <v>1</v>
      </c>
      <c r="G103">
        <v>7</v>
      </c>
      <c r="H103">
        <f t="shared" si="1"/>
        <v>6</v>
      </c>
      <c r="I103">
        <v>8</v>
      </c>
    </row>
    <row r="104" spans="1:9" x14ac:dyDescent="0.2">
      <c r="A104" t="s">
        <v>1198</v>
      </c>
      <c r="B104">
        <v>824749</v>
      </c>
      <c r="C104">
        <v>20260613</v>
      </c>
      <c r="D104">
        <v>3</v>
      </c>
      <c r="E104">
        <v>28</v>
      </c>
      <c r="F104">
        <v>6</v>
      </c>
      <c r="G104">
        <v>3</v>
      </c>
      <c r="H104">
        <f t="shared" si="1"/>
        <v>-3</v>
      </c>
      <c r="I104">
        <v>9</v>
      </c>
    </row>
    <row r="105" spans="1:9" x14ac:dyDescent="0.2">
      <c r="A105" t="s">
        <v>1199</v>
      </c>
      <c r="B105">
        <v>824828</v>
      </c>
      <c r="C105">
        <v>20260613</v>
      </c>
      <c r="D105">
        <v>2</v>
      </c>
      <c r="E105">
        <v>23</v>
      </c>
      <c r="F105">
        <v>3</v>
      </c>
      <c r="G105">
        <v>9</v>
      </c>
      <c r="H105">
        <f t="shared" si="1"/>
        <v>6</v>
      </c>
      <c r="I105">
        <v>12</v>
      </c>
    </row>
    <row r="106" spans="1:9" x14ac:dyDescent="0.2">
      <c r="A106" t="s">
        <v>1200</v>
      </c>
      <c r="B106">
        <v>824995</v>
      </c>
      <c r="C106">
        <v>20260613</v>
      </c>
      <c r="D106">
        <v>20</v>
      </c>
      <c r="E106">
        <v>8</v>
      </c>
      <c r="F106">
        <v>7</v>
      </c>
      <c r="G106">
        <v>5</v>
      </c>
      <c r="H106">
        <f t="shared" si="1"/>
        <v>-2</v>
      </c>
      <c r="I106">
        <v>12</v>
      </c>
    </row>
    <row r="107" spans="1:9" x14ac:dyDescent="0.2">
      <c r="A107" t="s">
        <v>1201</v>
      </c>
      <c r="B107">
        <v>822722</v>
      </c>
      <c r="C107">
        <v>20260614</v>
      </c>
      <c r="D107">
        <v>16</v>
      </c>
      <c r="E107">
        <v>24</v>
      </c>
      <c r="F107">
        <v>10</v>
      </c>
      <c r="G107">
        <v>1</v>
      </c>
      <c r="H107">
        <f t="shared" si="1"/>
        <v>-9</v>
      </c>
      <c r="I107">
        <v>11</v>
      </c>
    </row>
    <row r="108" spans="1:9" x14ac:dyDescent="0.2">
      <c r="A108" t="s">
        <v>1202</v>
      </c>
      <c r="B108">
        <v>822801</v>
      </c>
      <c r="C108">
        <v>20260614</v>
      </c>
      <c r="D108">
        <v>29</v>
      </c>
      <c r="E108">
        <v>19</v>
      </c>
      <c r="F108">
        <v>3</v>
      </c>
      <c r="G108">
        <v>8</v>
      </c>
      <c r="H108">
        <f t="shared" si="1"/>
        <v>5</v>
      </c>
      <c r="I108">
        <v>11</v>
      </c>
    </row>
    <row r="109" spans="1:9" x14ac:dyDescent="0.2">
      <c r="A109" t="s">
        <v>1203</v>
      </c>
      <c r="B109">
        <v>823212</v>
      </c>
      <c r="C109">
        <v>20260614</v>
      </c>
      <c r="D109">
        <v>25</v>
      </c>
      <c r="E109">
        <v>5</v>
      </c>
      <c r="F109">
        <v>5</v>
      </c>
      <c r="G109">
        <v>1</v>
      </c>
      <c r="H109">
        <f t="shared" si="1"/>
        <v>-4</v>
      </c>
      <c r="I109">
        <v>6</v>
      </c>
    </row>
    <row r="110" spans="1:9" x14ac:dyDescent="0.2">
      <c r="A110" t="s">
        <v>1204</v>
      </c>
      <c r="B110">
        <v>823368</v>
      </c>
      <c r="C110">
        <v>20260614</v>
      </c>
      <c r="D110">
        <v>22</v>
      </c>
      <c r="E110">
        <v>11</v>
      </c>
      <c r="F110">
        <v>2</v>
      </c>
      <c r="G110">
        <v>4</v>
      </c>
      <c r="H110">
        <f t="shared" si="1"/>
        <v>2</v>
      </c>
      <c r="I110">
        <v>6</v>
      </c>
    </row>
    <row r="111" spans="1:9" x14ac:dyDescent="0.2">
      <c r="A111" t="s">
        <v>1205</v>
      </c>
      <c r="B111">
        <v>823615</v>
      </c>
      <c r="C111">
        <v>20260614</v>
      </c>
      <c r="D111">
        <v>18</v>
      </c>
      <c r="E111">
        <v>0</v>
      </c>
      <c r="F111">
        <v>8</v>
      </c>
      <c r="G111">
        <v>1</v>
      </c>
      <c r="H111">
        <f t="shared" si="1"/>
        <v>-7</v>
      </c>
      <c r="I111">
        <v>9</v>
      </c>
    </row>
    <row r="112" spans="1:9" x14ac:dyDescent="0.2">
      <c r="A112" t="s">
        <v>1206</v>
      </c>
      <c r="B112">
        <v>823693</v>
      </c>
      <c r="C112">
        <v>20260614</v>
      </c>
      <c r="D112">
        <v>15</v>
      </c>
      <c r="E112">
        <v>26</v>
      </c>
      <c r="F112">
        <v>5</v>
      </c>
      <c r="G112">
        <v>4</v>
      </c>
      <c r="H112">
        <f t="shared" si="1"/>
        <v>-1</v>
      </c>
      <c r="I112">
        <v>9</v>
      </c>
    </row>
    <row r="113" spans="1:9" x14ac:dyDescent="0.2">
      <c r="A113" t="s">
        <v>1207</v>
      </c>
      <c r="B113">
        <v>823777</v>
      </c>
      <c r="C113">
        <v>20260614</v>
      </c>
      <c r="D113">
        <v>17</v>
      </c>
      <c r="E113">
        <v>21</v>
      </c>
      <c r="F113">
        <v>4</v>
      </c>
      <c r="G113">
        <v>0</v>
      </c>
      <c r="H113">
        <f t="shared" si="1"/>
        <v>-4</v>
      </c>
      <c r="I113">
        <v>4</v>
      </c>
    </row>
    <row r="114" spans="1:9" x14ac:dyDescent="0.2">
      <c r="A114" t="s">
        <v>1208</v>
      </c>
      <c r="B114">
        <v>824021</v>
      </c>
      <c r="C114">
        <v>20260614</v>
      </c>
      <c r="D114">
        <v>4</v>
      </c>
      <c r="E114">
        <v>27</v>
      </c>
      <c r="F114">
        <v>3</v>
      </c>
      <c r="G114">
        <v>8</v>
      </c>
      <c r="H114">
        <f t="shared" si="1"/>
        <v>5</v>
      </c>
      <c r="I114">
        <v>11</v>
      </c>
    </row>
    <row r="115" spans="1:9" x14ac:dyDescent="0.2">
      <c r="A115" t="s">
        <v>1209</v>
      </c>
      <c r="B115">
        <v>824099</v>
      </c>
      <c r="C115">
        <v>20260614</v>
      </c>
      <c r="D115">
        <v>13</v>
      </c>
      <c r="E115">
        <v>12</v>
      </c>
      <c r="F115">
        <v>4</v>
      </c>
      <c r="G115">
        <v>0</v>
      </c>
      <c r="H115">
        <f t="shared" si="1"/>
        <v>-4</v>
      </c>
      <c r="I115">
        <v>4</v>
      </c>
    </row>
    <row r="116" spans="1:9" x14ac:dyDescent="0.2">
      <c r="A116" t="s">
        <v>1210</v>
      </c>
      <c r="B116">
        <v>824506</v>
      </c>
      <c r="C116">
        <v>20260614</v>
      </c>
      <c r="D116">
        <v>6</v>
      </c>
      <c r="E116">
        <v>1</v>
      </c>
      <c r="F116">
        <v>3</v>
      </c>
      <c r="G116">
        <v>5</v>
      </c>
      <c r="H116">
        <f t="shared" si="1"/>
        <v>2</v>
      </c>
      <c r="I116">
        <v>8</v>
      </c>
    </row>
    <row r="117" spans="1:9" x14ac:dyDescent="0.2">
      <c r="A117" t="s">
        <v>1211</v>
      </c>
      <c r="B117">
        <v>824586</v>
      </c>
      <c r="C117">
        <v>20260614</v>
      </c>
      <c r="D117">
        <v>9</v>
      </c>
      <c r="E117">
        <v>14</v>
      </c>
      <c r="F117">
        <v>6</v>
      </c>
      <c r="G117">
        <v>4</v>
      </c>
      <c r="H117">
        <f t="shared" si="1"/>
        <v>-2</v>
      </c>
      <c r="I117">
        <v>10</v>
      </c>
    </row>
    <row r="118" spans="1:9" x14ac:dyDescent="0.2">
      <c r="A118" t="s">
        <v>1212</v>
      </c>
      <c r="B118">
        <v>824751</v>
      </c>
      <c r="C118">
        <v>20260614</v>
      </c>
      <c r="D118">
        <v>3</v>
      </c>
      <c r="E118">
        <v>28</v>
      </c>
      <c r="F118">
        <v>4</v>
      </c>
      <c r="G118">
        <v>6</v>
      </c>
      <c r="H118">
        <f t="shared" si="1"/>
        <v>2</v>
      </c>
      <c r="I118">
        <v>10</v>
      </c>
    </row>
    <row r="119" spans="1:9" x14ac:dyDescent="0.2">
      <c r="A119" t="s">
        <v>1213</v>
      </c>
      <c r="B119">
        <v>824823</v>
      </c>
      <c r="C119">
        <v>20260614</v>
      </c>
      <c r="D119">
        <v>2</v>
      </c>
      <c r="E119">
        <v>23</v>
      </c>
      <c r="F119">
        <v>2</v>
      </c>
      <c r="G119">
        <v>5</v>
      </c>
      <c r="H119">
        <f t="shared" si="1"/>
        <v>3</v>
      </c>
      <c r="I119">
        <v>7</v>
      </c>
    </row>
    <row r="120" spans="1:9" x14ac:dyDescent="0.2">
      <c r="A120" t="s">
        <v>1214</v>
      </c>
      <c r="B120">
        <v>824994</v>
      </c>
      <c r="C120">
        <v>20260614</v>
      </c>
      <c r="D120">
        <v>20</v>
      </c>
      <c r="E120">
        <v>8</v>
      </c>
      <c r="F120">
        <v>9</v>
      </c>
      <c r="G120">
        <v>23</v>
      </c>
      <c r="H120">
        <f t="shared" si="1"/>
        <v>14</v>
      </c>
      <c r="I120">
        <v>32</v>
      </c>
    </row>
    <row r="121" spans="1:9" x14ac:dyDescent="0.2">
      <c r="A121" t="s">
        <v>1215</v>
      </c>
      <c r="B121">
        <v>822724</v>
      </c>
      <c r="C121">
        <v>20260615</v>
      </c>
      <c r="D121">
        <v>16</v>
      </c>
      <c r="E121">
        <v>13</v>
      </c>
      <c r="F121">
        <v>7</v>
      </c>
      <c r="G121">
        <v>3</v>
      </c>
      <c r="H121">
        <f t="shared" si="1"/>
        <v>-4</v>
      </c>
      <c r="I121">
        <v>10</v>
      </c>
    </row>
    <row r="122" spans="1:9" x14ac:dyDescent="0.2">
      <c r="A122" t="s">
        <v>1216</v>
      </c>
      <c r="B122">
        <v>822887</v>
      </c>
      <c r="C122">
        <v>20260615</v>
      </c>
      <c r="D122">
        <v>28</v>
      </c>
      <c r="E122">
        <v>15</v>
      </c>
      <c r="F122">
        <v>2</v>
      </c>
      <c r="G122">
        <v>4</v>
      </c>
      <c r="H122">
        <f t="shared" si="1"/>
        <v>2</v>
      </c>
      <c r="I122">
        <v>6</v>
      </c>
    </row>
    <row r="123" spans="1:9" x14ac:dyDescent="0.2">
      <c r="A123" t="s">
        <v>1217</v>
      </c>
      <c r="B123">
        <v>823046</v>
      </c>
      <c r="C123">
        <v>20260615</v>
      </c>
      <c r="D123">
        <v>26</v>
      </c>
      <c r="E123">
        <v>23</v>
      </c>
      <c r="F123">
        <v>3</v>
      </c>
      <c r="G123">
        <v>0</v>
      </c>
      <c r="H123">
        <f t="shared" si="1"/>
        <v>-3</v>
      </c>
      <c r="I123">
        <v>3</v>
      </c>
    </row>
    <row r="124" spans="1:9" x14ac:dyDescent="0.2">
      <c r="A124" t="s">
        <v>1218</v>
      </c>
      <c r="B124">
        <v>823452</v>
      </c>
      <c r="C124">
        <v>20260615</v>
      </c>
      <c r="D124">
        <v>21</v>
      </c>
      <c r="E124">
        <v>11</v>
      </c>
      <c r="F124">
        <v>7</v>
      </c>
      <c r="G124">
        <v>0</v>
      </c>
      <c r="H124">
        <f t="shared" si="1"/>
        <v>-7</v>
      </c>
      <c r="I124">
        <v>7</v>
      </c>
    </row>
    <row r="125" spans="1:9" x14ac:dyDescent="0.2">
      <c r="A125" t="s">
        <v>1219</v>
      </c>
      <c r="B125">
        <v>823938</v>
      </c>
      <c r="C125">
        <v>20260615</v>
      </c>
      <c r="D125">
        <v>14</v>
      </c>
      <c r="E125">
        <v>27</v>
      </c>
      <c r="F125">
        <v>4</v>
      </c>
      <c r="G125">
        <v>3</v>
      </c>
      <c r="H125">
        <f t="shared" si="1"/>
        <v>-1</v>
      </c>
      <c r="I125">
        <v>7</v>
      </c>
    </row>
    <row r="126" spans="1:9" x14ac:dyDescent="0.2">
      <c r="A126" t="s">
        <v>1220</v>
      </c>
      <c r="B126">
        <v>824181</v>
      </c>
      <c r="C126">
        <v>20260615</v>
      </c>
      <c r="D126">
        <v>12</v>
      </c>
      <c r="E126">
        <v>10</v>
      </c>
      <c r="F126">
        <v>3</v>
      </c>
      <c r="G126">
        <v>9</v>
      </c>
      <c r="H126">
        <f t="shared" si="1"/>
        <v>6</v>
      </c>
      <c r="I126">
        <v>12</v>
      </c>
    </row>
    <row r="127" spans="1:9" x14ac:dyDescent="0.2">
      <c r="A127" t="s">
        <v>1221</v>
      </c>
      <c r="B127">
        <v>824505</v>
      </c>
      <c r="C127">
        <v>20260615</v>
      </c>
      <c r="D127">
        <v>6</v>
      </c>
      <c r="E127">
        <v>18</v>
      </c>
      <c r="F127">
        <v>12</v>
      </c>
      <c r="G127">
        <v>0</v>
      </c>
      <c r="H127">
        <f t="shared" si="1"/>
        <v>-12</v>
      </c>
      <c r="I127">
        <v>12</v>
      </c>
    </row>
    <row r="128" spans="1:9" x14ac:dyDescent="0.2">
      <c r="A128" t="s">
        <v>1222</v>
      </c>
      <c r="B128">
        <v>824666</v>
      </c>
      <c r="C128">
        <v>20260615</v>
      </c>
      <c r="D128">
        <v>5</v>
      </c>
      <c r="E128">
        <v>8</v>
      </c>
      <c r="F128">
        <v>5</v>
      </c>
      <c r="G128">
        <v>4</v>
      </c>
      <c r="H128">
        <f t="shared" si="1"/>
        <v>-1</v>
      </c>
      <c r="I128">
        <v>9</v>
      </c>
    </row>
    <row r="129" spans="1:9" x14ac:dyDescent="0.2">
      <c r="A129" t="s">
        <v>1223</v>
      </c>
      <c r="B129">
        <v>824993</v>
      </c>
      <c r="C129">
        <v>20260615</v>
      </c>
      <c r="D129">
        <v>20</v>
      </c>
      <c r="E129">
        <v>22</v>
      </c>
      <c r="F129">
        <v>11</v>
      </c>
      <c r="G129">
        <v>2</v>
      </c>
      <c r="H129">
        <f t="shared" si="1"/>
        <v>-9</v>
      </c>
      <c r="I129">
        <v>13</v>
      </c>
    </row>
    <row r="130" spans="1:9" x14ac:dyDescent="0.2">
      <c r="A130" t="s">
        <v>1224</v>
      </c>
      <c r="B130">
        <v>825071</v>
      </c>
      <c r="C130">
        <v>20260615</v>
      </c>
      <c r="D130">
        <v>1</v>
      </c>
      <c r="E130">
        <v>4</v>
      </c>
      <c r="F130">
        <v>4</v>
      </c>
      <c r="G130">
        <v>3</v>
      </c>
      <c r="H130">
        <f t="shared" si="1"/>
        <v>-1</v>
      </c>
      <c r="I130">
        <v>7</v>
      </c>
    </row>
    <row r="131" spans="1:9" x14ac:dyDescent="0.2">
      <c r="A131" t="s">
        <v>1225</v>
      </c>
      <c r="B131">
        <v>822723</v>
      </c>
      <c r="C131">
        <v>20260616</v>
      </c>
      <c r="D131">
        <v>16</v>
      </c>
      <c r="E131">
        <v>13</v>
      </c>
      <c r="F131">
        <v>6</v>
      </c>
      <c r="G131">
        <v>4</v>
      </c>
      <c r="H131">
        <f t="shared" si="1"/>
        <v>-2</v>
      </c>
      <c r="I131">
        <v>10</v>
      </c>
    </row>
    <row r="132" spans="1:9" x14ac:dyDescent="0.2">
      <c r="A132" t="s">
        <v>1226</v>
      </c>
      <c r="B132">
        <v>822888</v>
      </c>
      <c r="C132">
        <v>20260616</v>
      </c>
      <c r="D132">
        <v>28</v>
      </c>
      <c r="E132">
        <v>15</v>
      </c>
      <c r="F132">
        <v>2</v>
      </c>
      <c r="G132">
        <v>12</v>
      </c>
      <c r="H132">
        <f t="shared" ref="H132:H195" si="2">G132-F132</f>
        <v>10</v>
      </c>
      <c r="I132">
        <v>14</v>
      </c>
    </row>
    <row r="133" spans="1:9" x14ac:dyDescent="0.2">
      <c r="A133" t="s">
        <v>1227</v>
      </c>
      <c r="B133">
        <v>823045</v>
      </c>
      <c r="C133">
        <v>20260616</v>
      </c>
      <c r="D133">
        <v>26</v>
      </c>
      <c r="E133">
        <v>23</v>
      </c>
      <c r="F133">
        <v>3</v>
      </c>
      <c r="G133">
        <v>2</v>
      </c>
      <c r="H133">
        <f t="shared" si="2"/>
        <v>-1</v>
      </c>
      <c r="I133">
        <v>5</v>
      </c>
    </row>
    <row r="134" spans="1:9" x14ac:dyDescent="0.2">
      <c r="A134" t="s">
        <v>1228</v>
      </c>
      <c r="B134">
        <v>823128</v>
      </c>
      <c r="C134">
        <v>20260616</v>
      </c>
      <c r="D134">
        <v>24</v>
      </c>
      <c r="E134">
        <v>2</v>
      </c>
      <c r="F134">
        <v>3</v>
      </c>
      <c r="G134">
        <v>1</v>
      </c>
      <c r="H134">
        <f t="shared" si="2"/>
        <v>-2</v>
      </c>
      <c r="I134">
        <v>4</v>
      </c>
    </row>
    <row r="135" spans="1:9" x14ac:dyDescent="0.2">
      <c r="A135" t="s">
        <v>1229</v>
      </c>
      <c r="B135">
        <v>823451</v>
      </c>
      <c r="C135">
        <v>20260616</v>
      </c>
      <c r="D135">
        <v>21</v>
      </c>
      <c r="E135">
        <v>11</v>
      </c>
      <c r="F135">
        <v>8</v>
      </c>
      <c r="G135">
        <v>2</v>
      </c>
      <c r="H135">
        <f t="shared" si="2"/>
        <v>-6</v>
      </c>
      <c r="I135">
        <v>10</v>
      </c>
    </row>
    <row r="136" spans="1:9" x14ac:dyDescent="0.2">
      <c r="A136" t="s">
        <v>1230</v>
      </c>
      <c r="B136">
        <v>823535</v>
      </c>
      <c r="C136">
        <v>20260616</v>
      </c>
      <c r="D136">
        <v>19</v>
      </c>
      <c r="E136">
        <v>9</v>
      </c>
      <c r="F136">
        <v>12</v>
      </c>
      <c r="G136">
        <v>2</v>
      </c>
      <c r="H136">
        <f t="shared" si="2"/>
        <v>-10</v>
      </c>
      <c r="I136">
        <v>14</v>
      </c>
    </row>
    <row r="137" spans="1:9" x14ac:dyDescent="0.2">
      <c r="A137" t="s">
        <v>1231</v>
      </c>
      <c r="B137">
        <v>823775</v>
      </c>
      <c r="C137">
        <v>20260616</v>
      </c>
      <c r="D137">
        <v>17</v>
      </c>
      <c r="E137">
        <v>7</v>
      </c>
      <c r="F137">
        <v>2</v>
      </c>
      <c r="G137">
        <v>1</v>
      </c>
      <c r="H137">
        <f t="shared" si="2"/>
        <v>-1</v>
      </c>
      <c r="I137">
        <v>3</v>
      </c>
    </row>
    <row r="138" spans="1:9" x14ac:dyDescent="0.2">
      <c r="A138" t="s">
        <v>1232</v>
      </c>
      <c r="B138">
        <v>823939</v>
      </c>
      <c r="C138">
        <v>20260616</v>
      </c>
      <c r="D138">
        <v>14</v>
      </c>
      <c r="E138">
        <v>27</v>
      </c>
      <c r="F138">
        <v>1</v>
      </c>
      <c r="G138">
        <v>0</v>
      </c>
      <c r="H138">
        <f t="shared" si="2"/>
        <v>-1</v>
      </c>
      <c r="I138">
        <v>1</v>
      </c>
    </row>
    <row r="139" spans="1:9" x14ac:dyDescent="0.2">
      <c r="A139" t="s">
        <v>1233</v>
      </c>
      <c r="B139">
        <v>824182</v>
      </c>
      <c r="C139">
        <v>20260616</v>
      </c>
      <c r="D139">
        <v>12</v>
      </c>
      <c r="E139">
        <v>10</v>
      </c>
      <c r="F139">
        <v>4</v>
      </c>
      <c r="G139">
        <v>2</v>
      </c>
      <c r="H139">
        <f t="shared" si="2"/>
        <v>-2</v>
      </c>
      <c r="I139">
        <v>6</v>
      </c>
    </row>
    <row r="140" spans="1:9" x14ac:dyDescent="0.2">
      <c r="A140" t="s">
        <v>1234</v>
      </c>
      <c r="B140">
        <v>824504</v>
      </c>
      <c r="C140">
        <v>20260616</v>
      </c>
      <c r="D140">
        <v>6</v>
      </c>
      <c r="E140">
        <v>18</v>
      </c>
      <c r="F140">
        <v>5</v>
      </c>
      <c r="G140">
        <v>3</v>
      </c>
      <c r="H140">
        <f t="shared" si="2"/>
        <v>-2</v>
      </c>
      <c r="I140">
        <v>8</v>
      </c>
    </row>
    <row r="141" spans="1:9" x14ac:dyDescent="0.2">
      <c r="A141" t="s">
        <v>1235</v>
      </c>
      <c r="B141">
        <v>824667</v>
      </c>
      <c r="C141">
        <v>20260616</v>
      </c>
      <c r="D141">
        <v>5</v>
      </c>
      <c r="E141">
        <v>8</v>
      </c>
      <c r="F141">
        <v>2</v>
      </c>
      <c r="G141">
        <v>5</v>
      </c>
      <c r="H141">
        <f t="shared" si="2"/>
        <v>3</v>
      </c>
      <c r="I141">
        <v>7</v>
      </c>
    </row>
    <row r="142" spans="1:9" x14ac:dyDescent="0.2">
      <c r="A142" t="s">
        <v>1236</v>
      </c>
      <c r="B142">
        <v>824750</v>
      </c>
      <c r="C142">
        <v>20260616</v>
      </c>
      <c r="D142">
        <v>3</v>
      </c>
      <c r="E142">
        <v>29</v>
      </c>
      <c r="F142">
        <v>1</v>
      </c>
      <c r="G142">
        <v>6</v>
      </c>
      <c r="H142">
        <f t="shared" si="2"/>
        <v>5</v>
      </c>
      <c r="I142">
        <v>7</v>
      </c>
    </row>
    <row r="143" spans="1:9" x14ac:dyDescent="0.2">
      <c r="A143" t="s">
        <v>1237</v>
      </c>
      <c r="B143">
        <v>824912</v>
      </c>
      <c r="C143">
        <v>20260616</v>
      </c>
      <c r="D143">
        <v>0</v>
      </c>
      <c r="E143">
        <v>25</v>
      </c>
      <c r="F143">
        <v>2</v>
      </c>
      <c r="G143">
        <v>7</v>
      </c>
      <c r="H143">
        <f t="shared" si="2"/>
        <v>5</v>
      </c>
      <c r="I143">
        <v>9</v>
      </c>
    </row>
    <row r="144" spans="1:9" x14ac:dyDescent="0.2">
      <c r="A144" t="s">
        <v>1238</v>
      </c>
      <c r="B144">
        <v>824991</v>
      </c>
      <c r="C144">
        <v>20260616</v>
      </c>
      <c r="D144">
        <v>20</v>
      </c>
      <c r="E144">
        <v>22</v>
      </c>
      <c r="F144">
        <v>5</v>
      </c>
      <c r="G144">
        <v>6</v>
      </c>
      <c r="H144">
        <f t="shared" si="2"/>
        <v>1</v>
      </c>
      <c r="I144">
        <v>11</v>
      </c>
    </row>
    <row r="145" spans="1:9" x14ac:dyDescent="0.2">
      <c r="A145" t="s">
        <v>1239</v>
      </c>
      <c r="B145">
        <v>825070</v>
      </c>
      <c r="C145">
        <v>20260616</v>
      </c>
      <c r="D145">
        <v>1</v>
      </c>
      <c r="E145">
        <v>4</v>
      </c>
      <c r="F145">
        <v>0</v>
      </c>
      <c r="G145">
        <v>7</v>
      </c>
      <c r="H145">
        <f t="shared" si="2"/>
        <v>7</v>
      </c>
      <c r="I145">
        <v>7</v>
      </c>
    </row>
    <row r="146" spans="1:9" x14ac:dyDescent="0.2">
      <c r="A146" t="s">
        <v>1240</v>
      </c>
      <c r="B146">
        <v>822721</v>
      </c>
      <c r="C146">
        <v>20260617</v>
      </c>
      <c r="D146">
        <v>16</v>
      </c>
      <c r="E146">
        <v>13</v>
      </c>
      <c r="F146">
        <v>2</v>
      </c>
      <c r="G146">
        <v>6</v>
      </c>
      <c r="H146">
        <f t="shared" si="2"/>
        <v>4</v>
      </c>
      <c r="I146">
        <v>8</v>
      </c>
    </row>
    <row r="147" spans="1:9" x14ac:dyDescent="0.2">
      <c r="A147" t="s">
        <v>1241</v>
      </c>
      <c r="B147">
        <v>823044</v>
      </c>
      <c r="C147">
        <v>20260617</v>
      </c>
      <c r="D147">
        <v>26</v>
      </c>
      <c r="E147">
        <v>23</v>
      </c>
      <c r="F147">
        <v>1</v>
      </c>
      <c r="G147">
        <v>6</v>
      </c>
      <c r="H147">
        <f t="shared" si="2"/>
        <v>5</v>
      </c>
      <c r="I147">
        <v>7</v>
      </c>
    </row>
    <row r="148" spans="1:9" x14ac:dyDescent="0.2">
      <c r="A148" t="s">
        <v>1242</v>
      </c>
      <c r="B148">
        <v>823127</v>
      </c>
      <c r="C148">
        <v>20260617</v>
      </c>
      <c r="D148">
        <v>24</v>
      </c>
      <c r="E148">
        <v>2</v>
      </c>
      <c r="F148">
        <v>3</v>
      </c>
      <c r="G148">
        <v>5</v>
      </c>
      <c r="H148">
        <f t="shared" si="2"/>
        <v>2</v>
      </c>
      <c r="I148">
        <v>8</v>
      </c>
    </row>
    <row r="149" spans="1:9" x14ac:dyDescent="0.2">
      <c r="A149" t="s">
        <v>1243</v>
      </c>
      <c r="B149">
        <v>823450</v>
      </c>
      <c r="C149">
        <v>20260617</v>
      </c>
      <c r="D149">
        <v>21</v>
      </c>
      <c r="E149">
        <v>11</v>
      </c>
      <c r="F149">
        <v>4</v>
      </c>
      <c r="G149">
        <v>12</v>
      </c>
      <c r="H149">
        <f t="shared" si="2"/>
        <v>8</v>
      </c>
      <c r="I149">
        <v>16</v>
      </c>
    </row>
    <row r="150" spans="1:9" x14ac:dyDescent="0.2">
      <c r="A150" t="s">
        <v>1244</v>
      </c>
      <c r="B150">
        <v>823536</v>
      </c>
      <c r="C150">
        <v>20260617</v>
      </c>
      <c r="D150">
        <v>19</v>
      </c>
      <c r="E150">
        <v>9</v>
      </c>
      <c r="F150">
        <v>10</v>
      </c>
      <c r="G150">
        <v>5</v>
      </c>
      <c r="H150">
        <f t="shared" si="2"/>
        <v>-5</v>
      </c>
      <c r="I150">
        <v>15</v>
      </c>
    </row>
    <row r="151" spans="1:9" x14ac:dyDescent="0.2">
      <c r="A151" t="s">
        <v>1245</v>
      </c>
      <c r="B151">
        <v>823774</v>
      </c>
      <c r="C151">
        <v>20260617</v>
      </c>
      <c r="D151">
        <v>17</v>
      </c>
      <c r="E151">
        <v>7</v>
      </c>
      <c r="F151">
        <v>9</v>
      </c>
      <c r="G151">
        <v>4</v>
      </c>
      <c r="H151">
        <f t="shared" si="2"/>
        <v>-5</v>
      </c>
      <c r="I151">
        <v>13</v>
      </c>
    </row>
    <row r="152" spans="1:9" x14ac:dyDescent="0.2">
      <c r="A152" t="s">
        <v>1246</v>
      </c>
      <c r="B152">
        <v>823940</v>
      </c>
      <c r="C152">
        <v>20260617</v>
      </c>
      <c r="D152">
        <v>14</v>
      </c>
      <c r="E152">
        <v>27</v>
      </c>
      <c r="F152">
        <v>5</v>
      </c>
      <c r="G152">
        <v>4</v>
      </c>
      <c r="H152">
        <f t="shared" si="2"/>
        <v>-1</v>
      </c>
      <c r="I152">
        <v>9</v>
      </c>
    </row>
    <row r="153" spans="1:9" x14ac:dyDescent="0.2">
      <c r="A153" t="s">
        <v>1247</v>
      </c>
      <c r="B153">
        <v>824178</v>
      </c>
      <c r="C153">
        <v>20260617</v>
      </c>
      <c r="D153">
        <v>12</v>
      </c>
      <c r="E153">
        <v>10</v>
      </c>
      <c r="F153">
        <v>4</v>
      </c>
      <c r="G153">
        <v>2</v>
      </c>
      <c r="H153">
        <f t="shared" si="2"/>
        <v>-2</v>
      </c>
      <c r="I153">
        <v>6</v>
      </c>
    </row>
    <row r="154" spans="1:9" x14ac:dyDescent="0.2">
      <c r="A154" t="s">
        <v>1248</v>
      </c>
      <c r="B154">
        <v>824503</v>
      </c>
      <c r="C154">
        <v>20260617</v>
      </c>
      <c r="D154">
        <v>6</v>
      </c>
      <c r="E154">
        <v>18</v>
      </c>
      <c r="F154">
        <v>1</v>
      </c>
      <c r="G154">
        <v>9</v>
      </c>
      <c r="H154">
        <f t="shared" si="2"/>
        <v>8</v>
      </c>
      <c r="I154">
        <v>10</v>
      </c>
    </row>
    <row r="155" spans="1:9" x14ac:dyDescent="0.2">
      <c r="A155" t="s">
        <v>1249</v>
      </c>
      <c r="B155">
        <v>824668</v>
      </c>
      <c r="C155">
        <v>20260617</v>
      </c>
      <c r="D155">
        <v>5</v>
      </c>
      <c r="E155">
        <v>8</v>
      </c>
      <c r="F155">
        <v>8</v>
      </c>
      <c r="G155">
        <v>6</v>
      </c>
      <c r="H155">
        <f t="shared" si="2"/>
        <v>-2</v>
      </c>
      <c r="I155">
        <v>14</v>
      </c>
    </row>
    <row r="156" spans="1:9" x14ac:dyDescent="0.2">
      <c r="A156" t="s">
        <v>1250</v>
      </c>
      <c r="B156">
        <v>824746</v>
      </c>
      <c r="C156">
        <v>20260617</v>
      </c>
      <c r="D156">
        <v>3</v>
      </c>
      <c r="E156">
        <v>29</v>
      </c>
      <c r="F156">
        <v>0</v>
      </c>
      <c r="G156">
        <v>3</v>
      </c>
      <c r="H156">
        <f t="shared" si="2"/>
        <v>3</v>
      </c>
      <c r="I156">
        <v>3</v>
      </c>
    </row>
    <row r="157" spans="1:9" x14ac:dyDescent="0.2">
      <c r="A157" t="s">
        <v>1251</v>
      </c>
      <c r="B157">
        <v>824913</v>
      </c>
      <c r="C157">
        <v>20260617</v>
      </c>
      <c r="D157">
        <v>0</v>
      </c>
      <c r="E157">
        <v>25</v>
      </c>
      <c r="F157">
        <v>5</v>
      </c>
      <c r="G157">
        <v>7</v>
      </c>
      <c r="H157">
        <f t="shared" si="2"/>
        <v>2</v>
      </c>
      <c r="I157">
        <v>12</v>
      </c>
    </row>
    <row r="158" spans="1:9" x14ac:dyDescent="0.2">
      <c r="A158" t="s">
        <v>1252</v>
      </c>
      <c r="B158">
        <v>824992</v>
      </c>
      <c r="C158">
        <v>20260617</v>
      </c>
      <c r="D158">
        <v>20</v>
      </c>
      <c r="E158">
        <v>22</v>
      </c>
      <c r="F158">
        <v>4</v>
      </c>
      <c r="G158">
        <v>12</v>
      </c>
      <c r="H158">
        <f t="shared" si="2"/>
        <v>8</v>
      </c>
      <c r="I158">
        <v>16</v>
      </c>
    </row>
    <row r="159" spans="1:9" x14ac:dyDescent="0.2">
      <c r="A159" t="s">
        <v>1253</v>
      </c>
      <c r="B159">
        <v>825072</v>
      </c>
      <c r="C159">
        <v>20260617</v>
      </c>
      <c r="D159">
        <v>1</v>
      </c>
      <c r="E159">
        <v>4</v>
      </c>
      <c r="F159">
        <v>8</v>
      </c>
      <c r="G159">
        <v>1</v>
      </c>
      <c r="H159">
        <f t="shared" si="2"/>
        <v>-7</v>
      </c>
      <c r="I159">
        <v>9</v>
      </c>
    </row>
    <row r="160" spans="1:9" x14ac:dyDescent="0.2">
      <c r="A160" t="s">
        <v>1254</v>
      </c>
      <c r="B160">
        <v>822889</v>
      </c>
      <c r="C160">
        <v>20260618</v>
      </c>
      <c r="D160">
        <v>28</v>
      </c>
      <c r="E160">
        <v>15</v>
      </c>
      <c r="F160">
        <v>3</v>
      </c>
      <c r="G160">
        <v>9</v>
      </c>
      <c r="H160">
        <f t="shared" si="2"/>
        <v>6</v>
      </c>
      <c r="I160">
        <v>12</v>
      </c>
    </row>
    <row r="161" spans="1:9" x14ac:dyDescent="0.2">
      <c r="A161" t="s">
        <v>1255</v>
      </c>
      <c r="B161">
        <v>823125</v>
      </c>
      <c r="C161">
        <v>20260618</v>
      </c>
      <c r="D161">
        <v>24</v>
      </c>
      <c r="E161">
        <v>2</v>
      </c>
      <c r="F161">
        <v>3</v>
      </c>
      <c r="G161">
        <v>0</v>
      </c>
      <c r="H161">
        <f t="shared" si="2"/>
        <v>-3</v>
      </c>
      <c r="I161">
        <v>3</v>
      </c>
    </row>
    <row r="162" spans="1:9" x14ac:dyDescent="0.2">
      <c r="A162" t="s">
        <v>1256</v>
      </c>
      <c r="B162">
        <v>823448</v>
      </c>
      <c r="C162">
        <v>20260618</v>
      </c>
      <c r="D162">
        <v>21</v>
      </c>
      <c r="E162">
        <v>18</v>
      </c>
      <c r="F162">
        <v>4</v>
      </c>
      <c r="G162">
        <v>6</v>
      </c>
      <c r="H162">
        <f t="shared" si="2"/>
        <v>2</v>
      </c>
      <c r="I162">
        <v>10</v>
      </c>
    </row>
    <row r="163" spans="1:9" x14ac:dyDescent="0.2">
      <c r="A163" t="s">
        <v>1257</v>
      </c>
      <c r="B163">
        <v>823533</v>
      </c>
      <c r="C163">
        <v>20260618</v>
      </c>
      <c r="D163">
        <v>19</v>
      </c>
      <c r="E163">
        <v>9</v>
      </c>
      <c r="F163">
        <v>1</v>
      </c>
      <c r="G163">
        <v>5</v>
      </c>
      <c r="H163">
        <f t="shared" si="2"/>
        <v>4</v>
      </c>
      <c r="I163">
        <v>6</v>
      </c>
    </row>
    <row r="164" spans="1:9" x14ac:dyDescent="0.2">
      <c r="A164" t="s">
        <v>1258</v>
      </c>
      <c r="B164">
        <v>823772</v>
      </c>
      <c r="C164">
        <v>20260618</v>
      </c>
      <c r="D164">
        <v>17</v>
      </c>
      <c r="E164">
        <v>7</v>
      </c>
      <c r="F164">
        <v>2</v>
      </c>
      <c r="G164">
        <v>4</v>
      </c>
      <c r="H164">
        <f t="shared" si="2"/>
        <v>2</v>
      </c>
      <c r="I164">
        <v>6</v>
      </c>
    </row>
    <row r="165" spans="1:9" x14ac:dyDescent="0.2">
      <c r="A165" t="s">
        <v>1259</v>
      </c>
      <c r="B165">
        <v>824098</v>
      </c>
      <c r="C165">
        <v>20260618</v>
      </c>
      <c r="D165">
        <v>13</v>
      </c>
      <c r="E165">
        <v>26</v>
      </c>
      <c r="F165">
        <v>14</v>
      </c>
      <c r="G165">
        <v>6</v>
      </c>
      <c r="H165">
        <f t="shared" si="2"/>
        <v>-8</v>
      </c>
      <c r="I165">
        <v>20</v>
      </c>
    </row>
    <row r="166" spans="1:9" x14ac:dyDescent="0.2">
      <c r="A166" t="s">
        <v>1260</v>
      </c>
      <c r="B166">
        <v>824748</v>
      </c>
      <c r="C166">
        <v>20260618</v>
      </c>
      <c r="D166">
        <v>3</v>
      </c>
      <c r="E166">
        <v>29</v>
      </c>
      <c r="F166">
        <v>3</v>
      </c>
      <c r="G166">
        <v>4</v>
      </c>
      <c r="H166">
        <f t="shared" si="2"/>
        <v>1</v>
      </c>
      <c r="I166">
        <v>7</v>
      </c>
    </row>
    <row r="167" spans="1:9" x14ac:dyDescent="0.2">
      <c r="A167" t="s">
        <v>1261</v>
      </c>
      <c r="B167">
        <v>824989</v>
      </c>
      <c r="C167">
        <v>20260618</v>
      </c>
      <c r="D167">
        <v>20</v>
      </c>
      <c r="E167">
        <v>4</v>
      </c>
      <c r="F167">
        <v>5</v>
      </c>
      <c r="G167">
        <v>0</v>
      </c>
      <c r="H167">
        <f t="shared" si="2"/>
        <v>-5</v>
      </c>
      <c r="I167">
        <v>5</v>
      </c>
    </row>
    <row r="168" spans="1:9" x14ac:dyDescent="0.2">
      <c r="A168" t="s">
        <v>1262</v>
      </c>
      <c r="B168">
        <v>822886</v>
      </c>
      <c r="C168">
        <v>20260619</v>
      </c>
      <c r="D168">
        <v>28</v>
      </c>
      <c r="E168">
        <v>23</v>
      </c>
      <c r="F168">
        <v>9</v>
      </c>
      <c r="G168">
        <v>7</v>
      </c>
      <c r="H168">
        <f t="shared" si="2"/>
        <v>-2</v>
      </c>
      <c r="I168">
        <v>16</v>
      </c>
    </row>
    <row r="169" spans="1:9" x14ac:dyDescent="0.2">
      <c r="A169" t="s">
        <v>1263</v>
      </c>
      <c r="B169">
        <v>822966</v>
      </c>
      <c r="C169">
        <v>20260619</v>
      </c>
      <c r="D169">
        <v>27</v>
      </c>
      <c r="E169">
        <v>16</v>
      </c>
      <c r="F169">
        <v>5</v>
      </c>
      <c r="G169">
        <v>2</v>
      </c>
      <c r="H169">
        <f t="shared" si="2"/>
        <v>-3</v>
      </c>
      <c r="I169">
        <v>7</v>
      </c>
    </row>
    <row r="170" spans="1:9" x14ac:dyDescent="0.2">
      <c r="A170" t="s">
        <v>1264</v>
      </c>
      <c r="B170">
        <v>823124</v>
      </c>
      <c r="C170">
        <v>20260619</v>
      </c>
      <c r="D170">
        <v>24</v>
      </c>
      <c r="E170">
        <v>3</v>
      </c>
      <c r="F170">
        <v>2</v>
      </c>
      <c r="G170">
        <v>6</v>
      </c>
      <c r="H170">
        <f t="shared" si="2"/>
        <v>4</v>
      </c>
      <c r="I170">
        <v>8</v>
      </c>
    </row>
    <row r="171" spans="1:9" x14ac:dyDescent="0.2">
      <c r="A171" t="s">
        <v>1265</v>
      </c>
      <c r="B171">
        <v>823534</v>
      </c>
      <c r="C171">
        <v>20260619</v>
      </c>
      <c r="D171">
        <v>19</v>
      </c>
      <c r="E171">
        <v>6</v>
      </c>
      <c r="F171">
        <v>5</v>
      </c>
      <c r="G171">
        <v>0</v>
      </c>
      <c r="H171">
        <f t="shared" si="2"/>
        <v>-5</v>
      </c>
      <c r="I171">
        <v>5</v>
      </c>
    </row>
    <row r="172" spans="1:9" x14ac:dyDescent="0.2">
      <c r="A172" t="s">
        <v>1266</v>
      </c>
      <c r="B172">
        <v>823853</v>
      </c>
      <c r="C172">
        <v>20260619</v>
      </c>
      <c r="D172">
        <v>11</v>
      </c>
      <c r="E172">
        <v>25</v>
      </c>
      <c r="F172">
        <v>4</v>
      </c>
      <c r="G172">
        <v>3</v>
      </c>
      <c r="H172">
        <f t="shared" si="2"/>
        <v>-1</v>
      </c>
      <c r="I172">
        <v>7</v>
      </c>
    </row>
    <row r="173" spans="1:9" x14ac:dyDescent="0.2">
      <c r="A173" t="s">
        <v>1267</v>
      </c>
      <c r="B173">
        <v>823936</v>
      </c>
      <c r="C173">
        <v>20260619</v>
      </c>
      <c r="D173">
        <v>14</v>
      </c>
      <c r="E173">
        <v>2</v>
      </c>
      <c r="F173">
        <v>6</v>
      </c>
      <c r="G173">
        <v>5</v>
      </c>
      <c r="H173">
        <f t="shared" si="2"/>
        <v>-1</v>
      </c>
      <c r="I173">
        <v>11</v>
      </c>
    </row>
    <row r="174" spans="1:9" x14ac:dyDescent="0.2">
      <c r="A174" t="s">
        <v>1268</v>
      </c>
      <c r="B174">
        <v>824097</v>
      </c>
      <c r="C174">
        <v>20260619</v>
      </c>
      <c r="D174">
        <v>13</v>
      </c>
      <c r="E174">
        <v>26</v>
      </c>
      <c r="F174">
        <v>6</v>
      </c>
      <c r="G174">
        <v>5</v>
      </c>
      <c r="H174">
        <f t="shared" si="2"/>
        <v>-1</v>
      </c>
      <c r="I174">
        <v>11</v>
      </c>
    </row>
    <row r="175" spans="1:9" x14ac:dyDescent="0.2">
      <c r="A175" t="s">
        <v>1269</v>
      </c>
      <c r="B175">
        <v>824179</v>
      </c>
      <c r="C175">
        <v>20260619</v>
      </c>
      <c r="D175">
        <v>12</v>
      </c>
      <c r="E175">
        <v>7</v>
      </c>
      <c r="F175">
        <v>9</v>
      </c>
      <c r="G175">
        <v>3</v>
      </c>
      <c r="H175">
        <f t="shared" si="2"/>
        <v>-6</v>
      </c>
      <c r="I175">
        <v>12</v>
      </c>
    </row>
    <row r="176" spans="1:9" x14ac:dyDescent="0.2">
      <c r="A176" t="s">
        <v>1270</v>
      </c>
      <c r="B176">
        <v>824264</v>
      </c>
      <c r="C176">
        <v>20260619</v>
      </c>
      <c r="D176">
        <v>10</v>
      </c>
      <c r="E176">
        <v>9</v>
      </c>
      <c r="F176">
        <v>4</v>
      </c>
      <c r="G176">
        <v>3</v>
      </c>
      <c r="H176">
        <f t="shared" si="2"/>
        <v>-1</v>
      </c>
      <c r="I176">
        <v>7</v>
      </c>
    </row>
    <row r="177" spans="1:9" x14ac:dyDescent="0.2">
      <c r="A177" t="s">
        <v>1271</v>
      </c>
      <c r="B177">
        <v>824345</v>
      </c>
      <c r="C177">
        <v>20260619</v>
      </c>
      <c r="D177">
        <v>8</v>
      </c>
      <c r="E177">
        <v>22</v>
      </c>
      <c r="F177">
        <v>4</v>
      </c>
      <c r="G177">
        <v>3</v>
      </c>
      <c r="H177">
        <f t="shared" si="2"/>
        <v>-1</v>
      </c>
      <c r="I177">
        <v>7</v>
      </c>
    </row>
    <row r="178" spans="1:9" x14ac:dyDescent="0.2">
      <c r="A178" t="s">
        <v>1272</v>
      </c>
      <c r="B178">
        <v>824663</v>
      </c>
      <c r="C178">
        <v>20260619</v>
      </c>
      <c r="D178">
        <v>5</v>
      </c>
      <c r="E178">
        <v>29</v>
      </c>
      <c r="F178">
        <v>16</v>
      </c>
      <c r="G178">
        <v>2</v>
      </c>
      <c r="H178">
        <f t="shared" si="2"/>
        <v>-14</v>
      </c>
      <c r="I178">
        <v>18</v>
      </c>
    </row>
    <row r="179" spans="1:9" x14ac:dyDescent="0.2">
      <c r="A179" t="s">
        <v>1273</v>
      </c>
      <c r="B179">
        <v>824910</v>
      </c>
      <c r="C179">
        <v>20260619</v>
      </c>
      <c r="D179">
        <v>0</v>
      </c>
      <c r="E179">
        <v>17</v>
      </c>
      <c r="F179">
        <v>3</v>
      </c>
      <c r="G179">
        <v>2</v>
      </c>
      <c r="H179">
        <f t="shared" si="2"/>
        <v>-1</v>
      </c>
      <c r="I179">
        <v>5</v>
      </c>
    </row>
    <row r="180" spans="1:9" x14ac:dyDescent="0.2">
      <c r="A180" t="s">
        <v>1274</v>
      </c>
      <c r="B180">
        <v>824990</v>
      </c>
      <c r="C180">
        <v>20260619</v>
      </c>
      <c r="D180">
        <v>20</v>
      </c>
      <c r="E180">
        <v>4</v>
      </c>
      <c r="F180">
        <v>12</v>
      </c>
      <c r="G180">
        <v>11</v>
      </c>
      <c r="H180">
        <f t="shared" si="2"/>
        <v>-1</v>
      </c>
      <c r="I180">
        <v>23</v>
      </c>
    </row>
    <row r="181" spans="1:9" x14ac:dyDescent="0.2">
      <c r="A181" t="s">
        <v>1275</v>
      </c>
      <c r="B181">
        <v>825069</v>
      </c>
      <c r="C181">
        <v>20260619</v>
      </c>
      <c r="D181">
        <v>1</v>
      </c>
      <c r="E181">
        <v>15</v>
      </c>
      <c r="F181">
        <v>9</v>
      </c>
      <c r="G181">
        <v>5</v>
      </c>
      <c r="H181">
        <f t="shared" si="2"/>
        <v>-4</v>
      </c>
      <c r="I181">
        <v>14</v>
      </c>
    </row>
    <row r="182" spans="1:9" x14ac:dyDescent="0.2">
      <c r="A182" t="s">
        <v>1276</v>
      </c>
      <c r="B182">
        <v>822885</v>
      </c>
      <c r="C182">
        <v>20260620</v>
      </c>
      <c r="D182">
        <v>28</v>
      </c>
      <c r="E182">
        <v>23</v>
      </c>
      <c r="F182">
        <v>4</v>
      </c>
      <c r="G182">
        <v>6</v>
      </c>
      <c r="H182">
        <f t="shared" si="2"/>
        <v>2</v>
      </c>
      <c r="I182">
        <v>10</v>
      </c>
    </row>
    <row r="183" spans="1:9" x14ac:dyDescent="0.2">
      <c r="A183" t="s">
        <v>1277</v>
      </c>
      <c r="B183">
        <v>822967</v>
      </c>
      <c r="C183">
        <v>20260620</v>
      </c>
      <c r="D183">
        <v>27</v>
      </c>
      <c r="E183">
        <v>16</v>
      </c>
      <c r="F183">
        <v>3</v>
      </c>
      <c r="G183">
        <v>4</v>
      </c>
      <c r="H183">
        <f t="shared" si="2"/>
        <v>1</v>
      </c>
      <c r="I183">
        <v>7</v>
      </c>
    </row>
    <row r="184" spans="1:9" x14ac:dyDescent="0.2">
      <c r="A184" t="s">
        <v>1278</v>
      </c>
      <c r="B184">
        <v>823126</v>
      </c>
      <c r="C184">
        <v>20260620</v>
      </c>
      <c r="D184">
        <v>24</v>
      </c>
      <c r="E184">
        <v>3</v>
      </c>
      <c r="F184">
        <v>1</v>
      </c>
      <c r="G184">
        <v>5</v>
      </c>
      <c r="H184">
        <f t="shared" si="2"/>
        <v>4</v>
      </c>
      <c r="I184">
        <v>6</v>
      </c>
    </row>
    <row r="185" spans="1:9" x14ac:dyDescent="0.2">
      <c r="A185" t="s">
        <v>1279</v>
      </c>
      <c r="B185">
        <v>823447</v>
      </c>
      <c r="C185">
        <v>20260620</v>
      </c>
      <c r="D185">
        <v>21</v>
      </c>
      <c r="E185">
        <v>18</v>
      </c>
      <c r="F185">
        <v>15</v>
      </c>
      <c r="G185">
        <v>3</v>
      </c>
      <c r="H185">
        <f t="shared" si="2"/>
        <v>-12</v>
      </c>
      <c r="I185">
        <v>18</v>
      </c>
    </row>
    <row r="186" spans="1:9" x14ac:dyDescent="0.2">
      <c r="A186" t="s">
        <v>1280</v>
      </c>
      <c r="B186">
        <v>823532</v>
      </c>
      <c r="C186">
        <v>20260620</v>
      </c>
      <c r="D186">
        <v>19</v>
      </c>
      <c r="E186">
        <v>6</v>
      </c>
      <c r="F186">
        <v>2</v>
      </c>
      <c r="G186">
        <v>10</v>
      </c>
      <c r="H186">
        <f t="shared" si="2"/>
        <v>8</v>
      </c>
      <c r="I186">
        <v>12</v>
      </c>
    </row>
    <row r="187" spans="1:9" x14ac:dyDescent="0.2">
      <c r="A187" t="s">
        <v>1281</v>
      </c>
      <c r="B187">
        <v>823854</v>
      </c>
      <c r="C187">
        <v>20260620</v>
      </c>
      <c r="D187">
        <v>11</v>
      </c>
      <c r="E187">
        <v>25</v>
      </c>
      <c r="F187">
        <v>6</v>
      </c>
      <c r="G187">
        <v>3</v>
      </c>
      <c r="H187">
        <f t="shared" si="2"/>
        <v>-3</v>
      </c>
      <c r="I187">
        <v>9</v>
      </c>
    </row>
    <row r="188" spans="1:9" x14ac:dyDescent="0.2">
      <c r="A188" t="s">
        <v>1282</v>
      </c>
      <c r="B188">
        <v>823937</v>
      </c>
      <c r="C188">
        <v>20260620</v>
      </c>
      <c r="D188">
        <v>14</v>
      </c>
      <c r="E188">
        <v>2</v>
      </c>
      <c r="F188">
        <v>2</v>
      </c>
      <c r="G188">
        <v>3</v>
      </c>
      <c r="H188">
        <f t="shared" si="2"/>
        <v>1</v>
      </c>
      <c r="I188">
        <v>5</v>
      </c>
    </row>
    <row r="189" spans="1:9" x14ac:dyDescent="0.2">
      <c r="A189" t="s">
        <v>1283</v>
      </c>
      <c r="B189">
        <v>824180</v>
      </c>
      <c r="C189">
        <v>20260620</v>
      </c>
      <c r="D189">
        <v>12</v>
      </c>
      <c r="E189">
        <v>7</v>
      </c>
      <c r="F189">
        <v>1</v>
      </c>
      <c r="G189">
        <v>8</v>
      </c>
      <c r="H189">
        <f t="shared" si="2"/>
        <v>7</v>
      </c>
      <c r="I189">
        <v>9</v>
      </c>
    </row>
    <row r="190" spans="1:9" x14ac:dyDescent="0.2">
      <c r="A190" t="s">
        <v>1284</v>
      </c>
      <c r="B190">
        <v>824263</v>
      </c>
      <c r="C190">
        <v>20260620</v>
      </c>
      <c r="D190">
        <v>10</v>
      </c>
      <c r="E190">
        <v>9</v>
      </c>
      <c r="F190">
        <v>4</v>
      </c>
      <c r="G190">
        <v>1</v>
      </c>
      <c r="H190">
        <f t="shared" si="2"/>
        <v>-3</v>
      </c>
      <c r="I190">
        <v>5</v>
      </c>
    </row>
    <row r="191" spans="1:9" x14ac:dyDescent="0.2">
      <c r="A191" t="s">
        <v>1285</v>
      </c>
      <c r="B191">
        <v>824342</v>
      </c>
      <c r="C191">
        <v>20260620</v>
      </c>
      <c r="D191">
        <v>8</v>
      </c>
      <c r="E191">
        <v>22</v>
      </c>
      <c r="F191">
        <v>2</v>
      </c>
      <c r="G191">
        <v>1</v>
      </c>
      <c r="H191">
        <f t="shared" si="2"/>
        <v>-1</v>
      </c>
      <c r="I191">
        <v>3</v>
      </c>
    </row>
    <row r="192" spans="1:9" x14ac:dyDescent="0.2">
      <c r="A192" t="s">
        <v>1286</v>
      </c>
      <c r="B192">
        <v>824665</v>
      </c>
      <c r="C192">
        <v>20260620</v>
      </c>
      <c r="D192">
        <v>5</v>
      </c>
      <c r="E192">
        <v>29</v>
      </c>
      <c r="F192">
        <v>6</v>
      </c>
      <c r="G192">
        <v>8</v>
      </c>
      <c r="H192">
        <f t="shared" si="2"/>
        <v>2</v>
      </c>
      <c r="I192">
        <v>14</v>
      </c>
    </row>
    <row r="193" spans="1:9" x14ac:dyDescent="0.2">
      <c r="A193" t="s">
        <v>1287</v>
      </c>
      <c r="B193">
        <v>824909</v>
      </c>
      <c r="C193">
        <v>20260620</v>
      </c>
      <c r="D193">
        <v>0</v>
      </c>
      <c r="E193">
        <v>17</v>
      </c>
      <c r="F193">
        <v>4</v>
      </c>
      <c r="G193">
        <v>3</v>
      </c>
      <c r="H193">
        <f t="shared" si="2"/>
        <v>-1</v>
      </c>
      <c r="I193">
        <v>7</v>
      </c>
    </row>
    <row r="194" spans="1:9" x14ac:dyDescent="0.2">
      <c r="A194" t="s">
        <v>1288</v>
      </c>
      <c r="B194">
        <v>824988</v>
      </c>
      <c r="C194">
        <v>20260620</v>
      </c>
      <c r="D194">
        <v>20</v>
      </c>
      <c r="E194">
        <v>4</v>
      </c>
      <c r="F194">
        <v>0</v>
      </c>
      <c r="G194">
        <v>7</v>
      </c>
      <c r="H194">
        <f t="shared" si="2"/>
        <v>7</v>
      </c>
      <c r="I194">
        <v>7</v>
      </c>
    </row>
    <row r="195" spans="1:9" x14ac:dyDescent="0.2">
      <c r="A195" t="s">
        <v>1289</v>
      </c>
      <c r="B195">
        <v>825068</v>
      </c>
      <c r="C195">
        <v>20260620</v>
      </c>
      <c r="D195">
        <v>1</v>
      </c>
      <c r="E195">
        <v>15</v>
      </c>
      <c r="F195">
        <v>8</v>
      </c>
      <c r="G195">
        <v>16</v>
      </c>
      <c r="H195">
        <f t="shared" si="2"/>
        <v>8</v>
      </c>
      <c r="I195">
        <v>24</v>
      </c>
    </row>
    <row r="196" spans="1:9" x14ac:dyDescent="0.2">
      <c r="A196" t="s">
        <v>1290</v>
      </c>
      <c r="B196">
        <v>822883</v>
      </c>
      <c r="C196">
        <v>20260621</v>
      </c>
      <c r="D196">
        <v>28</v>
      </c>
      <c r="E196">
        <v>23</v>
      </c>
      <c r="F196">
        <v>4</v>
      </c>
      <c r="G196">
        <v>3</v>
      </c>
      <c r="H196">
        <f t="shared" ref="H196:H209" si="3">G196-F196</f>
        <v>-1</v>
      </c>
      <c r="I196">
        <v>7</v>
      </c>
    </row>
    <row r="197" spans="1:9" x14ac:dyDescent="0.2">
      <c r="A197" t="s">
        <v>1291</v>
      </c>
      <c r="B197">
        <v>822968</v>
      </c>
      <c r="C197">
        <v>20260621</v>
      </c>
      <c r="D197">
        <v>27</v>
      </c>
      <c r="E197">
        <v>16</v>
      </c>
      <c r="F197">
        <v>4</v>
      </c>
      <c r="G197">
        <v>3</v>
      </c>
      <c r="H197">
        <f t="shared" si="3"/>
        <v>-1</v>
      </c>
      <c r="I197">
        <v>7</v>
      </c>
    </row>
    <row r="198" spans="1:9" x14ac:dyDescent="0.2">
      <c r="A198" t="s">
        <v>1292</v>
      </c>
      <c r="B198">
        <v>823123</v>
      </c>
      <c r="C198">
        <v>20260621</v>
      </c>
      <c r="D198">
        <v>24</v>
      </c>
      <c r="E198">
        <v>3</v>
      </c>
      <c r="F198">
        <v>3</v>
      </c>
      <c r="G198">
        <v>1</v>
      </c>
      <c r="H198">
        <f t="shared" si="3"/>
        <v>-2</v>
      </c>
      <c r="I198">
        <v>4</v>
      </c>
    </row>
    <row r="199" spans="1:9" x14ac:dyDescent="0.2">
      <c r="A199" t="s">
        <v>1293</v>
      </c>
      <c r="B199">
        <v>823449</v>
      </c>
      <c r="C199">
        <v>20260621</v>
      </c>
      <c r="D199">
        <v>21</v>
      </c>
      <c r="E199">
        <v>18</v>
      </c>
      <c r="F199">
        <v>6</v>
      </c>
      <c r="G199">
        <v>2</v>
      </c>
      <c r="H199">
        <f t="shared" si="3"/>
        <v>-4</v>
      </c>
      <c r="I199">
        <v>8</v>
      </c>
    </row>
    <row r="200" spans="1:9" x14ac:dyDescent="0.2">
      <c r="A200" t="s">
        <v>1294</v>
      </c>
      <c r="B200">
        <v>823531</v>
      </c>
      <c r="C200">
        <v>20260621</v>
      </c>
      <c r="D200">
        <v>19</v>
      </c>
      <c r="E200">
        <v>6</v>
      </c>
      <c r="F200">
        <v>1</v>
      </c>
      <c r="G200">
        <v>4</v>
      </c>
      <c r="H200">
        <f t="shared" si="3"/>
        <v>3</v>
      </c>
      <c r="I200">
        <v>5</v>
      </c>
    </row>
    <row r="201" spans="1:9" x14ac:dyDescent="0.2">
      <c r="A201" t="s">
        <v>1295</v>
      </c>
      <c r="B201">
        <v>823852</v>
      </c>
      <c r="C201">
        <v>20260621</v>
      </c>
      <c r="D201">
        <v>11</v>
      </c>
      <c r="E201">
        <v>25</v>
      </c>
      <c r="F201">
        <v>2</v>
      </c>
      <c r="G201">
        <v>1</v>
      </c>
      <c r="H201">
        <f t="shared" si="3"/>
        <v>-1</v>
      </c>
      <c r="I201">
        <v>3</v>
      </c>
    </row>
    <row r="202" spans="1:9" x14ac:dyDescent="0.2">
      <c r="A202" t="s">
        <v>1296</v>
      </c>
      <c r="B202">
        <v>823934</v>
      </c>
      <c r="C202">
        <v>20260621</v>
      </c>
      <c r="D202">
        <v>14</v>
      </c>
      <c r="E202">
        <v>2</v>
      </c>
      <c r="F202">
        <v>1</v>
      </c>
      <c r="G202">
        <v>12</v>
      </c>
      <c r="H202">
        <f t="shared" si="3"/>
        <v>11</v>
      </c>
      <c r="I202">
        <v>13</v>
      </c>
    </row>
    <row r="203" spans="1:9" x14ac:dyDescent="0.2">
      <c r="A203" t="s">
        <v>1297</v>
      </c>
      <c r="B203">
        <v>824095</v>
      </c>
      <c r="C203">
        <v>20260621</v>
      </c>
      <c r="D203">
        <v>13</v>
      </c>
      <c r="E203">
        <v>26</v>
      </c>
      <c r="F203">
        <v>10</v>
      </c>
      <c r="G203">
        <v>12</v>
      </c>
      <c r="H203">
        <f t="shared" si="3"/>
        <v>2</v>
      </c>
      <c r="I203">
        <v>22</v>
      </c>
    </row>
    <row r="204" spans="1:9" x14ac:dyDescent="0.2">
      <c r="A204" t="s">
        <v>1298</v>
      </c>
      <c r="B204">
        <v>824177</v>
      </c>
      <c r="C204">
        <v>20260621</v>
      </c>
      <c r="D204">
        <v>12</v>
      </c>
      <c r="E204">
        <v>7</v>
      </c>
      <c r="F204">
        <v>2</v>
      </c>
      <c r="G204">
        <v>1</v>
      </c>
      <c r="H204">
        <f t="shared" si="3"/>
        <v>-1</v>
      </c>
      <c r="I204">
        <v>3</v>
      </c>
    </row>
    <row r="205" spans="1:9" x14ac:dyDescent="0.2">
      <c r="A205" t="s">
        <v>1299</v>
      </c>
      <c r="B205">
        <v>824260</v>
      </c>
      <c r="C205">
        <v>20260621</v>
      </c>
      <c r="D205">
        <v>10</v>
      </c>
      <c r="E205">
        <v>9</v>
      </c>
      <c r="F205">
        <v>5</v>
      </c>
      <c r="G205">
        <v>4</v>
      </c>
      <c r="H205">
        <f t="shared" si="3"/>
        <v>-1</v>
      </c>
      <c r="I205">
        <v>9</v>
      </c>
    </row>
    <row r="206" spans="1:9" x14ac:dyDescent="0.2">
      <c r="A206" t="s">
        <v>1300</v>
      </c>
      <c r="B206">
        <v>824343</v>
      </c>
      <c r="C206">
        <v>20260621</v>
      </c>
      <c r="D206">
        <v>8</v>
      </c>
      <c r="E206">
        <v>22</v>
      </c>
      <c r="F206">
        <v>6</v>
      </c>
      <c r="G206">
        <v>8</v>
      </c>
      <c r="H206">
        <f t="shared" si="3"/>
        <v>2</v>
      </c>
      <c r="I206">
        <v>14</v>
      </c>
    </row>
    <row r="207" spans="1:9" x14ac:dyDescent="0.2">
      <c r="A207" t="s">
        <v>1301</v>
      </c>
      <c r="B207">
        <v>824908</v>
      </c>
      <c r="C207">
        <v>20260621</v>
      </c>
      <c r="D207">
        <v>0</v>
      </c>
      <c r="E207">
        <v>17</v>
      </c>
      <c r="F207">
        <v>4</v>
      </c>
      <c r="G207">
        <v>9</v>
      </c>
      <c r="H207">
        <f t="shared" si="3"/>
        <v>5</v>
      </c>
      <c r="I207">
        <v>13</v>
      </c>
    </row>
    <row r="208" spans="1:9" x14ac:dyDescent="0.2">
      <c r="A208" t="s">
        <v>1302</v>
      </c>
      <c r="B208">
        <v>824987</v>
      </c>
      <c r="C208">
        <v>20260621</v>
      </c>
      <c r="D208">
        <v>20</v>
      </c>
      <c r="E208">
        <v>4</v>
      </c>
      <c r="F208">
        <v>7</v>
      </c>
      <c r="G208">
        <v>9</v>
      </c>
      <c r="H208">
        <f t="shared" si="3"/>
        <v>2</v>
      </c>
      <c r="I208">
        <v>16</v>
      </c>
    </row>
    <row r="209" spans="1:9" x14ac:dyDescent="0.2">
      <c r="A209" t="s">
        <v>1303</v>
      </c>
      <c r="B209">
        <v>825067</v>
      </c>
      <c r="C209">
        <v>20260621</v>
      </c>
      <c r="D209">
        <v>1</v>
      </c>
      <c r="E209">
        <v>15</v>
      </c>
      <c r="F209">
        <v>2</v>
      </c>
      <c r="G209">
        <v>4</v>
      </c>
      <c r="H209">
        <f t="shared" si="3"/>
        <v>2</v>
      </c>
      <c r="I209">
        <v>6</v>
      </c>
    </row>
    <row r="210" spans="1:9" x14ac:dyDescent="0.2">
      <c r="A210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LineStatsOnly</vt:lpstr>
      <vt:lpstr>StatsOnly</vt:lpstr>
      <vt:lpstr>AgreeOnly</vt:lpstr>
      <vt:lpstr>1Star</vt:lpstr>
      <vt:lpstr>3Star</vt:lpstr>
      <vt:lpstr>5Star</vt:lpstr>
      <vt:lpstr>All</vt:lpstr>
      <vt:lpstr>ScionOutput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Tepper</dc:creator>
  <cp:lastModifiedBy>Jon Tepper</cp:lastModifiedBy>
  <dcterms:created xsi:type="dcterms:W3CDTF">2026-06-22T08:36:46Z</dcterms:created>
  <dcterms:modified xsi:type="dcterms:W3CDTF">2026-06-23T12:24:21Z</dcterms:modified>
</cp:coreProperties>
</file>